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G:\.shortcut-targets-by-id\1a7KRtM9EhD4vqVVlgIVpSNUN2BelbQ9R\Jogo SupplyChain (Edgard)\Turma PRO3445 2026\Empresas\Jogo 2\Flamengo\"/>
    </mc:Choice>
  </mc:AlternateContent>
  <xr:revisionPtr revIDLastSave="0" documentId="13_ncr:1_{5F04B73E-B28A-4889-A302-8E7AB778BA16}" xr6:coauthVersionLast="47" xr6:coauthVersionMax="47" xr10:uidLastSave="{00000000-0000-0000-0000-000000000000}"/>
  <workbookProtection workbookAlgorithmName="SHA-512" workbookHashValue="UX+xJ9sXQ8oQfQVDlELG2GN+x1pBw2kqO8SNhBSASTBlQpT0wyJ+TfpoNulSMCnVDiqJrZUaPL0cQRbq+UnhFg==" workbookSaltValue="6rpI9b6tXtFTxs9EfN5nIg==" workbookSpinCount="100000" lockStructure="1"/>
  <bookViews>
    <workbookView xWindow="-108" yWindow="-108" windowWidth="23256" windowHeight="12456" xr2:uid="{00000000-000D-0000-FFFF-FFFF00000000}"/>
  </bookViews>
  <sheets>
    <sheet name="SOL_TRANSP" sheetId="1" r:id="rId1"/>
    <sheet name="OP_FABRICAS" sheetId="2" r:id="rId2"/>
    <sheet name="INSTALAÇÕES" sheetId="3" state="hidden" r:id="rId3"/>
    <sheet name="Orig_Dest" sheetId="4" state="hidden" r:id="rId4"/>
    <sheet name="Base_Dados" sheetId="5" state="hidden" r:id="rId5"/>
  </sheets>
  <definedNames>
    <definedName name="CD">Base_Dados!$B$2:$B$5</definedName>
    <definedName name="Destino">Base_Dados!$D$2:$D$4</definedName>
    <definedName name="Fábrica">Base_Dados!$A$2:$A$3</definedName>
    <definedName name="Fornecedor">Base_Dados!$E$2:$E$7</definedName>
    <definedName name="Modal">Base_Dados!$H$2:$H$4</definedName>
    <definedName name="MP">Base_Dados!$F$2:$F$7</definedName>
    <definedName name="Origem">Base_Dados!$C$2:$C$4</definedName>
    <definedName name="Produto">Base_Dados!$I$2:$I$7</definedName>
    <definedName name="Rodada">Base_Dados!$Q$1:$BL$1</definedName>
    <definedName name="Rodada_1">Base_Dados!$Q$2:$Q$6</definedName>
    <definedName name="Rodada_10">Base_Dados!$Z$2:$Z$6</definedName>
    <definedName name="Rodada_11">Base_Dados!$AA$2:$AA$6</definedName>
    <definedName name="Rodada_12">Base_Dados!$AB$2:$AB$6</definedName>
    <definedName name="Rodada_13">Base_Dados!$AC$2:$AC$6</definedName>
    <definedName name="Rodada_14">Base_Dados!$AD$2:$AD$6</definedName>
    <definedName name="Rodada_15">Base_Dados!$AE$2:$AE$6</definedName>
    <definedName name="Rodada_16">Base_Dados!$AF$2:$AF$6</definedName>
    <definedName name="Rodada_17">Base_Dados!$AG$2:$AG$6</definedName>
    <definedName name="Rodada_18">Base_Dados!$AH$2:$AH$6</definedName>
    <definedName name="Rodada_19">Base_Dados!$AI$2:$AI$6</definedName>
    <definedName name="Rodada_2">Base_Dados!$R$2:$R$6</definedName>
    <definedName name="Rodada_20">Base_Dados!$AJ$2:$AJ$6</definedName>
    <definedName name="Rodada_21">Base_Dados!$AK$2:$AK$6</definedName>
    <definedName name="Rodada_22">Base_Dados!$AL$2:$AL$6</definedName>
    <definedName name="Rodada_23">Base_Dados!$AM$2:$AM$6</definedName>
    <definedName name="Rodada_24">Base_Dados!$AN$2:$AN$6</definedName>
    <definedName name="Rodada_25">Base_Dados!$AO$2:$AO$6</definedName>
    <definedName name="Rodada_26">Base_Dados!$AP$2:$AP$6</definedName>
    <definedName name="Rodada_27">Base_Dados!$AQ$2:$AQ$6</definedName>
    <definedName name="Rodada_28">Base_Dados!$AR$2:$AR$6</definedName>
    <definedName name="Rodada_29">Base_Dados!$AS$2:$AS$6</definedName>
    <definedName name="Rodada_3">Base_Dados!$S$2:$S$6</definedName>
    <definedName name="Rodada_30">Base_Dados!$AT$2:$AT$6</definedName>
    <definedName name="Rodada_31">Base_Dados!$AU$2:$AU$6</definedName>
    <definedName name="Rodada_32">Base_Dados!$AV$2:$AV$6</definedName>
    <definedName name="Rodada_33">Base_Dados!$AW$2:$AW$6</definedName>
    <definedName name="Rodada_34">Base_Dados!$AX$2:$AX$6</definedName>
    <definedName name="Rodada_35">Base_Dados!$AY$2:$AY$6</definedName>
    <definedName name="Rodada_36">Base_Dados!$AZ$2:$AZ$6</definedName>
    <definedName name="Rodada_37">Base_Dados!$BA$2:$BA$6</definedName>
    <definedName name="Rodada_38">Base_Dados!$BB$2:$BB$6</definedName>
    <definedName name="Rodada_39">Base_Dados!$BC$2:$BC$6</definedName>
    <definedName name="Rodada_4">Base_Dados!$T$2:$T$6</definedName>
    <definedName name="Rodada_40">Base_Dados!$BD$2:$BD$6</definedName>
    <definedName name="Rodada_41">Base_Dados!$BE$2:$BE$6</definedName>
    <definedName name="Rodada_42">Base_Dados!$BF$2:$BF$6</definedName>
    <definedName name="Rodada_43">Base_Dados!$BG$2:$BG$6</definedName>
    <definedName name="Rodada_44">Base_Dados!$BH$2:$BH$6</definedName>
    <definedName name="Rodada_45">Base_Dados!$BI$2:$BI$6</definedName>
    <definedName name="Rodada_46">Base_Dados!$BJ$2:$BJ$6</definedName>
    <definedName name="Rodada_47">Base_Dados!$BK$2:$BK$6</definedName>
    <definedName name="Rodada_48">Base_Dados!$BL$2:$BL$6</definedName>
    <definedName name="Rodada_5">Base_Dados!$U$2:$U$6</definedName>
    <definedName name="Rodada_6">Base_Dados!$V$2:$V$6</definedName>
    <definedName name="Rodada_7">Base_Dados!$W$2:$W$6</definedName>
    <definedName name="Rodada_8">Base_Dados!$X$2:$X$6</definedName>
    <definedName name="Rodada_9">Base_Dados!$Y$2:$Y$6</definedName>
    <definedName name="Varejista">Base_Dados!$G$2:$G$26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0" roundtripDataChecksum="ZEtawfFlivV+QET5G7yYrL8i/OYHXv4QtEK2X4iEjbc="/>
    </ext>
  </extLst>
</workbook>
</file>

<file path=xl/calcChain.xml><?xml version="1.0" encoding="utf-8"?>
<calcChain xmlns="http://schemas.openxmlformats.org/spreadsheetml/2006/main">
  <c r="M12" i="5" l="1"/>
  <c r="M11" i="5"/>
  <c r="M10" i="5"/>
  <c r="B5" i="5"/>
  <c r="O4" i="5"/>
  <c r="N4" i="5"/>
  <c r="M4" i="5"/>
  <c r="B4" i="5"/>
  <c r="O3" i="5"/>
  <c r="N3" i="5"/>
  <c r="M3" i="5"/>
  <c r="B3" i="5"/>
  <c r="A3" i="5"/>
  <c r="O2" i="5"/>
  <c r="N2" i="5"/>
  <c r="M2" i="5"/>
  <c r="B2" i="5"/>
  <c r="A2" i="5"/>
  <c r="A1876" i="4"/>
  <c r="A1875" i="4"/>
  <c r="A1874" i="4"/>
  <c r="A1873" i="4"/>
  <c r="A1872" i="4"/>
  <c r="A1871" i="4"/>
  <c r="A1870" i="4"/>
  <c r="A1869" i="4"/>
  <c r="A1868" i="4"/>
  <c r="A1867" i="4"/>
  <c r="A1866" i="4"/>
  <c r="A1865" i="4"/>
  <c r="A1864" i="4"/>
  <c r="A1863" i="4"/>
  <c r="A1862" i="4"/>
  <c r="A1861" i="4"/>
  <c r="A1860" i="4"/>
  <c r="A1859" i="4"/>
  <c r="A1858" i="4"/>
  <c r="A1857" i="4"/>
  <c r="A1856" i="4"/>
  <c r="A1855" i="4"/>
  <c r="A1854" i="4"/>
  <c r="A1853" i="4"/>
  <c r="A1852" i="4"/>
  <c r="A1851" i="4"/>
  <c r="A1850" i="4"/>
  <c r="A1849" i="4"/>
  <c r="A1848" i="4"/>
  <c r="A1847" i="4"/>
  <c r="A1846" i="4"/>
  <c r="A1845" i="4"/>
  <c r="A1844" i="4"/>
  <c r="A1843" i="4"/>
  <c r="A1842" i="4"/>
  <c r="A1841" i="4"/>
  <c r="A1840" i="4"/>
  <c r="A1839" i="4"/>
  <c r="A1838" i="4"/>
  <c r="A1837" i="4"/>
  <c r="A1836" i="4"/>
  <c r="A1835" i="4"/>
  <c r="A1834" i="4"/>
  <c r="A1833" i="4"/>
  <c r="A1832" i="4"/>
  <c r="A1831" i="4"/>
  <c r="A1830" i="4"/>
  <c r="A1829" i="4"/>
  <c r="A1828" i="4"/>
  <c r="A1827" i="4"/>
  <c r="A1826" i="4"/>
  <c r="A1825" i="4"/>
  <c r="A1824" i="4"/>
  <c r="A1823" i="4"/>
  <c r="A1822" i="4"/>
  <c r="A1821" i="4"/>
  <c r="A1820" i="4"/>
  <c r="A1819" i="4"/>
  <c r="A1818" i="4"/>
  <c r="A1817" i="4"/>
  <c r="A1816" i="4"/>
  <c r="A1815" i="4"/>
  <c r="A1814" i="4"/>
  <c r="A1813" i="4"/>
  <c r="A1812" i="4"/>
  <c r="A1811" i="4"/>
  <c r="A1810" i="4"/>
  <c r="A1809" i="4"/>
  <c r="A1808" i="4"/>
  <c r="A1807" i="4"/>
  <c r="A1806" i="4"/>
  <c r="A1805" i="4"/>
  <c r="A1804" i="4"/>
  <c r="A1803" i="4"/>
  <c r="A1802" i="4"/>
  <c r="A1801" i="4"/>
  <c r="A1800" i="4"/>
  <c r="A1799" i="4"/>
  <c r="A1798" i="4"/>
  <c r="A1797" i="4"/>
  <c r="A1796" i="4"/>
  <c r="A1795" i="4"/>
  <c r="A1794" i="4"/>
  <c r="A1793" i="4"/>
  <c r="A1792" i="4"/>
  <c r="A1791" i="4"/>
  <c r="A1790" i="4"/>
  <c r="A1789" i="4"/>
  <c r="A1788" i="4"/>
  <c r="A1787" i="4"/>
  <c r="A1786" i="4"/>
  <c r="A1785" i="4"/>
  <c r="A1784" i="4"/>
  <c r="A1783" i="4"/>
  <c r="A1782" i="4"/>
  <c r="A1781" i="4"/>
  <c r="A1780" i="4"/>
  <c r="A1779" i="4"/>
  <c r="A1778" i="4"/>
  <c r="A1777" i="4"/>
  <c r="A1776" i="4"/>
  <c r="A1775" i="4"/>
  <c r="A1774" i="4"/>
  <c r="A1773" i="4"/>
  <c r="A1772" i="4"/>
  <c r="A1771" i="4"/>
  <c r="A1770" i="4"/>
  <c r="A1769" i="4"/>
  <c r="A1768" i="4"/>
  <c r="A1767" i="4"/>
  <c r="A1766" i="4"/>
  <c r="A1765" i="4"/>
  <c r="A1764" i="4"/>
  <c r="A1763" i="4"/>
  <c r="A1762" i="4"/>
  <c r="A1761" i="4"/>
  <c r="A1760" i="4"/>
  <c r="A1759" i="4"/>
  <c r="A1758" i="4"/>
  <c r="A1757" i="4"/>
  <c r="A1756" i="4"/>
  <c r="A1755" i="4"/>
  <c r="A1754" i="4"/>
  <c r="A1753" i="4"/>
  <c r="A1752" i="4"/>
  <c r="A1751" i="4"/>
  <c r="A1750" i="4"/>
  <c r="A1749" i="4"/>
  <c r="A1748" i="4"/>
  <c r="A1747" i="4"/>
  <c r="A1746" i="4"/>
  <c r="A1745" i="4"/>
  <c r="A1744" i="4"/>
  <c r="A1743" i="4"/>
  <c r="A1742" i="4"/>
  <c r="A1741" i="4"/>
  <c r="A1740" i="4"/>
  <c r="A1739" i="4"/>
  <c r="A1738" i="4"/>
  <c r="A1737" i="4"/>
  <c r="A1736" i="4"/>
  <c r="A1735" i="4"/>
  <c r="A1734" i="4"/>
  <c r="A1733" i="4"/>
  <c r="A1732" i="4"/>
  <c r="A1731" i="4"/>
  <c r="A1730" i="4"/>
  <c r="A1729" i="4"/>
  <c r="A1728" i="4"/>
  <c r="A1727" i="4"/>
  <c r="A1726" i="4"/>
  <c r="A1725" i="4"/>
  <c r="A1724" i="4"/>
  <c r="A1723" i="4"/>
  <c r="A1722" i="4"/>
  <c r="A1721" i="4"/>
  <c r="A1720" i="4"/>
  <c r="A1719" i="4"/>
  <c r="A1718" i="4"/>
  <c r="A1717" i="4"/>
  <c r="A1716" i="4"/>
  <c r="A1715" i="4"/>
  <c r="A1714" i="4"/>
  <c r="A1713" i="4"/>
  <c r="A1712" i="4"/>
  <c r="A1711" i="4"/>
  <c r="A1710" i="4"/>
  <c r="A1709" i="4"/>
  <c r="A1708" i="4"/>
  <c r="A1707" i="4"/>
  <c r="A1706" i="4"/>
  <c r="A1705" i="4"/>
  <c r="A1704" i="4"/>
  <c r="A1703" i="4"/>
  <c r="A1702" i="4"/>
  <c r="A1701" i="4"/>
  <c r="A1700" i="4"/>
  <c r="A1699" i="4"/>
  <c r="A1698" i="4"/>
  <c r="A1697" i="4"/>
  <c r="A1696" i="4"/>
  <c r="A1695" i="4"/>
  <c r="A1694" i="4"/>
  <c r="A1693" i="4"/>
  <c r="A1692" i="4"/>
  <c r="A1691" i="4"/>
  <c r="A1690" i="4"/>
  <c r="A1689" i="4"/>
  <c r="A1688" i="4"/>
  <c r="A1687" i="4"/>
  <c r="A1686" i="4"/>
  <c r="A1685" i="4"/>
  <c r="A1684" i="4"/>
  <c r="A1683" i="4"/>
  <c r="A1682" i="4"/>
  <c r="A1681" i="4"/>
  <c r="A1680" i="4"/>
  <c r="A1679" i="4"/>
  <c r="A1678" i="4"/>
  <c r="A1677" i="4"/>
  <c r="A1676" i="4"/>
  <c r="A1675" i="4"/>
  <c r="A1674" i="4"/>
  <c r="A1673" i="4"/>
  <c r="A1672" i="4"/>
  <c r="A1671" i="4"/>
  <c r="A1670" i="4"/>
  <c r="A1669" i="4"/>
  <c r="A1668" i="4"/>
  <c r="A1667" i="4"/>
  <c r="A1666" i="4"/>
  <c r="A1665" i="4"/>
  <c r="A1664" i="4"/>
  <c r="A1663" i="4"/>
  <c r="A1662" i="4"/>
  <c r="A1661" i="4"/>
  <c r="A1660" i="4"/>
  <c r="A1659" i="4"/>
  <c r="A1658" i="4"/>
  <c r="A1657" i="4"/>
  <c r="A1656" i="4"/>
  <c r="A1655" i="4"/>
  <c r="A1654" i="4"/>
  <c r="A1653" i="4"/>
  <c r="A1652" i="4"/>
  <c r="A1651" i="4"/>
  <c r="A1650" i="4"/>
  <c r="A1649" i="4"/>
  <c r="A1648" i="4"/>
  <c r="A1647" i="4"/>
  <c r="A1646" i="4"/>
  <c r="A1645" i="4"/>
  <c r="A1644" i="4"/>
  <c r="A1643" i="4"/>
  <c r="A1642" i="4"/>
  <c r="A1641" i="4"/>
  <c r="A1640" i="4"/>
  <c r="A1639" i="4"/>
  <c r="A1638" i="4"/>
  <c r="A1637" i="4"/>
  <c r="A1636" i="4"/>
  <c r="A1635" i="4"/>
  <c r="A1634" i="4"/>
  <c r="A1633" i="4"/>
  <c r="A1632" i="4"/>
  <c r="A1631" i="4"/>
  <c r="A1630" i="4"/>
  <c r="A1629" i="4"/>
  <c r="A1628" i="4"/>
  <c r="A1627" i="4"/>
  <c r="A1626" i="4"/>
  <c r="A1625" i="4"/>
  <c r="A1624" i="4"/>
  <c r="A1623" i="4"/>
  <c r="A1622" i="4"/>
  <c r="A1621" i="4"/>
  <c r="A1620" i="4"/>
  <c r="A1619" i="4"/>
  <c r="A1618" i="4"/>
  <c r="A1617" i="4"/>
  <c r="A1616" i="4"/>
  <c r="A1615" i="4"/>
  <c r="A1614" i="4"/>
  <c r="A1613" i="4"/>
  <c r="A1612" i="4"/>
  <c r="A1611" i="4"/>
  <c r="A1610" i="4"/>
  <c r="A1609" i="4"/>
  <c r="A1608" i="4"/>
  <c r="A1607" i="4"/>
  <c r="A1606" i="4"/>
  <c r="A1605" i="4"/>
  <c r="A1604" i="4"/>
  <c r="A1603" i="4"/>
  <c r="A1602" i="4"/>
  <c r="A1601" i="4"/>
  <c r="A1600" i="4"/>
  <c r="A1599" i="4"/>
  <c r="A1598" i="4"/>
  <c r="A1597" i="4"/>
  <c r="A1596" i="4"/>
  <c r="A1595" i="4"/>
  <c r="A1594" i="4"/>
  <c r="A1593" i="4"/>
  <c r="A1592" i="4"/>
  <c r="A1591" i="4"/>
  <c r="A1590" i="4"/>
  <c r="A1589" i="4"/>
  <c r="A1588" i="4"/>
  <c r="A1587" i="4"/>
  <c r="A1586" i="4"/>
  <c r="A1585" i="4"/>
  <c r="A1584" i="4"/>
  <c r="A1583" i="4"/>
  <c r="A1582" i="4"/>
  <c r="A1581" i="4"/>
  <c r="A1580" i="4"/>
  <c r="A1579" i="4"/>
  <c r="A1578" i="4"/>
  <c r="A1577" i="4"/>
  <c r="A1576" i="4"/>
  <c r="A1575" i="4"/>
  <c r="A1574" i="4"/>
  <c r="A1573" i="4"/>
  <c r="A1572" i="4"/>
  <c r="A1571" i="4"/>
  <c r="A1570" i="4"/>
  <c r="A1569" i="4"/>
  <c r="A1568" i="4"/>
  <c r="A1567" i="4"/>
  <c r="A1566" i="4"/>
  <c r="A1565" i="4"/>
  <c r="A1564" i="4"/>
  <c r="A1563" i="4"/>
  <c r="A1562" i="4"/>
  <c r="A1561" i="4"/>
  <c r="A1560" i="4"/>
  <c r="A1559" i="4"/>
  <c r="A1558" i="4"/>
  <c r="A1557" i="4"/>
  <c r="A1556" i="4"/>
  <c r="A1555" i="4"/>
  <c r="A1554" i="4"/>
  <c r="A1553" i="4"/>
  <c r="A1552" i="4"/>
  <c r="A1551" i="4"/>
  <c r="A1550" i="4"/>
  <c r="A1549" i="4"/>
  <c r="A1548" i="4"/>
  <c r="A1547" i="4"/>
  <c r="A1546" i="4"/>
  <c r="A1545" i="4"/>
  <c r="A1544" i="4"/>
  <c r="A1543" i="4"/>
  <c r="A1542" i="4"/>
  <c r="A1541" i="4"/>
  <c r="A1540" i="4"/>
  <c r="A1539" i="4"/>
  <c r="A1538" i="4"/>
  <c r="A1537" i="4"/>
  <c r="A1536" i="4"/>
  <c r="A1535" i="4"/>
  <c r="A1534" i="4"/>
  <c r="A1533" i="4"/>
  <c r="A1532" i="4"/>
  <c r="A1531" i="4"/>
  <c r="A1530" i="4"/>
  <c r="A1529" i="4"/>
  <c r="A1528" i="4"/>
  <c r="A1527" i="4"/>
  <c r="A1526" i="4"/>
  <c r="A1525" i="4"/>
  <c r="A1524" i="4"/>
  <c r="A1523" i="4"/>
  <c r="A1522" i="4"/>
  <c r="A1521" i="4"/>
  <c r="A1520" i="4"/>
  <c r="A1519" i="4"/>
  <c r="A1518" i="4"/>
  <c r="A1517" i="4"/>
  <c r="A1516" i="4"/>
  <c r="A1515" i="4"/>
  <c r="A1514" i="4"/>
  <c r="A1513" i="4"/>
  <c r="A1512" i="4"/>
  <c r="A1511" i="4"/>
  <c r="A1510" i="4"/>
  <c r="A1509" i="4"/>
  <c r="A1508" i="4"/>
  <c r="A1507" i="4"/>
  <c r="A1506" i="4"/>
  <c r="A1505" i="4"/>
  <c r="A1504" i="4"/>
  <c r="A1503" i="4"/>
  <c r="A1502" i="4"/>
  <c r="A1501" i="4"/>
  <c r="A1500" i="4"/>
  <c r="A1499" i="4"/>
  <c r="A1498" i="4"/>
  <c r="A1497" i="4"/>
  <c r="A1496" i="4"/>
  <c r="A1495" i="4"/>
  <c r="A1494" i="4"/>
  <c r="A1493" i="4"/>
  <c r="A1492" i="4"/>
  <c r="A1491" i="4"/>
  <c r="A1490" i="4"/>
  <c r="A1489" i="4"/>
  <c r="A1488" i="4"/>
  <c r="A1487" i="4"/>
  <c r="A1486" i="4"/>
  <c r="A1485" i="4"/>
  <c r="A1484" i="4"/>
  <c r="A1483" i="4"/>
  <c r="A1482" i="4"/>
  <c r="A1481" i="4"/>
  <c r="A1480" i="4"/>
  <c r="A1479" i="4"/>
  <c r="A1478" i="4"/>
  <c r="A1477" i="4"/>
  <c r="A1476" i="4"/>
  <c r="A1475" i="4"/>
  <c r="A1474" i="4"/>
  <c r="A1473" i="4"/>
  <c r="A1472" i="4"/>
  <c r="A1471" i="4"/>
  <c r="A1470" i="4"/>
  <c r="A1469" i="4"/>
  <c r="A1468" i="4"/>
  <c r="A1467" i="4"/>
  <c r="A1466" i="4"/>
  <c r="A1465" i="4"/>
  <c r="A1464" i="4"/>
  <c r="A1463" i="4"/>
  <c r="A1462" i="4"/>
  <c r="A1461" i="4"/>
  <c r="A1460" i="4"/>
  <c r="A1459" i="4"/>
  <c r="A1458" i="4"/>
  <c r="A1457" i="4"/>
  <c r="A1456" i="4"/>
  <c r="A1455" i="4"/>
  <c r="A1454" i="4"/>
  <c r="A1453" i="4"/>
  <c r="A1452" i="4"/>
  <c r="A1451" i="4"/>
  <c r="A1450" i="4"/>
  <c r="A1449" i="4"/>
  <c r="A1448" i="4"/>
  <c r="A1447" i="4"/>
  <c r="A1446" i="4"/>
  <c r="A1445" i="4"/>
  <c r="A1444" i="4"/>
  <c r="A1443" i="4"/>
  <c r="A1442" i="4"/>
  <c r="A1441" i="4"/>
  <c r="A1440" i="4"/>
  <c r="A1439" i="4"/>
  <c r="A1438" i="4"/>
  <c r="A1437" i="4"/>
  <c r="A1436" i="4"/>
  <c r="A1435" i="4"/>
  <c r="A1434" i="4"/>
  <c r="A1433" i="4"/>
  <c r="A1432" i="4"/>
  <c r="A1431" i="4"/>
  <c r="A1430" i="4"/>
  <c r="A1429" i="4"/>
  <c r="A1428" i="4"/>
  <c r="A1427" i="4"/>
  <c r="A1426" i="4"/>
  <c r="A1425" i="4"/>
  <c r="A1424" i="4"/>
  <c r="A1423" i="4"/>
  <c r="A1422" i="4"/>
  <c r="A1421" i="4"/>
  <c r="A1420" i="4"/>
  <c r="A1419" i="4"/>
  <c r="A1418" i="4"/>
  <c r="A1417" i="4"/>
  <c r="A1416" i="4"/>
  <c r="A1415" i="4"/>
  <c r="A1414" i="4"/>
  <c r="A1413" i="4"/>
  <c r="A1412" i="4"/>
  <c r="A1411" i="4"/>
  <c r="A1410" i="4"/>
  <c r="A1409" i="4"/>
  <c r="A1408" i="4"/>
  <c r="A1407" i="4"/>
  <c r="A1406" i="4"/>
  <c r="A1405" i="4"/>
  <c r="A1404" i="4"/>
  <c r="A1403" i="4"/>
  <c r="A1402" i="4"/>
  <c r="A1401" i="4"/>
  <c r="A1400" i="4"/>
  <c r="A1399" i="4"/>
  <c r="A1398" i="4"/>
  <c r="A1397" i="4"/>
  <c r="A1396" i="4"/>
  <c r="A1395" i="4"/>
  <c r="A1394" i="4"/>
  <c r="A1393" i="4"/>
  <c r="A1392" i="4"/>
  <c r="A1391" i="4"/>
  <c r="A1390" i="4"/>
  <c r="A1389" i="4"/>
  <c r="A1388" i="4"/>
  <c r="A1387" i="4"/>
  <c r="A1386" i="4"/>
  <c r="A1385" i="4"/>
  <c r="A1384" i="4"/>
  <c r="A1383" i="4"/>
  <c r="A1382" i="4"/>
  <c r="A1381" i="4"/>
  <c r="A1380" i="4"/>
  <c r="A1379" i="4"/>
  <c r="A1378" i="4"/>
  <c r="A1377" i="4"/>
  <c r="A1376" i="4"/>
  <c r="A1375" i="4"/>
  <c r="A1374" i="4"/>
  <c r="A1373" i="4"/>
  <c r="A1372" i="4"/>
  <c r="A1371" i="4"/>
  <c r="A1370" i="4"/>
  <c r="A1369" i="4"/>
  <c r="A1368" i="4"/>
  <c r="A1367" i="4"/>
  <c r="A1366" i="4"/>
  <c r="A1365" i="4"/>
  <c r="A1364" i="4"/>
  <c r="A1363" i="4"/>
  <c r="A1362" i="4"/>
  <c r="A1361" i="4"/>
  <c r="A1360" i="4"/>
  <c r="A1359" i="4"/>
  <c r="A1358" i="4"/>
  <c r="A1357" i="4"/>
  <c r="A1356" i="4"/>
  <c r="A1355" i="4"/>
  <c r="A1354" i="4"/>
  <c r="A1353" i="4"/>
  <c r="A1352" i="4"/>
  <c r="A1351" i="4"/>
  <c r="A1350" i="4"/>
  <c r="A1349" i="4"/>
  <c r="A1348" i="4"/>
  <c r="A1347" i="4"/>
  <c r="A1346" i="4"/>
  <c r="A1345" i="4"/>
  <c r="A1344" i="4"/>
  <c r="A1343" i="4"/>
  <c r="A1342" i="4"/>
  <c r="A1341" i="4"/>
  <c r="A1340" i="4"/>
  <c r="A1339" i="4"/>
  <c r="A1338" i="4"/>
  <c r="A1337" i="4"/>
  <c r="A1336" i="4"/>
  <c r="A1335" i="4"/>
  <c r="A1334" i="4"/>
  <c r="A1333" i="4"/>
  <c r="A1332" i="4"/>
  <c r="A1331" i="4"/>
  <c r="A1330" i="4"/>
  <c r="A1329" i="4"/>
  <c r="A1328" i="4"/>
  <c r="A1327" i="4"/>
  <c r="A1326" i="4"/>
  <c r="A1325" i="4"/>
  <c r="A1324" i="4"/>
  <c r="A1323" i="4"/>
  <c r="A1322" i="4"/>
  <c r="A1321" i="4"/>
  <c r="A1320" i="4"/>
  <c r="A1319" i="4"/>
  <c r="A1318" i="4"/>
  <c r="A1317" i="4"/>
  <c r="A1316" i="4"/>
  <c r="A1315" i="4"/>
  <c r="A1314" i="4"/>
  <c r="A1313" i="4"/>
  <c r="A1312" i="4"/>
  <c r="A1311" i="4"/>
  <c r="A1310" i="4"/>
  <c r="A1309" i="4"/>
  <c r="A1308" i="4"/>
  <c r="A1307" i="4"/>
  <c r="A1306" i="4"/>
  <c r="A1305" i="4"/>
  <c r="A1304" i="4"/>
  <c r="A1303" i="4"/>
  <c r="A1302" i="4"/>
  <c r="A1301" i="4"/>
  <c r="A1300" i="4"/>
  <c r="A1299" i="4"/>
  <c r="A1298" i="4"/>
  <c r="A1297" i="4"/>
  <c r="A1296" i="4"/>
  <c r="A1295" i="4"/>
  <c r="A1294" i="4"/>
  <c r="A1293" i="4"/>
  <c r="A1292" i="4"/>
  <c r="A1291" i="4"/>
  <c r="A1290" i="4"/>
  <c r="A1289" i="4"/>
  <c r="A1288" i="4"/>
  <c r="A1287" i="4"/>
  <c r="A1286" i="4"/>
  <c r="A1285" i="4"/>
  <c r="A1284" i="4"/>
  <c r="A1283" i="4"/>
  <c r="A1282" i="4"/>
  <c r="A1281" i="4"/>
  <c r="A1280" i="4"/>
  <c r="A1279" i="4"/>
  <c r="A1278" i="4"/>
  <c r="A1277" i="4"/>
  <c r="A1276" i="4"/>
  <c r="A1275" i="4"/>
  <c r="A1274" i="4"/>
  <c r="A1273" i="4"/>
  <c r="A1272" i="4"/>
  <c r="A1271" i="4"/>
  <c r="A1270" i="4"/>
  <c r="A1269" i="4"/>
  <c r="A1268" i="4"/>
  <c r="A1267" i="4"/>
  <c r="A1266" i="4"/>
  <c r="A1265" i="4"/>
  <c r="A1264" i="4"/>
  <c r="A1263" i="4"/>
  <c r="A1262" i="4"/>
  <c r="A1261" i="4"/>
  <c r="A1260" i="4"/>
  <c r="A1259" i="4"/>
  <c r="A1258" i="4"/>
  <c r="A1257" i="4"/>
  <c r="A1256" i="4"/>
  <c r="A1255" i="4"/>
  <c r="A1254" i="4"/>
  <c r="A1253" i="4"/>
  <c r="A1252" i="4"/>
  <c r="A1251" i="4"/>
  <c r="A1250" i="4"/>
  <c r="A1249" i="4"/>
  <c r="A1248" i="4"/>
  <c r="A1247" i="4"/>
  <c r="A1246" i="4"/>
  <c r="A1245" i="4"/>
  <c r="A1244" i="4"/>
  <c r="A1243" i="4"/>
  <c r="A1242" i="4"/>
  <c r="A1241" i="4"/>
  <c r="A1240" i="4"/>
  <c r="A1239" i="4"/>
  <c r="A1238" i="4"/>
  <c r="A1237" i="4"/>
  <c r="A1236" i="4"/>
  <c r="A1235" i="4"/>
  <c r="A1234" i="4"/>
  <c r="A1233" i="4"/>
  <c r="A1232" i="4"/>
  <c r="A1231" i="4"/>
  <c r="A1230" i="4"/>
  <c r="A1229" i="4"/>
  <c r="A1228" i="4"/>
  <c r="A1227" i="4"/>
  <c r="A1226" i="4"/>
  <c r="A1225" i="4"/>
  <c r="A1224" i="4"/>
  <c r="A1223" i="4"/>
  <c r="A1222" i="4"/>
  <c r="A1221" i="4"/>
  <c r="A1220" i="4"/>
  <c r="A1219" i="4"/>
  <c r="A1218" i="4"/>
  <c r="A1217" i="4"/>
  <c r="A1216" i="4"/>
  <c r="A1215" i="4"/>
  <c r="A1214" i="4"/>
  <c r="A1213" i="4"/>
  <c r="A1212" i="4"/>
  <c r="A1211" i="4"/>
  <c r="A1210" i="4"/>
  <c r="A1209" i="4"/>
  <c r="A1208" i="4"/>
  <c r="A1207" i="4"/>
  <c r="A1206" i="4"/>
  <c r="A1205" i="4"/>
  <c r="A1204" i="4"/>
  <c r="A1203" i="4"/>
  <c r="A1202" i="4"/>
  <c r="A1201" i="4"/>
  <c r="A1200" i="4"/>
  <c r="A1199" i="4"/>
  <c r="A1198" i="4"/>
  <c r="A1197" i="4"/>
  <c r="A1196" i="4"/>
  <c r="A1195" i="4"/>
  <c r="A1194" i="4"/>
  <c r="A1193" i="4"/>
  <c r="A1192" i="4"/>
  <c r="A1191" i="4"/>
  <c r="A1190" i="4"/>
  <c r="A1189" i="4"/>
  <c r="A1188" i="4"/>
  <c r="A1187" i="4"/>
  <c r="A1186" i="4"/>
  <c r="A1185" i="4"/>
  <c r="A1184" i="4"/>
  <c r="A1183" i="4"/>
  <c r="A1182" i="4"/>
  <c r="A1181" i="4"/>
  <c r="A1180" i="4"/>
  <c r="A1179" i="4"/>
  <c r="A1178" i="4"/>
  <c r="A1177" i="4"/>
  <c r="A1176" i="4"/>
  <c r="A1175" i="4"/>
  <c r="A1174" i="4"/>
  <c r="A1173" i="4"/>
  <c r="A1172" i="4"/>
  <c r="A1171" i="4"/>
  <c r="A1170" i="4"/>
  <c r="A1169" i="4"/>
  <c r="A1168" i="4"/>
  <c r="A1167" i="4"/>
  <c r="A1166" i="4"/>
  <c r="A1165" i="4"/>
  <c r="A1164" i="4"/>
  <c r="A1163" i="4"/>
  <c r="A1162" i="4"/>
  <c r="A1161" i="4"/>
  <c r="A1160" i="4"/>
  <c r="A1159" i="4"/>
  <c r="A1158" i="4"/>
  <c r="A1157" i="4"/>
  <c r="A1156" i="4"/>
  <c r="A1155" i="4"/>
  <c r="A1154" i="4"/>
  <c r="A1153" i="4"/>
  <c r="A1152" i="4"/>
  <c r="A1151" i="4"/>
  <c r="A1150" i="4"/>
  <c r="A1149" i="4"/>
  <c r="A1148" i="4"/>
  <c r="A1147" i="4"/>
  <c r="A1146" i="4"/>
  <c r="A1145" i="4"/>
  <c r="A1144" i="4"/>
  <c r="A1143" i="4"/>
  <c r="A1142" i="4"/>
  <c r="A1141" i="4"/>
  <c r="A1140" i="4"/>
  <c r="A1139" i="4"/>
  <c r="A1138" i="4"/>
  <c r="A1137" i="4"/>
  <c r="A1136" i="4"/>
  <c r="A1135" i="4"/>
  <c r="A1134" i="4"/>
  <c r="A1133" i="4"/>
  <c r="A1132" i="4"/>
  <c r="A1131" i="4"/>
  <c r="A1130" i="4"/>
  <c r="A1129" i="4"/>
  <c r="A1128" i="4"/>
  <c r="A1127" i="4"/>
  <c r="A1126" i="4"/>
  <c r="A1125" i="4"/>
  <c r="A1124" i="4"/>
  <c r="A1123" i="4"/>
  <c r="A1122" i="4"/>
  <c r="A1121" i="4"/>
  <c r="A1120" i="4"/>
  <c r="A1119" i="4"/>
  <c r="A1118" i="4"/>
  <c r="A1117" i="4"/>
  <c r="A1116" i="4"/>
  <c r="A1115" i="4"/>
  <c r="A1114" i="4"/>
  <c r="A1113" i="4"/>
  <c r="A1112" i="4"/>
  <c r="A1111" i="4"/>
  <c r="A1110" i="4"/>
  <c r="A1109" i="4"/>
  <c r="A1108" i="4"/>
  <c r="A1107" i="4"/>
  <c r="A1106" i="4"/>
  <c r="A1105" i="4"/>
  <c r="A1104" i="4"/>
  <c r="A1103" i="4"/>
  <c r="A1102" i="4"/>
  <c r="A1101" i="4"/>
  <c r="A1100" i="4"/>
  <c r="A1099" i="4"/>
  <c r="A1098" i="4"/>
  <c r="A1097" i="4"/>
  <c r="A1096" i="4"/>
  <c r="A1095" i="4"/>
  <c r="A1094" i="4"/>
  <c r="A1093" i="4"/>
  <c r="A1092" i="4"/>
  <c r="A1091" i="4"/>
  <c r="A1090" i="4"/>
  <c r="A1089" i="4"/>
  <c r="A1088" i="4"/>
  <c r="A1087" i="4"/>
  <c r="A1086" i="4"/>
  <c r="A1085" i="4"/>
  <c r="A1084" i="4"/>
  <c r="A1083" i="4"/>
  <c r="A1082" i="4"/>
  <c r="A1081" i="4"/>
  <c r="A1080" i="4"/>
  <c r="A1079" i="4"/>
  <c r="A1078" i="4"/>
  <c r="A1077" i="4"/>
  <c r="A1076" i="4"/>
  <c r="A1075" i="4"/>
  <c r="A1074" i="4"/>
  <c r="A1073" i="4"/>
  <c r="A1072" i="4"/>
  <c r="A1071" i="4"/>
  <c r="A1070" i="4"/>
  <c r="A1069" i="4"/>
  <c r="A1068" i="4"/>
  <c r="A1067" i="4"/>
  <c r="A1066" i="4"/>
  <c r="A1065" i="4"/>
  <c r="A1064" i="4"/>
  <c r="A1063" i="4"/>
  <c r="A1062" i="4"/>
  <c r="A1061" i="4"/>
  <c r="A1060" i="4"/>
  <c r="A1059" i="4"/>
  <c r="A1058" i="4"/>
  <c r="A1057" i="4"/>
  <c r="A1056" i="4"/>
  <c r="A1055" i="4"/>
  <c r="A1054" i="4"/>
  <c r="A1053" i="4"/>
  <c r="A1052" i="4"/>
  <c r="A1051" i="4"/>
  <c r="A1050" i="4"/>
  <c r="A1049" i="4"/>
  <c r="A1048" i="4"/>
  <c r="A1047" i="4"/>
  <c r="A1046" i="4"/>
  <c r="A1045" i="4"/>
  <c r="A1044" i="4"/>
  <c r="A1043" i="4"/>
  <c r="A1042" i="4"/>
  <c r="A1041" i="4"/>
  <c r="A1040" i="4"/>
  <c r="A1039" i="4"/>
  <c r="A1038" i="4"/>
  <c r="A1037" i="4"/>
  <c r="A1036" i="4"/>
  <c r="A1035" i="4"/>
  <c r="A1034" i="4"/>
  <c r="A1033" i="4"/>
  <c r="A1032" i="4"/>
  <c r="A1031" i="4"/>
  <c r="A1030" i="4"/>
  <c r="A1029" i="4"/>
  <c r="A1028" i="4"/>
  <c r="A1027" i="4"/>
  <c r="A1026" i="4"/>
  <c r="A1025" i="4"/>
  <c r="A1024" i="4"/>
  <c r="A1023" i="4"/>
  <c r="A1022" i="4"/>
  <c r="A1021" i="4"/>
  <c r="A1020" i="4"/>
  <c r="A1019" i="4"/>
  <c r="A1018" i="4"/>
  <c r="A1017" i="4"/>
  <c r="A1016" i="4"/>
  <c r="A1015" i="4"/>
  <c r="A1014" i="4"/>
  <c r="A1013" i="4"/>
  <c r="A1012" i="4"/>
  <c r="A1011" i="4"/>
  <c r="A1010" i="4"/>
  <c r="A1009" i="4"/>
  <c r="A1008" i="4"/>
  <c r="A1007" i="4"/>
  <c r="A1006" i="4"/>
  <c r="A1005" i="4"/>
  <c r="A1004" i="4"/>
  <c r="A1003" i="4"/>
  <c r="A1002" i="4"/>
  <c r="A1001" i="4"/>
  <c r="A1000" i="4"/>
  <c r="A999" i="4"/>
  <c r="A998" i="4"/>
  <c r="A997" i="4"/>
  <c r="A996" i="4"/>
  <c r="A995" i="4"/>
  <c r="A994" i="4"/>
  <c r="A993" i="4"/>
  <c r="A992" i="4"/>
  <c r="A991" i="4"/>
  <c r="A990" i="4"/>
  <c r="A989" i="4"/>
  <c r="A988" i="4"/>
  <c r="A987" i="4"/>
  <c r="A986" i="4"/>
  <c r="A985" i="4"/>
  <c r="A984" i="4"/>
  <c r="A983" i="4"/>
  <c r="A982" i="4"/>
  <c r="A981" i="4"/>
  <c r="A980" i="4"/>
  <c r="A979" i="4"/>
  <c r="A978" i="4"/>
  <c r="A977" i="4"/>
  <c r="A976" i="4"/>
  <c r="A975" i="4"/>
  <c r="A974" i="4"/>
  <c r="A973" i="4"/>
  <c r="A972" i="4"/>
  <c r="A971" i="4"/>
  <c r="A970" i="4"/>
  <c r="A969" i="4"/>
  <c r="A968" i="4"/>
  <c r="A967" i="4"/>
  <c r="A966" i="4"/>
  <c r="A965" i="4"/>
  <c r="A964" i="4"/>
  <c r="A963" i="4"/>
  <c r="A962" i="4"/>
  <c r="A961" i="4"/>
  <c r="A960" i="4"/>
  <c r="A959" i="4"/>
  <c r="A958" i="4"/>
  <c r="A957" i="4"/>
  <c r="A956" i="4"/>
  <c r="A955" i="4"/>
  <c r="A954" i="4"/>
  <c r="A953" i="4"/>
  <c r="A952" i="4"/>
  <c r="A951" i="4"/>
  <c r="A950" i="4"/>
  <c r="A949" i="4"/>
  <c r="A948" i="4"/>
  <c r="A947" i="4"/>
  <c r="A946" i="4"/>
  <c r="A945" i="4"/>
  <c r="A944" i="4"/>
  <c r="A943" i="4"/>
  <c r="A942" i="4"/>
  <c r="A941" i="4"/>
  <c r="A940" i="4"/>
  <c r="A939" i="4"/>
  <c r="A938" i="4"/>
  <c r="A937" i="4"/>
  <c r="A936" i="4"/>
  <c r="A935" i="4"/>
  <c r="A934" i="4"/>
  <c r="A933" i="4"/>
  <c r="A932" i="4"/>
  <c r="A931" i="4"/>
  <c r="A930" i="4"/>
  <c r="A929" i="4"/>
  <c r="A928" i="4"/>
  <c r="A927" i="4"/>
  <c r="A926" i="4"/>
  <c r="A925" i="4"/>
  <c r="A924" i="4"/>
  <c r="A923" i="4"/>
  <c r="A922" i="4"/>
  <c r="A921" i="4"/>
  <c r="A920" i="4"/>
  <c r="A919" i="4"/>
  <c r="A918" i="4"/>
  <c r="A917" i="4"/>
  <c r="A916" i="4"/>
  <c r="A915" i="4"/>
  <c r="A914" i="4"/>
  <c r="A913" i="4"/>
  <c r="A912" i="4"/>
  <c r="A911" i="4"/>
  <c r="A910" i="4"/>
  <c r="A909" i="4"/>
  <c r="A908" i="4"/>
  <c r="A907" i="4"/>
  <c r="A906" i="4"/>
  <c r="A905" i="4"/>
  <c r="A904" i="4"/>
  <c r="A903" i="4"/>
  <c r="A902" i="4"/>
  <c r="A901" i="4"/>
  <c r="A900" i="4"/>
  <c r="A899" i="4"/>
  <c r="A898" i="4"/>
  <c r="A897" i="4"/>
  <c r="A896" i="4"/>
  <c r="A895" i="4"/>
  <c r="A894" i="4"/>
  <c r="A893" i="4"/>
  <c r="A892" i="4"/>
  <c r="A891" i="4"/>
  <c r="A890" i="4"/>
  <c r="A889" i="4"/>
  <c r="A888" i="4"/>
  <c r="A887" i="4"/>
  <c r="A886" i="4"/>
  <c r="A885" i="4"/>
  <c r="A884" i="4"/>
  <c r="A883" i="4"/>
  <c r="A882" i="4"/>
  <c r="A881" i="4"/>
  <c r="A880" i="4"/>
  <c r="A879" i="4"/>
  <c r="A878" i="4"/>
  <c r="A877" i="4"/>
  <c r="A876" i="4"/>
  <c r="A875" i="4"/>
  <c r="A874" i="4"/>
  <c r="A873" i="4"/>
  <c r="A872" i="4"/>
  <c r="A871" i="4"/>
  <c r="A870" i="4"/>
  <c r="A869" i="4"/>
  <c r="A868" i="4"/>
  <c r="A867" i="4"/>
  <c r="A866" i="4"/>
  <c r="A865" i="4"/>
  <c r="A864" i="4"/>
  <c r="A863" i="4"/>
  <c r="A862" i="4"/>
  <c r="A861" i="4"/>
  <c r="A860" i="4"/>
  <c r="A859" i="4"/>
  <c r="A858" i="4"/>
  <c r="A857" i="4"/>
  <c r="A856" i="4"/>
  <c r="A855" i="4"/>
  <c r="A854" i="4"/>
  <c r="A853" i="4"/>
  <c r="A852" i="4"/>
  <c r="A851" i="4"/>
  <c r="A850" i="4"/>
  <c r="A849" i="4"/>
  <c r="A848" i="4"/>
  <c r="A847" i="4"/>
  <c r="A846" i="4"/>
  <c r="A845" i="4"/>
  <c r="A844" i="4"/>
  <c r="A843" i="4"/>
  <c r="A842" i="4"/>
  <c r="A841" i="4"/>
  <c r="A840" i="4"/>
  <c r="A839" i="4"/>
  <c r="A838" i="4"/>
  <c r="A837" i="4"/>
  <c r="A836" i="4"/>
  <c r="A835" i="4"/>
  <c r="A834" i="4"/>
  <c r="A833" i="4"/>
  <c r="A832" i="4"/>
  <c r="A831" i="4"/>
  <c r="A830" i="4"/>
  <c r="A829" i="4"/>
  <c r="A828" i="4"/>
  <c r="A827" i="4"/>
  <c r="A826" i="4"/>
  <c r="A825" i="4"/>
  <c r="A824" i="4"/>
  <c r="A823" i="4"/>
  <c r="A822" i="4"/>
  <c r="A821" i="4"/>
  <c r="A820" i="4"/>
  <c r="A819" i="4"/>
  <c r="A818" i="4"/>
  <c r="A817" i="4"/>
  <c r="A816" i="4"/>
  <c r="A815" i="4"/>
  <c r="A814" i="4"/>
  <c r="A813" i="4"/>
  <c r="A812" i="4"/>
  <c r="A811" i="4"/>
  <c r="A810" i="4"/>
  <c r="A809" i="4"/>
  <c r="A808" i="4"/>
  <c r="A807" i="4"/>
  <c r="A806" i="4"/>
  <c r="A805" i="4"/>
  <c r="A804" i="4"/>
  <c r="A803" i="4"/>
  <c r="A802" i="4"/>
  <c r="A801" i="4"/>
  <c r="A800" i="4"/>
  <c r="A799" i="4"/>
  <c r="A798" i="4"/>
  <c r="A797" i="4"/>
  <c r="A796" i="4"/>
  <c r="A795" i="4"/>
  <c r="A794" i="4"/>
  <c r="A793" i="4"/>
  <c r="A792" i="4"/>
  <c r="A791" i="4"/>
  <c r="A790" i="4"/>
  <c r="A789" i="4"/>
  <c r="A788" i="4"/>
  <c r="A787" i="4"/>
  <c r="A786" i="4"/>
  <c r="A785" i="4"/>
  <c r="A784" i="4"/>
  <c r="A783" i="4"/>
  <c r="A782" i="4"/>
  <c r="A781" i="4"/>
  <c r="A780" i="4"/>
  <c r="A779" i="4"/>
  <c r="A778" i="4"/>
  <c r="A777" i="4"/>
  <c r="A776" i="4"/>
  <c r="A775" i="4"/>
  <c r="A774" i="4"/>
  <c r="A773" i="4"/>
  <c r="A772" i="4"/>
  <c r="A771" i="4"/>
  <c r="A770" i="4"/>
  <c r="A769" i="4"/>
  <c r="A768" i="4"/>
  <c r="A767" i="4"/>
  <c r="A766" i="4"/>
  <c r="A765" i="4"/>
  <c r="A764" i="4"/>
  <c r="A763" i="4"/>
  <c r="A762" i="4"/>
  <c r="A761" i="4"/>
  <c r="A760" i="4"/>
  <c r="A759" i="4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16" i="2"/>
  <c r="D14" i="2"/>
  <c r="C14" i="2"/>
  <c r="B14" i="2"/>
  <c r="A6" i="2"/>
  <c r="D4" i="2"/>
  <c r="C4" i="2"/>
  <c r="B4" i="2"/>
  <c r="I1" i="2"/>
  <c r="F1" i="2"/>
  <c r="Q400" i="1"/>
  <c r="P400" i="1"/>
  <c r="O400" i="1"/>
  <c r="N400" i="1"/>
  <c r="M400" i="1"/>
  <c r="L400" i="1"/>
  <c r="Q399" i="1"/>
  <c r="P399" i="1"/>
  <c r="O399" i="1"/>
  <c r="N399" i="1"/>
  <c r="M399" i="1"/>
  <c r="L399" i="1"/>
  <c r="Q398" i="1"/>
  <c r="P398" i="1"/>
  <c r="O398" i="1"/>
  <c r="N398" i="1"/>
  <c r="M398" i="1"/>
  <c r="L398" i="1"/>
  <c r="Q397" i="1"/>
  <c r="P397" i="1"/>
  <c r="O397" i="1"/>
  <c r="N397" i="1"/>
  <c r="M397" i="1"/>
  <c r="L397" i="1"/>
  <c r="Q396" i="1"/>
  <c r="P396" i="1"/>
  <c r="O396" i="1"/>
  <c r="N396" i="1"/>
  <c r="M396" i="1"/>
  <c r="L396" i="1"/>
  <c r="Q395" i="1"/>
  <c r="P395" i="1"/>
  <c r="O395" i="1"/>
  <c r="N395" i="1"/>
  <c r="M395" i="1"/>
  <c r="L395" i="1"/>
  <c r="J395" i="1"/>
  <c r="Q394" i="1"/>
  <c r="P394" i="1"/>
  <c r="O394" i="1"/>
  <c r="N394" i="1"/>
  <c r="M394" i="1"/>
  <c r="L394" i="1"/>
  <c r="J394" i="1"/>
  <c r="Q393" i="1"/>
  <c r="P393" i="1"/>
  <c r="O393" i="1"/>
  <c r="N393" i="1"/>
  <c r="M393" i="1"/>
  <c r="L393" i="1"/>
  <c r="J393" i="1"/>
  <c r="Q392" i="1"/>
  <c r="P392" i="1"/>
  <c r="O392" i="1"/>
  <c r="N392" i="1"/>
  <c r="M392" i="1"/>
  <c r="L392" i="1"/>
  <c r="J392" i="1"/>
  <c r="Q391" i="1"/>
  <c r="P391" i="1"/>
  <c r="O391" i="1"/>
  <c r="N391" i="1"/>
  <c r="M391" i="1"/>
  <c r="L391" i="1"/>
  <c r="J391" i="1"/>
  <c r="Q390" i="1"/>
  <c r="P390" i="1"/>
  <c r="O390" i="1"/>
  <c r="N390" i="1"/>
  <c r="M390" i="1"/>
  <c r="L390" i="1"/>
  <c r="J390" i="1"/>
  <c r="Q389" i="1"/>
  <c r="P389" i="1"/>
  <c r="O389" i="1"/>
  <c r="N389" i="1"/>
  <c r="M389" i="1"/>
  <c r="L389" i="1"/>
  <c r="J389" i="1"/>
  <c r="Q388" i="1"/>
  <c r="P388" i="1"/>
  <c r="O388" i="1"/>
  <c r="N388" i="1"/>
  <c r="M388" i="1"/>
  <c r="L388" i="1"/>
  <c r="J388" i="1"/>
  <c r="Q387" i="1"/>
  <c r="P387" i="1"/>
  <c r="O387" i="1"/>
  <c r="N387" i="1"/>
  <c r="M387" i="1"/>
  <c r="L387" i="1"/>
  <c r="J387" i="1"/>
  <c r="Q386" i="1"/>
  <c r="P386" i="1"/>
  <c r="O386" i="1"/>
  <c r="N386" i="1"/>
  <c r="M386" i="1"/>
  <c r="L386" i="1"/>
  <c r="J386" i="1"/>
  <c r="Q385" i="1"/>
  <c r="P385" i="1"/>
  <c r="O385" i="1"/>
  <c r="N385" i="1"/>
  <c r="M385" i="1"/>
  <c r="L385" i="1"/>
  <c r="J385" i="1"/>
  <c r="Q384" i="1"/>
  <c r="P384" i="1"/>
  <c r="O384" i="1"/>
  <c r="N384" i="1"/>
  <c r="M384" i="1"/>
  <c r="L384" i="1"/>
  <c r="J384" i="1"/>
  <c r="Q383" i="1"/>
  <c r="P383" i="1"/>
  <c r="O383" i="1"/>
  <c r="N383" i="1"/>
  <c r="M383" i="1"/>
  <c r="L383" i="1"/>
  <c r="J383" i="1"/>
  <c r="Q382" i="1"/>
  <c r="P382" i="1"/>
  <c r="O382" i="1"/>
  <c r="N382" i="1"/>
  <c r="M382" i="1"/>
  <c r="L382" i="1"/>
  <c r="J382" i="1"/>
  <c r="Q381" i="1"/>
  <c r="P381" i="1"/>
  <c r="O381" i="1"/>
  <c r="N381" i="1"/>
  <c r="M381" i="1"/>
  <c r="L381" i="1"/>
  <c r="J381" i="1"/>
  <c r="Q380" i="1"/>
  <c r="P380" i="1"/>
  <c r="O380" i="1"/>
  <c r="N380" i="1"/>
  <c r="M380" i="1"/>
  <c r="L380" i="1"/>
  <c r="J380" i="1"/>
  <c r="Q379" i="1"/>
  <c r="P379" i="1"/>
  <c r="O379" i="1"/>
  <c r="N379" i="1"/>
  <c r="M379" i="1"/>
  <c r="L379" i="1"/>
  <c r="J379" i="1"/>
  <c r="Q378" i="1"/>
  <c r="P378" i="1"/>
  <c r="O378" i="1"/>
  <c r="N378" i="1"/>
  <c r="M378" i="1"/>
  <c r="L378" i="1"/>
  <c r="J378" i="1"/>
  <c r="Q377" i="1"/>
  <c r="P377" i="1"/>
  <c r="O377" i="1"/>
  <c r="N377" i="1"/>
  <c r="M377" i="1"/>
  <c r="L377" i="1"/>
  <c r="J377" i="1"/>
  <c r="Q376" i="1"/>
  <c r="P376" i="1"/>
  <c r="O376" i="1"/>
  <c r="N376" i="1"/>
  <c r="M376" i="1"/>
  <c r="L376" i="1"/>
  <c r="J376" i="1"/>
  <c r="Q375" i="1"/>
  <c r="P375" i="1"/>
  <c r="O375" i="1"/>
  <c r="N375" i="1"/>
  <c r="M375" i="1"/>
  <c r="L375" i="1"/>
  <c r="J375" i="1"/>
  <c r="Q374" i="1"/>
  <c r="P374" i="1"/>
  <c r="O374" i="1"/>
  <c r="N374" i="1"/>
  <c r="M374" i="1"/>
  <c r="L374" i="1"/>
  <c r="J374" i="1"/>
  <c r="Q373" i="1"/>
  <c r="P373" i="1"/>
  <c r="O373" i="1"/>
  <c r="N373" i="1"/>
  <c r="M373" i="1"/>
  <c r="L373" i="1"/>
  <c r="J373" i="1"/>
  <c r="Q372" i="1"/>
  <c r="P372" i="1"/>
  <c r="O372" i="1"/>
  <c r="N372" i="1"/>
  <c r="M372" i="1"/>
  <c r="L372" i="1"/>
  <c r="J372" i="1"/>
  <c r="Q371" i="1"/>
  <c r="P371" i="1"/>
  <c r="O371" i="1"/>
  <c r="N371" i="1"/>
  <c r="M371" i="1"/>
  <c r="L371" i="1"/>
  <c r="J371" i="1"/>
  <c r="Q370" i="1"/>
  <c r="P370" i="1"/>
  <c r="O370" i="1"/>
  <c r="N370" i="1"/>
  <c r="M370" i="1"/>
  <c r="L370" i="1"/>
  <c r="J370" i="1"/>
  <c r="Q369" i="1"/>
  <c r="P369" i="1"/>
  <c r="O369" i="1"/>
  <c r="N369" i="1"/>
  <c r="M369" i="1"/>
  <c r="L369" i="1"/>
  <c r="J369" i="1"/>
  <c r="Q368" i="1"/>
  <c r="P368" i="1"/>
  <c r="O368" i="1"/>
  <c r="N368" i="1"/>
  <c r="M368" i="1"/>
  <c r="L368" i="1"/>
  <c r="J368" i="1"/>
  <c r="Q367" i="1"/>
  <c r="P367" i="1"/>
  <c r="O367" i="1"/>
  <c r="N367" i="1"/>
  <c r="M367" i="1"/>
  <c r="L367" i="1"/>
  <c r="J367" i="1"/>
  <c r="Q366" i="1"/>
  <c r="P366" i="1"/>
  <c r="O366" i="1"/>
  <c r="N366" i="1"/>
  <c r="M366" i="1"/>
  <c r="L366" i="1"/>
  <c r="J366" i="1"/>
  <c r="Q365" i="1"/>
  <c r="P365" i="1"/>
  <c r="O365" i="1"/>
  <c r="N365" i="1"/>
  <c r="M365" i="1"/>
  <c r="L365" i="1"/>
  <c r="J365" i="1"/>
  <c r="Q364" i="1"/>
  <c r="P364" i="1"/>
  <c r="O364" i="1"/>
  <c r="N364" i="1"/>
  <c r="M364" i="1"/>
  <c r="L364" i="1"/>
  <c r="J364" i="1"/>
  <c r="Q363" i="1"/>
  <c r="P363" i="1"/>
  <c r="O363" i="1"/>
  <c r="N363" i="1"/>
  <c r="M363" i="1"/>
  <c r="L363" i="1"/>
  <c r="J363" i="1"/>
  <c r="Q362" i="1"/>
  <c r="P362" i="1"/>
  <c r="O362" i="1"/>
  <c r="N362" i="1"/>
  <c r="M362" i="1"/>
  <c r="L362" i="1"/>
  <c r="J362" i="1"/>
  <c r="Q361" i="1"/>
  <c r="P361" i="1"/>
  <c r="O361" i="1"/>
  <c r="N361" i="1"/>
  <c r="M361" i="1"/>
  <c r="L361" i="1"/>
  <c r="J361" i="1"/>
  <c r="Q360" i="1"/>
  <c r="P360" i="1"/>
  <c r="O360" i="1"/>
  <c r="N360" i="1"/>
  <c r="M360" i="1"/>
  <c r="L360" i="1"/>
  <c r="J360" i="1"/>
  <c r="Q359" i="1"/>
  <c r="P359" i="1"/>
  <c r="O359" i="1"/>
  <c r="N359" i="1"/>
  <c r="M359" i="1"/>
  <c r="L359" i="1"/>
  <c r="Q358" i="1"/>
  <c r="P358" i="1"/>
  <c r="O358" i="1"/>
  <c r="N358" i="1"/>
  <c r="M358" i="1"/>
  <c r="L358" i="1"/>
  <c r="Q357" i="1"/>
  <c r="P357" i="1"/>
  <c r="O357" i="1"/>
  <c r="N357" i="1"/>
  <c r="M357" i="1"/>
  <c r="L357" i="1"/>
  <c r="Q356" i="1"/>
  <c r="P356" i="1"/>
  <c r="O356" i="1"/>
  <c r="N356" i="1"/>
  <c r="M356" i="1"/>
  <c r="L356" i="1"/>
  <c r="Q355" i="1"/>
  <c r="P355" i="1"/>
  <c r="O355" i="1"/>
  <c r="N355" i="1"/>
  <c r="M355" i="1"/>
  <c r="L355" i="1"/>
  <c r="Q354" i="1"/>
  <c r="P354" i="1"/>
  <c r="O354" i="1"/>
  <c r="N354" i="1"/>
  <c r="M354" i="1"/>
  <c r="L354" i="1"/>
  <c r="Q353" i="1"/>
  <c r="P353" i="1"/>
  <c r="O353" i="1"/>
  <c r="N353" i="1"/>
  <c r="M353" i="1"/>
  <c r="L353" i="1"/>
  <c r="Q352" i="1"/>
  <c r="P352" i="1"/>
  <c r="O352" i="1"/>
  <c r="N352" i="1"/>
  <c r="M352" i="1"/>
  <c r="L352" i="1"/>
  <c r="Q351" i="1"/>
  <c r="P351" i="1"/>
  <c r="O351" i="1"/>
  <c r="N351" i="1"/>
  <c r="M351" i="1"/>
  <c r="L351" i="1"/>
  <c r="Q350" i="1"/>
  <c r="P350" i="1"/>
  <c r="O350" i="1"/>
  <c r="N350" i="1"/>
  <c r="M350" i="1"/>
  <c r="L350" i="1"/>
  <c r="Q349" i="1"/>
  <c r="P349" i="1"/>
  <c r="O349" i="1"/>
  <c r="N349" i="1"/>
  <c r="M349" i="1"/>
  <c r="L349" i="1"/>
  <c r="Q348" i="1"/>
  <c r="P348" i="1"/>
  <c r="O348" i="1"/>
  <c r="N348" i="1"/>
  <c r="M348" i="1"/>
  <c r="L348" i="1"/>
  <c r="Q347" i="1"/>
  <c r="P347" i="1"/>
  <c r="O347" i="1"/>
  <c r="N347" i="1"/>
  <c r="M347" i="1"/>
  <c r="L347" i="1"/>
  <c r="Q346" i="1"/>
  <c r="P346" i="1"/>
  <c r="O346" i="1"/>
  <c r="N346" i="1"/>
  <c r="M346" i="1"/>
  <c r="L346" i="1"/>
  <c r="Q345" i="1"/>
  <c r="P345" i="1"/>
  <c r="O345" i="1"/>
  <c r="N345" i="1"/>
  <c r="M345" i="1"/>
  <c r="L345" i="1"/>
  <c r="Q344" i="1"/>
  <c r="P344" i="1"/>
  <c r="O344" i="1"/>
  <c r="N344" i="1"/>
  <c r="M344" i="1"/>
  <c r="L344" i="1"/>
  <c r="Q343" i="1"/>
  <c r="P343" i="1"/>
  <c r="O343" i="1"/>
  <c r="N343" i="1"/>
  <c r="M343" i="1"/>
  <c r="L343" i="1"/>
  <c r="Q342" i="1"/>
  <c r="P342" i="1"/>
  <c r="O342" i="1"/>
  <c r="N342" i="1"/>
  <c r="M342" i="1"/>
  <c r="L342" i="1"/>
  <c r="Q341" i="1"/>
  <c r="P341" i="1"/>
  <c r="O341" i="1"/>
  <c r="N341" i="1"/>
  <c r="M341" i="1"/>
  <c r="L341" i="1"/>
  <c r="Q340" i="1"/>
  <c r="P340" i="1"/>
  <c r="O340" i="1"/>
  <c r="N340" i="1"/>
  <c r="M340" i="1"/>
  <c r="L340" i="1"/>
  <c r="Q339" i="1"/>
  <c r="P339" i="1"/>
  <c r="O339" i="1"/>
  <c r="N339" i="1"/>
  <c r="M339" i="1"/>
  <c r="L339" i="1"/>
  <c r="Q338" i="1"/>
  <c r="P338" i="1"/>
  <c r="O338" i="1"/>
  <c r="N338" i="1"/>
  <c r="M338" i="1"/>
  <c r="L338" i="1"/>
  <c r="Q337" i="1"/>
  <c r="P337" i="1"/>
  <c r="O337" i="1"/>
  <c r="N337" i="1"/>
  <c r="M337" i="1"/>
  <c r="L337" i="1"/>
  <c r="Q336" i="1"/>
  <c r="P336" i="1"/>
  <c r="O336" i="1"/>
  <c r="N336" i="1"/>
  <c r="M336" i="1"/>
  <c r="L336" i="1"/>
  <c r="Q335" i="1"/>
  <c r="P335" i="1"/>
  <c r="O335" i="1"/>
  <c r="N335" i="1"/>
  <c r="M335" i="1"/>
  <c r="L335" i="1"/>
  <c r="Q334" i="1"/>
  <c r="P334" i="1"/>
  <c r="O334" i="1"/>
  <c r="N334" i="1"/>
  <c r="M334" i="1"/>
  <c r="L334" i="1"/>
  <c r="Q333" i="1"/>
  <c r="P333" i="1"/>
  <c r="O333" i="1"/>
  <c r="N333" i="1"/>
  <c r="M333" i="1"/>
  <c r="L333" i="1"/>
  <c r="Q332" i="1"/>
  <c r="P332" i="1"/>
  <c r="O332" i="1"/>
  <c r="N332" i="1"/>
  <c r="M332" i="1"/>
  <c r="L332" i="1"/>
  <c r="Q331" i="1"/>
  <c r="P331" i="1"/>
  <c r="O331" i="1"/>
  <c r="N331" i="1"/>
  <c r="M331" i="1"/>
  <c r="L331" i="1"/>
  <c r="Q330" i="1"/>
  <c r="P330" i="1"/>
  <c r="O330" i="1"/>
  <c r="N330" i="1"/>
  <c r="M330" i="1"/>
  <c r="L330" i="1"/>
  <c r="Q329" i="1"/>
  <c r="P329" i="1"/>
  <c r="O329" i="1"/>
  <c r="N329" i="1"/>
  <c r="M329" i="1"/>
  <c r="L329" i="1"/>
  <c r="Q328" i="1"/>
  <c r="P328" i="1"/>
  <c r="O328" i="1"/>
  <c r="N328" i="1"/>
  <c r="M328" i="1"/>
  <c r="L328" i="1"/>
  <c r="Q327" i="1"/>
  <c r="P327" i="1"/>
  <c r="O327" i="1"/>
  <c r="N327" i="1"/>
  <c r="M327" i="1"/>
  <c r="L327" i="1"/>
  <c r="Q326" i="1"/>
  <c r="P326" i="1"/>
  <c r="O326" i="1"/>
  <c r="N326" i="1"/>
  <c r="M326" i="1"/>
  <c r="L326" i="1"/>
  <c r="Q325" i="1"/>
  <c r="P325" i="1"/>
  <c r="O325" i="1"/>
  <c r="N325" i="1"/>
  <c r="M325" i="1"/>
  <c r="L325" i="1"/>
  <c r="Q324" i="1"/>
  <c r="P324" i="1"/>
  <c r="O324" i="1"/>
  <c r="N324" i="1"/>
  <c r="M324" i="1"/>
  <c r="L324" i="1"/>
  <c r="Q323" i="1"/>
  <c r="P323" i="1"/>
  <c r="O323" i="1"/>
  <c r="N323" i="1"/>
  <c r="M323" i="1"/>
  <c r="L323" i="1"/>
  <c r="Q322" i="1"/>
  <c r="P322" i="1"/>
  <c r="O322" i="1"/>
  <c r="N322" i="1"/>
  <c r="M322" i="1"/>
  <c r="L322" i="1"/>
  <c r="J322" i="1"/>
  <c r="Q321" i="1"/>
  <c r="P321" i="1"/>
  <c r="O321" i="1"/>
  <c r="N321" i="1"/>
  <c r="M321" i="1"/>
  <c r="L321" i="1"/>
  <c r="J321" i="1"/>
  <c r="Q320" i="1"/>
  <c r="P320" i="1"/>
  <c r="O320" i="1"/>
  <c r="N320" i="1"/>
  <c r="M320" i="1"/>
  <c r="L320" i="1"/>
  <c r="J320" i="1"/>
  <c r="Q319" i="1"/>
  <c r="P319" i="1"/>
  <c r="O319" i="1"/>
  <c r="N319" i="1"/>
  <c r="M319" i="1"/>
  <c r="L319" i="1"/>
  <c r="J319" i="1"/>
  <c r="Q318" i="1"/>
  <c r="P318" i="1"/>
  <c r="O318" i="1"/>
  <c r="N318" i="1"/>
  <c r="M318" i="1"/>
  <c r="L318" i="1"/>
  <c r="J318" i="1"/>
  <c r="Q317" i="1"/>
  <c r="P317" i="1"/>
  <c r="O317" i="1"/>
  <c r="N317" i="1"/>
  <c r="M317" i="1"/>
  <c r="L317" i="1"/>
  <c r="J317" i="1"/>
  <c r="Q316" i="1"/>
  <c r="P316" i="1"/>
  <c r="O316" i="1"/>
  <c r="N316" i="1"/>
  <c r="M316" i="1"/>
  <c r="L316" i="1"/>
  <c r="J316" i="1"/>
  <c r="Q315" i="1"/>
  <c r="P315" i="1"/>
  <c r="O315" i="1"/>
  <c r="N315" i="1"/>
  <c r="M315" i="1"/>
  <c r="L315" i="1"/>
  <c r="J315" i="1"/>
  <c r="Q314" i="1"/>
  <c r="P314" i="1"/>
  <c r="O314" i="1"/>
  <c r="N314" i="1"/>
  <c r="M314" i="1"/>
  <c r="L314" i="1"/>
  <c r="J314" i="1"/>
  <c r="Q313" i="1"/>
  <c r="P313" i="1"/>
  <c r="O313" i="1"/>
  <c r="N313" i="1"/>
  <c r="M313" i="1"/>
  <c r="L313" i="1"/>
  <c r="J313" i="1"/>
  <c r="Q312" i="1"/>
  <c r="P312" i="1"/>
  <c r="O312" i="1"/>
  <c r="N312" i="1"/>
  <c r="M312" i="1"/>
  <c r="L312" i="1"/>
  <c r="J312" i="1"/>
  <c r="Q311" i="1"/>
  <c r="P311" i="1"/>
  <c r="O311" i="1"/>
  <c r="N311" i="1"/>
  <c r="M311" i="1"/>
  <c r="L311" i="1"/>
  <c r="J311" i="1"/>
  <c r="Q310" i="1"/>
  <c r="P310" i="1"/>
  <c r="O310" i="1"/>
  <c r="N310" i="1"/>
  <c r="M310" i="1"/>
  <c r="L310" i="1"/>
  <c r="J310" i="1"/>
  <c r="Q309" i="1"/>
  <c r="P309" i="1"/>
  <c r="O309" i="1"/>
  <c r="N309" i="1"/>
  <c r="M309" i="1"/>
  <c r="L309" i="1"/>
  <c r="J309" i="1"/>
  <c r="Q308" i="1"/>
  <c r="P308" i="1"/>
  <c r="O308" i="1"/>
  <c r="N308" i="1"/>
  <c r="M308" i="1"/>
  <c r="L308" i="1"/>
  <c r="J308" i="1"/>
  <c r="Q307" i="1"/>
  <c r="P307" i="1"/>
  <c r="O307" i="1"/>
  <c r="N307" i="1"/>
  <c r="M307" i="1"/>
  <c r="L307" i="1"/>
  <c r="J307" i="1"/>
  <c r="Q306" i="1"/>
  <c r="P306" i="1"/>
  <c r="O306" i="1"/>
  <c r="N306" i="1"/>
  <c r="M306" i="1"/>
  <c r="L306" i="1"/>
  <c r="J306" i="1"/>
  <c r="Q305" i="1"/>
  <c r="P305" i="1"/>
  <c r="O305" i="1"/>
  <c r="N305" i="1"/>
  <c r="M305" i="1"/>
  <c r="L305" i="1"/>
  <c r="J305" i="1"/>
  <c r="Q304" i="1"/>
  <c r="P304" i="1"/>
  <c r="O304" i="1"/>
  <c r="N304" i="1"/>
  <c r="M304" i="1"/>
  <c r="L304" i="1"/>
  <c r="J304" i="1"/>
  <c r="Q303" i="1"/>
  <c r="P303" i="1"/>
  <c r="O303" i="1"/>
  <c r="N303" i="1"/>
  <c r="M303" i="1"/>
  <c r="L303" i="1"/>
  <c r="J303" i="1"/>
  <c r="Q302" i="1"/>
  <c r="P302" i="1"/>
  <c r="O302" i="1"/>
  <c r="N302" i="1"/>
  <c r="M302" i="1"/>
  <c r="L302" i="1"/>
  <c r="J302" i="1"/>
  <c r="Q301" i="1"/>
  <c r="P301" i="1"/>
  <c r="O301" i="1"/>
  <c r="N301" i="1"/>
  <c r="M301" i="1"/>
  <c r="L301" i="1"/>
  <c r="J301" i="1"/>
  <c r="Q300" i="1"/>
  <c r="P300" i="1"/>
  <c r="O300" i="1"/>
  <c r="N300" i="1"/>
  <c r="M300" i="1"/>
  <c r="L300" i="1"/>
  <c r="J300" i="1"/>
  <c r="Q299" i="1"/>
  <c r="P299" i="1"/>
  <c r="O299" i="1"/>
  <c r="N299" i="1"/>
  <c r="M299" i="1"/>
  <c r="L299" i="1"/>
  <c r="J299" i="1"/>
  <c r="Q298" i="1"/>
  <c r="P298" i="1"/>
  <c r="O298" i="1"/>
  <c r="N298" i="1"/>
  <c r="M298" i="1"/>
  <c r="L298" i="1"/>
  <c r="J298" i="1"/>
  <c r="Q297" i="1"/>
  <c r="P297" i="1"/>
  <c r="O297" i="1"/>
  <c r="N297" i="1"/>
  <c r="M297" i="1"/>
  <c r="L297" i="1"/>
  <c r="J297" i="1"/>
  <c r="Q296" i="1"/>
  <c r="P296" i="1"/>
  <c r="O296" i="1"/>
  <c r="N296" i="1"/>
  <c r="M296" i="1"/>
  <c r="L296" i="1"/>
  <c r="J296" i="1"/>
  <c r="Q295" i="1"/>
  <c r="P295" i="1"/>
  <c r="O295" i="1"/>
  <c r="N295" i="1"/>
  <c r="M295" i="1"/>
  <c r="L295" i="1"/>
  <c r="J295" i="1"/>
  <c r="Q294" i="1"/>
  <c r="P294" i="1"/>
  <c r="O294" i="1"/>
  <c r="N294" i="1"/>
  <c r="M294" i="1"/>
  <c r="L294" i="1"/>
  <c r="J294" i="1"/>
  <c r="Q293" i="1"/>
  <c r="P293" i="1"/>
  <c r="O293" i="1"/>
  <c r="N293" i="1"/>
  <c r="M293" i="1"/>
  <c r="L293" i="1"/>
  <c r="J293" i="1"/>
  <c r="Q292" i="1"/>
  <c r="P292" i="1"/>
  <c r="O292" i="1"/>
  <c r="N292" i="1"/>
  <c r="M292" i="1"/>
  <c r="L292" i="1"/>
  <c r="J292" i="1"/>
  <c r="Q291" i="1"/>
  <c r="P291" i="1"/>
  <c r="O291" i="1"/>
  <c r="N291" i="1"/>
  <c r="M291" i="1"/>
  <c r="L291" i="1"/>
  <c r="J291" i="1"/>
  <c r="Q290" i="1"/>
  <c r="P290" i="1"/>
  <c r="O290" i="1"/>
  <c r="N290" i="1"/>
  <c r="M290" i="1"/>
  <c r="L290" i="1"/>
  <c r="J290" i="1"/>
  <c r="Q289" i="1"/>
  <c r="P289" i="1"/>
  <c r="O289" i="1"/>
  <c r="N289" i="1"/>
  <c r="M289" i="1"/>
  <c r="L289" i="1"/>
  <c r="J289" i="1"/>
  <c r="Q288" i="1"/>
  <c r="P288" i="1"/>
  <c r="O288" i="1"/>
  <c r="N288" i="1"/>
  <c r="M288" i="1"/>
  <c r="L288" i="1"/>
  <c r="J288" i="1"/>
  <c r="Q287" i="1"/>
  <c r="P287" i="1"/>
  <c r="O287" i="1"/>
  <c r="N287" i="1"/>
  <c r="M287" i="1"/>
  <c r="L287" i="1"/>
  <c r="J287" i="1"/>
  <c r="Q286" i="1"/>
  <c r="P286" i="1"/>
  <c r="O286" i="1"/>
  <c r="N286" i="1"/>
  <c r="M286" i="1"/>
  <c r="L286" i="1"/>
  <c r="J286" i="1"/>
  <c r="Q285" i="1"/>
  <c r="P285" i="1"/>
  <c r="O285" i="1"/>
  <c r="N285" i="1"/>
  <c r="M285" i="1"/>
  <c r="L285" i="1"/>
  <c r="J285" i="1"/>
  <c r="Q284" i="1"/>
  <c r="P284" i="1"/>
  <c r="O284" i="1"/>
  <c r="N284" i="1"/>
  <c r="M284" i="1"/>
  <c r="L284" i="1"/>
  <c r="J284" i="1"/>
  <c r="Q283" i="1"/>
  <c r="P283" i="1"/>
  <c r="O283" i="1"/>
  <c r="N283" i="1"/>
  <c r="M283" i="1"/>
  <c r="L283" i="1"/>
  <c r="J283" i="1"/>
  <c r="Q282" i="1"/>
  <c r="P282" i="1"/>
  <c r="O282" i="1"/>
  <c r="N282" i="1"/>
  <c r="M282" i="1"/>
  <c r="L282" i="1"/>
  <c r="J282" i="1"/>
  <c r="Q281" i="1"/>
  <c r="P281" i="1"/>
  <c r="O281" i="1"/>
  <c r="N281" i="1"/>
  <c r="M281" i="1"/>
  <c r="L281" i="1"/>
  <c r="J281" i="1"/>
  <c r="Q280" i="1"/>
  <c r="P280" i="1"/>
  <c r="O280" i="1"/>
  <c r="N280" i="1"/>
  <c r="M280" i="1"/>
  <c r="L280" i="1"/>
  <c r="J280" i="1"/>
  <c r="Q279" i="1"/>
  <c r="P279" i="1"/>
  <c r="O279" i="1"/>
  <c r="N279" i="1"/>
  <c r="M279" i="1"/>
  <c r="L279" i="1"/>
  <c r="J279" i="1"/>
  <c r="Q278" i="1"/>
  <c r="P278" i="1"/>
  <c r="O278" i="1"/>
  <c r="N278" i="1"/>
  <c r="M278" i="1"/>
  <c r="L278" i="1"/>
  <c r="J278" i="1"/>
  <c r="Q277" i="1"/>
  <c r="P277" i="1"/>
  <c r="O277" i="1"/>
  <c r="N277" i="1"/>
  <c r="M277" i="1"/>
  <c r="L277" i="1"/>
  <c r="J277" i="1"/>
  <c r="Q276" i="1"/>
  <c r="P276" i="1"/>
  <c r="O276" i="1"/>
  <c r="N276" i="1"/>
  <c r="M276" i="1"/>
  <c r="L276" i="1"/>
  <c r="J276" i="1"/>
  <c r="Q275" i="1"/>
  <c r="P275" i="1"/>
  <c r="O275" i="1"/>
  <c r="N275" i="1"/>
  <c r="M275" i="1"/>
  <c r="L275" i="1"/>
  <c r="J275" i="1"/>
  <c r="Q274" i="1"/>
  <c r="P274" i="1"/>
  <c r="O274" i="1"/>
  <c r="N274" i="1"/>
  <c r="M274" i="1"/>
  <c r="L274" i="1"/>
  <c r="J274" i="1"/>
  <c r="Q273" i="1"/>
  <c r="P273" i="1"/>
  <c r="O273" i="1"/>
  <c r="N273" i="1"/>
  <c r="M273" i="1"/>
  <c r="L273" i="1"/>
  <c r="J273" i="1"/>
  <c r="Q272" i="1"/>
  <c r="P272" i="1"/>
  <c r="O272" i="1"/>
  <c r="N272" i="1"/>
  <c r="M272" i="1"/>
  <c r="L272" i="1"/>
  <c r="J272" i="1"/>
  <c r="Q271" i="1"/>
  <c r="P271" i="1"/>
  <c r="O271" i="1"/>
  <c r="N271" i="1"/>
  <c r="M271" i="1"/>
  <c r="L271" i="1"/>
  <c r="J271" i="1"/>
  <c r="Q270" i="1"/>
  <c r="P270" i="1"/>
  <c r="O270" i="1"/>
  <c r="N270" i="1"/>
  <c r="M270" i="1"/>
  <c r="L270" i="1"/>
  <c r="J270" i="1"/>
  <c r="Q269" i="1"/>
  <c r="P269" i="1"/>
  <c r="O269" i="1"/>
  <c r="N269" i="1"/>
  <c r="M269" i="1"/>
  <c r="L269" i="1"/>
  <c r="J269" i="1"/>
  <c r="Q268" i="1"/>
  <c r="P268" i="1"/>
  <c r="O268" i="1"/>
  <c r="N268" i="1"/>
  <c r="M268" i="1"/>
  <c r="L268" i="1"/>
  <c r="J268" i="1"/>
  <c r="Q267" i="1"/>
  <c r="P267" i="1"/>
  <c r="O267" i="1"/>
  <c r="N267" i="1"/>
  <c r="M267" i="1"/>
  <c r="L267" i="1"/>
  <c r="J267" i="1"/>
  <c r="Q266" i="1"/>
  <c r="P266" i="1"/>
  <c r="O266" i="1"/>
  <c r="N266" i="1"/>
  <c r="M266" i="1"/>
  <c r="L266" i="1"/>
  <c r="J266" i="1"/>
  <c r="Q265" i="1"/>
  <c r="P265" i="1"/>
  <c r="O265" i="1"/>
  <c r="N265" i="1"/>
  <c r="M265" i="1"/>
  <c r="L265" i="1"/>
  <c r="J265" i="1"/>
  <c r="Q264" i="1"/>
  <c r="P264" i="1"/>
  <c r="O264" i="1"/>
  <c r="N264" i="1"/>
  <c r="M264" i="1"/>
  <c r="L264" i="1"/>
  <c r="J264" i="1"/>
  <c r="Q263" i="1"/>
  <c r="P263" i="1"/>
  <c r="O263" i="1"/>
  <c r="N263" i="1"/>
  <c r="M263" i="1"/>
  <c r="L263" i="1"/>
  <c r="J263" i="1"/>
  <c r="Q262" i="1"/>
  <c r="P262" i="1"/>
  <c r="O262" i="1"/>
  <c r="N262" i="1"/>
  <c r="M262" i="1"/>
  <c r="L262" i="1"/>
  <c r="J262" i="1"/>
  <c r="Q261" i="1"/>
  <c r="P261" i="1"/>
  <c r="O261" i="1"/>
  <c r="N261" i="1"/>
  <c r="M261" i="1"/>
  <c r="L261" i="1"/>
  <c r="J261" i="1"/>
  <c r="Q260" i="1"/>
  <c r="P260" i="1"/>
  <c r="O260" i="1"/>
  <c r="N260" i="1"/>
  <c r="M260" i="1"/>
  <c r="L260" i="1"/>
  <c r="J260" i="1"/>
  <c r="Q259" i="1"/>
  <c r="P259" i="1"/>
  <c r="O259" i="1"/>
  <c r="N259" i="1"/>
  <c r="M259" i="1"/>
  <c r="L259" i="1"/>
  <c r="J259" i="1"/>
  <c r="Q258" i="1"/>
  <c r="P258" i="1"/>
  <c r="O258" i="1"/>
  <c r="N258" i="1"/>
  <c r="M258" i="1"/>
  <c r="L258" i="1"/>
  <c r="J258" i="1"/>
  <c r="Q257" i="1"/>
  <c r="P257" i="1"/>
  <c r="O257" i="1"/>
  <c r="N257" i="1"/>
  <c r="M257" i="1"/>
  <c r="L257" i="1"/>
  <c r="J257" i="1"/>
  <c r="Q256" i="1"/>
  <c r="P256" i="1"/>
  <c r="O256" i="1"/>
  <c r="N256" i="1"/>
  <c r="M256" i="1"/>
  <c r="L256" i="1"/>
  <c r="J256" i="1"/>
  <c r="Q255" i="1"/>
  <c r="P255" i="1"/>
  <c r="O255" i="1"/>
  <c r="N255" i="1"/>
  <c r="M255" i="1"/>
  <c r="L255" i="1"/>
  <c r="J255" i="1"/>
  <c r="Q254" i="1"/>
  <c r="P254" i="1"/>
  <c r="O254" i="1"/>
  <c r="N254" i="1"/>
  <c r="M254" i="1"/>
  <c r="L254" i="1"/>
  <c r="J254" i="1"/>
  <c r="Q253" i="1"/>
  <c r="P253" i="1"/>
  <c r="O253" i="1"/>
  <c r="N253" i="1"/>
  <c r="M253" i="1"/>
  <c r="L253" i="1"/>
  <c r="J253" i="1"/>
  <c r="Q252" i="1"/>
  <c r="P252" i="1"/>
  <c r="O252" i="1"/>
  <c r="N252" i="1"/>
  <c r="M252" i="1"/>
  <c r="L252" i="1"/>
  <c r="J252" i="1"/>
  <c r="Q251" i="1"/>
  <c r="P251" i="1"/>
  <c r="O251" i="1"/>
  <c r="N251" i="1"/>
  <c r="M251" i="1"/>
  <c r="L251" i="1"/>
  <c r="J251" i="1"/>
  <c r="Q250" i="1"/>
  <c r="P250" i="1"/>
  <c r="O250" i="1"/>
  <c r="N250" i="1"/>
  <c r="M250" i="1"/>
  <c r="L250" i="1"/>
  <c r="J250" i="1"/>
  <c r="Q249" i="1"/>
  <c r="P249" i="1"/>
  <c r="O249" i="1"/>
  <c r="N249" i="1"/>
  <c r="M249" i="1"/>
  <c r="L249" i="1"/>
  <c r="J249" i="1"/>
  <c r="Q248" i="1"/>
  <c r="P248" i="1"/>
  <c r="O248" i="1"/>
  <c r="N248" i="1"/>
  <c r="M248" i="1"/>
  <c r="L248" i="1"/>
  <c r="J248" i="1"/>
  <c r="Q247" i="1"/>
  <c r="P247" i="1"/>
  <c r="O247" i="1"/>
  <c r="N247" i="1"/>
  <c r="M247" i="1"/>
  <c r="L247" i="1"/>
  <c r="J247" i="1"/>
  <c r="Q246" i="1"/>
  <c r="P246" i="1"/>
  <c r="O246" i="1"/>
  <c r="N246" i="1"/>
  <c r="M246" i="1"/>
  <c r="L246" i="1"/>
  <c r="J246" i="1"/>
  <c r="Q245" i="1"/>
  <c r="P245" i="1"/>
  <c r="O245" i="1"/>
  <c r="N245" i="1"/>
  <c r="M245" i="1"/>
  <c r="L245" i="1"/>
  <c r="J245" i="1"/>
  <c r="Q244" i="1"/>
  <c r="P244" i="1"/>
  <c r="O244" i="1"/>
  <c r="N244" i="1"/>
  <c r="M244" i="1"/>
  <c r="L244" i="1"/>
  <c r="J244" i="1"/>
  <c r="Q243" i="1"/>
  <c r="P243" i="1"/>
  <c r="O243" i="1"/>
  <c r="N243" i="1"/>
  <c r="M243" i="1"/>
  <c r="L243" i="1"/>
  <c r="J243" i="1"/>
  <c r="Q242" i="1"/>
  <c r="P242" i="1"/>
  <c r="O242" i="1"/>
  <c r="N242" i="1"/>
  <c r="M242" i="1"/>
  <c r="L242" i="1"/>
  <c r="J242" i="1"/>
  <c r="Q241" i="1"/>
  <c r="P241" i="1"/>
  <c r="O241" i="1"/>
  <c r="N241" i="1"/>
  <c r="M241" i="1"/>
  <c r="L241" i="1"/>
  <c r="J241" i="1"/>
  <c r="Q240" i="1"/>
  <c r="P240" i="1"/>
  <c r="O240" i="1"/>
  <c r="N240" i="1"/>
  <c r="M240" i="1"/>
  <c r="L240" i="1"/>
  <c r="J240" i="1"/>
  <c r="Q239" i="1"/>
  <c r="P239" i="1"/>
  <c r="O239" i="1"/>
  <c r="N239" i="1"/>
  <c r="M239" i="1"/>
  <c r="L239" i="1"/>
  <c r="J239" i="1"/>
  <c r="Q238" i="1"/>
  <c r="P238" i="1"/>
  <c r="O238" i="1"/>
  <c r="N238" i="1"/>
  <c r="M238" i="1"/>
  <c r="L238" i="1"/>
  <c r="J238" i="1"/>
  <c r="Q237" i="1"/>
  <c r="P237" i="1"/>
  <c r="O237" i="1"/>
  <c r="N237" i="1"/>
  <c r="M237" i="1"/>
  <c r="L237" i="1"/>
  <c r="J237" i="1"/>
  <c r="Q236" i="1"/>
  <c r="P236" i="1"/>
  <c r="O236" i="1"/>
  <c r="N236" i="1"/>
  <c r="M236" i="1"/>
  <c r="L236" i="1"/>
  <c r="J236" i="1"/>
  <c r="Q235" i="1"/>
  <c r="P235" i="1"/>
  <c r="O235" i="1"/>
  <c r="N235" i="1"/>
  <c r="M235" i="1"/>
  <c r="L235" i="1"/>
  <c r="J235" i="1"/>
  <c r="Q234" i="1"/>
  <c r="P234" i="1"/>
  <c r="O234" i="1"/>
  <c r="N234" i="1"/>
  <c r="M234" i="1"/>
  <c r="L234" i="1"/>
  <c r="J234" i="1"/>
  <c r="Q233" i="1"/>
  <c r="P233" i="1"/>
  <c r="O233" i="1"/>
  <c r="N233" i="1"/>
  <c r="M233" i="1"/>
  <c r="L233" i="1"/>
  <c r="J233" i="1"/>
  <c r="Q232" i="1"/>
  <c r="P232" i="1"/>
  <c r="O232" i="1"/>
  <c r="N232" i="1"/>
  <c r="M232" i="1"/>
  <c r="L232" i="1"/>
  <c r="J232" i="1"/>
  <c r="Q231" i="1"/>
  <c r="P231" i="1"/>
  <c r="O231" i="1"/>
  <c r="N231" i="1"/>
  <c r="M231" i="1"/>
  <c r="L231" i="1"/>
  <c r="J231" i="1"/>
  <c r="Q230" i="1"/>
  <c r="P230" i="1"/>
  <c r="O230" i="1"/>
  <c r="N230" i="1"/>
  <c r="M230" i="1"/>
  <c r="L230" i="1"/>
  <c r="J230" i="1"/>
  <c r="Q229" i="1"/>
  <c r="P229" i="1"/>
  <c r="O229" i="1"/>
  <c r="N229" i="1"/>
  <c r="M229" i="1"/>
  <c r="L229" i="1"/>
  <c r="J229" i="1"/>
  <c r="Q228" i="1"/>
  <c r="P228" i="1"/>
  <c r="O228" i="1"/>
  <c r="N228" i="1"/>
  <c r="M228" i="1"/>
  <c r="L228" i="1"/>
  <c r="J228" i="1"/>
  <c r="Q227" i="1"/>
  <c r="P227" i="1"/>
  <c r="O227" i="1"/>
  <c r="N227" i="1"/>
  <c r="M227" i="1"/>
  <c r="L227" i="1"/>
  <c r="J227" i="1"/>
  <c r="Q226" i="1"/>
  <c r="P226" i="1"/>
  <c r="O226" i="1"/>
  <c r="N226" i="1"/>
  <c r="M226" i="1"/>
  <c r="L226" i="1"/>
  <c r="J226" i="1"/>
  <c r="Q225" i="1"/>
  <c r="P225" i="1"/>
  <c r="O225" i="1"/>
  <c r="N225" i="1"/>
  <c r="M225" i="1"/>
  <c r="L225" i="1"/>
  <c r="J225" i="1"/>
  <c r="Q224" i="1"/>
  <c r="P224" i="1"/>
  <c r="O224" i="1"/>
  <c r="N224" i="1"/>
  <c r="M224" i="1"/>
  <c r="L224" i="1"/>
  <c r="K224" i="1"/>
  <c r="J224" i="1"/>
  <c r="Q223" i="1"/>
  <c r="P223" i="1"/>
  <c r="O223" i="1"/>
  <c r="N223" i="1"/>
  <c r="M223" i="1"/>
  <c r="L223" i="1"/>
  <c r="J223" i="1"/>
  <c r="Q222" i="1"/>
  <c r="P222" i="1"/>
  <c r="O222" i="1"/>
  <c r="N222" i="1"/>
  <c r="M222" i="1"/>
  <c r="L222" i="1"/>
  <c r="J222" i="1"/>
  <c r="Q221" i="1"/>
  <c r="P221" i="1"/>
  <c r="O221" i="1"/>
  <c r="N221" i="1"/>
  <c r="M221" i="1"/>
  <c r="L221" i="1"/>
  <c r="J221" i="1"/>
  <c r="Q220" i="1"/>
  <c r="P220" i="1"/>
  <c r="O220" i="1"/>
  <c r="N220" i="1"/>
  <c r="M220" i="1"/>
  <c r="L220" i="1"/>
  <c r="J220" i="1"/>
  <c r="Q219" i="1"/>
  <c r="P219" i="1"/>
  <c r="O219" i="1"/>
  <c r="N219" i="1"/>
  <c r="M219" i="1"/>
  <c r="L219" i="1"/>
  <c r="J219" i="1"/>
  <c r="Q218" i="1"/>
  <c r="P218" i="1"/>
  <c r="O218" i="1"/>
  <c r="N218" i="1"/>
  <c r="M218" i="1"/>
  <c r="L218" i="1"/>
  <c r="J218" i="1"/>
  <c r="Q217" i="1"/>
  <c r="P217" i="1"/>
  <c r="O217" i="1"/>
  <c r="N217" i="1"/>
  <c r="M217" i="1"/>
  <c r="L217" i="1"/>
  <c r="J217" i="1"/>
  <c r="Q216" i="1"/>
  <c r="P216" i="1"/>
  <c r="O216" i="1"/>
  <c r="N216" i="1"/>
  <c r="M216" i="1"/>
  <c r="L216" i="1"/>
  <c r="J216" i="1"/>
  <c r="Q215" i="1"/>
  <c r="P215" i="1"/>
  <c r="O215" i="1"/>
  <c r="N215" i="1"/>
  <c r="M215" i="1"/>
  <c r="L215" i="1"/>
  <c r="J215" i="1"/>
  <c r="Q214" i="1"/>
  <c r="P214" i="1"/>
  <c r="O214" i="1"/>
  <c r="N214" i="1"/>
  <c r="M214" i="1"/>
  <c r="L214" i="1"/>
  <c r="J214" i="1"/>
  <c r="Q213" i="1"/>
  <c r="P213" i="1"/>
  <c r="O213" i="1"/>
  <c r="N213" i="1"/>
  <c r="M213" i="1"/>
  <c r="L213" i="1"/>
  <c r="J213" i="1"/>
  <c r="Q212" i="1"/>
  <c r="P212" i="1"/>
  <c r="O212" i="1"/>
  <c r="N212" i="1"/>
  <c r="M212" i="1"/>
  <c r="L212" i="1"/>
  <c r="J212" i="1"/>
  <c r="Q211" i="1"/>
  <c r="P211" i="1"/>
  <c r="O211" i="1"/>
  <c r="N211" i="1"/>
  <c r="M211" i="1"/>
  <c r="L211" i="1"/>
  <c r="J211" i="1"/>
  <c r="Q210" i="1"/>
  <c r="P210" i="1"/>
  <c r="O210" i="1"/>
  <c r="N210" i="1"/>
  <c r="M210" i="1"/>
  <c r="L210" i="1"/>
  <c r="J210" i="1"/>
  <c r="Q209" i="1"/>
  <c r="P209" i="1"/>
  <c r="O209" i="1"/>
  <c r="N209" i="1"/>
  <c r="M209" i="1"/>
  <c r="L209" i="1"/>
  <c r="J209" i="1"/>
  <c r="Q208" i="1"/>
  <c r="P208" i="1"/>
  <c r="O208" i="1"/>
  <c r="N208" i="1"/>
  <c r="M208" i="1"/>
  <c r="L208" i="1"/>
  <c r="J208" i="1"/>
  <c r="Q207" i="1"/>
  <c r="P207" i="1"/>
  <c r="O207" i="1"/>
  <c r="N207" i="1"/>
  <c r="M207" i="1"/>
  <c r="L207" i="1"/>
  <c r="J207" i="1"/>
  <c r="Q206" i="1"/>
  <c r="P206" i="1"/>
  <c r="O206" i="1"/>
  <c r="N206" i="1"/>
  <c r="M206" i="1"/>
  <c r="L206" i="1"/>
  <c r="J206" i="1"/>
  <c r="Q205" i="1"/>
  <c r="P205" i="1"/>
  <c r="O205" i="1"/>
  <c r="N205" i="1"/>
  <c r="M205" i="1"/>
  <c r="L205" i="1"/>
  <c r="J205" i="1"/>
  <c r="Q204" i="1"/>
  <c r="P204" i="1"/>
  <c r="O204" i="1"/>
  <c r="N204" i="1"/>
  <c r="M204" i="1"/>
  <c r="L204" i="1"/>
  <c r="J204" i="1"/>
  <c r="Q203" i="1"/>
  <c r="P203" i="1"/>
  <c r="O203" i="1"/>
  <c r="N203" i="1"/>
  <c r="M203" i="1"/>
  <c r="L203" i="1"/>
  <c r="J203" i="1"/>
  <c r="Q202" i="1"/>
  <c r="P202" i="1"/>
  <c r="O202" i="1"/>
  <c r="N202" i="1"/>
  <c r="M202" i="1"/>
  <c r="L202" i="1"/>
  <c r="J202" i="1"/>
  <c r="Q201" i="1"/>
  <c r="P201" i="1"/>
  <c r="O201" i="1"/>
  <c r="N201" i="1"/>
  <c r="M201" i="1"/>
  <c r="L201" i="1"/>
  <c r="J201" i="1"/>
  <c r="Q200" i="1"/>
  <c r="P200" i="1"/>
  <c r="O200" i="1"/>
  <c r="N200" i="1"/>
  <c r="M200" i="1"/>
  <c r="L200" i="1"/>
  <c r="J200" i="1"/>
  <c r="Q199" i="1"/>
  <c r="P199" i="1"/>
  <c r="O199" i="1"/>
  <c r="N199" i="1"/>
  <c r="M199" i="1"/>
  <c r="L199" i="1"/>
  <c r="J199" i="1"/>
  <c r="Q198" i="1"/>
  <c r="P198" i="1"/>
  <c r="O198" i="1"/>
  <c r="N198" i="1"/>
  <c r="M198" i="1"/>
  <c r="L198" i="1"/>
  <c r="J198" i="1"/>
  <c r="Q197" i="1"/>
  <c r="P197" i="1"/>
  <c r="O197" i="1"/>
  <c r="N197" i="1"/>
  <c r="M197" i="1"/>
  <c r="L197" i="1"/>
  <c r="J197" i="1"/>
  <c r="Q196" i="1"/>
  <c r="P196" i="1"/>
  <c r="O196" i="1"/>
  <c r="N196" i="1"/>
  <c r="M196" i="1"/>
  <c r="L196" i="1"/>
  <c r="J196" i="1"/>
  <c r="Q195" i="1"/>
  <c r="P195" i="1"/>
  <c r="O195" i="1"/>
  <c r="N195" i="1"/>
  <c r="M195" i="1"/>
  <c r="L195" i="1"/>
  <c r="J195" i="1"/>
  <c r="Q194" i="1"/>
  <c r="P194" i="1"/>
  <c r="O194" i="1"/>
  <c r="N194" i="1"/>
  <c r="M194" i="1"/>
  <c r="L194" i="1"/>
  <c r="J194" i="1"/>
  <c r="Q193" i="1"/>
  <c r="P193" i="1"/>
  <c r="O193" i="1"/>
  <c r="N193" i="1"/>
  <c r="M193" i="1"/>
  <c r="L193" i="1"/>
  <c r="K193" i="1"/>
  <c r="J193" i="1"/>
  <c r="Q192" i="1"/>
  <c r="P192" i="1"/>
  <c r="O192" i="1"/>
  <c r="N192" i="1"/>
  <c r="M192" i="1"/>
  <c r="L192" i="1"/>
  <c r="J192" i="1"/>
  <c r="Q191" i="1"/>
  <c r="P191" i="1"/>
  <c r="O191" i="1"/>
  <c r="N191" i="1"/>
  <c r="M191" i="1"/>
  <c r="L191" i="1"/>
  <c r="J191" i="1"/>
  <c r="Q190" i="1"/>
  <c r="P190" i="1"/>
  <c r="O190" i="1"/>
  <c r="N190" i="1"/>
  <c r="M190" i="1"/>
  <c r="L190" i="1"/>
  <c r="J190" i="1"/>
  <c r="Q189" i="1"/>
  <c r="P189" i="1"/>
  <c r="O189" i="1"/>
  <c r="N189" i="1"/>
  <c r="M189" i="1"/>
  <c r="L189" i="1"/>
  <c r="J189" i="1"/>
  <c r="Q188" i="1"/>
  <c r="P188" i="1"/>
  <c r="O188" i="1"/>
  <c r="N188" i="1"/>
  <c r="M188" i="1"/>
  <c r="L188" i="1"/>
  <c r="J188" i="1"/>
  <c r="Q187" i="1"/>
  <c r="P187" i="1"/>
  <c r="O187" i="1"/>
  <c r="N187" i="1"/>
  <c r="M187" i="1"/>
  <c r="L187" i="1"/>
  <c r="J187" i="1"/>
  <c r="Q186" i="1"/>
  <c r="P186" i="1"/>
  <c r="O186" i="1"/>
  <c r="N186" i="1"/>
  <c r="M186" i="1"/>
  <c r="L186" i="1"/>
  <c r="J186" i="1"/>
  <c r="Q185" i="1"/>
  <c r="P185" i="1"/>
  <c r="O185" i="1"/>
  <c r="N185" i="1"/>
  <c r="M185" i="1"/>
  <c r="L185" i="1"/>
  <c r="J185" i="1"/>
  <c r="Q184" i="1"/>
  <c r="P184" i="1"/>
  <c r="O184" i="1"/>
  <c r="N184" i="1"/>
  <c r="M184" i="1"/>
  <c r="L184" i="1"/>
  <c r="J184" i="1"/>
  <c r="Q183" i="1"/>
  <c r="P183" i="1"/>
  <c r="O183" i="1"/>
  <c r="N183" i="1"/>
  <c r="M183" i="1"/>
  <c r="L183" i="1"/>
  <c r="J183" i="1"/>
  <c r="Q182" i="1"/>
  <c r="P182" i="1"/>
  <c r="O182" i="1"/>
  <c r="N182" i="1"/>
  <c r="M182" i="1"/>
  <c r="L182" i="1"/>
  <c r="J182" i="1"/>
  <c r="Q181" i="1"/>
  <c r="P181" i="1"/>
  <c r="O181" i="1"/>
  <c r="N181" i="1"/>
  <c r="M181" i="1"/>
  <c r="L181" i="1"/>
  <c r="J181" i="1"/>
  <c r="Q180" i="1"/>
  <c r="P180" i="1"/>
  <c r="O180" i="1"/>
  <c r="N180" i="1"/>
  <c r="M180" i="1"/>
  <c r="L180" i="1"/>
  <c r="J180" i="1"/>
  <c r="Q179" i="1"/>
  <c r="P179" i="1"/>
  <c r="O179" i="1"/>
  <c r="N179" i="1"/>
  <c r="M179" i="1"/>
  <c r="L179" i="1"/>
  <c r="J179" i="1"/>
  <c r="Q178" i="1"/>
  <c r="P178" i="1"/>
  <c r="O178" i="1"/>
  <c r="N178" i="1"/>
  <c r="M178" i="1"/>
  <c r="L178" i="1"/>
  <c r="J178" i="1"/>
  <c r="Q177" i="1"/>
  <c r="P177" i="1"/>
  <c r="O177" i="1"/>
  <c r="N177" i="1"/>
  <c r="M177" i="1"/>
  <c r="L177" i="1"/>
  <c r="J177" i="1"/>
  <c r="Q176" i="1"/>
  <c r="P176" i="1"/>
  <c r="O176" i="1"/>
  <c r="N176" i="1"/>
  <c r="M176" i="1"/>
  <c r="L176" i="1"/>
  <c r="J176" i="1"/>
  <c r="Q175" i="1"/>
  <c r="P175" i="1"/>
  <c r="O175" i="1"/>
  <c r="N175" i="1"/>
  <c r="M175" i="1"/>
  <c r="L175" i="1"/>
  <c r="J175" i="1"/>
  <c r="Q174" i="1"/>
  <c r="P174" i="1"/>
  <c r="O174" i="1"/>
  <c r="N174" i="1"/>
  <c r="M174" i="1"/>
  <c r="L174" i="1"/>
  <c r="J174" i="1"/>
  <c r="Q173" i="1"/>
  <c r="P173" i="1"/>
  <c r="O173" i="1"/>
  <c r="N173" i="1"/>
  <c r="M173" i="1"/>
  <c r="L173" i="1"/>
  <c r="J173" i="1"/>
  <c r="Q172" i="1"/>
  <c r="P172" i="1"/>
  <c r="O172" i="1"/>
  <c r="N172" i="1"/>
  <c r="M172" i="1"/>
  <c r="L172" i="1"/>
  <c r="J172" i="1"/>
  <c r="Q171" i="1"/>
  <c r="P171" i="1"/>
  <c r="O171" i="1"/>
  <c r="N171" i="1"/>
  <c r="M171" i="1"/>
  <c r="L171" i="1"/>
  <c r="Q170" i="1"/>
  <c r="P170" i="1"/>
  <c r="O170" i="1"/>
  <c r="N170" i="1"/>
  <c r="M170" i="1"/>
  <c r="L170" i="1"/>
  <c r="Q169" i="1"/>
  <c r="P169" i="1"/>
  <c r="O169" i="1"/>
  <c r="N169" i="1"/>
  <c r="M169" i="1"/>
  <c r="L169" i="1"/>
  <c r="Q168" i="1"/>
  <c r="P168" i="1"/>
  <c r="O168" i="1"/>
  <c r="N168" i="1"/>
  <c r="M168" i="1"/>
  <c r="L168" i="1"/>
  <c r="Q167" i="1"/>
  <c r="P167" i="1"/>
  <c r="O167" i="1"/>
  <c r="N167" i="1"/>
  <c r="M167" i="1"/>
  <c r="L167" i="1"/>
  <c r="Q166" i="1"/>
  <c r="P166" i="1"/>
  <c r="O166" i="1"/>
  <c r="N166" i="1"/>
  <c r="M166" i="1"/>
  <c r="L166" i="1"/>
  <c r="Q165" i="1"/>
  <c r="P165" i="1"/>
  <c r="O165" i="1"/>
  <c r="N165" i="1"/>
  <c r="M165" i="1"/>
  <c r="L165" i="1"/>
  <c r="Q164" i="1"/>
  <c r="P164" i="1"/>
  <c r="O164" i="1"/>
  <c r="N164" i="1"/>
  <c r="M164" i="1"/>
  <c r="L164" i="1"/>
  <c r="Q163" i="1"/>
  <c r="P163" i="1"/>
  <c r="O163" i="1"/>
  <c r="N163" i="1"/>
  <c r="M163" i="1"/>
  <c r="L163" i="1"/>
  <c r="Q162" i="1"/>
  <c r="P162" i="1"/>
  <c r="O162" i="1"/>
  <c r="N162" i="1"/>
  <c r="M162" i="1"/>
  <c r="L162" i="1"/>
  <c r="Q161" i="1"/>
  <c r="P161" i="1"/>
  <c r="O161" i="1"/>
  <c r="N161" i="1"/>
  <c r="M161" i="1"/>
  <c r="L161" i="1"/>
  <c r="Q160" i="1"/>
  <c r="P160" i="1"/>
  <c r="O160" i="1"/>
  <c r="N160" i="1"/>
  <c r="M160" i="1"/>
  <c r="L160" i="1"/>
  <c r="Q159" i="1"/>
  <c r="P159" i="1"/>
  <c r="O159" i="1"/>
  <c r="N159" i="1"/>
  <c r="M159" i="1"/>
  <c r="L159" i="1"/>
  <c r="Q158" i="1"/>
  <c r="P158" i="1"/>
  <c r="O158" i="1"/>
  <c r="N158" i="1"/>
  <c r="M158" i="1"/>
  <c r="L158" i="1"/>
  <c r="Q157" i="1"/>
  <c r="P157" i="1"/>
  <c r="O157" i="1"/>
  <c r="N157" i="1"/>
  <c r="M157" i="1"/>
  <c r="L157" i="1"/>
  <c r="Q156" i="1"/>
  <c r="P156" i="1"/>
  <c r="O156" i="1"/>
  <c r="N156" i="1"/>
  <c r="M156" i="1"/>
  <c r="L156" i="1"/>
  <c r="Q155" i="1"/>
  <c r="P155" i="1"/>
  <c r="O155" i="1"/>
  <c r="N155" i="1"/>
  <c r="M155" i="1"/>
  <c r="L155" i="1"/>
  <c r="Q154" i="1"/>
  <c r="P154" i="1"/>
  <c r="O154" i="1"/>
  <c r="N154" i="1"/>
  <c r="M154" i="1"/>
  <c r="L154" i="1"/>
  <c r="Q153" i="1"/>
  <c r="P153" i="1"/>
  <c r="O153" i="1"/>
  <c r="N153" i="1"/>
  <c r="M153" i="1"/>
  <c r="L153" i="1"/>
  <c r="Q152" i="1"/>
  <c r="P152" i="1"/>
  <c r="O152" i="1"/>
  <c r="N152" i="1"/>
  <c r="M152" i="1"/>
  <c r="L152" i="1"/>
  <c r="Q151" i="1"/>
  <c r="P151" i="1"/>
  <c r="O151" i="1"/>
  <c r="N151" i="1"/>
  <c r="M151" i="1"/>
  <c r="L151" i="1"/>
  <c r="Q150" i="1"/>
  <c r="P150" i="1"/>
  <c r="O150" i="1"/>
  <c r="N150" i="1"/>
  <c r="M150" i="1"/>
  <c r="L150" i="1"/>
  <c r="Q149" i="1"/>
  <c r="P149" i="1"/>
  <c r="O149" i="1"/>
  <c r="N149" i="1"/>
  <c r="M149" i="1"/>
  <c r="L149" i="1"/>
  <c r="Q148" i="1"/>
  <c r="P148" i="1"/>
  <c r="O148" i="1"/>
  <c r="N148" i="1"/>
  <c r="M148" i="1"/>
  <c r="L148" i="1"/>
  <c r="Q147" i="1"/>
  <c r="P147" i="1"/>
  <c r="O147" i="1"/>
  <c r="N147" i="1"/>
  <c r="M147" i="1"/>
  <c r="L147" i="1"/>
  <c r="Q146" i="1"/>
  <c r="P146" i="1"/>
  <c r="O146" i="1"/>
  <c r="N146" i="1"/>
  <c r="M146" i="1"/>
  <c r="L146" i="1"/>
  <c r="Q145" i="1"/>
  <c r="P145" i="1"/>
  <c r="O145" i="1"/>
  <c r="N145" i="1"/>
  <c r="M145" i="1"/>
  <c r="L145" i="1"/>
  <c r="Q144" i="1"/>
  <c r="P144" i="1"/>
  <c r="O144" i="1"/>
  <c r="N144" i="1"/>
  <c r="M144" i="1"/>
  <c r="L144" i="1"/>
  <c r="Q143" i="1"/>
  <c r="P143" i="1"/>
  <c r="O143" i="1"/>
  <c r="N143" i="1"/>
  <c r="M143" i="1"/>
  <c r="L143" i="1"/>
  <c r="Q142" i="1"/>
  <c r="P142" i="1"/>
  <c r="O142" i="1"/>
  <c r="N142" i="1"/>
  <c r="M142" i="1"/>
  <c r="L142" i="1"/>
  <c r="Q141" i="1"/>
  <c r="P141" i="1"/>
  <c r="O141" i="1"/>
  <c r="N141" i="1"/>
  <c r="M141" i="1"/>
  <c r="L141" i="1"/>
  <c r="Q140" i="1"/>
  <c r="P140" i="1"/>
  <c r="O140" i="1"/>
  <c r="N140" i="1"/>
  <c r="M140" i="1"/>
  <c r="L140" i="1"/>
  <c r="Q139" i="1"/>
  <c r="P139" i="1"/>
  <c r="O139" i="1"/>
  <c r="N139" i="1"/>
  <c r="M139" i="1"/>
  <c r="L139" i="1"/>
  <c r="Q138" i="1"/>
  <c r="P138" i="1"/>
  <c r="O138" i="1"/>
  <c r="N138" i="1"/>
  <c r="M138" i="1"/>
  <c r="L138" i="1"/>
  <c r="Q137" i="1"/>
  <c r="P137" i="1"/>
  <c r="O137" i="1"/>
  <c r="N137" i="1"/>
  <c r="M137" i="1"/>
  <c r="L137" i="1"/>
  <c r="J137" i="1"/>
  <c r="Q136" i="1"/>
  <c r="P136" i="1"/>
  <c r="O136" i="1"/>
  <c r="N136" i="1"/>
  <c r="M136" i="1"/>
  <c r="L136" i="1"/>
  <c r="J136" i="1"/>
  <c r="Q135" i="1"/>
  <c r="P135" i="1"/>
  <c r="O135" i="1"/>
  <c r="N135" i="1"/>
  <c r="M135" i="1"/>
  <c r="L135" i="1"/>
  <c r="J135" i="1"/>
  <c r="Q134" i="1"/>
  <c r="P134" i="1"/>
  <c r="O134" i="1"/>
  <c r="N134" i="1"/>
  <c r="M134" i="1"/>
  <c r="L134" i="1"/>
  <c r="J134" i="1"/>
  <c r="Q133" i="1"/>
  <c r="P133" i="1"/>
  <c r="O133" i="1"/>
  <c r="N133" i="1"/>
  <c r="M133" i="1"/>
  <c r="L133" i="1"/>
  <c r="J133" i="1"/>
  <c r="Q132" i="1"/>
  <c r="P132" i="1"/>
  <c r="O132" i="1"/>
  <c r="N132" i="1"/>
  <c r="M132" i="1"/>
  <c r="L132" i="1"/>
  <c r="J132" i="1"/>
  <c r="Q131" i="1"/>
  <c r="P131" i="1"/>
  <c r="O131" i="1"/>
  <c r="N131" i="1"/>
  <c r="M131" i="1"/>
  <c r="L131" i="1"/>
  <c r="J131" i="1"/>
  <c r="Q130" i="1"/>
  <c r="P130" i="1"/>
  <c r="O130" i="1"/>
  <c r="N130" i="1"/>
  <c r="M130" i="1"/>
  <c r="L130" i="1"/>
  <c r="J130" i="1"/>
  <c r="Q129" i="1"/>
  <c r="P129" i="1"/>
  <c r="O129" i="1"/>
  <c r="N129" i="1"/>
  <c r="M129" i="1"/>
  <c r="L129" i="1"/>
  <c r="J129" i="1"/>
  <c r="Q128" i="1"/>
  <c r="P128" i="1"/>
  <c r="O128" i="1"/>
  <c r="N128" i="1"/>
  <c r="M128" i="1"/>
  <c r="L128" i="1"/>
  <c r="J128" i="1"/>
  <c r="Q127" i="1"/>
  <c r="P127" i="1"/>
  <c r="O127" i="1"/>
  <c r="N127" i="1"/>
  <c r="M127" i="1"/>
  <c r="L127" i="1"/>
  <c r="J127" i="1"/>
  <c r="Q126" i="1"/>
  <c r="P126" i="1"/>
  <c r="O126" i="1"/>
  <c r="N126" i="1"/>
  <c r="M126" i="1"/>
  <c r="L126" i="1"/>
  <c r="J126" i="1"/>
  <c r="Q125" i="1"/>
  <c r="P125" i="1"/>
  <c r="O125" i="1"/>
  <c r="N125" i="1"/>
  <c r="M125" i="1"/>
  <c r="L125" i="1"/>
  <c r="J125" i="1"/>
  <c r="Q124" i="1"/>
  <c r="P124" i="1"/>
  <c r="O124" i="1"/>
  <c r="N124" i="1"/>
  <c r="M124" i="1"/>
  <c r="L124" i="1"/>
  <c r="J124" i="1"/>
  <c r="Q123" i="1"/>
  <c r="P123" i="1"/>
  <c r="O123" i="1"/>
  <c r="N123" i="1"/>
  <c r="M123" i="1"/>
  <c r="L123" i="1"/>
  <c r="J123" i="1"/>
  <c r="Q122" i="1"/>
  <c r="P122" i="1"/>
  <c r="O122" i="1"/>
  <c r="N122" i="1"/>
  <c r="M122" i="1"/>
  <c r="L122" i="1"/>
  <c r="J122" i="1"/>
  <c r="Q121" i="1"/>
  <c r="P121" i="1"/>
  <c r="O121" i="1"/>
  <c r="N121" i="1"/>
  <c r="M121" i="1"/>
  <c r="L121" i="1"/>
  <c r="J121" i="1"/>
  <c r="Q120" i="1"/>
  <c r="P120" i="1"/>
  <c r="O120" i="1"/>
  <c r="N120" i="1"/>
  <c r="M120" i="1"/>
  <c r="L120" i="1"/>
  <c r="J120" i="1"/>
  <c r="Q119" i="1"/>
  <c r="P119" i="1"/>
  <c r="O119" i="1"/>
  <c r="N119" i="1"/>
  <c r="M119" i="1"/>
  <c r="L119" i="1"/>
  <c r="J119" i="1"/>
  <c r="Q118" i="1"/>
  <c r="P118" i="1"/>
  <c r="O118" i="1"/>
  <c r="N118" i="1"/>
  <c r="M118" i="1"/>
  <c r="L118" i="1"/>
  <c r="J118" i="1"/>
  <c r="Q117" i="1"/>
  <c r="P117" i="1"/>
  <c r="O117" i="1"/>
  <c r="N117" i="1"/>
  <c r="M117" i="1"/>
  <c r="L117" i="1"/>
  <c r="J117" i="1"/>
  <c r="Q116" i="1"/>
  <c r="P116" i="1"/>
  <c r="O116" i="1"/>
  <c r="N116" i="1"/>
  <c r="M116" i="1"/>
  <c r="L116" i="1"/>
  <c r="J116" i="1"/>
  <c r="Q115" i="1"/>
  <c r="P115" i="1"/>
  <c r="O115" i="1"/>
  <c r="N115" i="1"/>
  <c r="M115" i="1"/>
  <c r="L115" i="1"/>
  <c r="J115" i="1"/>
  <c r="Q114" i="1"/>
  <c r="P114" i="1"/>
  <c r="O114" i="1"/>
  <c r="N114" i="1"/>
  <c r="M114" i="1"/>
  <c r="L114" i="1"/>
  <c r="J114" i="1"/>
  <c r="Q113" i="1"/>
  <c r="P113" i="1"/>
  <c r="O113" i="1"/>
  <c r="N113" i="1"/>
  <c r="M113" i="1"/>
  <c r="L113" i="1"/>
  <c r="J113" i="1"/>
  <c r="Q112" i="1"/>
  <c r="P112" i="1"/>
  <c r="O112" i="1"/>
  <c r="N112" i="1"/>
  <c r="M112" i="1"/>
  <c r="L112" i="1"/>
  <c r="J112" i="1"/>
  <c r="Q111" i="1"/>
  <c r="P111" i="1"/>
  <c r="O111" i="1"/>
  <c r="N111" i="1"/>
  <c r="M111" i="1"/>
  <c r="L111" i="1"/>
  <c r="J111" i="1"/>
  <c r="Q110" i="1"/>
  <c r="P110" i="1"/>
  <c r="O110" i="1"/>
  <c r="N110" i="1"/>
  <c r="M110" i="1"/>
  <c r="L110" i="1"/>
  <c r="J110" i="1"/>
  <c r="Q109" i="1"/>
  <c r="P109" i="1"/>
  <c r="O109" i="1"/>
  <c r="N109" i="1"/>
  <c r="M109" i="1"/>
  <c r="L109" i="1"/>
  <c r="J109" i="1"/>
  <c r="Q108" i="1"/>
  <c r="P108" i="1"/>
  <c r="O108" i="1"/>
  <c r="N108" i="1"/>
  <c r="M108" i="1"/>
  <c r="L108" i="1"/>
  <c r="J108" i="1"/>
  <c r="Q107" i="1"/>
  <c r="P107" i="1"/>
  <c r="O107" i="1"/>
  <c r="N107" i="1"/>
  <c r="M107" i="1"/>
  <c r="L107" i="1"/>
  <c r="J107" i="1"/>
  <c r="Q106" i="1"/>
  <c r="P106" i="1"/>
  <c r="O106" i="1"/>
  <c r="N106" i="1"/>
  <c r="M106" i="1"/>
  <c r="L106" i="1"/>
  <c r="J106" i="1"/>
  <c r="Q105" i="1"/>
  <c r="P105" i="1"/>
  <c r="O105" i="1"/>
  <c r="N105" i="1"/>
  <c r="M105" i="1"/>
  <c r="L105" i="1"/>
  <c r="J105" i="1"/>
  <c r="Q104" i="1"/>
  <c r="P104" i="1"/>
  <c r="O104" i="1"/>
  <c r="N104" i="1"/>
  <c r="M104" i="1"/>
  <c r="L104" i="1"/>
  <c r="J104" i="1"/>
  <c r="Q103" i="1"/>
  <c r="P103" i="1"/>
  <c r="O103" i="1"/>
  <c r="N103" i="1"/>
  <c r="M103" i="1"/>
  <c r="L103" i="1"/>
  <c r="J103" i="1"/>
  <c r="Q102" i="1"/>
  <c r="P102" i="1"/>
  <c r="O102" i="1"/>
  <c r="N102" i="1"/>
  <c r="M102" i="1"/>
  <c r="L102" i="1"/>
  <c r="J102" i="1"/>
  <c r="Q101" i="1"/>
  <c r="P101" i="1"/>
  <c r="O101" i="1"/>
  <c r="N101" i="1"/>
  <c r="M101" i="1"/>
  <c r="L101" i="1"/>
  <c r="J101" i="1"/>
  <c r="Q100" i="1"/>
  <c r="P100" i="1"/>
  <c r="O100" i="1"/>
  <c r="N100" i="1"/>
  <c r="M100" i="1"/>
  <c r="L100" i="1"/>
  <c r="J100" i="1"/>
  <c r="Q99" i="1"/>
  <c r="P99" i="1"/>
  <c r="O99" i="1"/>
  <c r="N99" i="1"/>
  <c r="M99" i="1"/>
  <c r="L99" i="1"/>
  <c r="J99" i="1"/>
  <c r="Q98" i="1"/>
  <c r="P98" i="1"/>
  <c r="O98" i="1"/>
  <c r="N98" i="1"/>
  <c r="M98" i="1"/>
  <c r="L98" i="1"/>
  <c r="J98" i="1"/>
  <c r="Q97" i="1"/>
  <c r="P97" i="1"/>
  <c r="O97" i="1"/>
  <c r="N97" i="1"/>
  <c r="M97" i="1"/>
  <c r="L97" i="1"/>
  <c r="J97" i="1"/>
  <c r="Q96" i="1"/>
  <c r="P96" i="1"/>
  <c r="O96" i="1"/>
  <c r="N96" i="1"/>
  <c r="M96" i="1"/>
  <c r="L96" i="1"/>
  <c r="J96" i="1"/>
  <c r="Q95" i="1"/>
  <c r="P95" i="1"/>
  <c r="O95" i="1"/>
  <c r="N95" i="1"/>
  <c r="M95" i="1"/>
  <c r="L95" i="1"/>
  <c r="J95" i="1"/>
  <c r="Q94" i="1"/>
  <c r="P94" i="1"/>
  <c r="O94" i="1"/>
  <c r="N94" i="1"/>
  <c r="M94" i="1"/>
  <c r="L94" i="1"/>
  <c r="J94" i="1"/>
  <c r="Q93" i="1"/>
  <c r="P93" i="1"/>
  <c r="O93" i="1"/>
  <c r="N93" i="1"/>
  <c r="M93" i="1"/>
  <c r="L93" i="1"/>
  <c r="J93" i="1"/>
  <c r="Q92" i="1"/>
  <c r="P92" i="1"/>
  <c r="O92" i="1"/>
  <c r="N92" i="1"/>
  <c r="M92" i="1"/>
  <c r="L92" i="1"/>
  <c r="J92" i="1"/>
  <c r="Q91" i="1"/>
  <c r="P91" i="1"/>
  <c r="O91" i="1"/>
  <c r="N91" i="1"/>
  <c r="M91" i="1"/>
  <c r="L91" i="1"/>
  <c r="J91" i="1"/>
  <c r="Q90" i="1"/>
  <c r="P90" i="1"/>
  <c r="O90" i="1"/>
  <c r="N90" i="1"/>
  <c r="M90" i="1"/>
  <c r="L90" i="1"/>
  <c r="J90" i="1"/>
  <c r="Q89" i="1"/>
  <c r="P89" i="1"/>
  <c r="O89" i="1"/>
  <c r="N89" i="1"/>
  <c r="M89" i="1"/>
  <c r="L89" i="1"/>
  <c r="J89" i="1"/>
  <c r="Q88" i="1"/>
  <c r="P88" i="1"/>
  <c r="O88" i="1"/>
  <c r="N88" i="1"/>
  <c r="M88" i="1"/>
  <c r="L88" i="1"/>
  <c r="J88" i="1"/>
  <c r="Q87" i="1"/>
  <c r="P87" i="1"/>
  <c r="O87" i="1"/>
  <c r="N87" i="1"/>
  <c r="M87" i="1"/>
  <c r="L87" i="1"/>
  <c r="J87" i="1"/>
  <c r="Q86" i="1"/>
  <c r="P86" i="1"/>
  <c r="O86" i="1"/>
  <c r="N86" i="1"/>
  <c r="M86" i="1"/>
  <c r="L86" i="1"/>
  <c r="J86" i="1"/>
  <c r="Q85" i="1"/>
  <c r="P85" i="1"/>
  <c r="O85" i="1"/>
  <c r="N85" i="1"/>
  <c r="M85" i="1"/>
  <c r="L85" i="1"/>
  <c r="J85" i="1"/>
  <c r="Q84" i="1"/>
  <c r="P84" i="1"/>
  <c r="O84" i="1"/>
  <c r="N84" i="1"/>
  <c r="M84" i="1"/>
  <c r="L84" i="1"/>
  <c r="J84" i="1"/>
  <c r="Q83" i="1"/>
  <c r="P83" i="1"/>
  <c r="O83" i="1"/>
  <c r="N83" i="1"/>
  <c r="M83" i="1"/>
  <c r="L83" i="1"/>
  <c r="J83" i="1"/>
  <c r="Q82" i="1"/>
  <c r="P82" i="1"/>
  <c r="O82" i="1"/>
  <c r="N82" i="1"/>
  <c r="M82" i="1"/>
  <c r="L82" i="1"/>
  <c r="J82" i="1"/>
  <c r="Q81" i="1"/>
  <c r="P81" i="1"/>
  <c r="O81" i="1"/>
  <c r="N81" i="1"/>
  <c r="M81" i="1"/>
  <c r="L81" i="1"/>
  <c r="J81" i="1"/>
  <c r="Q80" i="1"/>
  <c r="P80" i="1"/>
  <c r="O80" i="1"/>
  <c r="N80" i="1"/>
  <c r="M80" i="1"/>
  <c r="L80" i="1"/>
  <c r="J80" i="1"/>
  <c r="Q79" i="1"/>
  <c r="P79" i="1"/>
  <c r="O79" i="1"/>
  <c r="N79" i="1"/>
  <c r="M79" i="1"/>
  <c r="L79" i="1"/>
  <c r="J79" i="1"/>
  <c r="Q78" i="1"/>
  <c r="P78" i="1"/>
  <c r="O78" i="1"/>
  <c r="N78" i="1"/>
  <c r="M78" i="1"/>
  <c r="L78" i="1"/>
  <c r="J78" i="1"/>
  <c r="Q77" i="1"/>
  <c r="P77" i="1"/>
  <c r="O77" i="1"/>
  <c r="N77" i="1"/>
  <c r="M77" i="1"/>
  <c r="L77" i="1"/>
  <c r="J77" i="1"/>
  <c r="Q76" i="1"/>
  <c r="P76" i="1"/>
  <c r="O76" i="1"/>
  <c r="N76" i="1"/>
  <c r="M76" i="1"/>
  <c r="L76" i="1"/>
  <c r="J76" i="1"/>
  <c r="Q75" i="1"/>
  <c r="P75" i="1"/>
  <c r="O75" i="1"/>
  <c r="N75" i="1"/>
  <c r="M75" i="1"/>
  <c r="L75" i="1"/>
  <c r="J75" i="1"/>
  <c r="Q74" i="1"/>
  <c r="P74" i="1"/>
  <c r="O74" i="1"/>
  <c r="N74" i="1"/>
  <c r="M74" i="1"/>
  <c r="L74" i="1"/>
  <c r="J74" i="1"/>
  <c r="Q73" i="1"/>
  <c r="P73" i="1"/>
  <c r="O73" i="1"/>
  <c r="N73" i="1"/>
  <c r="M73" i="1"/>
  <c r="L73" i="1"/>
  <c r="J73" i="1"/>
  <c r="Q72" i="1"/>
  <c r="P72" i="1"/>
  <c r="O72" i="1"/>
  <c r="N72" i="1"/>
  <c r="M72" i="1"/>
  <c r="L72" i="1"/>
  <c r="J72" i="1"/>
  <c r="Q71" i="1"/>
  <c r="P71" i="1"/>
  <c r="O71" i="1"/>
  <c r="N71" i="1"/>
  <c r="M71" i="1"/>
  <c r="L71" i="1"/>
  <c r="J71" i="1"/>
  <c r="Q70" i="1"/>
  <c r="P70" i="1"/>
  <c r="O70" i="1"/>
  <c r="N70" i="1"/>
  <c r="M70" i="1"/>
  <c r="L70" i="1"/>
  <c r="J70" i="1"/>
  <c r="Q69" i="1"/>
  <c r="P69" i="1"/>
  <c r="O69" i="1"/>
  <c r="N69" i="1"/>
  <c r="M69" i="1"/>
  <c r="L69" i="1"/>
  <c r="J69" i="1"/>
  <c r="Q68" i="1"/>
  <c r="P68" i="1"/>
  <c r="O68" i="1"/>
  <c r="N68" i="1"/>
  <c r="M68" i="1"/>
  <c r="L68" i="1"/>
  <c r="J68" i="1"/>
  <c r="Q67" i="1"/>
  <c r="P67" i="1"/>
  <c r="O67" i="1"/>
  <c r="N67" i="1"/>
  <c r="M67" i="1"/>
  <c r="L67" i="1"/>
  <c r="J67" i="1"/>
  <c r="Q66" i="1"/>
  <c r="P66" i="1"/>
  <c r="O66" i="1"/>
  <c r="N66" i="1"/>
  <c r="M66" i="1"/>
  <c r="L66" i="1"/>
  <c r="J66" i="1"/>
  <c r="Q65" i="1"/>
  <c r="P65" i="1"/>
  <c r="O65" i="1"/>
  <c r="N65" i="1"/>
  <c r="M65" i="1"/>
  <c r="L65" i="1"/>
  <c r="J65" i="1"/>
  <c r="Q64" i="1"/>
  <c r="P64" i="1"/>
  <c r="O64" i="1"/>
  <c r="N64" i="1"/>
  <c r="M64" i="1"/>
  <c r="L64" i="1"/>
  <c r="J64" i="1"/>
  <c r="Q63" i="1"/>
  <c r="P63" i="1"/>
  <c r="O63" i="1"/>
  <c r="N63" i="1"/>
  <c r="M63" i="1"/>
  <c r="L63" i="1"/>
  <c r="J63" i="1"/>
  <c r="Q62" i="1"/>
  <c r="P62" i="1"/>
  <c r="O62" i="1"/>
  <c r="N62" i="1"/>
  <c r="M62" i="1"/>
  <c r="L62" i="1"/>
  <c r="J62" i="1"/>
  <c r="Q61" i="1"/>
  <c r="P61" i="1"/>
  <c r="O61" i="1"/>
  <c r="N61" i="1"/>
  <c r="M61" i="1"/>
  <c r="L61" i="1"/>
  <c r="J61" i="1"/>
  <c r="Q60" i="1"/>
  <c r="P60" i="1"/>
  <c r="O60" i="1"/>
  <c r="N60" i="1"/>
  <c r="M60" i="1"/>
  <c r="L60" i="1"/>
  <c r="J60" i="1"/>
  <c r="Q59" i="1"/>
  <c r="P59" i="1"/>
  <c r="O59" i="1"/>
  <c r="N59" i="1"/>
  <c r="M59" i="1"/>
  <c r="L59" i="1"/>
  <c r="J59" i="1"/>
  <c r="Q58" i="1"/>
  <c r="P58" i="1"/>
  <c r="O58" i="1"/>
  <c r="N58" i="1"/>
  <c r="M58" i="1"/>
  <c r="L58" i="1"/>
  <c r="J58" i="1"/>
  <c r="Q57" i="1"/>
  <c r="P57" i="1"/>
  <c r="O57" i="1"/>
  <c r="N57" i="1"/>
  <c r="M57" i="1"/>
  <c r="L57" i="1"/>
  <c r="J57" i="1"/>
  <c r="Q56" i="1"/>
  <c r="P56" i="1"/>
  <c r="O56" i="1"/>
  <c r="N56" i="1"/>
  <c r="M56" i="1"/>
  <c r="L56" i="1"/>
  <c r="J56" i="1"/>
  <c r="Q55" i="1"/>
  <c r="P55" i="1"/>
  <c r="O55" i="1"/>
  <c r="N55" i="1"/>
  <c r="M55" i="1"/>
  <c r="L55" i="1"/>
  <c r="J55" i="1"/>
  <c r="Q54" i="1"/>
  <c r="P54" i="1"/>
  <c r="O54" i="1"/>
  <c r="N54" i="1"/>
  <c r="M54" i="1"/>
  <c r="L54" i="1"/>
  <c r="J54" i="1"/>
  <c r="Q53" i="1"/>
  <c r="P53" i="1"/>
  <c r="O53" i="1"/>
  <c r="N53" i="1"/>
  <c r="M53" i="1"/>
  <c r="L53" i="1"/>
  <c r="J53" i="1"/>
  <c r="Q52" i="1"/>
  <c r="P52" i="1"/>
  <c r="O52" i="1"/>
  <c r="N52" i="1"/>
  <c r="M52" i="1"/>
  <c r="L52" i="1"/>
  <c r="J52" i="1"/>
  <c r="Q51" i="1"/>
  <c r="P51" i="1"/>
  <c r="O51" i="1"/>
  <c r="N51" i="1"/>
  <c r="M51" i="1"/>
  <c r="L51" i="1"/>
  <c r="J51" i="1"/>
  <c r="Q50" i="1"/>
  <c r="P50" i="1"/>
  <c r="O50" i="1"/>
  <c r="N50" i="1"/>
  <c r="M50" i="1"/>
  <c r="L50" i="1"/>
  <c r="J50" i="1"/>
  <c r="Q49" i="1"/>
  <c r="P49" i="1"/>
  <c r="O49" i="1"/>
  <c r="N49" i="1"/>
  <c r="M49" i="1"/>
  <c r="L49" i="1"/>
  <c r="J49" i="1"/>
  <c r="Q48" i="1"/>
  <c r="P48" i="1"/>
  <c r="O48" i="1"/>
  <c r="N48" i="1"/>
  <c r="M48" i="1"/>
  <c r="L48" i="1"/>
  <c r="J48" i="1"/>
  <c r="Q47" i="1"/>
  <c r="P47" i="1"/>
  <c r="O47" i="1"/>
  <c r="N47" i="1"/>
  <c r="M47" i="1"/>
  <c r="L47" i="1"/>
  <c r="J47" i="1"/>
  <c r="Q46" i="1"/>
  <c r="P46" i="1"/>
  <c r="O46" i="1"/>
  <c r="N46" i="1"/>
  <c r="M46" i="1"/>
  <c r="L46" i="1"/>
  <c r="J46" i="1"/>
  <c r="Q45" i="1"/>
  <c r="P45" i="1"/>
  <c r="O45" i="1"/>
  <c r="N45" i="1"/>
  <c r="M45" i="1"/>
  <c r="L45" i="1"/>
  <c r="J45" i="1"/>
  <c r="Q44" i="1"/>
  <c r="P44" i="1"/>
  <c r="O44" i="1"/>
  <c r="N44" i="1"/>
  <c r="M44" i="1"/>
  <c r="L44" i="1"/>
  <c r="J44" i="1"/>
  <c r="Q43" i="1"/>
  <c r="P43" i="1"/>
  <c r="O43" i="1"/>
  <c r="N43" i="1"/>
  <c r="M43" i="1"/>
  <c r="L43" i="1"/>
  <c r="J43" i="1"/>
  <c r="Q42" i="1"/>
  <c r="P42" i="1"/>
  <c r="O42" i="1"/>
  <c r="N42" i="1"/>
  <c r="M42" i="1"/>
  <c r="L42" i="1"/>
  <c r="J42" i="1"/>
  <c r="Q41" i="1"/>
  <c r="P41" i="1"/>
  <c r="O41" i="1"/>
  <c r="N41" i="1"/>
  <c r="M41" i="1"/>
  <c r="L41" i="1"/>
  <c r="J41" i="1"/>
  <c r="Q40" i="1"/>
  <c r="P40" i="1"/>
  <c r="O40" i="1"/>
  <c r="N40" i="1"/>
  <c r="M40" i="1"/>
  <c r="L40" i="1"/>
  <c r="J40" i="1"/>
  <c r="Q39" i="1"/>
  <c r="P39" i="1"/>
  <c r="O39" i="1"/>
  <c r="N39" i="1"/>
  <c r="M39" i="1"/>
  <c r="L39" i="1"/>
  <c r="J39" i="1"/>
  <c r="Q38" i="1"/>
  <c r="P38" i="1"/>
  <c r="O38" i="1"/>
  <c r="N38" i="1"/>
  <c r="M38" i="1"/>
  <c r="L38" i="1"/>
  <c r="J38" i="1"/>
  <c r="Q37" i="1"/>
  <c r="P37" i="1"/>
  <c r="O37" i="1"/>
  <c r="N37" i="1"/>
  <c r="M37" i="1"/>
  <c r="L37" i="1"/>
  <c r="J37" i="1"/>
  <c r="Q36" i="1"/>
  <c r="P36" i="1"/>
  <c r="O36" i="1"/>
  <c r="N36" i="1"/>
  <c r="M36" i="1"/>
  <c r="L36" i="1"/>
  <c r="J36" i="1"/>
  <c r="Q35" i="1"/>
  <c r="P35" i="1"/>
  <c r="O35" i="1"/>
  <c r="N35" i="1"/>
  <c r="M35" i="1"/>
  <c r="L35" i="1"/>
  <c r="J35" i="1"/>
  <c r="Q34" i="1"/>
  <c r="P34" i="1"/>
  <c r="O34" i="1"/>
  <c r="N34" i="1"/>
  <c r="M34" i="1"/>
  <c r="L34" i="1"/>
  <c r="J34" i="1"/>
  <c r="Q33" i="1"/>
  <c r="P33" i="1"/>
  <c r="O33" i="1"/>
  <c r="N33" i="1"/>
  <c r="M33" i="1"/>
  <c r="L33" i="1"/>
  <c r="J33" i="1"/>
  <c r="Q32" i="1"/>
  <c r="P32" i="1"/>
  <c r="O32" i="1"/>
  <c r="N32" i="1"/>
  <c r="M32" i="1"/>
  <c r="L32" i="1"/>
  <c r="J32" i="1"/>
  <c r="Q31" i="1"/>
  <c r="P31" i="1"/>
  <c r="O31" i="1"/>
  <c r="N31" i="1"/>
  <c r="M31" i="1"/>
  <c r="L31" i="1"/>
  <c r="J31" i="1"/>
  <c r="Q30" i="1"/>
  <c r="P30" i="1"/>
  <c r="O30" i="1"/>
  <c r="N30" i="1"/>
  <c r="M30" i="1"/>
  <c r="L30" i="1"/>
  <c r="J30" i="1"/>
  <c r="Q29" i="1"/>
  <c r="P29" i="1"/>
  <c r="O29" i="1"/>
  <c r="N29" i="1"/>
  <c r="M29" i="1"/>
  <c r="L29" i="1"/>
  <c r="J29" i="1"/>
  <c r="Q28" i="1"/>
  <c r="P28" i="1"/>
  <c r="O28" i="1"/>
  <c r="N28" i="1"/>
  <c r="M28" i="1"/>
  <c r="L28" i="1"/>
  <c r="J28" i="1"/>
  <c r="Q27" i="1"/>
  <c r="P27" i="1"/>
  <c r="O27" i="1"/>
  <c r="N27" i="1"/>
  <c r="M27" i="1"/>
  <c r="L27" i="1"/>
  <c r="J27" i="1"/>
  <c r="Q26" i="1"/>
  <c r="P26" i="1"/>
  <c r="O26" i="1"/>
  <c r="N26" i="1"/>
  <c r="M26" i="1"/>
  <c r="L26" i="1"/>
  <c r="J26" i="1"/>
  <c r="Q25" i="1"/>
  <c r="P25" i="1"/>
  <c r="O25" i="1"/>
  <c r="N25" i="1"/>
  <c r="M25" i="1"/>
  <c r="L25" i="1"/>
  <c r="J25" i="1"/>
  <c r="Q24" i="1"/>
  <c r="P24" i="1"/>
  <c r="O24" i="1"/>
  <c r="N24" i="1"/>
  <c r="M24" i="1"/>
  <c r="L24" i="1"/>
  <c r="J24" i="1"/>
  <c r="Q23" i="1"/>
  <c r="P23" i="1"/>
  <c r="O23" i="1"/>
  <c r="N23" i="1"/>
  <c r="M23" i="1"/>
  <c r="L23" i="1"/>
  <c r="J23" i="1"/>
  <c r="Q22" i="1"/>
  <c r="P22" i="1"/>
  <c r="O22" i="1"/>
  <c r="N22" i="1"/>
  <c r="M22" i="1"/>
  <c r="L22" i="1"/>
  <c r="J22" i="1"/>
  <c r="Q21" i="1"/>
  <c r="P21" i="1"/>
  <c r="O21" i="1"/>
  <c r="N21" i="1"/>
  <c r="M21" i="1"/>
  <c r="L21" i="1"/>
  <c r="J21" i="1"/>
  <c r="Q20" i="1"/>
  <c r="P20" i="1"/>
  <c r="O20" i="1"/>
  <c r="N20" i="1"/>
  <c r="M20" i="1"/>
  <c r="L20" i="1"/>
  <c r="J20" i="1"/>
  <c r="Q19" i="1"/>
  <c r="P19" i="1"/>
  <c r="O19" i="1"/>
  <c r="N19" i="1"/>
  <c r="M19" i="1"/>
  <c r="L19" i="1"/>
  <c r="J19" i="1"/>
  <c r="Q18" i="1"/>
  <c r="P18" i="1"/>
  <c r="O18" i="1"/>
  <c r="N18" i="1"/>
  <c r="M18" i="1"/>
  <c r="L18" i="1"/>
  <c r="J18" i="1"/>
  <c r="Q17" i="1"/>
  <c r="P17" i="1"/>
  <c r="O17" i="1"/>
  <c r="N17" i="1"/>
  <c r="M17" i="1"/>
  <c r="L17" i="1"/>
  <c r="J17" i="1"/>
  <c r="Q16" i="1"/>
  <c r="P16" i="1"/>
  <c r="O16" i="1"/>
  <c r="N16" i="1"/>
  <c r="M16" i="1"/>
  <c r="L16" i="1"/>
  <c r="J16" i="1"/>
  <c r="Q15" i="1"/>
  <c r="P15" i="1"/>
  <c r="O15" i="1"/>
  <c r="N15" i="1"/>
  <c r="M15" i="1"/>
  <c r="L15" i="1"/>
  <c r="J15" i="1"/>
  <c r="Q14" i="1"/>
  <c r="P14" i="1"/>
  <c r="O14" i="1"/>
  <c r="N14" i="1"/>
  <c r="M14" i="1"/>
  <c r="L14" i="1"/>
  <c r="J14" i="1"/>
  <c r="Q13" i="1"/>
  <c r="P13" i="1"/>
  <c r="O13" i="1"/>
  <c r="N13" i="1"/>
  <c r="M13" i="1"/>
  <c r="L13" i="1"/>
  <c r="J13" i="1"/>
  <c r="Q12" i="1"/>
  <c r="P12" i="1"/>
  <c r="O12" i="1"/>
  <c r="N12" i="1"/>
  <c r="M12" i="1"/>
  <c r="L12" i="1"/>
  <c r="J12" i="1"/>
  <c r="Q11" i="1"/>
  <c r="P11" i="1"/>
  <c r="O11" i="1"/>
  <c r="N11" i="1"/>
  <c r="M11" i="1"/>
  <c r="L11" i="1"/>
  <c r="J11" i="1"/>
  <c r="Q10" i="1"/>
  <c r="P10" i="1"/>
  <c r="O10" i="1"/>
  <c r="N10" i="1"/>
  <c r="M10" i="1"/>
  <c r="L10" i="1"/>
  <c r="J10" i="1"/>
  <c r="Q9" i="1"/>
  <c r="P9" i="1"/>
  <c r="O9" i="1"/>
  <c r="N9" i="1"/>
  <c r="M9" i="1"/>
  <c r="L9" i="1"/>
  <c r="J9" i="1"/>
  <c r="Q8" i="1"/>
  <c r="P8" i="1"/>
  <c r="O8" i="1"/>
  <c r="N8" i="1"/>
  <c r="M8" i="1"/>
  <c r="L8" i="1"/>
  <c r="J8" i="1"/>
  <c r="Q7" i="1"/>
  <c r="P7" i="1"/>
  <c r="O7" i="1"/>
  <c r="N7" i="1"/>
  <c r="M7" i="1"/>
  <c r="L7" i="1"/>
  <c r="J7" i="1"/>
  <c r="Q6" i="1"/>
  <c r="P6" i="1"/>
  <c r="O6" i="1"/>
  <c r="N6" i="1"/>
  <c r="M6" i="1"/>
  <c r="L6" i="1"/>
  <c r="J6" i="1"/>
  <c r="Q5" i="1"/>
  <c r="P5" i="1"/>
  <c r="O5" i="1"/>
  <c r="N5" i="1"/>
  <c r="M5" i="1"/>
  <c r="L5" i="1"/>
  <c r="J5" i="1"/>
  <c r="K394" i="1" l="1"/>
  <c r="K393" i="1"/>
  <c r="K392" i="1"/>
  <c r="K388" i="1"/>
  <c r="K387" i="1"/>
  <c r="K384" i="1"/>
  <c r="K383" i="1"/>
  <c r="K378" i="1"/>
  <c r="K375" i="1"/>
  <c r="K373" i="1"/>
  <c r="K372" i="1"/>
  <c r="K370" i="1"/>
  <c r="K368" i="1"/>
  <c r="K367" i="1"/>
  <c r="K365" i="1"/>
  <c r="K364" i="1"/>
  <c r="K360" i="1"/>
  <c r="K292" i="1"/>
  <c r="K291" i="1"/>
  <c r="K290" i="1"/>
  <c r="K288" i="1"/>
  <c r="K286" i="1"/>
  <c r="K283" i="1"/>
  <c r="K274" i="1"/>
  <c r="K273" i="1"/>
  <c r="K272" i="1"/>
  <c r="K271" i="1"/>
  <c r="K269" i="1"/>
  <c r="K266" i="1"/>
  <c r="K249" i="1"/>
  <c r="K246" i="1"/>
  <c r="K242" i="1"/>
  <c r="K240" i="1"/>
  <c r="K238" i="1"/>
  <c r="K237" i="1"/>
  <c r="K236" i="1"/>
  <c r="K234" i="1"/>
  <c r="K232" i="1"/>
  <c r="K229" i="1"/>
  <c r="K227" i="1"/>
  <c r="K226" i="1"/>
  <c r="K219" i="1"/>
  <c r="K216" i="1"/>
  <c r="K215" i="1"/>
  <c r="K211" i="1"/>
  <c r="K204" i="1"/>
  <c r="K202" i="1"/>
  <c r="K199" i="1"/>
  <c r="K196" i="1"/>
  <c r="K195" i="1"/>
  <c r="K194" i="1"/>
  <c r="K190" i="1"/>
  <c r="K187" i="1"/>
  <c r="K186" i="1"/>
  <c r="K181" i="1"/>
  <c r="K179" i="1"/>
  <c r="K173" i="1"/>
  <c r="K117" i="1"/>
  <c r="K116" i="1"/>
  <c r="K112" i="1"/>
  <c r="K106" i="1"/>
  <c r="K103" i="1"/>
  <c r="K102" i="1"/>
  <c r="K100" i="1"/>
  <c r="K98" i="1"/>
  <c r="K94" i="1"/>
  <c r="K91" i="1"/>
  <c r="K89" i="1"/>
  <c r="K80" i="1"/>
  <c r="A21" i="2"/>
  <c r="A20" i="2"/>
  <c r="A19" i="2"/>
  <c r="A18" i="2"/>
  <c r="A17" i="2"/>
  <c r="A11" i="2"/>
  <c r="A10" i="2"/>
  <c r="A9" i="2"/>
  <c r="A8" i="2"/>
  <c r="A7" i="2"/>
  <c r="J400" i="1"/>
  <c r="K400" i="1" s="1"/>
  <c r="J399" i="1"/>
  <c r="K399" i="1" s="1"/>
  <c r="J398" i="1"/>
  <c r="K398" i="1" s="1"/>
  <c r="J397" i="1"/>
  <c r="K397" i="1" s="1"/>
  <c r="J396" i="1"/>
  <c r="K396" i="1" s="1"/>
  <c r="K395" i="1"/>
  <c r="K389" i="1"/>
  <c r="K386" i="1"/>
  <c r="K381" i="1"/>
  <c r="K380" i="1"/>
  <c r="K377" i="1"/>
  <c r="K369" i="1"/>
  <c r="K366" i="1"/>
  <c r="K363" i="1"/>
  <c r="K307" i="1"/>
  <c r="K306" i="1"/>
  <c r="K305" i="1"/>
  <c r="K301" i="1"/>
  <c r="K296" i="1"/>
  <c r="K295" i="1"/>
  <c r="K294" i="1"/>
  <c r="K223" i="1"/>
  <c r="K220" i="1"/>
  <c r="K212" i="1"/>
  <c r="K209" i="1"/>
  <c r="K208" i="1"/>
  <c r="K201" i="1"/>
  <c r="K198" i="1"/>
  <c r="K197" i="1"/>
  <c r="K192" i="1"/>
  <c r="K185" i="1"/>
  <c r="K184" i="1"/>
  <c r="K183" i="1"/>
  <c r="K180" i="1"/>
  <c r="K175" i="1"/>
  <c r="K121" i="1"/>
  <c r="K120" i="1"/>
  <c r="K111" i="1"/>
  <c r="K108" i="1"/>
  <c r="K107" i="1"/>
  <c r="K101" i="1"/>
  <c r="K99" i="1"/>
  <c r="K97" i="1"/>
  <c r="K95" i="1"/>
  <c r="K92" i="1"/>
  <c r="K88" i="1"/>
  <c r="K87" i="1"/>
  <c r="K85" i="1"/>
  <c r="K84" i="1"/>
  <c r="K81" i="1"/>
  <c r="K79" i="1"/>
  <c r="J359" i="1"/>
  <c r="K359" i="1" s="1"/>
  <c r="J358" i="1"/>
  <c r="K358" i="1" s="1"/>
  <c r="J357" i="1"/>
  <c r="K357" i="1" s="1"/>
  <c r="J356" i="1"/>
  <c r="K356" i="1" s="1"/>
  <c r="J355" i="1"/>
  <c r="K355" i="1" s="1"/>
  <c r="J354" i="1"/>
  <c r="K354" i="1" s="1"/>
  <c r="J353" i="1"/>
  <c r="K353" i="1" s="1"/>
  <c r="J352" i="1"/>
  <c r="K352" i="1" s="1"/>
  <c r="J351" i="1"/>
  <c r="K351" i="1" s="1"/>
  <c r="J350" i="1"/>
  <c r="K350" i="1" s="1"/>
  <c r="J349" i="1"/>
  <c r="K349" i="1" s="1"/>
  <c r="J348" i="1"/>
  <c r="K348" i="1" s="1"/>
  <c r="J347" i="1"/>
  <c r="K347" i="1" s="1"/>
  <c r="J346" i="1"/>
  <c r="K346" i="1" s="1"/>
  <c r="J345" i="1"/>
  <c r="K345" i="1" s="1"/>
  <c r="J344" i="1"/>
  <c r="K344" i="1" s="1"/>
  <c r="J343" i="1"/>
  <c r="K343" i="1" s="1"/>
  <c r="J342" i="1"/>
  <c r="K342" i="1" s="1"/>
  <c r="J341" i="1"/>
  <c r="K341" i="1" s="1"/>
  <c r="J340" i="1"/>
  <c r="K340" i="1" s="1"/>
  <c r="J339" i="1"/>
  <c r="K339" i="1" s="1"/>
  <c r="J338" i="1"/>
  <c r="K338" i="1" s="1"/>
  <c r="J337" i="1"/>
  <c r="K337" i="1" s="1"/>
  <c r="J336" i="1"/>
  <c r="K336" i="1" s="1"/>
  <c r="J335" i="1"/>
  <c r="K335" i="1" s="1"/>
  <c r="J334" i="1"/>
  <c r="K334" i="1" s="1"/>
  <c r="J333" i="1"/>
  <c r="K333" i="1" s="1"/>
  <c r="J332" i="1"/>
  <c r="K332" i="1" s="1"/>
  <c r="J331" i="1"/>
  <c r="K331" i="1" s="1"/>
  <c r="J330" i="1"/>
  <c r="K330" i="1" s="1"/>
  <c r="J329" i="1"/>
  <c r="K329" i="1" s="1"/>
  <c r="J328" i="1"/>
  <c r="K328" i="1" s="1"/>
  <c r="J327" i="1"/>
  <c r="K327" i="1" s="1"/>
  <c r="J326" i="1"/>
  <c r="K326" i="1" s="1"/>
  <c r="J325" i="1"/>
  <c r="K325" i="1" s="1"/>
  <c r="J324" i="1"/>
  <c r="K324" i="1" s="1"/>
  <c r="J323" i="1"/>
  <c r="K323" i="1" s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08" i="1"/>
  <c r="K304" i="1"/>
  <c r="K303" i="1"/>
  <c r="K302" i="1"/>
  <c r="K297" i="1"/>
  <c r="K293" i="1"/>
  <c r="K289" i="1"/>
  <c r="K287" i="1"/>
  <c r="K285" i="1"/>
  <c r="K284" i="1"/>
  <c r="K282" i="1"/>
  <c r="K281" i="1"/>
  <c r="K280" i="1"/>
  <c r="K279" i="1"/>
  <c r="K278" i="1"/>
  <c r="K277" i="1"/>
  <c r="K276" i="1"/>
  <c r="K275" i="1"/>
  <c r="K270" i="1"/>
  <c r="K268" i="1"/>
  <c r="K267" i="1"/>
  <c r="K248" i="1"/>
  <c r="K247" i="1"/>
  <c r="K245" i="1"/>
  <c r="K244" i="1"/>
  <c r="K243" i="1"/>
  <c r="K241" i="1"/>
  <c r="K239" i="1"/>
  <c r="K235" i="1"/>
  <c r="K233" i="1"/>
  <c r="K231" i="1"/>
  <c r="K230" i="1"/>
  <c r="K228" i="1"/>
  <c r="K225" i="1"/>
  <c r="K222" i="1"/>
  <c r="K221" i="1"/>
  <c r="K218" i="1"/>
  <c r="K217" i="1"/>
  <c r="K214" i="1"/>
  <c r="K213" i="1"/>
  <c r="K210" i="1"/>
  <c r="K207" i="1"/>
  <c r="K206" i="1"/>
  <c r="K205" i="1"/>
  <c r="K203" i="1"/>
  <c r="K200" i="1"/>
  <c r="K191" i="1"/>
  <c r="K178" i="1"/>
  <c r="K177" i="1"/>
  <c r="K174" i="1"/>
  <c r="K172" i="1"/>
  <c r="K119" i="1"/>
  <c r="K118" i="1"/>
  <c r="K115" i="1"/>
  <c r="K114" i="1"/>
  <c r="K110" i="1"/>
  <c r="K109" i="1"/>
  <c r="K104" i="1"/>
  <c r="K96" i="1"/>
  <c r="K90" i="1"/>
  <c r="K82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J171" i="1"/>
  <c r="K171" i="1" s="1"/>
  <c r="J170" i="1"/>
  <c r="K170" i="1" s="1"/>
  <c r="J169" i="1"/>
  <c r="K169" i="1" s="1"/>
  <c r="J168" i="1"/>
  <c r="K168" i="1" s="1"/>
  <c r="J167" i="1"/>
  <c r="K167" i="1" s="1"/>
  <c r="J166" i="1"/>
  <c r="K166" i="1" s="1"/>
  <c r="J165" i="1"/>
  <c r="K165" i="1" s="1"/>
  <c r="J164" i="1"/>
  <c r="K164" i="1" s="1"/>
  <c r="J163" i="1"/>
  <c r="K163" i="1" s="1"/>
  <c r="J162" i="1"/>
  <c r="K162" i="1" s="1"/>
  <c r="J161" i="1"/>
  <c r="K161" i="1" s="1"/>
  <c r="J160" i="1"/>
  <c r="K160" i="1" s="1"/>
  <c r="J159" i="1"/>
  <c r="K159" i="1" s="1"/>
  <c r="J158" i="1"/>
  <c r="K158" i="1" s="1"/>
  <c r="J157" i="1"/>
  <c r="K157" i="1" s="1"/>
  <c r="J156" i="1"/>
  <c r="K156" i="1" s="1"/>
  <c r="J155" i="1"/>
  <c r="K155" i="1" s="1"/>
  <c r="J154" i="1"/>
  <c r="K154" i="1" s="1"/>
  <c r="J153" i="1"/>
  <c r="K153" i="1" s="1"/>
  <c r="J152" i="1"/>
  <c r="K152" i="1" s="1"/>
  <c r="J151" i="1"/>
  <c r="K151" i="1" s="1"/>
  <c r="J150" i="1"/>
  <c r="K150" i="1" s="1"/>
  <c r="J149" i="1"/>
  <c r="K149" i="1" s="1"/>
  <c r="J148" i="1"/>
  <c r="K148" i="1" s="1"/>
  <c r="J147" i="1"/>
  <c r="K147" i="1" s="1"/>
  <c r="J146" i="1"/>
  <c r="K146" i="1" s="1"/>
  <c r="J145" i="1"/>
  <c r="K145" i="1" s="1"/>
  <c r="J144" i="1"/>
  <c r="K144" i="1" s="1"/>
  <c r="J143" i="1"/>
  <c r="K143" i="1" s="1"/>
  <c r="J142" i="1"/>
  <c r="K142" i="1" s="1"/>
  <c r="J141" i="1"/>
  <c r="K141" i="1" s="1"/>
  <c r="J140" i="1"/>
  <c r="K140" i="1" s="1"/>
  <c r="J139" i="1"/>
  <c r="K139" i="1" s="1"/>
  <c r="J138" i="1"/>
  <c r="K138" i="1" s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176" i="1"/>
  <c r="K391" i="1"/>
  <c r="K390" i="1"/>
  <c r="K385" i="1"/>
  <c r="K382" i="1"/>
  <c r="K379" i="1"/>
  <c r="K376" i="1"/>
  <c r="K374" i="1"/>
  <c r="K371" i="1"/>
  <c r="K362" i="1"/>
  <c r="K361" i="1"/>
  <c r="K310" i="1"/>
  <c r="K309" i="1"/>
  <c r="K300" i="1"/>
  <c r="K299" i="1"/>
  <c r="K298" i="1"/>
  <c r="K189" i="1"/>
  <c r="K188" i="1"/>
  <c r="K182" i="1"/>
  <c r="K113" i="1"/>
  <c r="K105" i="1"/>
  <c r="K93" i="1"/>
  <c r="K86" i="1"/>
  <c r="K83" i="1"/>
</calcChain>
</file>

<file path=xl/sharedStrings.xml><?xml version="1.0" encoding="utf-8"?>
<sst xmlns="http://schemas.openxmlformats.org/spreadsheetml/2006/main" count="7523" uniqueCount="389">
  <si>
    <t>FORMULÁRIO PARA A SOLICITAÇÃO DE TRANSPORTE</t>
  </si>
  <si>
    <t>JOGO 2</t>
  </si>
  <si>
    <t>EMPRESA</t>
  </si>
  <si>
    <t>FLAMENGO</t>
  </si>
  <si>
    <t>Rodada</t>
  </si>
  <si>
    <t>Origem</t>
  </si>
  <si>
    <t>Cidade</t>
  </si>
  <si>
    <t>Dia da Coleta</t>
  </si>
  <si>
    <t>Modal</t>
  </si>
  <si>
    <t>Tipo do Produto</t>
  </si>
  <si>
    <t>Qtde
MP em (ton)
PA em (unid)</t>
  </si>
  <si>
    <t>Destino</t>
  </si>
  <si>
    <t>Dias Úteis de viagem</t>
  </si>
  <si>
    <t>Dia da entrega</t>
  </si>
  <si>
    <t>Verificação MP</t>
  </si>
  <si>
    <t>Verificação Destino MP</t>
  </si>
  <si>
    <t>Verificação Modal Avião</t>
  </si>
  <si>
    <t>Verificação Modal Caminhão</t>
  </si>
  <si>
    <t>Verificação Modal Navio</t>
  </si>
  <si>
    <t>Verificação Fluxo Origem/Destino</t>
  </si>
  <si>
    <t>CAPACIDADE MÁXIMA DOS MODAIS DE TRANSPORTE</t>
  </si>
  <si>
    <t>Rodada_9</t>
  </si>
  <si>
    <t>Fornecedor</t>
  </si>
  <si>
    <t>Manaus</t>
  </si>
  <si>
    <t>Dia 42</t>
  </si>
  <si>
    <t>Caminhão</t>
  </si>
  <si>
    <t>MP1</t>
  </si>
  <si>
    <t>Fábrica</t>
  </si>
  <si>
    <t>Joinville</t>
  </si>
  <si>
    <t>Produto</t>
  </si>
  <si>
    <t>Unidade</t>
  </si>
  <si>
    <t>Avião</t>
  </si>
  <si>
    <t>Navio</t>
  </si>
  <si>
    <t>PA1</t>
  </si>
  <si>
    <t>Frascos</t>
  </si>
  <si>
    <t>PA2</t>
  </si>
  <si>
    <t>PA3</t>
  </si>
  <si>
    <t>Cuiabá</t>
  </si>
  <si>
    <t>Dia 41</t>
  </si>
  <si>
    <t>MP2</t>
  </si>
  <si>
    <t>Peso (ton)</t>
  </si>
  <si>
    <t>MP3</t>
  </si>
  <si>
    <t>Dia 43</t>
  </si>
  <si>
    <t>MATÉRIA-PRIMA</t>
  </si>
  <si>
    <t>Porto Alegre</t>
  </si>
  <si>
    <t>Dia 44</t>
  </si>
  <si>
    <t>CD</t>
  </si>
  <si>
    <t>Santos</t>
  </si>
  <si>
    <t>Belém</t>
  </si>
  <si>
    <t>Vitória da Conquista</t>
  </si>
  <si>
    <t>São Luís</t>
  </si>
  <si>
    <t>Varejista</t>
  </si>
  <si>
    <t>Belo Horizonte</t>
  </si>
  <si>
    <t>Brasília</t>
  </si>
  <si>
    <t>Campinas</t>
  </si>
  <si>
    <t>Campo Grande</t>
  </si>
  <si>
    <t>Curitiba</t>
  </si>
  <si>
    <t>Fortaleza</t>
  </si>
  <si>
    <t>Goiânia</t>
  </si>
  <si>
    <t>João Pessoa</t>
  </si>
  <si>
    <t>Maceió</t>
  </si>
  <si>
    <t>Natal</t>
  </si>
  <si>
    <t>Recife</t>
  </si>
  <si>
    <t>Ribeirão Preto</t>
  </si>
  <si>
    <t>Rio de Janeiro</t>
  </si>
  <si>
    <t>Salvador</t>
  </si>
  <si>
    <t>São Paulo</t>
  </si>
  <si>
    <t>Uberlândia</t>
  </si>
  <si>
    <t>Vitória</t>
  </si>
  <si>
    <t>ORDEM DE PRODUÇÃO</t>
  </si>
  <si>
    <t>Localização</t>
  </si>
  <si>
    <t>Qtde Máquinas</t>
  </si>
  <si>
    <t>Qtde operadores</t>
  </si>
  <si>
    <t>RODADA</t>
  </si>
  <si>
    <t>Informe qual a rodada da ordem de produção na célula F4!</t>
  </si>
  <si>
    <t>F1</t>
  </si>
  <si>
    <t>IMPORTANTE:
(1) Se não houver produção na rodada as células deverão ser preenchidas com o valor zero "0".
(2) Se sua Empresa tem apenas uma fábrica mantenha as células da F2 também com o valor zero "0".</t>
  </si>
  <si>
    <t>F2</t>
  </si>
  <si>
    <t>a) Não é permitido ter duas instalações numa mesma cidade!
b) Quantidade máxima de máquinas por empresa: 8 máquinas
c) Se a empresa tiver duas fábricas o total de máquinas deverá ser 8 máquinas
d) Cada máquina deverá ter um único operador por turno de trabalho
e) A empresa poderá trabalhar em até 3 turnos de trabalho de 8 horas</t>
  </si>
  <si>
    <t>DECISÕES INICIAIS DE SET-UP</t>
  </si>
  <si>
    <t>CONFIGURAÇÃO DAS INSTALAÇÕES</t>
  </si>
  <si>
    <t>Qtde de Máquinas</t>
  </si>
  <si>
    <t>Turnos de Trabalho</t>
  </si>
  <si>
    <t>Quantidade
Mão-de-obra</t>
  </si>
  <si>
    <t>Área Estoque
MP1 (m2)</t>
  </si>
  <si>
    <t>Área Estoque
MP2 (m2)</t>
  </si>
  <si>
    <t>Área Estoque
MP3 (m2)</t>
  </si>
  <si>
    <t>Centro de Distribuição</t>
  </si>
  <si>
    <t>Área PA1 (m2)</t>
  </si>
  <si>
    <t>Área PA2 (m2)</t>
  </si>
  <si>
    <t>Área PA3 (m2)</t>
  </si>
  <si>
    <t>Área Total do CD (m2)</t>
  </si>
  <si>
    <t>CD1</t>
  </si>
  <si>
    <t>CD2</t>
  </si>
  <si>
    <t>CD3</t>
  </si>
  <si>
    <t>CD4</t>
  </si>
  <si>
    <t>CHAVE - OrigemDestinoModal</t>
  </si>
  <si>
    <t>MODAL</t>
  </si>
  <si>
    <t>ORIGEM</t>
  </si>
  <si>
    <t>DESTINO</t>
  </si>
  <si>
    <t>Dias de Viagem</t>
  </si>
  <si>
    <t>#VALUE!</t>
  </si>
  <si>
    <t>MP</t>
  </si>
  <si>
    <t>Dimensão</t>
  </si>
  <si>
    <t>Rodada_1</t>
  </si>
  <si>
    <t>Rodada_2</t>
  </si>
  <si>
    <t>Rodada_3</t>
  </si>
  <si>
    <t>Rodada_4</t>
  </si>
  <si>
    <t>Rodada_5</t>
  </si>
  <si>
    <t>Rodada_6</t>
  </si>
  <si>
    <t>Rodada_7</t>
  </si>
  <si>
    <t>Rodada_8</t>
  </si>
  <si>
    <t>Rodada_10</t>
  </si>
  <si>
    <t>Rodada_11</t>
  </si>
  <si>
    <t>Rodada_12</t>
  </si>
  <si>
    <t>Rodada_13</t>
  </si>
  <si>
    <t>Rodada_14</t>
  </si>
  <si>
    <t>Rodada_15</t>
  </si>
  <si>
    <t>Rodada_16</t>
  </si>
  <si>
    <t>Rodada_17</t>
  </si>
  <si>
    <t>Rodada_18</t>
  </si>
  <si>
    <t>Rodada_19</t>
  </si>
  <si>
    <t>Rodada_20</t>
  </si>
  <si>
    <t>Rodada_21</t>
  </si>
  <si>
    <t>Rodada_22</t>
  </si>
  <si>
    <t>Rodada_23</t>
  </si>
  <si>
    <t>Rodada_24</t>
  </si>
  <si>
    <t>Rodada_25</t>
  </si>
  <si>
    <t>Rodada_26</t>
  </si>
  <si>
    <t>Rodada_27</t>
  </si>
  <si>
    <t>Rodada_28</t>
  </si>
  <si>
    <t>Rodada_29</t>
  </si>
  <si>
    <t>Rodada_30</t>
  </si>
  <si>
    <t>Rodada_31</t>
  </si>
  <si>
    <t>Rodada_32</t>
  </si>
  <si>
    <t>Rodada_33</t>
  </si>
  <si>
    <t>Rodada_34</t>
  </si>
  <si>
    <t>Rodada_35</t>
  </si>
  <si>
    <t>Rodada_36</t>
  </si>
  <si>
    <t>Rodada_37</t>
  </si>
  <si>
    <t>Rodada_38</t>
  </si>
  <si>
    <t>Rodada_39</t>
  </si>
  <si>
    <t>Rodada_40</t>
  </si>
  <si>
    <t>Rodada_41</t>
  </si>
  <si>
    <t>Rodada_42</t>
  </si>
  <si>
    <t>Rodada_43</t>
  </si>
  <si>
    <t>Rodada_44</t>
  </si>
  <si>
    <t>Rodada_45</t>
  </si>
  <si>
    <t>Rodada_46</t>
  </si>
  <si>
    <t>Rodada_47</t>
  </si>
  <si>
    <t>Rodada_48</t>
  </si>
  <si>
    <t>Dia 1</t>
  </si>
  <si>
    <t>Dia 6</t>
  </si>
  <si>
    <t>Dia 11</t>
  </si>
  <si>
    <t>Dia 16</t>
  </si>
  <si>
    <t>Dia 21</t>
  </si>
  <si>
    <t>Dia 26</t>
  </si>
  <si>
    <t>Dia 31</t>
  </si>
  <si>
    <t>Dia 36</t>
  </si>
  <si>
    <t>Dia 46</t>
  </si>
  <si>
    <t>Dia 51</t>
  </si>
  <si>
    <t>Dia 56</t>
  </si>
  <si>
    <t>Dia 61</t>
  </si>
  <si>
    <t>Dia 66</t>
  </si>
  <si>
    <t>Dia 71</t>
  </si>
  <si>
    <t>Dia 76</t>
  </si>
  <si>
    <t>Dia 81</t>
  </si>
  <si>
    <t>Dia 86</t>
  </si>
  <si>
    <t>Dia 91</t>
  </si>
  <si>
    <t>Dia 96</t>
  </si>
  <si>
    <t>Dia 101</t>
  </si>
  <si>
    <t>Dia 106</t>
  </si>
  <si>
    <t>Dia 111</t>
  </si>
  <si>
    <t>Dia 116</t>
  </si>
  <si>
    <t>Dia 121</t>
  </si>
  <si>
    <t>Dia 126</t>
  </si>
  <si>
    <t>Dia 131</t>
  </si>
  <si>
    <t>Dia 136</t>
  </si>
  <si>
    <t>Dia 141</t>
  </si>
  <si>
    <t>Dia 146</t>
  </si>
  <si>
    <t>Dia 151</t>
  </si>
  <si>
    <t>Dia 156</t>
  </si>
  <si>
    <t>Dia 161</t>
  </si>
  <si>
    <t>Dia 166</t>
  </si>
  <si>
    <t>Dia 171</t>
  </si>
  <si>
    <t>Dia 176</t>
  </si>
  <si>
    <t>Dia 181</t>
  </si>
  <si>
    <t>Dia 186</t>
  </si>
  <si>
    <t>Dia 191</t>
  </si>
  <si>
    <t>Dia 196</t>
  </si>
  <si>
    <t>Dia 201</t>
  </si>
  <si>
    <t>Dia 206</t>
  </si>
  <si>
    <t>Dia 211</t>
  </si>
  <si>
    <t>Dia 216</t>
  </si>
  <si>
    <t>Dia 221</t>
  </si>
  <si>
    <t>Dia 226</t>
  </si>
  <si>
    <t>Dia 231</t>
  </si>
  <si>
    <t>Dia 236</t>
  </si>
  <si>
    <t>Dia 2</t>
  </si>
  <si>
    <t>Dia 7</t>
  </si>
  <si>
    <t>Dia 12</t>
  </si>
  <si>
    <t>Dia 17</t>
  </si>
  <si>
    <t>Dia 22</t>
  </si>
  <si>
    <t>Dia 27</t>
  </si>
  <si>
    <t>Dia 32</t>
  </si>
  <si>
    <t>Dia 37</t>
  </si>
  <si>
    <t>Dia 47</t>
  </si>
  <si>
    <t>Dia 52</t>
  </si>
  <si>
    <t>Dia 57</t>
  </si>
  <si>
    <t>Dia 62</t>
  </si>
  <si>
    <t>Dia 67</t>
  </si>
  <si>
    <t>Dia 72</t>
  </si>
  <si>
    <t>Dia 77</t>
  </si>
  <si>
    <t>Dia 82</t>
  </si>
  <si>
    <t>Dia 87</t>
  </si>
  <si>
    <t>Dia 92</t>
  </si>
  <si>
    <t>Dia 97</t>
  </si>
  <si>
    <t>Dia 102</t>
  </si>
  <si>
    <t>Dia 107</t>
  </si>
  <si>
    <t>Dia 112</t>
  </si>
  <si>
    <t>Dia 117</t>
  </si>
  <si>
    <t>Dia 122</t>
  </si>
  <si>
    <t>Dia 127</t>
  </si>
  <si>
    <t>Dia 132</t>
  </si>
  <si>
    <t>Dia 137</t>
  </si>
  <si>
    <t>Dia 142</t>
  </si>
  <si>
    <t>Dia 147</t>
  </si>
  <si>
    <t>Dia 152</t>
  </si>
  <si>
    <t>Dia 157</t>
  </si>
  <si>
    <t>Dia 162</t>
  </si>
  <si>
    <t>Dia 167</t>
  </si>
  <si>
    <t>Dia 172</t>
  </si>
  <si>
    <t>Dia 177</t>
  </si>
  <si>
    <t>Dia 182</t>
  </si>
  <si>
    <t>Dia 187</t>
  </si>
  <si>
    <t>Dia 192</t>
  </si>
  <si>
    <t>Dia 197</t>
  </si>
  <si>
    <t>Dia 202</t>
  </si>
  <si>
    <t>Dia 207</t>
  </si>
  <si>
    <t>Dia 212</t>
  </si>
  <si>
    <t>Dia 217</t>
  </si>
  <si>
    <t>Dia 222</t>
  </si>
  <si>
    <t>Dia 227</t>
  </si>
  <si>
    <t>Dia 232</t>
  </si>
  <si>
    <t>Dia 237</t>
  </si>
  <si>
    <t>Dia 3</t>
  </si>
  <si>
    <t>Dia 8</t>
  </si>
  <si>
    <t>Dia 13</t>
  </si>
  <si>
    <t>Dia 18</t>
  </si>
  <si>
    <t>Dia 23</t>
  </si>
  <si>
    <t>Dia 28</t>
  </si>
  <si>
    <t>Dia 33</t>
  </si>
  <si>
    <t>Dia 38</t>
  </si>
  <si>
    <t>Dia 48</t>
  </si>
  <si>
    <t>Dia 53</t>
  </si>
  <si>
    <t>Dia 58</t>
  </si>
  <si>
    <t>Dia 63</t>
  </si>
  <si>
    <t>Dia 68</t>
  </si>
  <si>
    <t>Dia 73</t>
  </si>
  <si>
    <t>Dia 78</t>
  </si>
  <si>
    <t>Dia 83</t>
  </si>
  <si>
    <t>Dia 88</t>
  </si>
  <si>
    <t>Dia 93</t>
  </si>
  <si>
    <t>Dia 98</t>
  </si>
  <si>
    <t>Dia 103</t>
  </si>
  <si>
    <t>Dia 108</t>
  </si>
  <si>
    <t>Dia 113</t>
  </si>
  <si>
    <t>Dia 118</t>
  </si>
  <si>
    <t>Dia 123</t>
  </si>
  <si>
    <t>Dia 128</t>
  </si>
  <si>
    <t>Dia 133</t>
  </si>
  <si>
    <t>Dia 138</t>
  </si>
  <si>
    <t>Dia 143</t>
  </si>
  <si>
    <t>Dia 148</t>
  </si>
  <si>
    <t>Dia 153</t>
  </si>
  <si>
    <t>Dia 158</t>
  </si>
  <si>
    <t>Dia 163</t>
  </si>
  <si>
    <t>Dia 168</t>
  </si>
  <si>
    <t>Dia 173</t>
  </si>
  <si>
    <t>Dia 178</t>
  </si>
  <si>
    <t>Dia 183</t>
  </si>
  <si>
    <t>Dia 188</t>
  </si>
  <si>
    <t>Dia 193</t>
  </si>
  <si>
    <t>Dia 198</t>
  </si>
  <si>
    <t>Dia 203</t>
  </si>
  <si>
    <t>Dia 208</t>
  </si>
  <si>
    <t>Dia 213</t>
  </si>
  <si>
    <t>Dia 218</t>
  </si>
  <si>
    <t>Dia 223</t>
  </si>
  <si>
    <t>Dia 228</t>
  </si>
  <si>
    <t>Dia 233</t>
  </si>
  <si>
    <t>Dia 238</t>
  </si>
  <si>
    <t>Dia 4</t>
  </si>
  <si>
    <t>Dia 9</t>
  </si>
  <si>
    <t>Dia 14</t>
  </si>
  <si>
    <t>Dia 19</t>
  </si>
  <si>
    <t>Dia 24</t>
  </si>
  <si>
    <t>Dia 29</t>
  </si>
  <si>
    <t>Dia 34</t>
  </si>
  <si>
    <t>Dia 39</t>
  </si>
  <si>
    <t>Dia 49</t>
  </si>
  <si>
    <t>Dia 54</t>
  </si>
  <si>
    <t>Dia 59</t>
  </si>
  <si>
    <t>Dia 64</t>
  </si>
  <si>
    <t>Dia 69</t>
  </si>
  <si>
    <t>Dia 74</t>
  </si>
  <si>
    <t>Dia 79</t>
  </si>
  <si>
    <t>Dia 84</t>
  </si>
  <si>
    <t>Dia 89</t>
  </si>
  <si>
    <t>Dia 94</t>
  </si>
  <si>
    <t>Dia 99</t>
  </si>
  <si>
    <t>Dia 104</t>
  </si>
  <si>
    <t>Dia 109</t>
  </si>
  <si>
    <t>Dia 114</t>
  </si>
  <si>
    <t>Dia 119</t>
  </si>
  <si>
    <t>Dia 124</t>
  </si>
  <si>
    <t>Dia 129</t>
  </si>
  <si>
    <t>Dia 134</t>
  </si>
  <si>
    <t>Dia 139</t>
  </si>
  <si>
    <t>Dia 144</t>
  </si>
  <si>
    <t>Dia 149</t>
  </si>
  <si>
    <t>Dia 154</t>
  </si>
  <si>
    <t>Dia 159</t>
  </si>
  <si>
    <t>Dia 164</t>
  </si>
  <si>
    <t>Dia 169</t>
  </si>
  <si>
    <t>Dia 174</t>
  </si>
  <si>
    <t>Dia 179</t>
  </si>
  <si>
    <t>Dia 184</t>
  </si>
  <si>
    <t>Dia 189</t>
  </si>
  <si>
    <t>Dia 194</t>
  </si>
  <si>
    <t>Dia 199</t>
  </si>
  <si>
    <t>Dia 204</t>
  </si>
  <si>
    <t>Dia 209</t>
  </si>
  <si>
    <t>Dia 214</t>
  </si>
  <si>
    <t>Dia 219</t>
  </si>
  <si>
    <t>Dia 224</t>
  </si>
  <si>
    <t>Dia 229</t>
  </si>
  <si>
    <t>Dia 234</t>
  </si>
  <si>
    <t>Dia 239</t>
  </si>
  <si>
    <t>Dia 5</t>
  </si>
  <si>
    <t>Dia 10</t>
  </si>
  <si>
    <t>Dia 15</t>
  </si>
  <si>
    <t>Dia 20</t>
  </si>
  <si>
    <t>Dia 25</t>
  </si>
  <si>
    <t>Dia 30</t>
  </si>
  <si>
    <t>Dia 35</t>
  </si>
  <si>
    <t>Dia 40</t>
  </si>
  <si>
    <t>Dia 45</t>
  </si>
  <si>
    <t>Dia 50</t>
  </si>
  <si>
    <t>Dia 55</t>
  </si>
  <si>
    <t>Dia 60</t>
  </si>
  <si>
    <t>Dia 65</t>
  </si>
  <si>
    <t>Dia 70</t>
  </si>
  <si>
    <t>Dia 75</t>
  </si>
  <si>
    <t>Dia 80</t>
  </si>
  <si>
    <t>Dia 85</t>
  </si>
  <si>
    <t>Dia 90</t>
  </si>
  <si>
    <t>Dia 95</t>
  </si>
  <si>
    <t>Dia 100</t>
  </si>
  <si>
    <t>Dia 105</t>
  </si>
  <si>
    <t>Dia 110</t>
  </si>
  <si>
    <t>Dia 115</t>
  </si>
  <si>
    <t>Dia 120</t>
  </si>
  <si>
    <t>Dia 125</t>
  </si>
  <si>
    <t>Dia 130</t>
  </si>
  <si>
    <t>Dia 135</t>
  </si>
  <si>
    <t>Dia 140</t>
  </si>
  <si>
    <t>Dia 145</t>
  </si>
  <si>
    <t>Dia 150</t>
  </si>
  <si>
    <t>Dia 155</t>
  </si>
  <si>
    <t>Dia 160</t>
  </si>
  <si>
    <t>Dia 165</t>
  </si>
  <si>
    <t>Dia 170</t>
  </si>
  <si>
    <t>Dia 175</t>
  </si>
  <si>
    <t>Dia 180</t>
  </si>
  <si>
    <t>Dia 185</t>
  </si>
  <si>
    <t>Dia 190</t>
  </si>
  <si>
    <t>Dia 195</t>
  </si>
  <si>
    <t>Dia 200</t>
  </si>
  <si>
    <t>Dia 205</t>
  </si>
  <si>
    <t>Dia 210</t>
  </si>
  <si>
    <t>Dia 215</t>
  </si>
  <si>
    <t>Dia 220</t>
  </si>
  <si>
    <t>Dia 225</t>
  </si>
  <si>
    <t>Dia 230</t>
  </si>
  <si>
    <t>Dia 235</t>
  </si>
  <si>
    <t>Dia 240</t>
  </si>
  <si>
    <t>Peso total (gr)</t>
  </si>
  <si>
    <t>Peso total (ton)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</si>
</sst>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_ ;\-#,##0\ "/>
    <numFmt numFmtId="165" formatCode="_-* #,##0_-;\-* #,##0_-;_-* &quot;-&quot;??_-;_-@"/>
    <numFmt numFmtId="166" formatCode="_-* #,##0.00000_-;\-* #,##0.00000_-;_-* &quot;-&quot;??_-;_-@"/>
    <numFmt numFmtId="167" formatCode="_-* #,##0.0_-;\-* #,##0.0_-;_-* &quot;-&quot;??_-;_-@"/>
  </numFmts>
  <fonts count="22" x14ac:knownFonts="1">
    <font>
      <sz val="11"/>
      <color theme="1"/>
      <name val="Calibri"/>
      <scheme val="minor"/>
    </font>
    <font>
      <sz val="10"/>
      <color theme="1"/>
      <name val="ADLaM Display"/>
    </font>
    <font>
      <b/>
      <sz val="20"/>
      <color theme="0"/>
      <name val="ADLaM Display"/>
    </font>
    <font>
      <b/>
      <sz val="10"/>
      <color theme="0"/>
      <name val="ADLaM Display"/>
    </font>
    <font>
      <sz val="10"/>
      <color theme="0"/>
      <name val="ADLaM Display"/>
    </font>
    <font>
      <b/>
      <sz val="16"/>
      <color theme="0"/>
      <name val="ADLaM Display"/>
    </font>
    <font>
      <b/>
      <sz val="10"/>
      <color theme="1"/>
      <name val="ADLaM Display"/>
    </font>
    <font>
      <sz val="10"/>
      <color rgb="FF000000"/>
      <name val="ADLaM Display"/>
    </font>
    <font>
      <sz val="11"/>
      <color theme="1"/>
      <name val="Calibri"/>
      <family val="2"/>
    </font>
    <font>
      <sz val="11"/>
      <color theme="0"/>
      <name val="ADLaM Display"/>
    </font>
    <font>
      <sz val="11"/>
      <color theme="1"/>
      <name val="ADLaM Display"/>
    </font>
    <font>
      <sz val="16"/>
      <color theme="0"/>
      <name val="ADLaM Display"/>
    </font>
    <font>
      <b/>
      <sz val="11"/>
      <color theme="0"/>
      <name val="ADLaM Display"/>
    </font>
    <font>
      <b/>
      <sz val="11"/>
      <color theme="1"/>
      <name val="ADLaM Display"/>
    </font>
    <font>
      <sz val="11"/>
      <name val="Calibri"/>
      <family val="2"/>
    </font>
    <font>
      <sz val="11"/>
      <color rgb="FF000000"/>
      <name val="ADLaM Display"/>
    </font>
    <font>
      <b/>
      <i/>
      <sz val="11"/>
      <color theme="1"/>
      <name val="ADLaM Display"/>
    </font>
    <font>
      <b/>
      <sz val="11"/>
      <color theme="1"/>
      <name val="Calibri"/>
      <family val="2"/>
    </font>
    <font>
      <b/>
      <sz val="8"/>
      <color theme="0"/>
      <name val="Aptos"/>
      <family val="2"/>
    </font>
    <font>
      <b/>
      <sz val="8"/>
      <color theme="1"/>
      <name val="Aptos"/>
      <family val="2"/>
    </font>
    <font>
      <sz val="8"/>
      <color theme="1"/>
      <name val="Aptos"/>
      <family val="2"/>
    </font>
    <font>
      <sz val="8"/>
      <color theme="0"/>
      <name val="Aptos"/>
      <family val="2"/>
    </font>
  </fonts>
  <fills count="9">
    <fill>
      <patternFill patternType="none"/>
    </fill>
    <fill>
      <patternFill patternType="gray125"/>
    </fill>
    <fill>
      <patternFill patternType="solid">
        <fgColor rgb="FF385623"/>
        <bgColor rgb="FF385623"/>
      </patternFill>
    </fill>
    <fill>
      <patternFill patternType="solid">
        <fgColor rgb="FFBFBFBF"/>
        <bgColor rgb="FFBFBFBF"/>
      </patternFill>
    </fill>
    <fill>
      <patternFill patternType="solid">
        <fgColor theme="1"/>
        <bgColor theme="1"/>
      </patternFill>
    </fill>
    <fill>
      <patternFill patternType="solid">
        <fgColor rgb="FFD8D8D8"/>
        <bgColor rgb="FFD8D8D8"/>
      </patternFill>
    </fill>
    <fill>
      <patternFill patternType="solid">
        <fgColor rgb="FFFFE598"/>
        <bgColor rgb="FFFFE598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3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/>
    <xf numFmtId="0" fontId="4" fillId="2" borderId="1" xfId="0" applyFont="1" applyFill="1" applyBorder="1"/>
    <xf numFmtId="0" fontId="5" fillId="2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0" borderId="0" xfId="0" applyFont="1"/>
    <xf numFmtId="0" fontId="7" fillId="0" borderId="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3" fontId="7" fillId="0" borderId="4" xfId="0" applyNumberFormat="1" applyFont="1" applyBorder="1" applyAlignment="1">
      <alignment horizontal="center" vertical="center"/>
    </xf>
    <xf numFmtId="164" fontId="6" fillId="3" borderId="2" xfId="0" applyNumberFormat="1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3" fontId="1" fillId="5" borderId="6" xfId="0" applyNumberFormat="1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3" fontId="1" fillId="0" borderId="6" xfId="0" applyNumberFormat="1" applyFont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8" fillId="0" borderId="0" xfId="0" applyFont="1" applyAlignment="1">
      <alignment horizontal="left"/>
    </xf>
    <xf numFmtId="0" fontId="6" fillId="3" borderId="2" xfId="0" applyFont="1" applyFill="1" applyBorder="1" applyAlignment="1">
      <alignment horizontal="center" vertical="center"/>
    </xf>
    <xf numFmtId="0" fontId="2" fillId="2" borderId="1" xfId="0" applyFont="1" applyFill="1" applyBorder="1"/>
    <xf numFmtId="0" fontId="9" fillId="2" borderId="1" xfId="0" applyFont="1" applyFill="1" applyBorder="1"/>
    <xf numFmtId="0" fontId="10" fillId="0" borderId="0" xfId="0" applyFont="1"/>
    <xf numFmtId="0" fontId="11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left" vertical="center"/>
    </xf>
    <xf numFmtId="0" fontId="10" fillId="2" borderId="1" xfId="0" applyFont="1" applyFill="1" applyBorder="1"/>
    <xf numFmtId="0" fontId="12" fillId="2" borderId="1" xfId="0" applyFont="1" applyFill="1" applyBorder="1" applyAlignment="1">
      <alignment horizontal="center" vertical="center"/>
    </xf>
    <xf numFmtId="0" fontId="12" fillId="4" borderId="7" xfId="0" applyFont="1" applyFill="1" applyBorder="1" applyAlignment="1">
      <alignment horizontal="center" vertical="center"/>
    </xf>
    <xf numFmtId="0" fontId="13" fillId="7" borderId="8" xfId="0" applyFont="1" applyFill="1" applyBorder="1"/>
    <xf numFmtId="165" fontId="12" fillId="2" borderId="1" xfId="0" applyNumberFormat="1" applyFont="1" applyFill="1" applyBorder="1" applyAlignment="1">
      <alignment horizontal="center" vertical="center"/>
    </xf>
    <xf numFmtId="164" fontId="12" fillId="2" borderId="1" xfId="0" applyNumberFormat="1" applyFont="1" applyFill="1" applyBorder="1" applyAlignment="1">
      <alignment horizontal="center" vertical="center"/>
    </xf>
    <xf numFmtId="0" fontId="13" fillId="7" borderId="12" xfId="0" applyFont="1" applyFill="1" applyBorder="1" applyAlignment="1">
      <alignment horizontal="center" vertical="center"/>
    </xf>
    <xf numFmtId="0" fontId="10" fillId="7" borderId="13" xfId="0" applyFont="1" applyFill="1" applyBorder="1"/>
    <xf numFmtId="0" fontId="12" fillId="2" borderId="2" xfId="0" applyFont="1" applyFill="1" applyBorder="1" applyAlignment="1">
      <alignment horizontal="center" vertical="center"/>
    </xf>
    <xf numFmtId="3" fontId="15" fillId="0" borderId="2" xfId="0" applyNumberFormat="1" applyFont="1" applyBorder="1" applyAlignment="1">
      <alignment horizontal="center" vertical="center"/>
    </xf>
    <xf numFmtId="3" fontId="10" fillId="0" borderId="2" xfId="0" applyNumberFormat="1" applyFont="1" applyBorder="1" applyAlignment="1">
      <alignment horizontal="center"/>
    </xf>
    <xf numFmtId="0" fontId="16" fillId="0" borderId="0" xfId="0" applyFont="1"/>
    <xf numFmtId="0" fontId="8" fillId="0" borderId="0" xfId="0" applyFont="1"/>
    <xf numFmtId="0" fontId="8" fillId="0" borderId="0" xfId="0" applyFont="1" applyAlignment="1">
      <alignment wrapText="1"/>
    </xf>
    <xf numFmtId="0" fontId="17" fillId="0" borderId="2" xfId="0" applyFont="1" applyBorder="1" applyAlignment="1">
      <alignment horizontal="center" vertical="center" wrapText="1"/>
    </xf>
    <xf numFmtId="0" fontId="8" fillId="0" borderId="2" xfId="0" applyFont="1" applyBorder="1"/>
    <xf numFmtId="0" fontId="8" fillId="0" borderId="2" xfId="0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17" fillId="0" borderId="2" xfId="0" applyNumberFormat="1" applyFont="1" applyBorder="1" applyAlignment="1">
      <alignment horizontal="center"/>
    </xf>
    <xf numFmtId="0" fontId="18" fillId="2" borderId="2" xfId="0" applyFont="1" applyFill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 wrapText="1"/>
    </xf>
    <xf numFmtId="0" fontId="20" fillId="0" borderId="0" xfId="0" applyFont="1"/>
    <xf numFmtId="166" fontId="19" fillId="0" borderId="2" xfId="0" applyNumberFormat="1" applyFont="1" applyBorder="1" applyAlignment="1">
      <alignment horizontal="center" vertical="center"/>
    </xf>
    <xf numFmtId="0" fontId="21" fillId="2" borderId="2" xfId="0" applyFont="1" applyFill="1" applyBorder="1" applyAlignment="1">
      <alignment horizontal="center" vertical="center"/>
    </xf>
    <xf numFmtId="165" fontId="21" fillId="2" borderId="2" xfId="0" applyNumberFormat="1" applyFont="1" applyFill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165" fontId="20" fillId="0" borderId="2" xfId="0" applyNumberFormat="1" applyFont="1" applyBorder="1" applyAlignment="1">
      <alignment vertical="center"/>
    </xf>
    <xf numFmtId="0" fontId="20" fillId="0" borderId="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167" fontId="20" fillId="0" borderId="2" xfId="0" applyNumberFormat="1" applyFont="1" applyBorder="1" applyAlignment="1">
      <alignment vertical="center"/>
    </xf>
    <xf numFmtId="165" fontId="20" fillId="0" borderId="0" xfId="0" applyNumberFormat="1" applyFont="1"/>
    <xf numFmtId="166" fontId="20" fillId="0" borderId="0" xfId="0" applyNumberFormat="1" applyFont="1"/>
    <xf numFmtId="0" fontId="13" fillId="7" borderId="9" xfId="0" applyFont="1" applyFill="1" applyBorder="1" applyAlignment="1">
      <alignment horizontal="left" wrapText="1"/>
    </xf>
    <xf numFmtId="0" fontId="14" fillId="0" borderId="10" xfId="0" applyFont="1" applyBorder="1"/>
    <xf numFmtId="0" fontId="14" fillId="0" borderId="11" xfId="0" applyFont="1" applyBorder="1"/>
    <xf numFmtId="0" fontId="14" fillId="0" borderId="14" xfId="0" applyFont="1" applyBorder="1"/>
    <xf numFmtId="0" fontId="14" fillId="0" borderId="15" xfId="0" applyFont="1" applyBorder="1"/>
    <xf numFmtId="0" fontId="14" fillId="0" borderId="16" xfId="0" applyFont="1" applyBorder="1"/>
    <xf numFmtId="0" fontId="9" fillId="8" borderId="17" xfId="0" applyFont="1" applyFill="1" applyBorder="1" applyAlignment="1">
      <alignment horizontal="left" vertical="center" wrapText="1"/>
    </xf>
    <xf numFmtId="0" fontId="14" fillId="0" borderId="18" xfId="0" applyFont="1" applyBorder="1"/>
    <xf numFmtId="0" fontId="0" fillId="0" borderId="0" xfId="0"/>
    <xf numFmtId="0" fontId="14" fillId="0" borderId="19" xfId="0" applyFont="1" applyBorder="1"/>
    <xf numFmtId="0" fontId="14" fillId="0" borderId="20" xfId="0" applyFont="1" applyBorder="1"/>
    <xf numFmtId="0" fontId="8" fillId="0" borderId="0" xfId="0" applyFont="1" applyAlignment="1">
      <alignment horizontal="center" wrapText="1"/>
    </xf>
  </cellXfs>
  <cellStyles count="1">
    <cellStyle name="Normal" xfId="0" builtinId="0"/>
  </cellStyles>
  <dxfs count="6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323850</xdr:colOff>
      <xdr:row>0</xdr:row>
      <xdr:rowOff>180975</xdr:rowOff>
    </xdr:from>
    <xdr:ext cx="1619250" cy="33337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Z996"/>
  <sheetViews>
    <sheetView showGridLines="0" tabSelected="1" workbookViewId="0"/>
  </sheetViews>
  <sheetFormatPr defaultColWidth="14.44140625" defaultRowHeight="15" customHeight="1" x14ac:dyDescent="0.3"/>
  <cols>
    <col min="1" max="9" width="18.88671875" customWidth="1"/>
    <col min="10" max="11" width="10.44140625" customWidth="1"/>
    <col min="12" max="12" width="12.6640625" customWidth="1"/>
    <col min="13" max="13" width="16.6640625" customWidth="1"/>
    <col min="14" max="14" width="19.6640625" customWidth="1"/>
    <col min="15" max="15" width="13" customWidth="1"/>
    <col min="16" max="17" width="12.44140625" customWidth="1"/>
    <col min="18" max="18" width="3.44140625" customWidth="1"/>
    <col min="19" max="19" width="24" customWidth="1"/>
    <col min="20" max="20" width="10.33203125" customWidth="1"/>
    <col min="21" max="21" width="7.33203125" customWidth="1"/>
    <col min="22" max="22" width="11.6640625" customWidth="1"/>
    <col min="23" max="23" width="8.6640625" customWidth="1"/>
    <col min="24" max="26" width="14.6640625" customWidth="1"/>
  </cols>
  <sheetData>
    <row r="1" spans="1:26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0.75" customHeight="1" x14ac:dyDescent="0.3">
      <c r="A2" s="2" t="s">
        <v>0</v>
      </c>
      <c r="B2" s="3"/>
      <c r="C2" s="4"/>
      <c r="D2" s="4"/>
      <c r="E2" s="5"/>
      <c r="F2" s="5"/>
      <c r="G2" s="5"/>
      <c r="H2" s="5"/>
      <c r="I2" s="5"/>
      <c r="J2" s="1"/>
      <c r="K2" s="1"/>
      <c r="L2" s="6" t="s">
        <v>1</v>
      </c>
      <c r="M2" s="6" t="s">
        <v>2</v>
      </c>
      <c r="N2" s="6" t="s">
        <v>3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1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57.75" customHeight="1" x14ac:dyDescent="0.3">
      <c r="A4" s="7" t="s">
        <v>4</v>
      </c>
      <c r="B4" s="7" t="s">
        <v>5</v>
      </c>
      <c r="C4" s="7" t="s">
        <v>6</v>
      </c>
      <c r="D4" s="7" t="s">
        <v>7</v>
      </c>
      <c r="E4" s="7" t="s">
        <v>8</v>
      </c>
      <c r="F4" s="7" t="s">
        <v>9</v>
      </c>
      <c r="G4" s="7" t="s">
        <v>10</v>
      </c>
      <c r="H4" s="7" t="s">
        <v>11</v>
      </c>
      <c r="I4" s="7" t="s">
        <v>6</v>
      </c>
      <c r="J4" s="7" t="s">
        <v>12</v>
      </c>
      <c r="K4" s="7" t="s">
        <v>13</v>
      </c>
      <c r="L4" s="8" t="s">
        <v>14</v>
      </c>
      <c r="M4" s="8" t="s">
        <v>15</v>
      </c>
      <c r="N4" s="8" t="s">
        <v>16</v>
      </c>
      <c r="O4" s="8" t="s">
        <v>17</v>
      </c>
      <c r="P4" s="8" t="s">
        <v>18</v>
      </c>
      <c r="Q4" s="8" t="s">
        <v>19</v>
      </c>
      <c r="R4" s="1"/>
      <c r="S4" s="9" t="s">
        <v>20</v>
      </c>
      <c r="T4" s="1"/>
      <c r="U4" s="1"/>
      <c r="V4" s="1"/>
      <c r="W4" s="1"/>
      <c r="X4" s="1"/>
      <c r="Y4" s="1"/>
      <c r="Z4" s="1"/>
    </row>
    <row r="5" spans="1:26" ht="24" customHeight="1" x14ac:dyDescent="0.3">
      <c r="A5" s="10" t="s">
        <v>21</v>
      </c>
      <c r="B5" s="10" t="s">
        <v>22</v>
      </c>
      <c r="C5" s="11" t="s">
        <v>23</v>
      </c>
      <c r="D5" s="11" t="s">
        <v>24</v>
      </c>
      <c r="E5" s="11" t="s">
        <v>25</v>
      </c>
      <c r="F5" s="11" t="s">
        <v>26</v>
      </c>
      <c r="G5" s="12">
        <v>24</v>
      </c>
      <c r="H5" s="11" t="s">
        <v>27</v>
      </c>
      <c r="I5" s="11" t="s">
        <v>28</v>
      </c>
      <c r="J5" s="13">
        <f>VLOOKUP(C5&amp;I5&amp;E5,Orig_Dest!$A$2:$E$1876,5,FALSE)</f>
        <v>3</v>
      </c>
      <c r="K5" s="14" t="str">
        <f t="shared" ref="K5:K259" si="0">"Dia "&amp;(IF(LEN(D5)=7,RIGHT(D5,SEARCH(" ",D5)-1)+J5,IF(LEN(D5)&lt;6,RIGHT(D5,SEARCH(" ",D5)-3),RIGHT(D5,SEARCH(" ",D5)-2))+J5))</f>
        <v>Dia 45</v>
      </c>
      <c r="L5" s="15" t="str">
        <f>IF(B5="Fornecedor",IF(VLOOKUP(C5,Base_Dados!$E$1:$F$7,2,FALSE)=F5," ","Fornecedor inválido!")," ")</f>
        <v xml:space="preserve"> </v>
      </c>
      <c r="M5" s="16" t="str">
        <f>IF(AND(LEFT(F5,2)="MP",H5&lt;&gt;Base_Dados!$A$1),"Impossível!!!"," ")</f>
        <v xml:space="preserve"> </v>
      </c>
      <c r="N5" s="15" t="str">
        <f>IF(E5="Avião",IF($G5&lt;=VLOOKUP($F5,Base_Dados!$K$1:$O$7,3,FALSE)," ","Limite "&amp;VLOOKUP($F5,Base_Dados!$K$1:$O$11,3,FALSE)&amp;" "&amp;VLOOKUP($F5,Base_Dados!$K$1:$O$11,2,FALSE))," ")</f>
        <v xml:space="preserve"> </v>
      </c>
      <c r="O5" s="15" t="str">
        <f>IF(E5="Caminhão",IF($G5&lt;=VLOOKUP($F5,Base_Dados!$K$1:$O$7,4,FALSE)," ","Limite "&amp;VLOOKUP($F5,Base_Dados!$K$1:$O$11,4,FALSE)&amp;" "&amp;VLOOKUP($F5,Base_Dados!$K$1:$O$11,2,FALSE))," ")</f>
        <v xml:space="preserve"> </v>
      </c>
      <c r="P5" s="15" t="str">
        <f>IF(E5="Navio",IF($G5&lt;=VLOOKUP($F5,Base_Dados!$K$1:$O$7,5,FALSE)," ","Limite "&amp;VLOOKUP($F5,Base_Dados!$K$1:$O$11,5,FALSE)&amp;" "&amp;VLOOKUP($F5,Base_Dados!$K$1:$O$11,2,FALSE))," ")</f>
        <v xml:space="preserve"> </v>
      </c>
      <c r="Q5" s="15" t="str">
        <f t="shared" ref="Q5:Q259" si="1">IF(AND(B5="Fornecedor",H5="Fábrica"),"",IF(AND(B5="Fábrica",H5="CD"),"",IF(AND(B5="CD",H5="Varejista"),"","Fluxo Impossível")))</f>
        <v/>
      </c>
      <c r="R5" s="1"/>
      <c r="S5" s="17" t="s">
        <v>29</v>
      </c>
      <c r="T5" s="17" t="s">
        <v>30</v>
      </c>
      <c r="U5" s="17" t="s">
        <v>31</v>
      </c>
      <c r="V5" s="17" t="s">
        <v>25</v>
      </c>
      <c r="W5" s="17" t="s">
        <v>32</v>
      </c>
      <c r="X5" s="1"/>
      <c r="Y5" s="1"/>
      <c r="Z5" s="1"/>
    </row>
    <row r="6" spans="1:26" ht="24" customHeight="1" x14ac:dyDescent="0.3">
      <c r="A6" s="10" t="s">
        <v>21</v>
      </c>
      <c r="B6" s="10" t="s">
        <v>22</v>
      </c>
      <c r="C6" s="11" t="s">
        <v>23</v>
      </c>
      <c r="D6" s="11" t="s">
        <v>24</v>
      </c>
      <c r="E6" s="11" t="s">
        <v>25</v>
      </c>
      <c r="F6" s="11" t="s">
        <v>26</v>
      </c>
      <c r="G6" s="12">
        <v>24</v>
      </c>
      <c r="H6" s="11" t="s">
        <v>27</v>
      </c>
      <c r="I6" s="11" t="s">
        <v>28</v>
      </c>
      <c r="J6" s="13">
        <f>VLOOKUP(C6&amp;I6&amp;E6,Orig_Dest!$A$2:$E$1876,5,FALSE)</f>
        <v>3</v>
      </c>
      <c r="K6" s="14" t="str">
        <f t="shared" si="0"/>
        <v>Dia 45</v>
      </c>
      <c r="L6" s="15" t="str">
        <f>IF(B6="Fornecedor",IF(VLOOKUP(C6,Base_Dados!$E$1:$F$7,2,FALSE)=F6," ","Fornecedor inválido!")," ")</f>
        <v xml:space="preserve"> </v>
      </c>
      <c r="M6" s="16" t="str">
        <f>IF(AND(LEFT(F6,2)="MP",H6&lt;&gt;Base_Dados!$A$1),"Impossível!!!"," ")</f>
        <v xml:space="preserve"> </v>
      </c>
      <c r="N6" s="15" t="str">
        <f>IF(E6="Avião",IF($G6&lt;=VLOOKUP($F6,Base_Dados!$K$1:$O$7,3,FALSE)," ","Limite "&amp;VLOOKUP($F6,Base_Dados!$K$1:$O$11,3,FALSE)&amp;" "&amp;VLOOKUP($F6,Base_Dados!$K$1:$O$11,2,FALSE))," ")</f>
        <v xml:space="preserve"> </v>
      </c>
      <c r="O6" s="15" t="str">
        <f>IF(E6="Caminhão",IF($G6&lt;=VLOOKUP($F6,Base_Dados!$K$1:$O$7,4,FALSE)," ","Limite "&amp;VLOOKUP($F6,Base_Dados!$K$1:$O$11,4,FALSE)&amp;" "&amp;VLOOKUP($F6,Base_Dados!$K$1:$O$11,2,FALSE))," ")</f>
        <v xml:space="preserve"> </v>
      </c>
      <c r="P6" s="15" t="str">
        <f>IF(E6="Navio",IF($G6&lt;=VLOOKUP($F6,Base_Dados!$K$1:$O$7,5,FALSE)," ","Limite "&amp;VLOOKUP($F6,Base_Dados!$K$1:$O$11,5,FALSE)&amp;" "&amp;VLOOKUP($F6,Base_Dados!$K$1:$O$11,2,FALSE))," ")</f>
        <v xml:space="preserve"> </v>
      </c>
      <c r="Q6" s="15" t="str">
        <f t="shared" si="1"/>
        <v/>
      </c>
      <c r="R6" s="1"/>
      <c r="S6" s="18" t="s">
        <v>33</v>
      </c>
      <c r="T6" s="18" t="s">
        <v>34</v>
      </c>
      <c r="U6" s="19">
        <v>3333</v>
      </c>
      <c r="V6" s="19">
        <v>80000</v>
      </c>
      <c r="W6" s="19">
        <v>333333</v>
      </c>
      <c r="X6" s="1"/>
      <c r="Y6" s="1"/>
      <c r="Z6" s="1"/>
    </row>
    <row r="7" spans="1:26" ht="24" customHeight="1" x14ac:dyDescent="0.3">
      <c r="A7" s="10" t="s">
        <v>21</v>
      </c>
      <c r="B7" s="10" t="s">
        <v>22</v>
      </c>
      <c r="C7" s="11" t="s">
        <v>23</v>
      </c>
      <c r="D7" s="11" t="s">
        <v>24</v>
      </c>
      <c r="E7" s="11" t="s">
        <v>25</v>
      </c>
      <c r="F7" s="11" t="s">
        <v>26</v>
      </c>
      <c r="G7" s="12">
        <v>24</v>
      </c>
      <c r="H7" s="11" t="s">
        <v>27</v>
      </c>
      <c r="I7" s="11" t="s">
        <v>28</v>
      </c>
      <c r="J7" s="13">
        <f>VLOOKUP(C7&amp;I7&amp;E7,Orig_Dest!$A$2:$E$1876,5,FALSE)</f>
        <v>3</v>
      </c>
      <c r="K7" s="14" t="str">
        <f t="shared" si="0"/>
        <v>Dia 45</v>
      </c>
      <c r="L7" s="15" t="str">
        <f>IF(B7="Fornecedor",IF(VLOOKUP(C7,Base_Dados!$E$1:$F$7,2,FALSE)=F7," ","Fornecedor inválido!")," ")</f>
        <v xml:space="preserve"> </v>
      </c>
      <c r="M7" s="16" t="str">
        <f>IF(AND(LEFT(F7,2)="MP",H7&lt;&gt;Base_Dados!$A$1),"Impossível!!!"," ")</f>
        <v xml:space="preserve"> </v>
      </c>
      <c r="N7" s="15" t="str">
        <f>IF(E7="Avião",IF($G7&lt;=VLOOKUP($F7,Base_Dados!$K$1:$O$7,3,FALSE)," ","Limite "&amp;VLOOKUP($F7,Base_Dados!$K$1:$O$11,3,FALSE)&amp;" "&amp;VLOOKUP($F7,Base_Dados!$K$1:$O$11,2,FALSE))," ")</f>
        <v xml:space="preserve"> </v>
      </c>
      <c r="O7" s="15" t="str">
        <f>IF(E7="Caminhão",IF($G7&lt;=VLOOKUP($F7,Base_Dados!$K$1:$O$7,4,FALSE)," ","Limite "&amp;VLOOKUP($F7,Base_Dados!$K$1:$O$11,4,FALSE)&amp;" "&amp;VLOOKUP($F7,Base_Dados!$K$1:$O$11,2,FALSE))," ")</f>
        <v xml:space="preserve"> </v>
      </c>
      <c r="P7" s="15" t="str">
        <f>IF(E7="Navio",IF($G7&lt;=VLOOKUP($F7,Base_Dados!$K$1:$O$7,5,FALSE)," ","Limite "&amp;VLOOKUP($F7,Base_Dados!$K$1:$O$11,5,FALSE)&amp;" "&amp;VLOOKUP($F7,Base_Dados!$K$1:$O$11,2,FALSE))," ")</f>
        <v xml:space="preserve"> </v>
      </c>
      <c r="Q7" s="15" t="str">
        <f t="shared" si="1"/>
        <v/>
      </c>
      <c r="R7" s="1"/>
      <c r="S7" s="20" t="s">
        <v>35</v>
      </c>
      <c r="T7" s="20" t="s">
        <v>34</v>
      </c>
      <c r="U7" s="21">
        <v>4000</v>
      </c>
      <c r="V7" s="21">
        <v>96000</v>
      </c>
      <c r="W7" s="21">
        <v>400000</v>
      </c>
      <c r="X7" s="1"/>
      <c r="Y7" s="1"/>
      <c r="Z7" s="1"/>
    </row>
    <row r="8" spans="1:26" ht="24" customHeight="1" x14ac:dyDescent="0.3">
      <c r="A8" s="10" t="s">
        <v>21</v>
      </c>
      <c r="B8" s="10" t="s">
        <v>22</v>
      </c>
      <c r="C8" s="11" t="s">
        <v>23</v>
      </c>
      <c r="D8" s="11" t="s">
        <v>24</v>
      </c>
      <c r="E8" s="11" t="s">
        <v>25</v>
      </c>
      <c r="F8" s="11" t="s">
        <v>26</v>
      </c>
      <c r="G8" s="12">
        <v>24</v>
      </c>
      <c r="H8" s="11" t="s">
        <v>27</v>
      </c>
      <c r="I8" s="11" t="s">
        <v>28</v>
      </c>
      <c r="J8" s="13">
        <f>VLOOKUP(C8&amp;I8&amp;E8,Orig_Dest!$A$2:$E$1876,5,FALSE)</f>
        <v>3</v>
      </c>
      <c r="K8" s="14" t="str">
        <f t="shared" si="0"/>
        <v>Dia 45</v>
      </c>
      <c r="L8" s="15" t="str">
        <f>IF(B8="Fornecedor",IF(VLOOKUP(C8,Base_Dados!$E$1:$F$7,2,FALSE)=F8," ","Fornecedor inválido!")," ")</f>
        <v xml:space="preserve"> </v>
      </c>
      <c r="M8" s="16" t="str">
        <f>IF(AND(LEFT(F8,2)="MP",H8&lt;&gt;Base_Dados!$A$1),"Impossível!!!"," ")</f>
        <v xml:space="preserve"> </v>
      </c>
      <c r="N8" s="15" t="str">
        <f>IF(E8="Avião",IF($G8&lt;=VLOOKUP($F8,Base_Dados!$K$1:$O$7,3,FALSE)," ","Limite "&amp;VLOOKUP($F8,Base_Dados!$K$1:$O$11,3,FALSE)&amp;" "&amp;VLOOKUP($F8,Base_Dados!$K$1:$O$11,2,FALSE))," ")</f>
        <v xml:space="preserve"> </v>
      </c>
      <c r="O8" s="15" t="str">
        <f>IF(E8="Caminhão",IF($G8&lt;=VLOOKUP($F8,Base_Dados!$K$1:$O$7,4,FALSE)," ","Limite "&amp;VLOOKUP($F8,Base_Dados!$K$1:$O$11,4,FALSE)&amp;" "&amp;VLOOKUP($F8,Base_Dados!$K$1:$O$11,2,FALSE))," ")</f>
        <v xml:space="preserve"> </v>
      </c>
      <c r="P8" s="15" t="str">
        <f>IF(E8="Navio",IF($G8&lt;=VLOOKUP($F8,Base_Dados!$K$1:$O$7,5,FALSE)," ","Limite "&amp;VLOOKUP($F8,Base_Dados!$K$1:$O$11,5,FALSE)&amp;" "&amp;VLOOKUP($F8,Base_Dados!$K$1:$O$11,2,FALSE))," ")</f>
        <v xml:space="preserve"> </v>
      </c>
      <c r="Q8" s="15" t="str">
        <f t="shared" si="1"/>
        <v/>
      </c>
      <c r="R8" s="1"/>
      <c r="S8" s="18" t="s">
        <v>36</v>
      </c>
      <c r="T8" s="18" t="s">
        <v>34</v>
      </c>
      <c r="U8" s="19">
        <v>6666</v>
      </c>
      <c r="V8" s="19">
        <v>160000</v>
      </c>
      <c r="W8" s="19">
        <v>666666</v>
      </c>
      <c r="X8" s="1"/>
      <c r="Y8" s="1"/>
      <c r="Z8" s="1"/>
    </row>
    <row r="9" spans="1:26" ht="24" customHeight="1" x14ac:dyDescent="0.3">
      <c r="A9" s="10" t="s">
        <v>21</v>
      </c>
      <c r="B9" s="10" t="s">
        <v>22</v>
      </c>
      <c r="C9" s="11" t="s">
        <v>37</v>
      </c>
      <c r="D9" s="11" t="s">
        <v>38</v>
      </c>
      <c r="E9" s="11" t="s">
        <v>25</v>
      </c>
      <c r="F9" s="11" t="s">
        <v>39</v>
      </c>
      <c r="G9" s="12">
        <v>24</v>
      </c>
      <c r="H9" s="11" t="s">
        <v>27</v>
      </c>
      <c r="I9" s="11" t="s">
        <v>28</v>
      </c>
      <c r="J9" s="13">
        <f>VLOOKUP(C9&amp;I9&amp;E9,Orig_Dest!$A$2:$E$1876,5,FALSE)</f>
        <v>2</v>
      </c>
      <c r="K9" s="14" t="str">
        <f t="shared" si="0"/>
        <v>Dia 43</v>
      </c>
      <c r="L9" s="15" t="str">
        <f>IF(B9="Fornecedor",IF(VLOOKUP(C9,Base_Dados!$E$1:$F$7,2,FALSE)=F9," ","Fornecedor inválido!")," ")</f>
        <v xml:space="preserve"> </v>
      </c>
      <c r="M9" s="16" t="str">
        <f>IF(AND(LEFT(F9,2)="MP",H9&lt;&gt;Base_Dados!$A$1),"Impossível!!!"," ")</f>
        <v xml:space="preserve"> </v>
      </c>
      <c r="N9" s="15" t="str">
        <f>IF(E9="Avião",IF($G9&lt;=VLOOKUP($F9,Base_Dados!$K$1:$O$7,3,FALSE)," ","Limite "&amp;VLOOKUP($F9,Base_Dados!$K$1:$O$11,3,FALSE)&amp;" "&amp;VLOOKUP($F9,Base_Dados!$K$1:$O$11,2,FALSE))," ")</f>
        <v xml:space="preserve"> </v>
      </c>
      <c r="O9" s="15" t="str">
        <f>IF(E9="Caminhão",IF($G9&lt;=VLOOKUP($F9,Base_Dados!$K$1:$O$7,4,FALSE)," ","Limite "&amp;VLOOKUP($F9,Base_Dados!$K$1:$O$11,4,FALSE)&amp;" "&amp;VLOOKUP($F9,Base_Dados!$K$1:$O$11,2,FALSE))," ")</f>
        <v xml:space="preserve"> </v>
      </c>
      <c r="P9" s="15" t="str">
        <f>IF(E9="Navio",IF($G9&lt;=VLOOKUP($F9,Base_Dados!$K$1:$O$7,5,FALSE)," ","Limite "&amp;VLOOKUP($F9,Base_Dados!$K$1:$O$11,5,FALSE)&amp;" "&amp;VLOOKUP($F9,Base_Dados!$K$1:$O$11,2,FALSE))," ")</f>
        <v xml:space="preserve"> </v>
      </c>
      <c r="Q9" s="15" t="str">
        <f t="shared" si="1"/>
        <v/>
      </c>
      <c r="R9" s="1"/>
      <c r="S9" s="20" t="s">
        <v>26</v>
      </c>
      <c r="T9" s="20" t="s">
        <v>40</v>
      </c>
      <c r="U9" s="21">
        <v>1</v>
      </c>
      <c r="V9" s="21">
        <v>24</v>
      </c>
      <c r="W9" s="21">
        <v>100</v>
      </c>
      <c r="X9" s="1"/>
      <c r="Y9" s="1"/>
      <c r="Z9" s="1"/>
    </row>
    <row r="10" spans="1:26" ht="24" customHeight="1" x14ac:dyDescent="0.3">
      <c r="A10" s="10" t="s">
        <v>21</v>
      </c>
      <c r="B10" s="10" t="s">
        <v>22</v>
      </c>
      <c r="C10" s="11" t="s">
        <v>37</v>
      </c>
      <c r="D10" s="11" t="s">
        <v>38</v>
      </c>
      <c r="E10" s="11" t="s">
        <v>25</v>
      </c>
      <c r="F10" s="11" t="s">
        <v>39</v>
      </c>
      <c r="G10" s="12">
        <v>24</v>
      </c>
      <c r="H10" s="11" t="s">
        <v>27</v>
      </c>
      <c r="I10" s="11" t="s">
        <v>28</v>
      </c>
      <c r="J10" s="13">
        <f>VLOOKUP(C10&amp;I10&amp;E10,Orig_Dest!$A$2:$E$1876,5,FALSE)</f>
        <v>2</v>
      </c>
      <c r="K10" s="14" t="str">
        <f t="shared" si="0"/>
        <v>Dia 43</v>
      </c>
      <c r="L10" s="15" t="str">
        <f>IF(B10="Fornecedor",IF(VLOOKUP(C10,Base_Dados!$E$1:$F$7,2,FALSE)=F10," ","Fornecedor inválido!")," ")</f>
        <v xml:space="preserve"> </v>
      </c>
      <c r="M10" s="16" t="str">
        <f>IF(AND(LEFT(F10,2)="MP",H10&lt;&gt;Base_Dados!$A$1),"Impossível!!!"," ")</f>
        <v xml:space="preserve"> </v>
      </c>
      <c r="N10" s="15" t="str">
        <f>IF(E10="Avião",IF($G10&lt;=VLOOKUP($F10,Base_Dados!$K$1:$O$7,3,FALSE)," ","Limite "&amp;VLOOKUP($F10,Base_Dados!$K$1:$O$11,3,FALSE)&amp;" "&amp;VLOOKUP($F10,Base_Dados!$K$1:$O$11,2,FALSE))," ")</f>
        <v xml:space="preserve"> </v>
      </c>
      <c r="O10" s="15" t="str">
        <f>IF(E10="Caminhão",IF($G10&lt;=VLOOKUP($F10,Base_Dados!$K$1:$O$7,4,FALSE)," ","Limite "&amp;VLOOKUP($F10,Base_Dados!$K$1:$O$11,4,FALSE)&amp;" "&amp;VLOOKUP($F10,Base_Dados!$K$1:$O$11,2,FALSE))," ")</f>
        <v xml:space="preserve"> </v>
      </c>
      <c r="P10" s="15" t="str">
        <f>IF(E10="Navio",IF($G10&lt;=VLOOKUP($F10,Base_Dados!$K$1:$O$7,5,FALSE)," ","Limite "&amp;VLOOKUP($F10,Base_Dados!$K$1:$O$11,5,FALSE)&amp;" "&amp;VLOOKUP($F10,Base_Dados!$K$1:$O$11,2,FALSE))," ")</f>
        <v xml:space="preserve"> </v>
      </c>
      <c r="Q10" s="15" t="str">
        <f t="shared" si="1"/>
        <v/>
      </c>
      <c r="R10" s="1"/>
      <c r="S10" s="18" t="s">
        <v>39</v>
      </c>
      <c r="T10" s="18" t="s">
        <v>40</v>
      </c>
      <c r="U10" s="19">
        <v>1</v>
      </c>
      <c r="V10" s="19">
        <v>24</v>
      </c>
      <c r="W10" s="19">
        <v>100</v>
      </c>
      <c r="X10" s="1"/>
      <c r="Y10" s="1"/>
      <c r="Z10" s="1"/>
    </row>
    <row r="11" spans="1:26" ht="24" customHeight="1" x14ac:dyDescent="0.3">
      <c r="A11" s="10" t="s">
        <v>21</v>
      </c>
      <c r="B11" s="10" t="s">
        <v>22</v>
      </c>
      <c r="C11" s="11" t="s">
        <v>37</v>
      </c>
      <c r="D11" s="11" t="s">
        <v>24</v>
      </c>
      <c r="E11" s="11" t="s">
        <v>25</v>
      </c>
      <c r="F11" s="11" t="s">
        <v>39</v>
      </c>
      <c r="G11" s="12">
        <v>24</v>
      </c>
      <c r="H11" s="11" t="s">
        <v>27</v>
      </c>
      <c r="I11" s="11" t="s">
        <v>28</v>
      </c>
      <c r="J11" s="13">
        <f>VLOOKUP(C11&amp;I11&amp;E11,Orig_Dest!$A$2:$E$1876,5,FALSE)</f>
        <v>2</v>
      </c>
      <c r="K11" s="14" t="str">
        <f t="shared" si="0"/>
        <v>Dia 44</v>
      </c>
      <c r="L11" s="15" t="str">
        <f>IF(B11="Fornecedor",IF(VLOOKUP(C11,Base_Dados!$E$1:$F$7,2,FALSE)=F11," ","Fornecedor inválido!")," ")</f>
        <v xml:space="preserve"> </v>
      </c>
      <c r="M11" s="16" t="str">
        <f>IF(AND(LEFT(F11,2)="MP",H11&lt;&gt;Base_Dados!$A$1),"Impossível!!!"," ")</f>
        <v xml:space="preserve"> </v>
      </c>
      <c r="N11" s="15" t="str">
        <f>IF(E11="Avião",IF($G11&lt;=VLOOKUP($F11,Base_Dados!$K$1:$O$7,3,FALSE)," ","Limite "&amp;VLOOKUP($F11,Base_Dados!$K$1:$O$11,3,FALSE)&amp;" "&amp;VLOOKUP($F11,Base_Dados!$K$1:$O$11,2,FALSE))," ")</f>
        <v xml:space="preserve"> </v>
      </c>
      <c r="O11" s="15" t="str">
        <f>IF(E11="Caminhão",IF($G11&lt;=VLOOKUP($F11,Base_Dados!$K$1:$O$7,4,FALSE)," ","Limite "&amp;VLOOKUP($F11,Base_Dados!$K$1:$O$11,4,FALSE)&amp;" "&amp;VLOOKUP($F11,Base_Dados!$K$1:$O$11,2,FALSE))," ")</f>
        <v xml:space="preserve"> </v>
      </c>
      <c r="P11" s="15" t="str">
        <f>IF(E11="Navio",IF($G11&lt;=VLOOKUP($F11,Base_Dados!$K$1:$O$7,5,FALSE)," ","Limite "&amp;VLOOKUP($F11,Base_Dados!$K$1:$O$11,5,FALSE)&amp;" "&amp;VLOOKUP($F11,Base_Dados!$K$1:$O$11,2,FALSE))," ")</f>
        <v xml:space="preserve"> </v>
      </c>
      <c r="Q11" s="15" t="str">
        <f t="shared" si="1"/>
        <v/>
      </c>
      <c r="R11" s="1"/>
      <c r="S11" s="20" t="s">
        <v>41</v>
      </c>
      <c r="T11" s="20" t="s">
        <v>40</v>
      </c>
      <c r="U11" s="21">
        <v>1</v>
      </c>
      <c r="V11" s="21">
        <v>24</v>
      </c>
      <c r="W11" s="21">
        <v>100</v>
      </c>
      <c r="X11" s="1"/>
      <c r="Y11" s="1"/>
      <c r="Z11" s="1"/>
    </row>
    <row r="12" spans="1:26" ht="24" customHeight="1" x14ac:dyDescent="0.3">
      <c r="A12" s="10" t="s">
        <v>21</v>
      </c>
      <c r="B12" s="10" t="s">
        <v>22</v>
      </c>
      <c r="C12" s="11" t="s">
        <v>37</v>
      </c>
      <c r="D12" s="11" t="s">
        <v>42</v>
      </c>
      <c r="E12" s="11" t="s">
        <v>25</v>
      </c>
      <c r="F12" s="11" t="s">
        <v>39</v>
      </c>
      <c r="G12" s="12">
        <v>18</v>
      </c>
      <c r="H12" s="11" t="s">
        <v>27</v>
      </c>
      <c r="I12" s="11" t="s">
        <v>28</v>
      </c>
      <c r="J12" s="13">
        <f>VLOOKUP(C12&amp;I12&amp;E12,Orig_Dest!$A$2:$E$1876,5,FALSE)</f>
        <v>2</v>
      </c>
      <c r="K12" s="14" t="str">
        <f t="shared" si="0"/>
        <v>Dia 45</v>
      </c>
      <c r="L12" s="15" t="str">
        <f>IF(B12="Fornecedor",IF(VLOOKUP(C12,Base_Dados!$E$1:$F$7,2,FALSE)=F12," ","Fornecedor inválido!")," ")</f>
        <v xml:space="preserve"> </v>
      </c>
      <c r="M12" s="16" t="str">
        <f>IF(AND(LEFT(F12,2)="MP",H12&lt;&gt;Base_Dados!$A$1),"Impossível!!!"," ")</f>
        <v xml:space="preserve"> </v>
      </c>
      <c r="N12" s="15" t="str">
        <f>IF(E12="Avião",IF($G12&lt;=VLOOKUP($F12,Base_Dados!$K$1:$O$7,3,FALSE)," ","Limite "&amp;VLOOKUP($F12,Base_Dados!$K$1:$O$11,3,FALSE)&amp;" "&amp;VLOOKUP($F12,Base_Dados!$K$1:$O$11,2,FALSE))," ")</f>
        <v xml:space="preserve"> </v>
      </c>
      <c r="O12" s="15" t="str">
        <f>IF(E12="Caminhão",IF($G12&lt;=VLOOKUP($F12,Base_Dados!$K$1:$O$7,4,FALSE)," ","Limite "&amp;VLOOKUP($F12,Base_Dados!$K$1:$O$11,4,FALSE)&amp;" "&amp;VLOOKUP($F12,Base_Dados!$K$1:$O$11,2,FALSE))," ")</f>
        <v xml:space="preserve"> </v>
      </c>
      <c r="P12" s="15" t="str">
        <f>IF(E12="Navio",IF($G12&lt;=VLOOKUP($F12,Base_Dados!$K$1:$O$7,5,FALSE)," ","Limite "&amp;VLOOKUP($F12,Base_Dados!$K$1:$O$11,5,FALSE)&amp;" "&amp;VLOOKUP($F12,Base_Dados!$K$1:$O$11,2,FALSE))," ")</f>
        <v xml:space="preserve"> </v>
      </c>
      <c r="Q12" s="15" t="str">
        <f t="shared" si="1"/>
        <v/>
      </c>
      <c r="R12" s="1"/>
      <c r="S12" s="1"/>
      <c r="T12" s="1"/>
      <c r="U12" s="1"/>
      <c r="V12" s="1"/>
      <c r="W12" s="1"/>
      <c r="X12" s="1"/>
      <c r="Y12" s="1"/>
      <c r="Z12" s="1"/>
    </row>
    <row r="13" spans="1:26" ht="24" customHeight="1" x14ac:dyDescent="0.3">
      <c r="A13" s="10" t="s">
        <v>21</v>
      </c>
      <c r="B13" s="10" t="s">
        <v>22</v>
      </c>
      <c r="C13" s="11" t="s">
        <v>37</v>
      </c>
      <c r="D13" s="11" t="s">
        <v>42</v>
      </c>
      <c r="E13" s="11" t="s">
        <v>25</v>
      </c>
      <c r="F13" s="11" t="s">
        <v>39</v>
      </c>
      <c r="G13" s="12">
        <v>18</v>
      </c>
      <c r="H13" s="11" t="s">
        <v>27</v>
      </c>
      <c r="I13" s="11" t="s">
        <v>28</v>
      </c>
      <c r="J13" s="13">
        <f>VLOOKUP(C13&amp;I13&amp;E13,Orig_Dest!$A$2:$E$1876,5,FALSE)</f>
        <v>2</v>
      </c>
      <c r="K13" s="14" t="str">
        <f t="shared" si="0"/>
        <v>Dia 45</v>
      </c>
      <c r="L13" s="15" t="str">
        <f>IF(B13="Fornecedor",IF(VLOOKUP(C13,Base_Dados!$E$1:$F$7,2,FALSE)=F13," ","Fornecedor inválido!")," ")</f>
        <v xml:space="preserve"> </v>
      </c>
      <c r="M13" s="16" t="str">
        <f>IF(AND(LEFT(F13,2)="MP",H13&lt;&gt;Base_Dados!$A$1),"Impossível!!!"," ")</f>
        <v xml:space="preserve"> </v>
      </c>
      <c r="N13" s="15" t="str">
        <f>IF(E13="Avião",IF($G13&lt;=VLOOKUP($F13,Base_Dados!$K$1:$O$7,3,FALSE)," ","Limite "&amp;VLOOKUP($F13,Base_Dados!$K$1:$O$11,3,FALSE)&amp;" "&amp;VLOOKUP($F13,Base_Dados!$K$1:$O$11,2,FALSE))," ")</f>
        <v xml:space="preserve"> </v>
      </c>
      <c r="O13" s="15" t="str">
        <f>IF(E13="Caminhão",IF($G13&lt;=VLOOKUP($F13,Base_Dados!$K$1:$O$7,4,FALSE)," ","Limite "&amp;VLOOKUP($F13,Base_Dados!$K$1:$O$11,4,FALSE)&amp;" "&amp;VLOOKUP($F13,Base_Dados!$K$1:$O$11,2,FALSE))," ")</f>
        <v xml:space="preserve"> </v>
      </c>
      <c r="P13" s="15" t="str">
        <f>IF(E13="Navio",IF($G13&lt;=VLOOKUP($F13,Base_Dados!$K$1:$O$7,5,FALSE)," ","Limite "&amp;VLOOKUP($F13,Base_Dados!$K$1:$O$11,5,FALSE)&amp;" "&amp;VLOOKUP($F13,Base_Dados!$K$1:$O$11,2,FALSE))," ")</f>
        <v xml:space="preserve"> </v>
      </c>
      <c r="Q13" s="15" t="str">
        <f t="shared" si="1"/>
        <v/>
      </c>
      <c r="R13" s="1"/>
      <c r="S13" s="9" t="s">
        <v>43</v>
      </c>
      <c r="T13" s="1"/>
      <c r="U13" s="1"/>
      <c r="V13" s="1"/>
      <c r="W13" s="1"/>
      <c r="X13" s="1"/>
      <c r="Y13" s="1"/>
      <c r="Z13" s="1"/>
    </row>
    <row r="14" spans="1:26" ht="24" customHeight="1" x14ac:dyDescent="0.3">
      <c r="A14" s="10" t="s">
        <v>21</v>
      </c>
      <c r="B14" s="10" t="s">
        <v>22</v>
      </c>
      <c r="C14" s="11" t="s">
        <v>44</v>
      </c>
      <c r="D14" s="11" t="s">
        <v>38</v>
      </c>
      <c r="E14" s="11" t="s">
        <v>25</v>
      </c>
      <c r="F14" s="11" t="s">
        <v>41</v>
      </c>
      <c r="G14" s="12">
        <v>24</v>
      </c>
      <c r="H14" s="11" t="s">
        <v>27</v>
      </c>
      <c r="I14" s="11" t="s">
        <v>28</v>
      </c>
      <c r="J14" s="13">
        <f>VLOOKUP(C14&amp;I14&amp;E14,Orig_Dest!$A$2:$E$1876,5,FALSE)</f>
        <v>1</v>
      </c>
      <c r="K14" s="14" t="str">
        <f t="shared" si="0"/>
        <v>Dia 42</v>
      </c>
      <c r="L14" s="15" t="str">
        <f>IF(B14="Fornecedor",IF(VLOOKUP(C14,Base_Dados!$E$1:$F$7,2,FALSE)=F14," ","Fornecedor inválido!")," ")</f>
        <v xml:space="preserve"> </v>
      </c>
      <c r="M14" s="16" t="str">
        <f>IF(AND(LEFT(F14,2)="MP",H14&lt;&gt;Base_Dados!$A$1),"Impossível!!!"," ")</f>
        <v xml:space="preserve"> </v>
      </c>
      <c r="N14" s="15" t="str">
        <f>IF(E14="Avião",IF($G14&lt;=VLOOKUP($F14,Base_Dados!$K$1:$O$7,3,FALSE)," ","Limite "&amp;VLOOKUP($F14,Base_Dados!$K$1:$O$11,3,FALSE)&amp;" "&amp;VLOOKUP($F14,Base_Dados!$K$1:$O$11,2,FALSE))," ")</f>
        <v xml:space="preserve"> </v>
      </c>
      <c r="O14" s="15" t="str">
        <f>IF(E14="Caminhão",IF($G14&lt;=VLOOKUP($F14,Base_Dados!$K$1:$O$7,4,FALSE)," ","Limite "&amp;VLOOKUP($F14,Base_Dados!$K$1:$O$11,4,FALSE)&amp;" "&amp;VLOOKUP($F14,Base_Dados!$K$1:$O$11,2,FALSE))," ")</f>
        <v xml:space="preserve"> </v>
      </c>
      <c r="P14" s="15" t="str">
        <f>IF(E14="Navio",IF($G14&lt;=VLOOKUP($F14,Base_Dados!$K$1:$O$7,5,FALSE)," ","Limite "&amp;VLOOKUP($F14,Base_Dados!$K$1:$O$11,5,FALSE)&amp;" "&amp;VLOOKUP($F14,Base_Dados!$K$1:$O$11,2,FALSE))," ")</f>
        <v xml:space="preserve"> </v>
      </c>
      <c r="Q14" s="15" t="str">
        <f t="shared" si="1"/>
        <v/>
      </c>
      <c r="R14" s="1"/>
      <c r="S14" s="17" t="s">
        <v>22</v>
      </c>
      <c r="T14" s="17" t="s">
        <v>29</v>
      </c>
      <c r="U14" s="1"/>
      <c r="V14" s="1"/>
      <c r="W14" s="1"/>
      <c r="X14" s="1"/>
      <c r="Y14" s="1"/>
      <c r="Z14" s="1"/>
    </row>
    <row r="15" spans="1:26" ht="24" customHeight="1" x14ac:dyDescent="0.3">
      <c r="A15" s="10" t="s">
        <v>21</v>
      </c>
      <c r="B15" s="10" t="s">
        <v>22</v>
      </c>
      <c r="C15" s="11" t="s">
        <v>44</v>
      </c>
      <c r="D15" s="11" t="s">
        <v>45</v>
      </c>
      <c r="E15" s="11" t="s">
        <v>25</v>
      </c>
      <c r="F15" s="11" t="s">
        <v>41</v>
      </c>
      <c r="G15" s="12">
        <v>18</v>
      </c>
      <c r="H15" s="11" t="s">
        <v>27</v>
      </c>
      <c r="I15" s="11" t="s">
        <v>28</v>
      </c>
      <c r="J15" s="13">
        <f>VLOOKUP(C15&amp;I15&amp;E15,Orig_Dest!$A$2:$E$1876,5,FALSE)</f>
        <v>1</v>
      </c>
      <c r="K15" s="14" t="str">
        <f t="shared" si="0"/>
        <v>Dia 45</v>
      </c>
      <c r="L15" s="15" t="str">
        <f>IF(B15="Fornecedor",IF(VLOOKUP(C15,Base_Dados!$E$1:$F$7,2,FALSE)=F15," ","Fornecedor inválido!")," ")</f>
        <v xml:space="preserve"> </v>
      </c>
      <c r="M15" s="16" t="str">
        <f>IF(AND(LEFT(F15,2)="MP",H15&lt;&gt;Base_Dados!$A$1),"Impossível!!!"," ")</f>
        <v xml:space="preserve"> </v>
      </c>
      <c r="N15" s="15" t="str">
        <f>IF(E15="Avião",IF($G15&lt;=VLOOKUP($F15,Base_Dados!$K$1:$O$7,3,FALSE)," ","Limite "&amp;VLOOKUP($F15,Base_Dados!$K$1:$O$11,3,FALSE)&amp;" "&amp;VLOOKUP($F15,Base_Dados!$K$1:$O$11,2,FALSE))," ")</f>
        <v xml:space="preserve"> </v>
      </c>
      <c r="O15" s="15" t="str">
        <f>IF(E15="Caminhão",IF($G15&lt;=VLOOKUP($F15,Base_Dados!$K$1:$O$7,4,FALSE)," ","Limite "&amp;VLOOKUP($F15,Base_Dados!$K$1:$O$11,4,FALSE)&amp;" "&amp;VLOOKUP($F15,Base_Dados!$K$1:$O$11,2,FALSE))," ")</f>
        <v xml:space="preserve"> </v>
      </c>
      <c r="P15" s="15" t="str">
        <f>IF(E15="Navio",IF($G15&lt;=VLOOKUP($F15,Base_Dados!$K$1:$O$7,5,FALSE)," ","Limite "&amp;VLOOKUP($F15,Base_Dados!$K$1:$O$11,5,FALSE)&amp;" "&amp;VLOOKUP($F15,Base_Dados!$K$1:$O$11,2,FALSE))," ")</f>
        <v xml:space="preserve"> </v>
      </c>
      <c r="Q15" s="15" t="str">
        <f t="shared" si="1"/>
        <v/>
      </c>
      <c r="R15" s="1"/>
      <c r="S15" s="18" t="s">
        <v>23</v>
      </c>
      <c r="T15" s="18" t="s">
        <v>26</v>
      </c>
      <c r="U15" s="1"/>
      <c r="V15" s="1"/>
      <c r="W15" s="1"/>
      <c r="X15" s="1"/>
      <c r="Y15" s="1"/>
      <c r="Z15" s="1"/>
    </row>
    <row r="16" spans="1:26" ht="24" customHeight="1" x14ac:dyDescent="0.3">
      <c r="A16" s="10" t="s">
        <v>21</v>
      </c>
      <c r="B16" s="10" t="s">
        <v>27</v>
      </c>
      <c r="C16" s="11" t="s">
        <v>28</v>
      </c>
      <c r="D16" s="11" t="s">
        <v>38</v>
      </c>
      <c r="E16" s="11" t="s">
        <v>32</v>
      </c>
      <c r="F16" s="11" t="s">
        <v>35</v>
      </c>
      <c r="G16" s="12">
        <v>288163</v>
      </c>
      <c r="H16" s="11" t="s">
        <v>46</v>
      </c>
      <c r="I16" s="11" t="s">
        <v>47</v>
      </c>
      <c r="J16" s="13">
        <f>VLOOKUP(C16&amp;I16&amp;E16,Orig_Dest!$A$2:$E$1876,5,FALSE)</f>
        <v>1</v>
      </c>
      <c r="K16" s="14" t="str">
        <f t="shared" si="0"/>
        <v>Dia 42</v>
      </c>
      <c r="L16" s="15" t="str">
        <f>IF(B16="Fornecedor",IF(VLOOKUP(C16,Base_Dados!$E$1:$F$7,2,FALSE)=F16," ","Fornecedor inválido!")," ")</f>
        <v xml:space="preserve"> </v>
      </c>
      <c r="M16" s="16" t="str">
        <f>IF(AND(LEFT(F16,2)="MP",H16&lt;&gt;Base_Dados!$A$1),"Impossível!!!"," ")</f>
        <v xml:space="preserve"> </v>
      </c>
      <c r="N16" s="15" t="str">
        <f>IF(E16="Avião",IF($G16&lt;=VLOOKUP($F16,Base_Dados!$K$1:$O$7,3,FALSE)," ","Limite "&amp;VLOOKUP($F16,Base_Dados!$K$1:$O$11,3,FALSE)&amp;" "&amp;VLOOKUP($F16,Base_Dados!$K$1:$O$11,2,FALSE))," ")</f>
        <v xml:space="preserve"> </v>
      </c>
      <c r="O16" s="15" t="str">
        <f>IF(E16="Caminhão",IF($G16&lt;=VLOOKUP($F16,Base_Dados!$K$1:$O$7,4,FALSE)," ","Limite "&amp;VLOOKUP($F16,Base_Dados!$K$1:$O$11,4,FALSE)&amp;" "&amp;VLOOKUP($F16,Base_Dados!$K$1:$O$11,2,FALSE))," ")</f>
        <v xml:space="preserve"> </v>
      </c>
      <c r="P16" s="15" t="str">
        <f>IF(E16="Navio",IF($G16&lt;=VLOOKUP($F16,Base_Dados!$K$1:$O$7,5,FALSE)," ","Limite "&amp;VLOOKUP($F16,Base_Dados!$K$1:$O$11,5,FALSE)&amp;" "&amp;VLOOKUP($F16,Base_Dados!$K$1:$O$11,2,FALSE))," ")</f>
        <v xml:space="preserve"> </v>
      </c>
      <c r="Q16" s="15" t="str">
        <f t="shared" si="1"/>
        <v/>
      </c>
      <c r="R16" s="1"/>
      <c r="S16" s="18" t="s">
        <v>48</v>
      </c>
      <c r="T16" s="18" t="s">
        <v>26</v>
      </c>
      <c r="U16" s="1"/>
      <c r="V16" s="1"/>
      <c r="W16" s="1"/>
      <c r="X16" s="1"/>
      <c r="Y16" s="1"/>
      <c r="Z16" s="1"/>
    </row>
    <row r="17" spans="1:26" ht="24" customHeight="1" x14ac:dyDescent="0.3">
      <c r="A17" s="10" t="s">
        <v>21</v>
      </c>
      <c r="B17" s="10" t="s">
        <v>27</v>
      </c>
      <c r="C17" s="11" t="s">
        <v>28</v>
      </c>
      <c r="D17" s="11" t="s">
        <v>38</v>
      </c>
      <c r="E17" s="11" t="s">
        <v>31</v>
      </c>
      <c r="F17" s="11" t="s">
        <v>35</v>
      </c>
      <c r="G17" s="12">
        <v>4000</v>
      </c>
      <c r="H17" s="11" t="s">
        <v>46</v>
      </c>
      <c r="I17" s="11" t="s">
        <v>47</v>
      </c>
      <c r="J17" s="13">
        <f>VLOOKUP(C17&amp;I17&amp;E17,Orig_Dest!$A$2:$E$1876,5,FALSE)</f>
        <v>0</v>
      </c>
      <c r="K17" s="14" t="str">
        <f t="shared" si="0"/>
        <v>Dia 41</v>
      </c>
      <c r="L17" s="15" t="str">
        <f>IF(B17="Fornecedor",IF(VLOOKUP(C17,Base_Dados!$E$1:$F$7,2,FALSE)=F17," ","Fornecedor inválido!")," ")</f>
        <v xml:space="preserve"> </v>
      </c>
      <c r="M17" s="16" t="str">
        <f>IF(AND(LEFT(F17,2)="MP",H17&lt;&gt;Base_Dados!$A$1),"Impossível!!!"," ")</f>
        <v xml:space="preserve"> </v>
      </c>
      <c r="N17" s="15" t="str">
        <f>IF(E17="Avião",IF($G17&lt;=VLOOKUP($F17,Base_Dados!$K$1:$O$7,3,FALSE)," ","Limite "&amp;VLOOKUP($F17,Base_Dados!$K$1:$O$11,3,FALSE)&amp;" "&amp;VLOOKUP($F17,Base_Dados!$K$1:$O$11,2,FALSE))," ")</f>
        <v xml:space="preserve"> </v>
      </c>
      <c r="O17" s="15" t="str">
        <f>IF(E17="Caminhão",IF($G17&lt;=VLOOKUP($F17,Base_Dados!$K$1:$O$7,4,FALSE)," ","Limite "&amp;VLOOKUP($F17,Base_Dados!$K$1:$O$11,4,FALSE)&amp;" "&amp;VLOOKUP($F17,Base_Dados!$K$1:$O$11,2,FALSE))," ")</f>
        <v xml:space="preserve"> </v>
      </c>
      <c r="P17" s="15" t="str">
        <f>IF(E17="Navio",IF($G17&lt;=VLOOKUP($F17,Base_Dados!$K$1:$O$7,5,FALSE)," ","Limite "&amp;VLOOKUP($F17,Base_Dados!$K$1:$O$11,5,FALSE)&amp;" "&amp;VLOOKUP($F17,Base_Dados!$K$1:$O$11,2,FALSE))," ")</f>
        <v xml:space="preserve"> </v>
      </c>
      <c r="Q17" s="15" t="str">
        <f t="shared" si="1"/>
        <v/>
      </c>
      <c r="R17" s="1"/>
      <c r="S17" s="20" t="s">
        <v>37</v>
      </c>
      <c r="T17" s="20" t="s">
        <v>39</v>
      </c>
      <c r="U17" s="1"/>
      <c r="V17" s="1"/>
      <c r="W17" s="1"/>
      <c r="X17" s="1"/>
      <c r="Y17" s="1"/>
      <c r="Z17" s="1"/>
    </row>
    <row r="18" spans="1:26" ht="24" customHeight="1" x14ac:dyDescent="0.3">
      <c r="A18" s="10" t="s">
        <v>21</v>
      </c>
      <c r="B18" s="10" t="s">
        <v>27</v>
      </c>
      <c r="C18" s="11" t="s">
        <v>28</v>
      </c>
      <c r="D18" s="11" t="s">
        <v>38</v>
      </c>
      <c r="E18" s="11" t="s">
        <v>31</v>
      </c>
      <c r="F18" s="11" t="s">
        <v>35</v>
      </c>
      <c r="G18" s="12">
        <v>4000</v>
      </c>
      <c r="H18" s="11" t="s">
        <v>46</v>
      </c>
      <c r="I18" s="11" t="s">
        <v>47</v>
      </c>
      <c r="J18" s="13">
        <f>VLOOKUP(C18&amp;I18&amp;E18,Orig_Dest!$A$2:$E$1876,5,FALSE)</f>
        <v>0</v>
      </c>
      <c r="K18" s="14" t="str">
        <f t="shared" si="0"/>
        <v>Dia 41</v>
      </c>
      <c r="L18" s="15" t="str">
        <f>IF(B18="Fornecedor",IF(VLOOKUP(C18,Base_Dados!$E$1:$F$7,2,FALSE)=F18," ","Fornecedor inválido!")," ")</f>
        <v xml:space="preserve"> </v>
      </c>
      <c r="M18" s="16" t="str">
        <f>IF(AND(LEFT(F18,2)="MP",H18&lt;&gt;Base_Dados!$A$1),"Impossível!!!"," ")</f>
        <v xml:space="preserve"> </v>
      </c>
      <c r="N18" s="15" t="str">
        <f>IF(E18="Avião",IF($G18&lt;=VLOOKUP($F18,Base_Dados!$K$1:$O$7,3,FALSE)," ","Limite "&amp;VLOOKUP($F18,Base_Dados!$K$1:$O$11,3,FALSE)&amp;" "&amp;VLOOKUP($F18,Base_Dados!$K$1:$O$11,2,FALSE))," ")</f>
        <v xml:space="preserve"> </v>
      </c>
      <c r="O18" s="15" t="str">
        <f>IF(E18="Caminhão",IF($G18&lt;=VLOOKUP($F18,Base_Dados!$K$1:$O$7,4,FALSE)," ","Limite "&amp;VLOOKUP($F18,Base_Dados!$K$1:$O$11,4,FALSE)&amp;" "&amp;VLOOKUP($F18,Base_Dados!$K$1:$O$11,2,FALSE))," ")</f>
        <v xml:space="preserve"> </v>
      </c>
      <c r="P18" s="15" t="str">
        <f>IF(E18="Navio",IF($G18&lt;=VLOOKUP($F18,Base_Dados!$K$1:$O$7,5,FALSE)," ","Limite "&amp;VLOOKUP($F18,Base_Dados!$K$1:$O$11,5,FALSE)&amp;" "&amp;VLOOKUP($F18,Base_Dados!$K$1:$O$11,2,FALSE))," ")</f>
        <v xml:space="preserve"> </v>
      </c>
      <c r="Q18" s="15" t="str">
        <f t="shared" si="1"/>
        <v/>
      </c>
      <c r="R18" s="1"/>
      <c r="S18" s="20" t="s">
        <v>49</v>
      </c>
      <c r="T18" s="20" t="s">
        <v>39</v>
      </c>
      <c r="U18" s="1"/>
      <c r="V18" s="1"/>
      <c r="W18" s="1"/>
      <c r="X18" s="1"/>
      <c r="Y18" s="1"/>
      <c r="Z18" s="1"/>
    </row>
    <row r="19" spans="1:26" ht="24" customHeight="1" x14ac:dyDescent="0.3">
      <c r="A19" s="10" t="s">
        <v>21</v>
      </c>
      <c r="B19" s="10" t="s">
        <v>27</v>
      </c>
      <c r="C19" s="11" t="s">
        <v>28</v>
      </c>
      <c r="D19" s="11" t="s">
        <v>38</v>
      </c>
      <c r="E19" s="11" t="s">
        <v>31</v>
      </c>
      <c r="F19" s="11" t="s">
        <v>35</v>
      </c>
      <c r="G19" s="12">
        <v>4000</v>
      </c>
      <c r="H19" s="11" t="s">
        <v>46</v>
      </c>
      <c r="I19" s="11" t="s">
        <v>47</v>
      </c>
      <c r="J19" s="13">
        <f>VLOOKUP(C19&amp;I19&amp;E19,Orig_Dest!$A$2:$E$1876,5,FALSE)</f>
        <v>0</v>
      </c>
      <c r="K19" s="14" t="str">
        <f t="shared" si="0"/>
        <v>Dia 41</v>
      </c>
      <c r="L19" s="15" t="str">
        <f>IF(B19="Fornecedor",IF(VLOOKUP(C19,Base_Dados!$E$1:$F$7,2,FALSE)=F19," ","Fornecedor inválido!")," ")</f>
        <v xml:space="preserve"> </v>
      </c>
      <c r="M19" s="16" t="str">
        <f>IF(AND(LEFT(F19,2)="MP",H19&lt;&gt;Base_Dados!$A$1),"Impossível!!!"," ")</f>
        <v xml:space="preserve"> </v>
      </c>
      <c r="N19" s="15" t="str">
        <f>IF(E19="Avião",IF($G19&lt;=VLOOKUP($F19,Base_Dados!$K$1:$O$7,3,FALSE)," ","Limite "&amp;VLOOKUP($F19,Base_Dados!$K$1:$O$11,3,FALSE)&amp;" "&amp;VLOOKUP($F19,Base_Dados!$K$1:$O$11,2,FALSE))," ")</f>
        <v xml:space="preserve"> </v>
      </c>
      <c r="O19" s="15" t="str">
        <f>IF(E19="Caminhão",IF($G19&lt;=VLOOKUP($F19,Base_Dados!$K$1:$O$7,4,FALSE)," ","Limite "&amp;VLOOKUP($F19,Base_Dados!$K$1:$O$11,4,FALSE)&amp;" "&amp;VLOOKUP($F19,Base_Dados!$K$1:$O$11,2,FALSE))," ")</f>
        <v xml:space="preserve"> </v>
      </c>
      <c r="P19" s="15" t="str">
        <f>IF(E19="Navio",IF($G19&lt;=VLOOKUP($F19,Base_Dados!$K$1:$O$7,5,FALSE)," ","Limite "&amp;VLOOKUP($F19,Base_Dados!$K$1:$O$11,5,FALSE)&amp;" "&amp;VLOOKUP($F19,Base_Dados!$K$1:$O$11,2,FALSE))," ")</f>
        <v xml:space="preserve"> </v>
      </c>
      <c r="Q19" s="15" t="str">
        <f t="shared" si="1"/>
        <v/>
      </c>
      <c r="R19" s="1"/>
      <c r="S19" s="22" t="s">
        <v>28</v>
      </c>
      <c r="T19" s="22" t="s">
        <v>41</v>
      </c>
      <c r="U19" s="1"/>
      <c r="V19" s="1"/>
      <c r="W19" s="1"/>
      <c r="X19" s="1"/>
      <c r="Y19" s="1"/>
      <c r="Z19" s="1"/>
    </row>
    <row r="20" spans="1:26" ht="24" customHeight="1" x14ac:dyDescent="0.3">
      <c r="A20" s="10" t="s">
        <v>21</v>
      </c>
      <c r="B20" s="10" t="s">
        <v>27</v>
      </c>
      <c r="C20" s="11" t="s">
        <v>28</v>
      </c>
      <c r="D20" s="11" t="s">
        <v>38</v>
      </c>
      <c r="E20" s="11" t="s">
        <v>31</v>
      </c>
      <c r="F20" s="11" t="s">
        <v>35</v>
      </c>
      <c r="G20" s="12">
        <v>2237</v>
      </c>
      <c r="H20" s="11" t="s">
        <v>46</v>
      </c>
      <c r="I20" s="11" t="s">
        <v>47</v>
      </c>
      <c r="J20" s="13">
        <f>VLOOKUP(C20&amp;I20&amp;E20,Orig_Dest!$A$2:$E$1876,5,FALSE)</f>
        <v>0</v>
      </c>
      <c r="K20" s="14" t="str">
        <f t="shared" si="0"/>
        <v>Dia 41</v>
      </c>
      <c r="L20" s="15" t="str">
        <f>IF(B20="Fornecedor",IF(VLOOKUP(C20,Base_Dados!$E$1:$F$7,2,FALSE)=F20," ","Fornecedor inválido!")," ")</f>
        <v xml:space="preserve"> </v>
      </c>
      <c r="M20" s="16" t="str">
        <f>IF(AND(LEFT(F20,2)="MP",H20&lt;&gt;Base_Dados!$A$1),"Impossível!!!"," ")</f>
        <v xml:space="preserve"> </v>
      </c>
      <c r="N20" s="15" t="str">
        <f>IF(E20="Avião",IF($G20&lt;=VLOOKUP($F20,Base_Dados!$K$1:$O$7,3,FALSE)," ","Limite "&amp;VLOOKUP($F20,Base_Dados!$K$1:$O$11,3,FALSE)&amp;" "&amp;VLOOKUP($F20,Base_Dados!$K$1:$O$11,2,FALSE))," ")</f>
        <v xml:space="preserve"> </v>
      </c>
      <c r="O20" s="15" t="str">
        <f>IF(E20="Caminhão",IF($G20&lt;=VLOOKUP($F20,Base_Dados!$K$1:$O$7,4,FALSE)," ","Limite "&amp;VLOOKUP($F20,Base_Dados!$K$1:$O$11,4,FALSE)&amp;" "&amp;VLOOKUP($F20,Base_Dados!$K$1:$O$11,2,FALSE))," ")</f>
        <v xml:space="preserve"> </v>
      </c>
      <c r="P20" s="15" t="str">
        <f>IF(E20="Navio",IF($G20&lt;=VLOOKUP($F20,Base_Dados!$K$1:$O$7,5,FALSE)," ","Limite "&amp;VLOOKUP($F20,Base_Dados!$K$1:$O$11,5,FALSE)&amp;" "&amp;VLOOKUP($F20,Base_Dados!$K$1:$O$11,2,FALSE))," ")</f>
        <v xml:space="preserve"> </v>
      </c>
      <c r="Q20" s="15" t="str">
        <f t="shared" si="1"/>
        <v/>
      </c>
      <c r="R20" s="1"/>
      <c r="S20" s="22" t="s">
        <v>44</v>
      </c>
      <c r="T20" s="22" t="s">
        <v>41</v>
      </c>
      <c r="U20" s="1"/>
      <c r="V20" s="1"/>
      <c r="W20" s="1"/>
      <c r="X20" s="1"/>
      <c r="Y20" s="1"/>
      <c r="Z20" s="1"/>
    </row>
    <row r="21" spans="1:26" ht="24" customHeight="1" x14ac:dyDescent="0.3">
      <c r="A21" s="10" t="s">
        <v>21</v>
      </c>
      <c r="B21" s="10" t="s">
        <v>27</v>
      </c>
      <c r="C21" s="11" t="s">
        <v>28</v>
      </c>
      <c r="D21" s="11" t="s">
        <v>24</v>
      </c>
      <c r="E21" s="11" t="s">
        <v>25</v>
      </c>
      <c r="F21" s="11" t="s">
        <v>35</v>
      </c>
      <c r="G21" s="12">
        <v>25040</v>
      </c>
      <c r="H21" s="11" t="s">
        <v>46</v>
      </c>
      <c r="I21" s="11" t="s">
        <v>47</v>
      </c>
      <c r="J21" s="13">
        <f>VLOOKUP(C21&amp;I21&amp;E21,Orig_Dest!$A$2:$E$1876,5,FALSE)</f>
        <v>1</v>
      </c>
      <c r="K21" s="14" t="str">
        <f t="shared" si="0"/>
        <v>Dia 43</v>
      </c>
      <c r="L21" s="15" t="str">
        <f>IF(B21="Fornecedor",IF(VLOOKUP(C21,Base_Dados!$E$1:$F$7,2,FALSE)=F21," ","Fornecedor inválido!")," ")</f>
        <v xml:space="preserve"> </v>
      </c>
      <c r="M21" s="16" t="str">
        <f>IF(AND(LEFT(F21,2)="MP",H21&lt;&gt;Base_Dados!$A$1),"Impossível!!!"," ")</f>
        <v xml:space="preserve"> </v>
      </c>
      <c r="N21" s="15" t="str">
        <f>IF(E21="Avião",IF($G21&lt;=VLOOKUP($F21,Base_Dados!$K$1:$O$7,3,FALSE)," ","Limite "&amp;VLOOKUP($F21,Base_Dados!$K$1:$O$11,3,FALSE)&amp;" "&amp;VLOOKUP($F21,Base_Dados!$K$1:$O$11,2,FALSE))," ")</f>
        <v xml:space="preserve"> </v>
      </c>
      <c r="O21" s="15" t="str">
        <f>IF(E21="Caminhão",IF($G21&lt;=VLOOKUP($F21,Base_Dados!$K$1:$O$7,4,FALSE)," ","Limite "&amp;VLOOKUP($F21,Base_Dados!$K$1:$O$11,4,FALSE)&amp;" "&amp;VLOOKUP($F21,Base_Dados!$K$1:$O$11,2,FALSE))," ")</f>
        <v xml:space="preserve"> </v>
      </c>
      <c r="P21" s="15" t="str">
        <f>IF(E21="Navio",IF($G21&lt;=VLOOKUP($F21,Base_Dados!$K$1:$O$7,5,FALSE)," ","Limite "&amp;VLOOKUP($F21,Base_Dados!$K$1:$O$11,5,FALSE)&amp;" "&amp;VLOOKUP($F21,Base_Dados!$K$1:$O$11,2,FALSE))," ")</f>
        <v xml:space="preserve"> </v>
      </c>
      <c r="Q21" s="15" t="str">
        <f t="shared" si="1"/>
        <v/>
      </c>
      <c r="R21" s="1"/>
      <c r="S21" s="1"/>
      <c r="T21" s="1"/>
      <c r="U21" s="1"/>
      <c r="V21" s="1"/>
      <c r="W21" s="1"/>
      <c r="X21" s="1"/>
      <c r="Y21" s="1"/>
      <c r="Z21" s="1"/>
    </row>
    <row r="22" spans="1:26" ht="24" customHeight="1" x14ac:dyDescent="0.3">
      <c r="A22" s="10" t="s">
        <v>21</v>
      </c>
      <c r="B22" s="10" t="s">
        <v>27</v>
      </c>
      <c r="C22" s="11" t="s">
        <v>28</v>
      </c>
      <c r="D22" s="11" t="s">
        <v>24</v>
      </c>
      <c r="E22" s="11" t="s">
        <v>31</v>
      </c>
      <c r="F22" s="11" t="s">
        <v>35</v>
      </c>
      <c r="G22" s="12">
        <v>4000</v>
      </c>
      <c r="H22" s="11" t="s">
        <v>46</v>
      </c>
      <c r="I22" s="11" t="s">
        <v>47</v>
      </c>
      <c r="J22" s="13">
        <f>VLOOKUP(C22&amp;I22&amp;E22,Orig_Dest!$A$2:$E$1876,5,FALSE)</f>
        <v>0</v>
      </c>
      <c r="K22" s="14" t="str">
        <f t="shared" si="0"/>
        <v>Dia 42</v>
      </c>
      <c r="L22" s="15" t="str">
        <f>IF(B22="Fornecedor",IF(VLOOKUP(C22,Base_Dados!$E$1:$F$7,2,FALSE)=F22," ","Fornecedor inválido!")," ")</f>
        <v xml:space="preserve"> </v>
      </c>
      <c r="M22" s="16" t="str">
        <f>IF(AND(LEFT(F22,2)="MP",H22&lt;&gt;Base_Dados!$A$1),"Impossível!!!"," ")</f>
        <v xml:space="preserve"> </v>
      </c>
      <c r="N22" s="15" t="str">
        <f>IF(E22="Avião",IF($G22&lt;=VLOOKUP($F22,Base_Dados!$K$1:$O$7,3,FALSE)," ","Limite "&amp;VLOOKUP($F22,Base_Dados!$K$1:$O$11,3,FALSE)&amp;" "&amp;VLOOKUP($F22,Base_Dados!$K$1:$O$11,2,FALSE))," ")</f>
        <v xml:space="preserve"> </v>
      </c>
      <c r="O22" s="15" t="str">
        <f>IF(E22="Caminhão",IF($G22&lt;=VLOOKUP($F22,Base_Dados!$K$1:$O$7,4,FALSE)," ","Limite "&amp;VLOOKUP($F22,Base_Dados!$K$1:$O$11,4,FALSE)&amp;" "&amp;VLOOKUP($F22,Base_Dados!$K$1:$O$11,2,FALSE))," ")</f>
        <v xml:space="preserve"> </v>
      </c>
      <c r="P22" s="15" t="str">
        <f>IF(E22="Navio",IF($G22&lt;=VLOOKUP($F22,Base_Dados!$K$1:$O$7,5,FALSE)," ","Limite "&amp;VLOOKUP($F22,Base_Dados!$K$1:$O$11,5,FALSE)&amp;" "&amp;VLOOKUP($F22,Base_Dados!$K$1:$O$11,2,FALSE))," ")</f>
        <v xml:space="preserve"> </v>
      </c>
      <c r="Q22" s="15" t="str">
        <f t="shared" si="1"/>
        <v/>
      </c>
      <c r="R22" s="1"/>
      <c r="S22" s="23"/>
      <c r="T22" s="1"/>
      <c r="U22" s="1"/>
      <c r="V22" s="23"/>
      <c r="W22" s="1"/>
      <c r="X22" s="1"/>
      <c r="Y22" s="1"/>
      <c r="Z22" s="1"/>
    </row>
    <row r="23" spans="1:26" ht="24" customHeight="1" x14ac:dyDescent="0.3">
      <c r="A23" s="10" t="s">
        <v>21</v>
      </c>
      <c r="B23" s="10" t="s">
        <v>27</v>
      </c>
      <c r="C23" s="11" t="s">
        <v>28</v>
      </c>
      <c r="D23" s="11" t="s">
        <v>42</v>
      </c>
      <c r="E23" s="11" t="s">
        <v>31</v>
      </c>
      <c r="F23" s="11" t="s">
        <v>35</v>
      </c>
      <c r="G23" s="12">
        <v>4000</v>
      </c>
      <c r="H23" s="11" t="s">
        <v>46</v>
      </c>
      <c r="I23" s="11" t="s">
        <v>47</v>
      </c>
      <c r="J23" s="13">
        <f>VLOOKUP(C23&amp;I23&amp;E23,Orig_Dest!$A$2:$E$1876,5,FALSE)</f>
        <v>0</v>
      </c>
      <c r="K23" s="14" t="str">
        <f t="shared" si="0"/>
        <v>Dia 43</v>
      </c>
      <c r="L23" s="15" t="str">
        <f>IF(B23="Fornecedor",IF(VLOOKUP(C23,Base_Dados!$E$1:$F$7,2,FALSE)=F23," ","Fornecedor inválido!")," ")</f>
        <v xml:space="preserve"> </v>
      </c>
      <c r="M23" s="16" t="str">
        <f>IF(AND(LEFT(F23,2)="MP",H23&lt;&gt;Base_Dados!$A$1),"Impossível!!!"," ")</f>
        <v xml:space="preserve"> </v>
      </c>
      <c r="N23" s="15" t="str">
        <f>IF(E23="Avião",IF($G23&lt;=VLOOKUP($F23,Base_Dados!$K$1:$O$7,3,FALSE)," ","Limite "&amp;VLOOKUP($F23,Base_Dados!$K$1:$O$11,3,FALSE)&amp;" "&amp;VLOOKUP($F23,Base_Dados!$K$1:$O$11,2,FALSE))," ")</f>
        <v xml:space="preserve"> </v>
      </c>
      <c r="O23" s="15" t="str">
        <f>IF(E23="Caminhão",IF($G23&lt;=VLOOKUP($F23,Base_Dados!$K$1:$O$7,4,FALSE)," ","Limite "&amp;VLOOKUP($F23,Base_Dados!$K$1:$O$11,4,FALSE)&amp;" "&amp;VLOOKUP($F23,Base_Dados!$K$1:$O$11,2,FALSE))," ")</f>
        <v xml:space="preserve"> </v>
      </c>
      <c r="P23" s="15" t="str">
        <f>IF(E23="Navio",IF($G23&lt;=VLOOKUP($F23,Base_Dados!$K$1:$O$7,5,FALSE)," ","Limite "&amp;VLOOKUP($F23,Base_Dados!$K$1:$O$11,5,FALSE)&amp;" "&amp;VLOOKUP($F23,Base_Dados!$K$1:$O$11,2,FALSE))," ")</f>
        <v xml:space="preserve"> </v>
      </c>
      <c r="Q23" s="15" t="str">
        <f t="shared" si="1"/>
        <v/>
      </c>
      <c r="R23" s="1"/>
      <c r="S23" s="23"/>
      <c r="T23" s="1"/>
      <c r="U23" s="1"/>
      <c r="V23" s="23"/>
      <c r="W23" s="1"/>
      <c r="X23" s="1"/>
      <c r="Y23" s="1"/>
      <c r="Z23" s="1"/>
    </row>
    <row r="24" spans="1:26" ht="24" customHeight="1" x14ac:dyDescent="0.3">
      <c r="A24" s="10" t="s">
        <v>21</v>
      </c>
      <c r="B24" s="10" t="s">
        <v>27</v>
      </c>
      <c r="C24" s="11" t="s">
        <v>28</v>
      </c>
      <c r="D24" s="11" t="s">
        <v>42</v>
      </c>
      <c r="E24" s="11" t="s">
        <v>31</v>
      </c>
      <c r="F24" s="11" t="s">
        <v>35</v>
      </c>
      <c r="G24" s="12">
        <v>4000</v>
      </c>
      <c r="H24" s="11" t="s">
        <v>46</v>
      </c>
      <c r="I24" s="11" t="s">
        <v>47</v>
      </c>
      <c r="J24" s="13">
        <f>VLOOKUP(C24&amp;I24&amp;E24,Orig_Dest!$A$2:$E$1876,5,FALSE)</f>
        <v>0</v>
      </c>
      <c r="K24" s="14" t="str">
        <f t="shared" si="0"/>
        <v>Dia 43</v>
      </c>
      <c r="L24" s="15" t="str">
        <f>IF(B24="Fornecedor",IF(VLOOKUP(C24,Base_Dados!$E$1:$F$7,2,FALSE)=F24," ","Fornecedor inválido!")," ")</f>
        <v xml:space="preserve"> </v>
      </c>
      <c r="M24" s="16" t="str">
        <f>IF(AND(LEFT(F24,2)="MP",H24&lt;&gt;Base_Dados!$A$1),"Impossível!!!"," ")</f>
        <v xml:space="preserve"> </v>
      </c>
      <c r="N24" s="15" t="str">
        <f>IF(E24="Avião",IF($G24&lt;=VLOOKUP($F24,Base_Dados!$K$1:$O$7,3,FALSE)," ","Limite "&amp;VLOOKUP($F24,Base_Dados!$K$1:$O$11,3,FALSE)&amp;" "&amp;VLOOKUP($F24,Base_Dados!$K$1:$O$11,2,FALSE))," ")</f>
        <v xml:space="preserve"> </v>
      </c>
      <c r="O24" s="15" t="str">
        <f>IF(E24="Caminhão",IF($G24&lt;=VLOOKUP($F24,Base_Dados!$K$1:$O$7,4,FALSE)," ","Limite "&amp;VLOOKUP($F24,Base_Dados!$K$1:$O$11,4,FALSE)&amp;" "&amp;VLOOKUP($F24,Base_Dados!$K$1:$O$11,2,FALSE))," ")</f>
        <v xml:space="preserve"> </v>
      </c>
      <c r="P24" s="15" t="str">
        <f>IF(E24="Navio",IF($G24&lt;=VLOOKUP($F24,Base_Dados!$K$1:$O$7,5,FALSE)," ","Limite "&amp;VLOOKUP($F24,Base_Dados!$K$1:$O$11,5,FALSE)&amp;" "&amp;VLOOKUP($F24,Base_Dados!$K$1:$O$11,2,FALSE))," ")</f>
        <v xml:space="preserve"> </v>
      </c>
      <c r="Q24" s="15" t="str">
        <f t="shared" si="1"/>
        <v/>
      </c>
      <c r="R24" s="1"/>
      <c r="S24" s="23"/>
      <c r="T24" s="1"/>
      <c r="U24" s="1"/>
      <c r="V24" s="23"/>
      <c r="W24" s="1"/>
      <c r="X24" s="1"/>
      <c r="Y24" s="1"/>
      <c r="Z24" s="1"/>
    </row>
    <row r="25" spans="1:26" ht="24" customHeight="1" x14ac:dyDescent="0.3">
      <c r="A25" s="10" t="s">
        <v>21</v>
      </c>
      <c r="B25" s="10" t="s">
        <v>27</v>
      </c>
      <c r="C25" s="11" t="s">
        <v>28</v>
      </c>
      <c r="D25" s="11" t="s">
        <v>42</v>
      </c>
      <c r="E25" s="11" t="s">
        <v>31</v>
      </c>
      <c r="F25" s="11" t="s">
        <v>35</v>
      </c>
      <c r="G25" s="12">
        <v>4000</v>
      </c>
      <c r="H25" s="11" t="s">
        <v>46</v>
      </c>
      <c r="I25" s="11" t="s">
        <v>47</v>
      </c>
      <c r="J25" s="13">
        <f>VLOOKUP(C25&amp;I25&amp;E25,Orig_Dest!$A$2:$E$1876,5,FALSE)</f>
        <v>0</v>
      </c>
      <c r="K25" s="14" t="str">
        <f t="shared" si="0"/>
        <v>Dia 43</v>
      </c>
      <c r="L25" s="15" t="str">
        <f>IF(B25="Fornecedor",IF(VLOOKUP(C25,Base_Dados!$E$1:$F$7,2,FALSE)=F25," ","Fornecedor inválido!")," ")</f>
        <v xml:space="preserve"> </v>
      </c>
      <c r="M25" s="16" t="str">
        <f>IF(AND(LEFT(F25,2)="MP",H25&lt;&gt;Base_Dados!$A$1),"Impossível!!!"," ")</f>
        <v xml:space="preserve"> </v>
      </c>
      <c r="N25" s="15" t="str">
        <f>IF(E25="Avião",IF($G25&lt;=VLOOKUP($F25,Base_Dados!$K$1:$O$7,3,FALSE)," ","Limite "&amp;VLOOKUP($F25,Base_Dados!$K$1:$O$11,3,FALSE)&amp;" "&amp;VLOOKUP($F25,Base_Dados!$K$1:$O$11,2,FALSE))," ")</f>
        <v xml:space="preserve"> </v>
      </c>
      <c r="O25" s="15" t="str">
        <f>IF(E25="Caminhão",IF($G25&lt;=VLOOKUP($F25,Base_Dados!$K$1:$O$7,4,FALSE)," ","Limite "&amp;VLOOKUP($F25,Base_Dados!$K$1:$O$11,4,FALSE)&amp;" "&amp;VLOOKUP($F25,Base_Dados!$K$1:$O$11,2,FALSE))," ")</f>
        <v xml:space="preserve"> </v>
      </c>
      <c r="P25" s="15" t="str">
        <f>IF(E25="Navio",IF($G25&lt;=VLOOKUP($F25,Base_Dados!$K$1:$O$7,5,FALSE)," ","Limite "&amp;VLOOKUP($F25,Base_Dados!$K$1:$O$11,5,FALSE)&amp;" "&amp;VLOOKUP($F25,Base_Dados!$K$1:$O$11,2,FALSE))," ")</f>
        <v xml:space="preserve"> </v>
      </c>
      <c r="Q25" s="15" t="str">
        <f t="shared" si="1"/>
        <v/>
      </c>
      <c r="R25" s="1"/>
      <c r="S25" s="23"/>
      <c r="T25" s="1"/>
      <c r="U25" s="1"/>
      <c r="V25" s="23"/>
      <c r="W25" s="1"/>
      <c r="X25" s="1"/>
      <c r="Y25" s="1"/>
      <c r="Z25" s="1"/>
    </row>
    <row r="26" spans="1:26" ht="24" customHeight="1" x14ac:dyDescent="0.3">
      <c r="A26" s="10" t="s">
        <v>21</v>
      </c>
      <c r="B26" s="10" t="s">
        <v>27</v>
      </c>
      <c r="C26" s="11" t="s">
        <v>28</v>
      </c>
      <c r="D26" s="11" t="s">
        <v>42</v>
      </c>
      <c r="E26" s="11" t="s">
        <v>31</v>
      </c>
      <c r="F26" s="11" t="s">
        <v>35</v>
      </c>
      <c r="G26" s="12">
        <v>4000</v>
      </c>
      <c r="H26" s="11" t="s">
        <v>46</v>
      </c>
      <c r="I26" s="11" t="s">
        <v>47</v>
      </c>
      <c r="J26" s="13">
        <f>VLOOKUP(C26&amp;I26&amp;E26,Orig_Dest!$A$2:$E$1876,5,FALSE)</f>
        <v>0</v>
      </c>
      <c r="K26" s="14" t="str">
        <f t="shared" si="0"/>
        <v>Dia 43</v>
      </c>
      <c r="L26" s="15" t="str">
        <f>IF(B26="Fornecedor",IF(VLOOKUP(C26,Base_Dados!$E$1:$F$7,2,FALSE)=F26," ","Fornecedor inválido!")," ")</f>
        <v xml:space="preserve"> </v>
      </c>
      <c r="M26" s="16" t="str">
        <f>IF(AND(LEFT(F26,2)="MP",H26&lt;&gt;Base_Dados!$A$1),"Impossível!!!"," ")</f>
        <v xml:space="preserve"> </v>
      </c>
      <c r="N26" s="15" t="str">
        <f>IF(E26="Avião",IF($G26&lt;=VLOOKUP($F26,Base_Dados!$K$1:$O$7,3,FALSE)," ","Limite "&amp;VLOOKUP($F26,Base_Dados!$K$1:$O$11,3,FALSE)&amp;" "&amp;VLOOKUP($F26,Base_Dados!$K$1:$O$11,2,FALSE))," ")</f>
        <v xml:space="preserve"> </v>
      </c>
      <c r="O26" s="15" t="str">
        <f>IF(E26="Caminhão",IF($G26&lt;=VLOOKUP($F26,Base_Dados!$K$1:$O$7,4,FALSE)," ","Limite "&amp;VLOOKUP($F26,Base_Dados!$K$1:$O$11,4,FALSE)&amp;" "&amp;VLOOKUP($F26,Base_Dados!$K$1:$O$11,2,FALSE))," ")</f>
        <v xml:space="preserve"> </v>
      </c>
      <c r="P26" s="15" t="str">
        <f>IF(E26="Navio",IF($G26&lt;=VLOOKUP($F26,Base_Dados!$K$1:$O$7,5,FALSE)," ","Limite "&amp;VLOOKUP($F26,Base_Dados!$K$1:$O$11,5,FALSE)&amp;" "&amp;VLOOKUP($F26,Base_Dados!$K$1:$O$11,2,FALSE))," ")</f>
        <v xml:space="preserve"> </v>
      </c>
      <c r="Q26" s="15" t="str">
        <f t="shared" si="1"/>
        <v/>
      </c>
      <c r="R26" s="1"/>
      <c r="S26" s="23"/>
      <c r="T26" s="1"/>
      <c r="U26" s="1"/>
      <c r="V26" s="23"/>
      <c r="W26" s="1"/>
      <c r="X26" s="1"/>
      <c r="Y26" s="1"/>
      <c r="Z26" s="1"/>
    </row>
    <row r="27" spans="1:26" ht="24" customHeight="1" x14ac:dyDescent="0.3">
      <c r="A27" s="10" t="s">
        <v>21</v>
      </c>
      <c r="B27" s="10" t="s">
        <v>27</v>
      </c>
      <c r="C27" s="11" t="s">
        <v>28</v>
      </c>
      <c r="D27" s="11" t="s">
        <v>42</v>
      </c>
      <c r="E27" s="11" t="s">
        <v>31</v>
      </c>
      <c r="F27" s="11" t="s">
        <v>35</v>
      </c>
      <c r="G27" s="12">
        <v>4000</v>
      </c>
      <c r="H27" s="11" t="s">
        <v>46</v>
      </c>
      <c r="I27" s="11" t="s">
        <v>47</v>
      </c>
      <c r="J27" s="13">
        <f>VLOOKUP(C27&amp;I27&amp;E27,Orig_Dest!$A$2:$E$1876,5,FALSE)</f>
        <v>0</v>
      </c>
      <c r="K27" s="14" t="str">
        <f t="shared" si="0"/>
        <v>Dia 43</v>
      </c>
      <c r="L27" s="15" t="str">
        <f>IF(B27="Fornecedor",IF(VLOOKUP(C27,Base_Dados!$E$1:$F$7,2,FALSE)=F27," ","Fornecedor inválido!")," ")</f>
        <v xml:space="preserve"> </v>
      </c>
      <c r="M27" s="16" t="str">
        <f>IF(AND(LEFT(F27,2)="MP",H27&lt;&gt;Base_Dados!$A$1),"Impossível!!!"," ")</f>
        <v xml:space="preserve"> </v>
      </c>
      <c r="N27" s="15" t="str">
        <f>IF(E27="Avião",IF($G27&lt;=VLOOKUP($F27,Base_Dados!$K$1:$O$7,3,FALSE)," ","Limite "&amp;VLOOKUP($F27,Base_Dados!$K$1:$O$11,3,FALSE)&amp;" "&amp;VLOOKUP($F27,Base_Dados!$K$1:$O$11,2,FALSE))," ")</f>
        <v xml:space="preserve"> </v>
      </c>
      <c r="O27" s="15" t="str">
        <f>IF(E27="Caminhão",IF($G27&lt;=VLOOKUP($F27,Base_Dados!$K$1:$O$7,4,FALSE)," ","Limite "&amp;VLOOKUP($F27,Base_Dados!$K$1:$O$11,4,FALSE)&amp;" "&amp;VLOOKUP($F27,Base_Dados!$K$1:$O$11,2,FALSE))," ")</f>
        <v xml:space="preserve"> </v>
      </c>
      <c r="P27" s="15" t="str">
        <f>IF(E27="Navio",IF($G27&lt;=VLOOKUP($F27,Base_Dados!$K$1:$O$7,5,FALSE)," ","Limite "&amp;VLOOKUP($F27,Base_Dados!$K$1:$O$11,5,FALSE)&amp;" "&amp;VLOOKUP($F27,Base_Dados!$K$1:$O$11,2,FALSE))," ")</f>
        <v xml:space="preserve"> </v>
      </c>
      <c r="Q27" s="15" t="str">
        <f t="shared" si="1"/>
        <v/>
      </c>
      <c r="R27" s="1"/>
      <c r="S27" s="23"/>
      <c r="T27" s="1"/>
      <c r="U27" s="1"/>
      <c r="V27" s="23"/>
      <c r="W27" s="1"/>
      <c r="X27" s="1"/>
      <c r="Y27" s="1"/>
      <c r="Z27" s="1"/>
    </row>
    <row r="28" spans="1:26" ht="24" customHeight="1" x14ac:dyDescent="0.3">
      <c r="A28" s="10" t="s">
        <v>21</v>
      </c>
      <c r="B28" s="10" t="s">
        <v>27</v>
      </c>
      <c r="C28" s="11" t="s">
        <v>28</v>
      </c>
      <c r="D28" s="11" t="s">
        <v>42</v>
      </c>
      <c r="E28" s="11" t="s">
        <v>31</v>
      </c>
      <c r="F28" s="11" t="s">
        <v>35</v>
      </c>
      <c r="G28" s="12">
        <v>4000</v>
      </c>
      <c r="H28" s="11" t="s">
        <v>46</v>
      </c>
      <c r="I28" s="11" t="s">
        <v>47</v>
      </c>
      <c r="J28" s="13">
        <f>VLOOKUP(C28&amp;I28&amp;E28,Orig_Dest!$A$2:$E$1876,5,FALSE)</f>
        <v>0</v>
      </c>
      <c r="K28" s="14" t="str">
        <f t="shared" si="0"/>
        <v>Dia 43</v>
      </c>
      <c r="L28" s="15" t="str">
        <f>IF(B28="Fornecedor",IF(VLOOKUP(C28,Base_Dados!$E$1:$F$7,2,FALSE)=F28," ","Fornecedor inválido!")," ")</f>
        <v xml:space="preserve"> </v>
      </c>
      <c r="M28" s="16" t="str">
        <f>IF(AND(LEFT(F28,2)="MP",H28&lt;&gt;Base_Dados!$A$1),"Impossível!!!"," ")</f>
        <v xml:space="preserve"> </v>
      </c>
      <c r="N28" s="15" t="str">
        <f>IF(E28="Avião",IF($G28&lt;=VLOOKUP($F28,Base_Dados!$K$1:$O$7,3,FALSE)," ","Limite "&amp;VLOOKUP($F28,Base_Dados!$K$1:$O$11,3,FALSE)&amp;" "&amp;VLOOKUP($F28,Base_Dados!$K$1:$O$11,2,FALSE))," ")</f>
        <v xml:space="preserve"> </v>
      </c>
      <c r="O28" s="15" t="str">
        <f>IF(E28="Caminhão",IF($G28&lt;=VLOOKUP($F28,Base_Dados!$K$1:$O$7,4,FALSE)," ","Limite "&amp;VLOOKUP($F28,Base_Dados!$K$1:$O$11,4,FALSE)&amp;" "&amp;VLOOKUP($F28,Base_Dados!$K$1:$O$11,2,FALSE))," ")</f>
        <v xml:space="preserve"> </v>
      </c>
      <c r="P28" s="15" t="str">
        <f>IF(E28="Navio",IF($G28&lt;=VLOOKUP($F28,Base_Dados!$K$1:$O$7,5,FALSE)," ","Limite "&amp;VLOOKUP($F28,Base_Dados!$K$1:$O$11,5,FALSE)&amp;" "&amp;VLOOKUP($F28,Base_Dados!$K$1:$O$11,2,FALSE))," ")</f>
        <v xml:space="preserve"> </v>
      </c>
      <c r="Q28" s="15" t="str">
        <f t="shared" si="1"/>
        <v/>
      </c>
      <c r="R28" s="1"/>
      <c r="S28" s="23"/>
      <c r="T28" s="1"/>
      <c r="U28" s="1"/>
      <c r="V28" s="23"/>
      <c r="W28" s="1"/>
      <c r="X28" s="1"/>
      <c r="Y28" s="1"/>
      <c r="Z28" s="1"/>
    </row>
    <row r="29" spans="1:26" ht="24" customHeight="1" x14ac:dyDescent="0.3">
      <c r="A29" s="10" t="s">
        <v>21</v>
      </c>
      <c r="B29" s="10" t="s">
        <v>27</v>
      </c>
      <c r="C29" s="11" t="s">
        <v>28</v>
      </c>
      <c r="D29" s="11" t="s">
        <v>42</v>
      </c>
      <c r="E29" s="11" t="s">
        <v>31</v>
      </c>
      <c r="F29" s="11" t="s">
        <v>35</v>
      </c>
      <c r="G29" s="12">
        <v>4000</v>
      </c>
      <c r="H29" s="11" t="s">
        <v>46</v>
      </c>
      <c r="I29" s="11" t="s">
        <v>47</v>
      </c>
      <c r="J29" s="13">
        <f>VLOOKUP(C29&amp;I29&amp;E29,Orig_Dest!$A$2:$E$1876,5,FALSE)</f>
        <v>0</v>
      </c>
      <c r="K29" s="14" t="str">
        <f t="shared" si="0"/>
        <v>Dia 43</v>
      </c>
      <c r="L29" s="15" t="str">
        <f>IF(B29="Fornecedor",IF(VLOOKUP(C29,Base_Dados!$E$1:$F$7,2,FALSE)=F29," ","Fornecedor inválido!")," ")</f>
        <v xml:space="preserve"> </v>
      </c>
      <c r="M29" s="16" t="str">
        <f>IF(AND(LEFT(F29,2)="MP",H29&lt;&gt;Base_Dados!$A$1),"Impossível!!!"," ")</f>
        <v xml:space="preserve"> </v>
      </c>
      <c r="N29" s="15" t="str">
        <f>IF(E29="Avião",IF($G29&lt;=VLOOKUP($F29,Base_Dados!$K$1:$O$7,3,FALSE)," ","Limite "&amp;VLOOKUP($F29,Base_Dados!$K$1:$O$11,3,FALSE)&amp;" "&amp;VLOOKUP($F29,Base_Dados!$K$1:$O$11,2,FALSE))," ")</f>
        <v xml:space="preserve"> </v>
      </c>
      <c r="O29" s="15" t="str">
        <f>IF(E29="Caminhão",IF($G29&lt;=VLOOKUP($F29,Base_Dados!$K$1:$O$7,4,FALSE)," ","Limite "&amp;VLOOKUP($F29,Base_Dados!$K$1:$O$11,4,FALSE)&amp;" "&amp;VLOOKUP($F29,Base_Dados!$K$1:$O$11,2,FALSE))," ")</f>
        <v xml:space="preserve"> </v>
      </c>
      <c r="P29" s="15" t="str">
        <f>IF(E29="Navio",IF($G29&lt;=VLOOKUP($F29,Base_Dados!$K$1:$O$7,5,FALSE)," ","Limite "&amp;VLOOKUP($F29,Base_Dados!$K$1:$O$11,5,FALSE)&amp;" "&amp;VLOOKUP($F29,Base_Dados!$K$1:$O$11,2,FALSE))," ")</f>
        <v xml:space="preserve"> </v>
      </c>
      <c r="Q29" s="15" t="str">
        <f t="shared" si="1"/>
        <v/>
      </c>
      <c r="R29" s="1"/>
      <c r="S29" s="23"/>
      <c r="T29" s="1"/>
      <c r="U29" s="1"/>
      <c r="V29" s="23"/>
      <c r="W29" s="1"/>
      <c r="X29" s="1"/>
      <c r="Y29" s="1"/>
      <c r="Z29" s="1"/>
    </row>
    <row r="30" spans="1:26" ht="24" customHeight="1" x14ac:dyDescent="0.3">
      <c r="A30" s="10" t="s">
        <v>21</v>
      </c>
      <c r="B30" s="10" t="s">
        <v>27</v>
      </c>
      <c r="C30" s="11" t="s">
        <v>28</v>
      </c>
      <c r="D30" s="11" t="s">
        <v>42</v>
      </c>
      <c r="E30" s="11" t="s">
        <v>31</v>
      </c>
      <c r="F30" s="11" t="s">
        <v>35</v>
      </c>
      <c r="G30" s="12">
        <v>4000</v>
      </c>
      <c r="H30" s="11" t="s">
        <v>46</v>
      </c>
      <c r="I30" s="11" t="s">
        <v>47</v>
      </c>
      <c r="J30" s="13">
        <f>VLOOKUP(C30&amp;I30&amp;E30,Orig_Dest!$A$2:$E$1876,5,FALSE)</f>
        <v>0</v>
      </c>
      <c r="K30" s="14" t="str">
        <f t="shared" si="0"/>
        <v>Dia 43</v>
      </c>
      <c r="L30" s="15" t="str">
        <f>IF(B30="Fornecedor",IF(VLOOKUP(C30,Base_Dados!$E$1:$F$7,2,FALSE)=F30," ","Fornecedor inválido!")," ")</f>
        <v xml:space="preserve"> </v>
      </c>
      <c r="M30" s="16" t="str">
        <f>IF(AND(LEFT(F30,2)="MP",H30&lt;&gt;Base_Dados!$A$1),"Impossível!!!"," ")</f>
        <v xml:space="preserve"> </v>
      </c>
      <c r="N30" s="15" t="str">
        <f>IF(E30="Avião",IF($G30&lt;=VLOOKUP($F30,Base_Dados!$K$1:$O$7,3,FALSE)," ","Limite "&amp;VLOOKUP($F30,Base_Dados!$K$1:$O$11,3,FALSE)&amp;" "&amp;VLOOKUP($F30,Base_Dados!$K$1:$O$11,2,FALSE))," ")</f>
        <v xml:space="preserve"> </v>
      </c>
      <c r="O30" s="15" t="str">
        <f>IF(E30="Caminhão",IF($G30&lt;=VLOOKUP($F30,Base_Dados!$K$1:$O$7,4,FALSE)," ","Limite "&amp;VLOOKUP($F30,Base_Dados!$K$1:$O$11,4,FALSE)&amp;" "&amp;VLOOKUP($F30,Base_Dados!$K$1:$O$11,2,FALSE))," ")</f>
        <v xml:space="preserve"> </v>
      </c>
      <c r="P30" s="15" t="str">
        <f>IF(E30="Navio",IF($G30&lt;=VLOOKUP($F30,Base_Dados!$K$1:$O$7,5,FALSE)," ","Limite "&amp;VLOOKUP($F30,Base_Dados!$K$1:$O$11,5,FALSE)&amp;" "&amp;VLOOKUP($F30,Base_Dados!$K$1:$O$11,2,FALSE))," ")</f>
        <v xml:space="preserve"> </v>
      </c>
      <c r="Q30" s="15" t="str">
        <f t="shared" si="1"/>
        <v/>
      </c>
      <c r="R30" s="1"/>
      <c r="S30" s="23"/>
      <c r="T30" s="1"/>
      <c r="U30" s="1"/>
      <c r="V30" s="23"/>
      <c r="W30" s="1"/>
      <c r="X30" s="1"/>
      <c r="Y30" s="1"/>
      <c r="Z30" s="1"/>
    </row>
    <row r="31" spans="1:26" ht="24" customHeight="1" x14ac:dyDescent="0.3">
      <c r="A31" s="10" t="s">
        <v>21</v>
      </c>
      <c r="B31" s="10" t="s">
        <v>27</v>
      </c>
      <c r="C31" s="11" t="s">
        <v>28</v>
      </c>
      <c r="D31" s="11" t="s">
        <v>42</v>
      </c>
      <c r="E31" s="11" t="s">
        <v>31</v>
      </c>
      <c r="F31" s="11" t="s">
        <v>35</v>
      </c>
      <c r="G31" s="12">
        <v>4000</v>
      </c>
      <c r="H31" s="11" t="s">
        <v>46</v>
      </c>
      <c r="I31" s="11" t="s">
        <v>47</v>
      </c>
      <c r="J31" s="13">
        <f>VLOOKUP(C31&amp;I31&amp;E31,Orig_Dest!$A$2:$E$1876,5,FALSE)</f>
        <v>0</v>
      </c>
      <c r="K31" s="14" t="str">
        <f t="shared" si="0"/>
        <v>Dia 43</v>
      </c>
      <c r="L31" s="15" t="str">
        <f>IF(B31="Fornecedor",IF(VLOOKUP(C31,Base_Dados!$E$1:$F$7,2,FALSE)=F31," ","Fornecedor inválido!")," ")</f>
        <v xml:space="preserve"> </v>
      </c>
      <c r="M31" s="16" t="str">
        <f>IF(AND(LEFT(F31,2)="MP",H31&lt;&gt;Base_Dados!$A$1),"Impossível!!!"," ")</f>
        <v xml:space="preserve"> </v>
      </c>
      <c r="N31" s="15" t="str">
        <f>IF(E31="Avião",IF($G31&lt;=VLOOKUP($F31,Base_Dados!$K$1:$O$7,3,FALSE)," ","Limite "&amp;VLOOKUP($F31,Base_Dados!$K$1:$O$11,3,FALSE)&amp;" "&amp;VLOOKUP($F31,Base_Dados!$K$1:$O$11,2,FALSE))," ")</f>
        <v xml:space="preserve"> </v>
      </c>
      <c r="O31" s="15" t="str">
        <f>IF(E31="Caminhão",IF($G31&lt;=VLOOKUP($F31,Base_Dados!$K$1:$O$7,4,FALSE)," ","Limite "&amp;VLOOKUP($F31,Base_Dados!$K$1:$O$11,4,FALSE)&amp;" "&amp;VLOOKUP($F31,Base_Dados!$K$1:$O$11,2,FALSE))," ")</f>
        <v xml:space="preserve"> </v>
      </c>
      <c r="P31" s="15" t="str">
        <f>IF(E31="Navio",IF($G31&lt;=VLOOKUP($F31,Base_Dados!$K$1:$O$7,5,FALSE)," ","Limite "&amp;VLOOKUP($F31,Base_Dados!$K$1:$O$11,5,FALSE)&amp;" "&amp;VLOOKUP($F31,Base_Dados!$K$1:$O$11,2,FALSE))," ")</f>
        <v xml:space="preserve"> </v>
      </c>
      <c r="Q31" s="15" t="str">
        <f t="shared" si="1"/>
        <v/>
      </c>
      <c r="R31" s="1"/>
      <c r="S31" s="1"/>
      <c r="T31" s="1"/>
      <c r="U31" s="1"/>
      <c r="V31" s="23"/>
      <c r="W31" s="1"/>
      <c r="X31" s="1"/>
      <c r="Y31" s="1"/>
      <c r="Z31" s="1"/>
    </row>
    <row r="32" spans="1:26" ht="24" customHeight="1" x14ac:dyDescent="0.3">
      <c r="A32" s="10" t="s">
        <v>21</v>
      </c>
      <c r="B32" s="10" t="s">
        <v>27</v>
      </c>
      <c r="C32" s="11" t="s">
        <v>28</v>
      </c>
      <c r="D32" s="11" t="s">
        <v>42</v>
      </c>
      <c r="E32" s="11" t="s">
        <v>31</v>
      </c>
      <c r="F32" s="11" t="s">
        <v>35</v>
      </c>
      <c r="G32" s="12">
        <v>4000</v>
      </c>
      <c r="H32" s="11" t="s">
        <v>46</v>
      </c>
      <c r="I32" s="11" t="s">
        <v>47</v>
      </c>
      <c r="J32" s="13">
        <f>VLOOKUP(C32&amp;I32&amp;E32,Orig_Dest!$A$2:$E$1876,5,FALSE)</f>
        <v>0</v>
      </c>
      <c r="K32" s="14" t="str">
        <f t="shared" si="0"/>
        <v>Dia 43</v>
      </c>
      <c r="L32" s="15" t="str">
        <f>IF(B32="Fornecedor",IF(VLOOKUP(C32,Base_Dados!$E$1:$F$7,2,FALSE)=F32," ","Fornecedor inválido!")," ")</f>
        <v xml:space="preserve"> </v>
      </c>
      <c r="M32" s="16" t="str">
        <f>IF(AND(LEFT(F32,2)="MP",H32&lt;&gt;Base_Dados!$A$1),"Impossível!!!"," ")</f>
        <v xml:space="preserve"> </v>
      </c>
      <c r="N32" s="15" t="str">
        <f>IF(E32="Avião",IF($G32&lt;=VLOOKUP($F32,Base_Dados!$K$1:$O$7,3,FALSE)," ","Limite "&amp;VLOOKUP($F32,Base_Dados!$K$1:$O$11,3,FALSE)&amp;" "&amp;VLOOKUP($F32,Base_Dados!$K$1:$O$11,2,FALSE))," ")</f>
        <v xml:space="preserve"> </v>
      </c>
      <c r="O32" s="15" t="str">
        <f>IF(E32="Caminhão",IF($G32&lt;=VLOOKUP($F32,Base_Dados!$K$1:$O$7,4,FALSE)," ","Limite "&amp;VLOOKUP($F32,Base_Dados!$K$1:$O$11,4,FALSE)&amp;" "&amp;VLOOKUP($F32,Base_Dados!$K$1:$O$11,2,FALSE))," ")</f>
        <v xml:space="preserve"> </v>
      </c>
      <c r="P32" s="15" t="str">
        <f>IF(E32="Navio",IF($G32&lt;=VLOOKUP($F32,Base_Dados!$K$1:$O$7,5,FALSE)," ","Limite "&amp;VLOOKUP($F32,Base_Dados!$K$1:$O$11,5,FALSE)&amp;" "&amp;VLOOKUP($F32,Base_Dados!$K$1:$O$11,2,FALSE))," ")</f>
        <v xml:space="preserve"> </v>
      </c>
      <c r="Q32" s="15" t="str">
        <f t="shared" si="1"/>
        <v/>
      </c>
      <c r="R32" s="1"/>
      <c r="S32" s="1"/>
      <c r="T32" s="1"/>
      <c r="U32" s="1"/>
      <c r="V32" s="23"/>
      <c r="W32" s="1"/>
      <c r="X32" s="1"/>
      <c r="Y32" s="1"/>
      <c r="Z32" s="1"/>
    </row>
    <row r="33" spans="1:26" ht="24" customHeight="1" x14ac:dyDescent="0.3">
      <c r="A33" s="10" t="s">
        <v>21</v>
      </c>
      <c r="B33" s="10" t="s">
        <v>27</v>
      </c>
      <c r="C33" s="11" t="s">
        <v>28</v>
      </c>
      <c r="D33" s="11" t="s">
        <v>42</v>
      </c>
      <c r="E33" s="11" t="s">
        <v>31</v>
      </c>
      <c r="F33" s="11" t="s">
        <v>35</v>
      </c>
      <c r="G33" s="12">
        <v>4000</v>
      </c>
      <c r="H33" s="11" t="s">
        <v>46</v>
      </c>
      <c r="I33" s="11" t="s">
        <v>47</v>
      </c>
      <c r="J33" s="13">
        <f>VLOOKUP(C33&amp;I33&amp;E33,Orig_Dest!$A$2:$E$1876,5,FALSE)</f>
        <v>0</v>
      </c>
      <c r="K33" s="14" t="str">
        <f t="shared" si="0"/>
        <v>Dia 43</v>
      </c>
      <c r="L33" s="15" t="str">
        <f>IF(B33="Fornecedor",IF(VLOOKUP(C33,Base_Dados!$E$1:$F$7,2,FALSE)=F33," ","Fornecedor inválido!")," ")</f>
        <v xml:space="preserve"> </v>
      </c>
      <c r="M33" s="16" t="str">
        <f>IF(AND(LEFT(F33,2)="MP",H33&lt;&gt;Base_Dados!$A$1),"Impossível!!!"," ")</f>
        <v xml:space="preserve"> </v>
      </c>
      <c r="N33" s="15" t="str">
        <f>IF(E33="Avião",IF($G33&lt;=VLOOKUP($F33,Base_Dados!$K$1:$O$7,3,FALSE)," ","Limite "&amp;VLOOKUP($F33,Base_Dados!$K$1:$O$11,3,FALSE)&amp;" "&amp;VLOOKUP($F33,Base_Dados!$K$1:$O$11,2,FALSE))," ")</f>
        <v xml:space="preserve"> </v>
      </c>
      <c r="O33" s="15" t="str">
        <f>IF(E33="Caminhão",IF($G33&lt;=VLOOKUP($F33,Base_Dados!$K$1:$O$7,4,FALSE)," ","Limite "&amp;VLOOKUP($F33,Base_Dados!$K$1:$O$11,4,FALSE)&amp;" "&amp;VLOOKUP($F33,Base_Dados!$K$1:$O$11,2,FALSE))," ")</f>
        <v xml:space="preserve"> </v>
      </c>
      <c r="P33" s="15" t="str">
        <f>IF(E33="Navio",IF($G33&lt;=VLOOKUP($F33,Base_Dados!$K$1:$O$7,5,FALSE)," ","Limite "&amp;VLOOKUP($F33,Base_Dados!$K$1:$O$11,5,FALSE)&amp;" "&amp;VLOOKUP($F33,Base_Dados!$K$1:$O$11,2,FALSE))," ")</f>
        <v xml:space="preserve"> </v>
      </c>
      <c r="Q33" s="15" t="str">
        <f t="shared" si="1"/>
        <v/>
      </c>
      <c r="R33" s="1"/>
      <c r="S33" s="1"/>
      <c r="T33" s="1"/>
      <c r="U33" s="1"/>
      <c r="V33" s="23"/>
      <c r="W33" s="1"/>
      <c r="X33" s="1"/>
      <c r="Y33" s="1"/>
      <c r="Z33" s="1"/>
    </row>
    <row r="34" spans="1:26" ht="24" customHeight="1" x14ac:dyDescent="0.3">
      <c r="A34" s="10" t="s">
        <v>21</v>
      </c>
      <c r="B34" s="10" t="s">
        <v>27</v>
      </c>
      <c r="C34" s="11" t="s">
        <v>28</v>
      </c>
      <c r="D34" s="11" t="s">
        <v>42</v>
      </c>
      <c r="E34" s="11" t="s">
        <v>31</v>
      </c>
      <c r="F34" s="11" t="s">
        <v>35</v>
      </c>
      <c r="G34" s="12">
        <v>4000</v>
      </c>
      <c r="H34" s="11" t="s">
        <v>46</v>
      </c>
      <c r="I34" s="11" t="s">
        <v>47</v>
      </c>
      <c r="J34" s="13">
        <f>VLOOKUP(C34&amp;I34&amp;E34,Orig_Dest!$A$2:$E$1876,5,FALSE)</f>
        <v>0</v>
      </c>
      <c r="K34" s="14" t="str">
        <f t="shared" si="0"/>
        <v>Dia 43</v>
      </c>
      <c r="L34" s="15" t="str">
        <f>IF(B34="Fornecedor",IF(VLOOKUP(C34,Base_Dados!$E$1:$F$7,2,FALSE)=F34," ","Fornecedor inválido!")," ")</f>
        <v xml:space="preserve"> </v>
      </c>
      <c r="M34" s="16" t="str">
        <f>IF(AND(LEFT(F34,2)="MP",H34&lt;&gt;Base_Dados!$A$1),"Impossível!!!"," ")</f>
        <v xml:space="preserve"> </v>
      </c>
      <c r="N34" s="15" t="str">
        <f>IF(E34="Avião",IF($G34&lt;=VLOOKUP($F34,Base_Dados!$K$1:$O$7,3,FALSE)," ","Limite "&amp;VLOOKUP($F34,Base_Dados!$K$1:$O$11,3,FALSE)&amp;" "&amp;VLOOKUP($F34,Base_Dados!$K$1:$O$11,2,FALSE))," ")</f>
        <v xml:space="preserve"> </v>
      </c>
      <c r="O34" s="15" t="str">
        <f>IF(E34="Caminhão",IF($G34&lt;=VLOOKUP($F34,Base_Dados!$K$1:$O$7,4,FALSE)," ","Limite "&amp;VLOOKUP($F34,Base_Dados!$K$1:$O$11,4,FALSE)&amp;" "&amp;VLOOKUP($F34,Base_Dados!$K$1:$O$11,2,FALSE))," ")</f>
        <v xml:space="preserve"> </v>
      </c>
      <c r="P34" s="15" t="str">
        <f>IF(E34="Navio",IF($G34&lt;=VLOOKUP($F34,Base_Dados!$K$1:$O$7,5,FALSE)," ","Limite "&amp;VLOOKUP($F34,Base_Dados!$K$1:$O$11,5,FALSE)&amp;" "&amp;VLOOKUP($F34,Base_Dados!$K$1:$O$11,2,FALSE))," ")</f>
        <v xml:space="preserve"> </v>
      </c>
      <c r="Q34" s="15" t="str">
        <f t="shared" si="1"/>
        <v/>
      </c>
      <c r="R34" s="1"/>
      <c r="S34" s="1"/>
      <c r="T34" s="1"/>
      <c r="U34" s="1"/>
      <c r="V34" s="23"/>
      <c r="W34" s="1"/>
      <c r="X34" s="1"/>
      <c r="Y34" s="1"/>
      <c r="Z34" s="1"/>
    </row>
    <row r="35" spans="1:26" ht="24" customHeight="1" x14ac:dyDescent="0.3">
      <c r="A35" s="10" t="s">
        <v>21</v>
      </c>
      <c r="B35" s="10" t="s">
        <v>27</v>
      </c>
      <c r="C35" s="11" t="s">
        <v>28</v>
      </c>
      <c r="D35" s="11" t="s">
        <v>42</v>
      </c>
      <c r="E35" s="11" t="s">
        <v>31</v>
      </c>
      <c r="F35" s="11" t="s">
        <v>35</v>
      </c>
      <c r="G35" s="12">
        <v>4000</v>
      </c>
      <c r="H35" s="11" t="s">
        <v>46</v>
      </c>
      <c r="I35" s="11" t="s">
        <v>47</v>
      </c>
      <c r="J35" s="13">
        <f>VLOOKUP(C35&amp;I35&amp;E35,Orig_Dest!$A$2:$E$1876,5,FALSE)</f>
        <v>0</v>
      </c>
      <c r="K35" s="14" t="str">
        <f t="shared" si="0"/>
        <v>Dia 43</v>
      </c>
      <c r="L35" s="15" t="str">
        <f>IF(B35="Fornecedor",IF(VLOOKUP(C35,Base_Dados!$E$1:$F$7,2,FALSE)=F35," ","Fornecedor inválido!")," ")</f>
        <v xml:space="preserve"> </v>
      </c>
      <c r="M35" s="16" t="str">
        <f>IF(AND(LEFT(F35,2)="MP",H35&lt;&gt;Base_Dados!$A$1),"Impossível!!!"," ")</f>
        <v xml:space="preserve"> </v>
      </c>
      <c r="N35" s="15" t="str">
        <f>IF(E35="Avião",IF($G35&lt;=VLOOKUP($F35,Base_Dados!$K$1:$O$7,3,FALSE)," ","Limite "&amp;VLOOKUP($F35,Base_Dados!$K$1:$O$11,3,FALSE)&amp;" "&amp;VLOOKUP($F35,Base_Dados!$K$1:$O$11,2,FALSE))," ")</f>
        <v xml:space="preserve"> </v>
      </c>
      <c r="O35" s="15" t="str">
        <f>IF(E35="Caminhão",IF($G35&lt;=VLOOKUP($F35,Base_Dados!$K$1:$O$7,4,FALSE)," ","Limite "&amp;VLOOKUP($F35,Base_Dados!$K$1:$O$11,4,FALSE)&amp;" "&amp;VLOOKUP($F35,Base_Dados!$K$1:$O$11,2,FALSE))," ")</f>
        <v xml:space="preserve"> </v>
      </c>
      <c r="P35" s="15" t="str">
        <f>IF(E35="Navio",IF($G35&lt;=VLOOKUP($F35,Base_Dados!$K$1:$O$7,5,FALSE)," ","Limite "&amp;VLOOKUP($F35,Base_Dados!$K$1:$O$11,5,FALSE)&amp;" "&amp;VLOOKUP($F35,Base_Dados!$K$1:$O$11,2,FALSE))," ")</f>
        <v xml:space="preserve"> </v>
      </c>
      <c r="Q35" s="15" t="str">
        <f t="shared" si="1"/>
        <v/>
      </c>
      <c r="R35" s="1"/>
      <c r="S35" s="1"/>
      <c r="T35" s="1"/>
      <c r="U35" s="1"/>
      <c r="V35" s="23"/>
      <c r="W35" s="1"/>
      <c r="X35" s="1"/>
      <c r="Y35" s="1"/>
      <c r="Z35" s="1"/>
    </row>
    <row r="36" spans="1:26" ht="24" customHeight="1" x14ac:dyDescent="0.3">
      <c r="A36" s="10" t="s">
        <v>21</v>
      </c>
      <c r="B36" s="10" t="s">
        <v>27</v>
      </c>
      <c r="C36" s="11" t="s">
        <v>28</v>
      </c>
      <c r="D36" s="11" t="s">
        <v>42</v>
      </c>
      <c r="E36" s="11" t="s">
        <v>31</v>
      </c>
      <c r="F36" s="11" t="s">
        <v>35</v>
      </c>
      <c r="G36" s="12">
        <v>4000</v>
      </c>
      <c r="H36" s="11" t="s">
        <v>46</v>
      </c>
      <c r="I36" s="11" t="s">
        <v>47</v>
      </c>
      <c r="J36" s="13">
        <f>VLOOKUP(C36&amp;I36&amp;E36,Orig_Dest!$A$2:$E$1876,5,FALSE)</f>
        <v>0</v>
      </c>
      <c r="K36" s="14" t="str">
        <f t="shared" si="0"/>
        <v>Dia 43</v>
      </c>
      <c r="L36" s="15" t="str">
        <f>IF(B36="Fornecedor",IF(VLOOKUP(C36,Base_Dados!$E$1:$F$7,2,FALSE)=F36," ","Fornecedor inválido!")," ")</f>
        <v xml:space="preserve"> </v>
      </c>
      <c r="M36" s="16" t="str">
        <f>IF(AND(LEFT(F36,2)="MP",H36&lt;&gt;Base_Dados!$A$1),"Impossível!!!"," ")</f>
        <v xml:space="preserve"> </v>
      </c>
      <c r="N36" s="15" t="str">
        <f>IF(E36="Avião",IF($G36&lt;=VLOOKUP($F36,Base_Dados!$K$1:$O$7,3,FALSE)," ","Limite "&amp;VLOOKUP($F36,Base_Dados!$K$1:$O$11,3,FALSE)&amp;" "&amp;VLOOKUP($F36,Base_Dados!$K$1:$O$11,2,FALSE))," ")</f>
        <v xml:space="preserve"> </v>
      </c>
      <c r="O36" s="15" t="str">
        <f>IF(E36="Caminhão",IF($G36&lt;=VLOOKUP($F36,Base_Dados!$K$1:$O$7,4,FALSE)," ","Limite "&amp;VLOOKUP($F36,Base_Dados!$K$1:$O$11,4,FALSE)&amp;" "&amp;VLOOKUP($F36,Base_Dados!$K$1:$O$11,2,FALSE))," ")</f>
        <v xml:space="preserve"> </v>
      </c>
      <c r="P36" s="15" t="str">
        <f>IF(E36="Navio",IF($G36&lt;=VLOOKUP($F36,Base_Dados!$K$1:$O$7,5,FALSE)," ","Limite "&amp;VLOOKUP($F36,Base_Dados!$K$1:$O$11,5,FALSE)&amp;" "&amp;VLOOKUP($F36,Base_Dados!$K$1:$O$11,2,FALSE))," ")</f>
        <v xml:space="preserve"> </v>
      </c>
      <c r="Q36" s="15" t="str">
        <f t="shared" si="1"/>
        <v/>
      </c>
      <c r="R36" s="1"/>
      <c r="S36" s="1"/>
      <c r="T36" s="1"/>
      <c r="U36" s="1"/>
      <c r="V36" s="23"/>
      <c r="W36" s="1"/>
      <c r="X36" s="1"/>
      <c r="Y36" s="1"/>
      <c r="Z36" s="1"/>
    </row>
    <row r="37" spans="1:26" ht="24" customHeight="1" x14ac:dyDescent="0.3">
      <c r="A37" s="10" t="s">
        <v>21</v>
      </c>
      <c r="B37" s="10" t="s">
        <v>27</v>
      </c>
      <c r="C37" s="11" t="s">
        <v>28</v>
      </c>
      <c r="D37" s="11" t="s">
        <v>42</v>
      </c>
      <c r="E37" s="11" t="s">
        <v>31</v>
      </c>
      <c r="F37" s="11" t="s">
        <v>35</v>
      </c>
      <c r="G37" s="12">
        <v>4000</v>
      </c>
      <c r="H37" s="11" t="s">
        <v>46</v>
      </c>
      <c r="I37" s="11" t="s">
        <v>47</v>
      </c>
      <c r="J37" s="13">
        <f>VLOOKUP(C37&amp;I37&amp;E37,Orig_Dest!$A$2:$E$1876,5,FALSE)</f>
        <v>0</v>
      </c>
      <c r="K37" s="14" t="str">
        <f t="shared" si="0"/>
        <v>Dia 43</v>
      </c>
      <c r="L37" s="15" t="str">
        <f>IF(B37="Fornecedor",IF(VLOOKUP(C37,Base_Dados!$E$1:$F$7,2,FALSE)=F37," ","Fornecedor inválido!")," ")</f>
        <v xml:space="preserve"> </v>
      </c>
      <c r="M37" s="16" t="str">
        <f>IF(AND(LEFT(F37,2)="MP",H37&lt;&gt;Base_Dados!$A$1),"Impossível!!!"," ")</f>
        <v xml:space="preserve"> </v>
      </c>
      <c r="N37" s="15" t="str">
        <f>IF(E37="Avião",IF($G37&lt;=VLOOKUP($F37,Base_Dados!$K$1:$O$7,3,FALSE)," ","Limite "&amp;VLOOKUP($F37,Base_Dados!$K$1:$O$11,3,FALSE)&amp;" "&amp;VLOOKUP($F37,Base_Dados!$K$1:$O$11,2,FALSE))," ")</f>
        <v xml:space="preserve"> </v>
      </c>
      <c r="O37" s="15" t="str">
        <f>IF(E37="Caminhão",IF($G37&lt;=VLOOKUP($F37,Base_Dados!$K$1:$O$7,4,FALSE)," ","Limite "&amp;VLOOKUP($F37,Base_Dados!$K$1:$O$11,4,FALSE)&amp;" "&amp;VLOOKUP($F37,Base_Dados!$K$1:$O$11,2,FALSE))," ")</f>
        <v xml:space="preserve"> </v>
      </c>
      <c r="P37" s="15" t="str">
        <f>IF(E37="Navio",IF($G37&lt;=VLOOKUP($F37,Base_Dados!$K$1:$O$7,5,FALSE)," ","Limite "&amp;VLOOKUP($F37,Base_Dados!$K$1:$O$11,5,FALSE)&amp;" "&amp;VLOOKUP($F37,Base_Dados!$K$1:$O$11,2,FALSE))," ")</f>
        <v xml:space="preserve"> </v>
      </c>
      <c r="Q37" s="15" t="str">
        <f t="shared" si="1"/>
        <v/>
      </c>
      <c r="R37" s="1"/>
      <c r="S37" s="1"/>
      <c r="T37" s="1"/>
      <c r="U37" s="1"/>
      <c r="V37" s="23"/>
      <c r="W37" s="1"/>
      <c r="X37" s="1"/>
      <c r="Y37" s="1"/>
      <c r="Z37" s="1"/>
    </row>
    <row r="38" spans="1:26" ht="24" customHeight="1" x14ac:dyDescent="0.3">
      <c r="A38" s="10" t="s">
        <v>21</v>
      </c>
      <c r="B38" s="10" t="s">
        <v>27</v>
      </c>
      <c r="C38" s="11" t="s">
        <v>28</v>
      </c>
      <c r="D38" s="11" t="s">
        <v>42</v>
      </c>
      <c r="E38" s="11" t="s">
        <v>31</v>
      </c>
      <c r="F38" s="11" t="s">
        <v>35</v>
      </c>
      <c r="G38" s="12">
        <v>4000</v>
      </c>
      <c r="H38" s="11" t="s">
        <v>46</v>
      </c>
      <c r="I38" s="11" t="s">
        <v>47</v>
      </c>
      <c r="J38" s="13">
        <f>VLOOKUP(C38&amp;I38&amp;E38,Orig_Dest!$A$2:$E$1876,5,FALSE)</f>
        <v>0</v>
      </c>
      <c r="K38" s="14" t="str">
        <f t="shared" si="0"/>
        <v>Dia 43</v>
      </c>
      <c r="L38" s="15" t="str">
        <f>IF(B38="Fornecedor",IF(VLOOKUP(C38,Base_Dados!$E$1:$F$7,2,FALSE)=F38," ","Fornecedor inválido!")," ")</f>
        <v xml:space="preserve"> </v>
      </c>
      <c r="M38" s="16" t="str">
        <f>IF(AND(LEFT(F38,2)="MP",H38&lt;&gt;Base_Dados!$A$1),"Impossível!!!"," ")</f>
        <v xml:space="preserve"> </v>
      </c>
      <c r="N38" s="15" t="str">
        <f>IF(E38="Avião",IF($G38&lt;=VLOOKUP($F38,Base_Dados!$K$1:$O$7,3,FALSE)," ","Limite "&amp;VLOOKUP($F38,Base_Dados!$K$1:$O$11,3,FALSE)&amp;" "&amp;VLOOKUP($F38,Base_Dados!$K$1:$O$11,2,FALSE))," ")</f>
        <v xml:space="preserve"> </v>
      </c>
      <c r="O38" s="15" t="str">
        <f>IF(E38="Caminhão",IF($G38&lt;=VLOOKUP($F38,Base_Dados!$K$1:$O$7,4,FALSE)," ","Limite "&amp;VLOOKUP($F38,Base_Dados!$K$1:$O$11,4,FALSE)&amp;" "&amp;VLOOKUP($F38,Base_Dados!$K$1:$O$11,2,FALSE))," ")</f>
        <v xml:space="preserve"> </v>
      </c>
      <c r="P38" s="15" t="str">
        <f>IF(E38="Navio",IF($G38&lt;=VLOOKUP($F38,Base_Dados!$K$1:$O$7,5,FALSE)," ","Limite "&amp;VLOOKUP($F38,Base_Dados!$K$1:$O$11,5,FALSE)&amp;" "&amp;VLOOKUP($F38,Base_Dados!$K$1:$O$11,2,FALSE))," ")</f>
        <v xml:space="preserve"> </v>
      </c>
      <c r="Q38" s="15" t="str">
        <f t="shared" si="1"/>
        <v/>
      </c>
      <c r="R38" s="1"/>
      <c r="S38" s="1"/>
      <c r="T38" s="1"/>
      <c r="U38" s="1"/>
      <c r="V38" s="1"/>
      <c r="W38" s="1"/>
      <c r="X38" s="1"/>
      <c r="Y38" s="1"/>
      <c r="Z38" s="1"/>
    </row>
    <row r="39" spans="1:26" ht="24" customHeight="1" x14ac:dyDescent="0.3">
      <c r="A39" s="10" t="s">
        <v>21</v>
      </c>
      <c r="B39" s="10" t="s">
        <v>27</v>
      </c>
      <c r="C39" s="11" t="s">
        <v>28</v>
      </c>
      <c r="D39" s="11" t="s">
        <v>42</v>
      </c>
      <c r="E39" s="11" t="s">
        <v>31</v>
      </c>
      <c r="F39" s="11" t="s">
        <v>35</v>
      </c>
      <c r="G39" s="12">
        <v>4000</v>
      </c>
      <c r="H39" s="11" t="s">
        <v>46</v>
      </c>
      <c r="I39" s="11" t="s">
        <v>47</v>
      </c>
      <c r="J39" s="13">
        <f>VLOOKUP(C39&amp;I39&amp;E39,Orig_Dest!$A$2:$E$1876,5,FALSE)</f>
        <v>0</v>
      </c>
      <c r="K39" s="14" t="str">
        <f t="shared" si="0"/>
        <v>Dia 43</v>
      </c>
      <c r="L39" s="15" t="str">
        <f>IF(B39="Fornecedor",IF(VLOOKUP(C39,Base_Dados!$E$1:$F$7,2,FALSE)=F39," ","Fornecedor inválido!")," ")</f>
        <v xml:space="preserve"> </v>
      </c>
      <c r="M39" s="16" t="str">
        <f>IF(AND(LEFT(F39,2)="MP",H39&lt;&gt;Base_Dados!$A$1),"Impossível!!!"," ")</f>
        <v xml:space="preserve"> </v>
      </c>
      <c r="N39" s="15" t="str">
        <f>IF(E39="Avião",IF($G39&lt;=VLOOKUP($F39,Base_Dados!$K$1:$O$7,3,FALSE)," ","Limite "&amp;VLOOKUP($F39,Base_Dados!$K$1:$O$11,3,FALSE)&amp;" "&amp;VLOOKUP($F39,Base_Dados!$K$1:$O$11,2,FALSE))," ")</f>
        <v xml:space="preserve"> </v>
      </c>
      <c r="O39" s="15" t="str">
        <f>IF(E39="Caminhão",IF($G39&lt;=VLOOKUP($F39,Base_Dados!$K$1:$O$7,4,FALSE)," ","Limite "&amp;VLOOKUP($F39,Base_Dados!$K$1:$O$11,4,FALSE)&amp;" "&amp;VLOOKUP($F39,Base_Dados!$K$1:$O$11,2,FALSE))," ")</f>
        <v xml:space="preserve"> </v>
      </c>
      <c r="P39" s="15" t="str">
        <f>IF(E39="Navio",IF($G39&lt;=VLOOKUP($F39,Base_Dados!$K$1:$O$7,5,FALSE)," ","Limite "&amp;VLOOKUP($F39,Base_Dados!$K$1:$O$11,5,FALSE)&amp;" "&amp;VLOOKUP($F39,Base_Dados!$K$1:$O$11,2,FALSE))," ")</f>
        <v xml:space="preserve"> </v>
      </c>
      <c r="Q39" s="15" t="str">
        <f t="shared" si="1"/>
        <v/>
      </c>
      <c r="R39" s="1"/>
      <c r="S39" s="1"/>
      <c r="T39" s="1"/>
      <c r="U39" s="1"/>
      <c r="V39" s="1"/>
      <c r="W39" s="1"/>
      <c r="X39" s="1"/>
      <c r="Y39" s="1"/>
      <c r="Z39" s="1"/>
    </row>
    <row r="40" spans="1:26" ht="24" customHeight="1" x14ac:dyDescent="0.3">
      <c r="A40" s="10" t="s">
        <v>21</v>
      </c>
      <c r="B40" s="10" t="s">
        <v>27</v>
      </c>
      <c r="C40" s="11" t="s">
        <v>28</v>
      </c>
      <c r="D40" s="11" t="s">
        <v>42</v>
      </c>
      <c r="E40" s="11" t="s">
        <v>31</v>
      </c>
      <c r="F40" s="11" t="s">
        <v>35</v>
      </c>
      <c r="G40" s="12">
        <v>4000</v>
      </c>
      <c r="H40" s="11" t="s">
        <v>46</v>
      </c>
      <c r="I40" s="11" t="s">
        <v>47</v>
      </c>
      <c r="J40" s="13">
        <f>VLOOKUP(C40&amp;I40&amp;E40,Orig_Dest!$A$2:$E$1876,5,FALSE)</f>
        <v>0</v>
      </c>
      <c r="K40" s="14" t="str">
        <f t="shared" si="0"/>
        <v>Dia 43</v>
      </c>
      <c r="L40" s="15" t="str">
        <f>IF(B40="Fornecedor",IF(VLOOKUP(C40,Base_Dados!$E$1:$F$7,2,FALSE)=F40," ","Fornecedor inválido!")," ")</f>
        <v xml:space="preserve"> </v>
      </c>
      <c r="M40" s="16" t="str">
        <f>IF(AND(LEFT(F40,2)="MP",H40&lt;&gt;Base_Dados!$A$1),"Impossível!!!"," ")</f>
        <v xml:space="preserve"> </v>
      </c>
      <c r="N40" s="15" t="str">
        <f>IF(E40="Avião",IF($G40&lt;=VLOOKUP($F40,Base_Dados!$K$1:$O$7,3,FALSE)," ","Limite "&amp;VLOOKUP($F40,Base_Dados!$K$1:$O$11,3,FALSE)&amp;" "&amp;VLOOKUP($F40,Base_Dados!$K$1:$O$11,2,FALSE))," ")</f>
        <v xml:space="preserve"> </v>
      </c>
      <c r="O40" s="15" t="str">
        <f>IF(E40="Caminhão",IF($G40&lt;=VLOOKUP($F40,Base_Dados!$K$1:$O$7,4,FALSE)," ","Limite "&amp;VLOOKUP($F40,Base_Dados!$K$1:$O$11,4,FALSE)&amp;" "&amp;VLOOKUP($F40,Base_Dados!$K$1:$O$11,2,FALSE))," ")</f>
        <v xml:space="preserve"> </v>
      </c>
      <c r="P40" s="15" t="str">
        <f>IF(E40="Navio",IF($G40&lt;=VLOOKUP($F40,Base_Dados!$K$1:$O$7,5,FALSE)," ","Limite "&amp;VLOOKUP($F40,Base_Dados!$K$1:$O$11,5,FALSE)&amp;" "&amp;VLOOKUP($F40,Base_Dados!$K$1:$O$11,2,FALSE))," ")</f>
        <v xml:space="preserve"> </v>
      </c>
      <c r="Q40" s="15" t="str">
        <f t="shared" si="1"/>
        <v/>
      </c>
      <c r="R40" s="1"/>
      <c r="S40" s="1"/>
      <c r="T40" s="1"/>
      <c r="U40" s="1"/>
      <c r="V40" s="1"/>
      <c r="W40" s="1"/>
      <c r="X40" s="1"/>
      <c r="Y40" s="1"/>
      <c r="Z40" s="1"/>
    </row>
    <row r="41" spans="1:26" ht="24" customHeight="1" x14ac:dyDescent="0.3">
      <c r="A41" s="10" t="s">
        <v>21</v>
      </c>
      <c r="B41" s="10" t="s">
        <v>27</v>
      </c>
      <c r="C41" s="11" t="s">
        <v>28</v>
      </c>
      <c r="D41" s="11" t="s">
        <v>42</v>
      </c>
      <c r="E41" s="11" t="s">
        <v>31</v>
      </c>
      <c r="F41" s="11" t="s">
        <v>35</v>
      </c>
      <c r="G41" s="12">
        <v>4000</v>
      </c>
      <c r="H41" s="11" t="s">
        <v>46</v>
      </c>
      <c r="I41" s="11" t="s">
        <v>47</v>
      </c>
      <c r="J41" s="13">
        <f>VLOOKUP(C41&amp;I41&amp;E41,Orig_Dest!$A$2:$E$1876,5,FALSE)</f>
        <v>0</v>
      </c>
      <c r="K41" s="14" t="str">
        <f t="shared" si="0"/>
        <v>Dia 43</v>
      </c>
      <c r="L41" s="15" t="str">
        <f>IF(B41="Fornecedor",IF(VLOOKUP(C41,Base_Dados!$E$1:$F$7,2,FALSE)=F41," ","Fornecedor inválido!")," ")</f>
        <v xml:space="preserve"> </v>
      </c>
      <c r="M41" s="16" t="str">
        <f>IF(AND(LEFT(F41,2)="MP",H41&lt;&gt;Base_Dados!$A$1),"Impossível!!!"," ")</f>
        <v xml:space="preserve"> </v>
      </c>
      <c r="N41" s="15" t="str">
        <f>IF(E41="Avião",IF($G41&lt;=VLOOKUP($F41,Base_Dados!$K$1:$O$7,3,FALSE)," ","Limite "&amp;VLOOKUP($F41,Base_Dados!$K$1:$O$11,3,FALSE)&amp;" "&amp;VLOOKUP($F41,Base_Dados!$K$1:$O$11,2,FALSE))," ")</f>
        <v xml:space="preserve"> </v>
      </c>
      <c r="O41" s="15" t="str">
        <f>IF(E41="Caminhão",IF($G41&lt;=VLOOKUP($F41,Base_Dados!$K$1:$O$7,4,FALSE)," ","Limite "&amp;VLOOKUP($F41,Base_Dados!$K$1:$O$11,4,FALSE)&amp;" "&amp;VLOOKUP($F41,Base_Dados!$K$1:$O$11,2,FALSE))," ")</f>
        <v xml:space="preserve"> </v>
      </c>
      <c r="P41" s="15" t="str">
        <f>IF(E41="Navio",IF($G41&lt;=VLOOKUP($F41,Base_Dados!$K$1:$O$7,5,FALSE)," ","Limite "&amp;VLOOKUP($F41,Base_Dados!$K$1:$O$11,5,FALSE)&amp;" "&amp;VLOOKUP($F41,Base_Dados!$K$1:$O$11,2,FALSE))," ")</f>
        <v xml:space="preserve"> </v>
      </c>
      <c r="Q41" s="15" t="str">
        <f t="shared" si="1"/>
        <v/>
      </c>
      <c r="R41" s="1"/>
      <c r="S41" s="1"/>
      <c r="T41" s="1"/>
      <c r="U41" s="1"/>
      <c r="V41" s="1"/>
      <c r="W41" s="1"/>
      <c r="X41" s="1"/>
      <c r="Y41" s="1"/>
      <c r="Z41" s="1"/>
    </row>
    <row r="42" spans="1:26" ht="24" customHeight="1" x14ac:dyDescent="0.3">
      <c r="A42" s="10" t="s">
        <v>21</v>
      </c>
      <c r="B42" s="10" t="s">
        <v>27</v>
      </c>
      <c r="C42" s="11" t="s">
        <v>28</v>
      </c>
      <c r="D42" s="11" t="s">
        <v>42</v>
      </c>
      <c r="E42" s="11" t="s">
        <v>31</v>
      </c>
      <c r="F42" s="11" t="s">
        <v>35</v>
      </c>
      <c r="G42" s="12">
        <v>4000</v>
      </c>
      <c r="H42" s="11" t="s">
        <v>46</v>
      </c>
      <c r="I42" s="11" t="s">
        <v>47</v>
      </c>
      <c r="J42" s="13">
        <f>VLOOKUP(C42&amp;I42&amp;E42,Orig_Dest!$A$2:$E$1876,5,FALSE)</f>
        <v>0</v>
      </c>
      <c r="K42" s="14" t="str">
        <f t="shared" si="0"/>
        <v>Dia 43</v>
      </c>
      <c r="L42" s="15" t="str">
        <f>IF(B42="Fornecedor",IF(VLOOKUP(C42,Base_Dados!$E$1:$F$7,2,FALSE)=F42," ","Fornecedor inválido!")," ")</f>
        <v xml:space="preserve"> </v>
      </c>
      <c r="M42" s="16" t="str">
        <f>IF(AND(LEFT(F42,2)="MP",H42&lt;&gt;Base_Dados!$A$1),"Impossível!!!"," ")</f>
        <v xml:space="preserve"> </v>
      </c>
      <c r="N42" s="15" t="str">
        <f>IF(E42="Avião",IF($G42&lt;=VLOOKUP($F42,Base_Dados!$K$1:$O$7,3,FALSE)," ","Limite "&amp;VLOOKUP($F42,Base_Dados!$K$1:$O$11,3,FALSE)&amp;" "&amp;VLOOKUP($F42,Base_Dados!$K$1:$O$11,2,FALSE))," ")</f>
        <v xml:space="preserve"> </v>
      </c>
      <c r="O42" s="15" t="str">
        <f>IF(E42="Caminhão",IF($G42&lt;=VLOOKUP($F42,Base_Dados!$K$1:$O$7,4,FALSE)," ","Limite "&amp;VLOOKUP($F42,Base_Dados!$K$1:$O$11,4,FALSE)&amp;" "&amp;VLOOKUP($F42,Base_Dados!$K$1:$O$11,2,FALSE))," ")</f>
        <v xml:space="preserve"> </v>
      </c>
      <c r="P42" s="15" t="str">
        <f>IF(E42="Navio",IF($G42&lt;=VLOOKUP($F42,Base_Dados!$K$1:$O$7,5,FALSE)," ","Limite "&amp;VLOOKUP($F42,Base_Dados!$K$1:$O$11,5,FALSE)&amp;" "&amp;VLOOKUP($F42,Base_Dados!$K$1:$O$11,2,FALSE))," ")</f>
        <v xml:space="preserve"> </v>
      </c>
      <c r="Q42" s="15" t="str">
        <f t="shared" si="1"/>
        <v/>
      </c>
      <c r="R42" s="1"/>
      <c r="S42" s="1"/>
      <c r="T42" s="1"/>
      <c r="U42" s="1"/>
      <c r="V42" s="1"/>
      <c r="W42" s="1"/>
      <c r="X42" s="1"/>
      <c r="Y42" s="1"/>
      <c r="Z42" s="1"/>
    </row>
    <row r="43" spans="1:26" ht="24" customHeight="1" x14ac:dyDescent="0.3">
      <c r="A43" s="10" t="s">
        <v>21</v>
      </c>
      <c r="B43" s="10" t="s">
        <v>27</v>
      </c>
      <c r="C43" s="11" t="s">
        <v>28</v>
      </c>
      <c r="D43" s="11" t="s">
        <v>42</v>
      </c>
      <c r="E43" s="11" t="s">
        <v>31</v>
      </c>
      <c r="F43" s="11" t="s">
        <v>35</v>
      </c>
      <c r="G43" s="12">
        <v>4000</v>
      </c>
      <c r="H43" s="11" t="s">
        <v>46</v>
      </c>
      <c r="I43" s="11" t="s">
        <v>47</v>
      </c>
      <c r="J43" s="13">
        <f>VLOOKUP(C43&amp;I43&amp;E43,Orig_Dest!$A$2:$E$1876,5,FALSE)</f>
        <v>0</v>
      </c>
      <c r="K43" s="14" t="str">
        <f t="shared" si="0"/>
        <v>Dia 43</v>
      </c>
      <c r="L43" s="15" t="str">
        <f>IF(B43="Fornecedor",IF(VLOOKUP(C43,Base_Dados!$E$1:$F$7,2,FALSE)=F43," ","Fornecedor inválido!")," ")</f>
        <v xml:space="preserve"> </v>
      </c>
      <c r="M43" s="16" t="str">
        <f>IF(AND(LEFT(F43,2)="MP",H43&lt;&gt;Base_Dados!$A$1),"Impossível!!!"," ")</f>
        <v xml:space="preserve"> </v>
      </c>
      <c r="N43" s="15" t="str">
        <f>IF(E43="Avião",IF($G43&lt;=VLOOKUP($F43,Base_Dados!$K$1:$O$7,3,FALSE)," ","Limite "&amp;VLOOKUP($F43,Base_Dados!$K$1:$O$11,3,FALSE)&amp;" "&amp;VLOOKUP($F43,Base_Dados!$K$1:$O$11,2,FALSE))," ")</f>
        <v xml:space="preserve"> </v>
      </c>
      <c r="O43" s="15" t="str">
        <f>IF(E43="Caminhão",IF($G43&lt;=VLOOKUP($F43,Base_Dados!$K$1:$O$7,4,FALSE)," ","Limite "&amp;VLOOKUP($F43,Base_Dados!$K$1:$O$11,4,FALSE)&amp;" "&amp;VLOOKUP($F43,Base_Dados!$K$1:$O$11,2,FALSE))," ")</f>
        <v xml:space="preserve"> </v>
      </c>
      <c r="P43" s="15" t="str">
        <f>IF(E43="Navio",IF($G43&lt;=VLOOKUP($F43,Base_Dados!$K$1:$O$7,5,FALSE)," ","Limite "&amp;VLOOKUP($F43,Base_Dados!$K$1:$O$11,5,FALSE)&amp;" "&amp;VLOOKUP($F43,Base_Dados!$K$1:$O$11,2,FALSE))," ")</f>
        <v xml:space="preserve"> </v>
      </c>
      <c r="Q43" s="15" t="str">
        <f t="shared" si="1"/>
        <v/>
      </c>
      <c r="R43" s="1"/>
      <c r="S43" s="1"/>
      <c r="T43" s="1"/>
      <c r="U43" s="1"/>
      <c r="V43" s="1"/>
      <c r="W43" s="1"/>
      <c r="X43" s="1"/>
      <c r="Y43" s="1"/>
      <c r="Z43" s="1"/>
    </row>
    <row r="44" spans="1:26" ht="24" customHeight="1" x14ac:dyDescent="0.3">
      <c r="A44" s="10" t="s">
        <v>21</v>
      </c>
      <c r="B44" s="10" t="s">
        <v>27</v>
      </c>
      <c r="C44" s="11" t="s">
        <v>28</v>
      </c>
      <c r="D44" s="11" t="s">
        <v>42</v>
      </c>
      <c r="E44" s="11" t="s">
        <v>31</v>
      </c>
      <c r="F44" s="11" t="s">
        <v>35</v>
      </c>
      <c r="G44" s="12">
        <v>4000</v>
      </c>
      <c r="H44" s="11" t="s">
        <v>46</v>
      </c>
      <c r="I44" s="11" t="s">
        <v>47</v>
      </c>
      <c r="J44" s="13">
        <f>VLOOKUP(C44&amp;I44&amp;E44,Orig_Dest!$A$2:$E$1876,5,FALSE)</f>
        <v>0</v>
      </c>
      <c r="K44" s="14" t="str">
        <f t="shared" si="0"/>
        <v>Dia 43</v>
      </c>
      <c r="L44" s="15" t="str">
        <f>IF(B44="Fornecedor",IF(VLOOKUP(C44,Base_Dados!$E$1:$F$7,2,FALSE)=F44," ","Fornecedor inválido!")," ")</f>
        <v xml:space="preserve"> </v>
      </c>
      <c r="M44" s="16" t="str">
        <f>IF(AND(LEFT(F44,2)="MP",H44&lt;&gt;Base_Dados!$A$1),"Impossível!!!"," ")</f>
        <v xml:space="preserve"> </v>
      </c>
      <c r="N44" s="15" t="str">
        <f>IF(E44="Avião",IF($G44&lt;=VLOOKUP($F44,Base_Dados!$K$1:$O$7,3,FALSE)," ","Limite "&amp;VLOOKUP($F44,Base_Dados!$K$1:$O$11,3,FALSE)&amp;" "&amp;VLOOKUP($F44,Base_Dados!$K$1:$O$11,2,FALSE))," ")</f>
        <v xml:space="preserve"> </v>
      </c>
      <c r="O44" s="15" t="str">
        <f>IF(E44="Caminhão",IF($G44&lt;=VLOOKUP($F44,Base_Dados!$K$1:$O$7,4,FALSE)," ","Limite "&amp;VLOOKUP($F44,Base_Dados!$K$1:$O$11,4,FALSE)&amp;" "&amp;VLOOKUP($F44,Base_Dados!$K$1:$O$11,2,FALSE))," ")</f>
        <v xml:space="preserve"> </v>
      </c>
      <c r="P44" s="15" t="str">
        <f>IF(E44="Navio",IF($G44&lt;=VLOOKUP($F44,Base_Dados!$K$1:$O$7,5,FALSE)," ","Limite "&amp;VLOOKUP($F44,Base_Dados!$K$1:$O$11,5,FALSE)&amp;" "&amp;VLOOKUP($F44,Base_Dados!$K$1:$O$11,2,FALSE))," ")</f>
        <v xml:space="preserve"> </v>
      </c>
      <c r="Q44" s="15" t="str">
        <f t="shared" si="1"/>
        <v/>
      </c>
      <c r="R44" s="1"/>
      <c r="S44" s="1"/>
      <c r="T44" s="1"/>
      <c r="U44" s="1"/>
      <c r="V44" s="1"/>
      <c r="W44" s="1"/>
      <c r="X44" s="1"/>
      <c r="Y44" s="1"/>
      <c r="Z44" s="1"/>
    </row>
    <row r="45" spans="1:26" ht="24" customHeight="1" x14ac:dyDescent="0.3">
      <c r="A45" s="10" t="s">
        <v>21</v>
      </c>
      <c r="B45" s="10" t="s">
        <v>27</v>
      </c>
      <c r="C45" s="11" t="s">
        <v>28</v>
      </c>
      <c r="D45" s="11" t="s">
        <v>42</v>
      </c>
      <c r="E45" s="11" t="s">
        <v>31</v>
      </c>
      <c r="F45" s="11" t="s">
        <v>35</v>
      </c>
      <c r="G45" s="12">
        <v>4000</v>
      </c>
      <c r="H45" s="11" t="s">
        <v>46</v>
      </c>
      <c r="I45" s="11" t="s">
        <v>47</v>
      </c>
      <c r="J45" s="13">
        <f>VLOOKUP(C45&amp;I45&amp;E45,Orig_Dest!$A$2:$E$1876,5,FALSE)</f>
        <v>0</v>
      </c>
      <c r="K45" s="14" t="str">
        <f t="shared" si="0"/>
        <v>Dia 43</v>
      </c>
      <c r="L45" s="15" t="str">
        <f>IF(B45="Fornecedor",IF(VLOOKUP(C45,Base_Dados!$E$1:$F$7,2,FALSE)=F45," ","Fornecedor inválido!")," ")</f>
        <v xml:space="preserve"> </v>
      </c>
      <c r="M45" s="16" t="str">
        <f>IF(AND(LEFT(F45,2)="MP",H45&lt;&gt;Base_Dados!$A$1),"Impossível!!!"," ")</f>
        <v xml:space="preserve"> </v>
      </c>
      <c r="N45" s="15" t="str">
        <f>IF(E45="Avião",IF($G45&lt;=VLOOKUP($F45,Base_Dados!$K$1:$O$7,3,FALSE)," ","Limite "&amp;VLOOKUP($F45,Base_Dados!$K$1:$O$11,3,FALSE)&amp;" "&amp;VLOOKUP($F45,Base_Dados!$K$1:$O$11,2,FALSE))," ")</f>
        <v xml:space="preserve"> </v>
      </c>
      <c r="O45" s="15" t="str">
        <f>IF(E45="Caminhão",IF($G45&lt;=VLOOKUP($F45,Base_Dados!$K$1:$O$7,4,FALSE)," ","Limite "&amp;VLOOKUP($F45,Base_Dados!$K$1:$O$11,4,FALSE)&amp;" "&amp;VLOOKUP($F45,Base_Dados!$K$1:$O$11,2,FALSE))," ")</f>
        <v xml:space="preserve"> </v>
      </c>
      <c r="P45" s="15" t="str">
        <f>IF(E45="Navio",IF($G45&lt;=VLOOKUP($F45,Base_Dados!$K$1:$O$7,5,FALSE)," ","Limite "&amp;VLOOKUP($F45,Base_Dados!$K$1:$O$11,5,FALSE)&amp;" "&amp;VLOOKUP($F45,Base_Dados!$K$1:$O$11,2,FALSE))," ")</f>
        <v xml:space="preserve"> </v>
      </c>
      <c r="Q45" s="15" t="str">
        <f t="shared" si="1"/>
        <v/>
      </c>
      <c r="R45" s="1"/>
      <c r="S45" s="1"/>
      <c r="T45" s="1"/>
      <c r="U45" s="1"/>
      <c r="V45" s="1"/>
      <c r="W45" s="1"/>
      <c r="X45" s="1"/>
      <c r="Y45" s="1"/>
      <c r="Z45" s="1"/>
    </row>
    <row r="46" spans="1:26" ht="24" customHeight="1" x14ac:dyDescent="0.3">
      <c r="A46" s="10" t="s">
        <v>21</v>
      </c>
      <c r="B46" s="10" t="s">
        <v>27</v>
      </c>
      <c r="C46" s="11" t="s">
        <v>28</v>
      </c>
      <c r="D46" s="11" t="s">
        <v>42</v>
      </c>
      <c r="E46" s="11" t="s">
        <v>31</v>
      </c>
      <c r="F46" s="11" t="s">
        <v>35</v>
      </c>
      <c r="G46" s="12">
        <v>4000</v>
      </c>
      <c r="H46" s="11" t="s">
        <v>46</v>
      </c>
      <c r="I46" s="11" t="s">
        <v>47</v>
      </c>
      <c r="J46" s="13">
        <f>VLOOKUP(C46&amp;I46&amp;E46,Orig_Dest!$A$2:$E$1876,5,FALSE)</f>
        <v>0</v>
      </c>
      <c r="K46" s="14" t="str">
        <f t="shared" si="0"/>
        <v>Dia 43</v>
      </c>
      <c r="L46" s="15" t="str">
        <f>IF(B46="Fornecedor",IF(VLOOKUP(C46,Base_Dados!$E$1:$F$7,2,FALSE)=F46," ","Fornecedor inválido!")," ")</f>
        <v xml:space="preserve"> </v>
      </c>
      <c r="M46" s="16" t="str">
        <f>IF(AND(LEFT(F46,2)="MP",H46&lt;&gt;Base_Dados!$A$1),"Impossível!!!"," ")</f>
        <v xml:space="preserve"> </v>
      </c>
      <c r="N46" s="15" t="str">
        <f>IF(E46="Avião",IF($G46&lt;=VLOOKUP($F46,Base_Dados!$K$1:$O$7,3,FALSE)," ","Limite "&amp;VLOOKUP($F46,Base_Dados!$K$1:$O$11,3,FALSE)&amp;" "&amp;VLOOKUP($F46,Base_Dados!$K$1:$O$11,2,FALSE))," ")</f>
        <v xml:space="preserve"> </v>
      </c>
      <c r="O46" s="15" t="str">
        <f>IF(E46="Caminhão",IF($G46&lt;=VLOOKUP($F46,Base_Dados!$K$1:$O$7,4,FALSE)," ","Limite "&amp;VLOOKUP($F46,Base_Dados!$K$1:$O$11,4,FALSE)&amp;" "&amp;VLOOKUP($F46,Base_Dados!$K$1:$O$11,2,FALSE))," ")</f>
        <v xml:space="preserve"> </v>
      </c>
      <c r="P46" s="15" t="str">
        <f>IF(E46="Navio",IF($G46&lt;=VLOOKUP($F46,Base_Dados!$K$1:$O$7,5,FALSE)," ","Limite "&amp;VLOOKUP($F46,Base_Dados!$K$1:$O$11,5,FALSE)&amp;" "&amp;VLOOKUP($F46,Base_Dados!$K$1:$O$11,2,FALSE))," ")</f>
        <v xml:space="preserve"> </v>
      </c>
      <c r="Q46" s="15" t="str">
        <f t="shared" si="1"/>
        <v/>
      </c>
      <c r="R46" s="1"/>
      <c r="S46" s="1"/>
      <c r="T46" s="1"/>
      <c r="U46" s="1"/>
      <c r="V46" s="1"/>
      <c r="W46" s="1"/>
      <c r="X46" s="1"/>
      <c r="Y46" s="1"/>
      <c r="Z46" s="1"/>
    </row>
    <row r="47" spans="1:26" ht="24" customHeight="1" x14ac:dyDescent="0.3">
      <c r="A47" s="10" t="s">
        <v>21</v>
      </c>
      <c r="B47" s="10" t="s">
        <v>27</v>
      </c>
      <c r="C47" s="11" t="s">
        <v>28</v>
      </c>
      <c r="D47" s="11" t="s">
        <v>42</v>
      </c>
      <c r="E47" s="11" t="s">
        <v>31</v>
      </c>
      <c r="F47" s="11" t="s">
        <v>35</v>
      </c>
      <c r="G47" s="12">
        <v>4000</v>
      </c>
      <c r="H47" s="11" t="s">
        <v>46</v>
      </c>
      <c r="I47" s="11" t="s">
        <v>47</v>
      </c>
      <c r="J47" s="13">
        <f>VLOOKUP(C47&amp;I47&amp;E47,Orig_Dest!$A$2:$E$1876,5,FALSE)</f>
        <v>0</v>
      </c>
      <c r="K47" s="14" t="str">
        <f t="shared" si="0"/>
        <v>Dia 43</v>
      </c>
      <c r="L47" s="15" t="str">
        <f>IF(B47="Fornecedor",IF(VLOOKUP(C47,Base_Dados!$E$1:$F$7,2,FALSE)=F47," ","Fornecedor inválido!")," ")</f>
        <v xml:space="preserve"> </v>
      </c>
      <c r="M47" s="16" t="str">
        <f>IF(AND(LEFT(F47,2)="MP",H47&lt;&gt;Base_Dados!$A$1),"Impossível!!!"," ")</f>
        <v xml:space="preserve"> </v>
      </c>
      <c r="N47" s="15" t="str">
        <f>IF(E47="Avião",IF($G47&lt;=VLOOKUP($F47,Base_Dados!$K$1:$O$7,3,FALSE)," ","Limite "&amp;VLOOKUP($F47,Base_Dados!$K$1:$O$11,3,FALSE)&amp;" "&amp;VLOOKUP($F47,Base_Dados!$K$1:$O$11,2,FALSE))," ")</f>
        <v xml:space="preserve"> </v>
      </c>
      <c r="O47" s="15" t="str">
        <f>IF(E47="Caminhão",IF($G47&lt;=VLOOKUP($F47,Base_Dados!$K$1:$O$7,4,FALSE)," ","Limite "&amp;VLOOKUP($F47,Base_Dados!$K$1:$O$11,4,FALSE)&amp;" "&amp;VLOOKUP($F47,Base_Dados!$K$1:$O$11,2,FALSE))," ")</f>
        <v xml:space="preserve"> </v>
      </c>
      <c r="P47" s="15" t="str">
        <f>IF(E47="Navio",IF($G47&lt;=VLOOKUP($F47,Base_Dados!$K$1:$O$7,5,FALSE)," ","Limite "&amp;VLOOKUP($F47,Base_Dados!$K$1:$O$11,5,FALSE)&amp;" "&amp;VLOOKUP($F47,Base_Dados!$K$1:$O$11,2,FALSE))," ")</f>
        <v xml:space="preserve"> </v>
      </c>
      <c r="Q47" s="15" t="str">
        <f t="shared" si="1"/>
        <v/>
      </c>
      <c r="R47" s="1"/>
      <c r="S47" s="1"/>
      <c r="T47" s="1"/>
      <c r="U47" s="1"/>
      <c r="V47" s="1"/>
      <c r="W47" s="1"/>
      <c r="X47" s="1"/>
      <c r="Y47" s="1"/>
      <c r="Z47" s="1"/>
    </row>
    <row r="48" spans="1:26" ht="24" customHeight="1" x14ac:dyDescent="0.3">
      <c r="A48" s="10" t="s">
        <v>21</v>
      </c>
      <c r="B48" s="10" t="s">
        <v>27</v>
      </c>
      <c r="C48" s="11" t="s">
        <v>28</v>
      </c>
      <c r="D48" s="11" t="s">
        <v>42</v>
      </c>
      <c r="E48" s="11" t="s">
        <v>31</v>
      </c>
      <c r="F48" s="11" t="s">
        <v>35</v>
      </c>
      <c r="G48" s="12">
        <v>4000</v>
      </c>
      <c r="H48" s="11" t="s">
        <v>46</v>
      </c>
      <c r="I48" s="11" t="s">
        <v>47</v>
      </c>
      <c r="J48" s="13">
        <f>VLOOKUP(C48&amp;I48&amp;E48,Orig_Dest!$A$2:$E$1876,5,FALSE)</f>
        <v>0</v>
      </c>
      <c r="K48" s="14" t="str">
        <f t="shared" si="0"/>
        <v>Dia 43</v>
      </c>
      <c r="L48" s="15" t="str">
        <f>IF(B48="Fornecedor",IF(VLOOKUP(C48,Base_Dados!$E$1:$F$7,2,FALSE)=F48," ","Fornecedor inválido!")," ")</f>
        <v xml:space="preserve"> </v>
      </c>
      <c r="M48" s="16" t="str">
        <f>IF(AND(LEFT(F48,2)="MP",H48&lt;&gt;Base_Dados!$A$1),"Impossível!!!"," ")</f>
        <v xml:space="preserve"> </v>
      </c>
      <c r="N48" s="15" t="str">
        <f>IF(E48="Avião",IF($G48&lt;=VLOOKUP($F48,Base_Dados!$K$1:$O$7,3,FALSE)," ","Limite "&amp;VLOOKUP($F48,Base_Dados!$K$1:$O$11,3,FALSE)&amp;" "&amp;VLOOKUP($F48,Base_Dados!$K$1:$O$11,2,FALSE))," ")</f>
        <v xml:space="preserve"> </v>
      </c>
      <c r="O48" s="15" t="str">
        <f>IF(E48="Caminhão",IF($G48&lt;=VLOOKUP($F48,Base_Dados!$K$1:$O$7,4,FALSE)," ","Limite "&amp;VLOOKUP($F48,Base_Dados!$K$1:$O$11,4,FALSE)&amp;" "&amp;VLOOKUP($F48,Base_Dados!$K$1:$O$11,2,FALSE))," ")</f>
        <v xml:space="preserve"> </v>
      </c>
      <c r="P48" s="15" t="str">
        <f>IF(E48="Navio",IF($G48&lt;=VLOOKUP($F48,Base_Dados!$K$1:$O$7,5,FALSE)," ","Limite "&amp;VLOOKUP($F48,Base_Dados!$K$1:$O$11,5,FALSE)&amp;" "&amp;VLOOKUP($F48,Base_Dados!$K$1:$O$11,2,FALSE))," ")</f>
        <v xml:space="preserve"> </v>
      </c>
      <c r="Q48" s="15" t="str">
        <f t="shared" si="1"/>
        <v/>
      </c>
      <c r="R48" s="1"/>
      <c r="S48" s="1"/>
      <c r="T48" s="1"/>
      <c r="U48" s="1"/>
      <c r="V48" s="1"/>
      <c r="W48" s="1"/>
      <c r="X48" s="1"/>
      <c r="Y48" s="1"/>
      <c r="Z48" s="1"/>
    </row>
    <row r="49" spans="1:26" ht="24" customHeight="1" x14ac:dyDescent="0.3">
      <c r="A49" s="10" t="s">
        <v>21</v>
      </c>
      <c r="B49" s="10" t="s">
        <v>27</v>
      </c>
      <c r="C49" s="11" t="s">
        <v>28</v>
      </c>
      <c r="D49" s="11" t="s">
        <v>42</v>
      </c>
      <c r="E49" s="11" t="s">
        <v>31</v>
      </c>
      <c r="F49" s="11" t="s">
        <v>35</v>
      </c>
      <c r="G49" s="12">
        <v>4000</v>
      </c>
      <c r="H49" s="11" t="s">
        <v>46</v>
      </c>
      <c r="I49" s="11" t="s">
        <v>47</v>
      </c>
      <c r="J49" s="13">
        <f>VLOOKUP(C49&amp;I49&amp;E49,Orig_Dest!$A$2:$E$1876,5,FALSE)</f>
        <v>0</v>
      </c>
      <c r="K49" s="14" t="str">
        <f t="shared" si="0"/>
        <v>Dia 43</v>
      </c>
      <c r="L49" s="15" t="str">
        <f>IF(B49="Fornecedor",IF(VLOOKUP(C49,Base_Dados!$E$1:$F$7,2,FALSE)=F49," ","Fornecedor inválido!")," ")</f>
        <v xml:space="preserve"> </v>
      </c>
      <c r="M49" s="16" t="str">
        <f>IF(AND(LEFT(F49,2)="MP",H49&lt;&gt;Base_Dados!$A$1),"Impossível!!!"," ")</f>
        <v xml:space="preserve"> </v>
      </c>
      <c r="N49" s="15" t="str">
        <f>IF(E49="Avião",IF($G49&lt;=VLOOKUP($F49,Base_Dados!$K$1:$O$7,3,FALSE)," ","Limite "&amp;VLOOKUP($F49,Base_Dados!$K$1:$O$11,3,FALSE)&amp;" "&amp;VLOOKUP($F49,Base_Dados!$K$1:$O$11,2,FALSE))," ")</f>
        <v xml:space="preserve"> </v>
      </c>
      <c r="O49" s="15" t="str">
        <f>IF(E49="Caminhão",IF($G49&lt;=VLOOKUP($F49,Base_Dados!$K$1:$O$7,4,FALSE)," ","Limite "&amp;VLOOKUP($F49,Base_Dados!$K$1:$O$11,4,FALSE)&amp;" "&amp;VLOOKUP($F49,Base_Dados!$K$1:$O$11,2,FALSE))," ")</f>
        <v xml:space="preserve"> </v>
      </c>
      <c r="P49" s="15" t="str">
        <f>IF(E49="Navio",IF($G49&lt;=VLOOKUP($F49,Base_Dados!$K$1:$O$7,5,FALSE)," ","Limite "&amp;VLOOKUP($F49,Base_Dados!$K$1:$O$11,5,FALSE)&amp;" "&amp;VLOOKUP($F49,Base_Dados!$K$1:$O$11,2,FALSE))," ")</f>
        <v xml:space="preserve"> </v>
      </c>
      <c r="Q49" s="15" t="str">
        <f t="shared" si="1"/>
        <v/>
      </c>
      <c r="R49" s="1"/>
      <c r="S49" s="1"/>
      <c r="T49" s="1"/>
      <c r="U49" s="1"/>
      <c r="V49" s="1"/>
      <c r="W49" s="1"/>
      <c r="X49" s="1"/>
      <c r="Y49" s="1"/>
      <c r="Z49" s="1"/>
    </row>
    <row r="50" spans="1:26" ht="24" customHeight="1" x14ac:dyDescent="0.3">
      <c r="A50" s="10" t="s">
        <v>21</v>
      </c>
      <c r="B50" s="10" t="s">
        <v>27</v>
      </c>
      <c r="C50" s="11" t="s">
        <v>28</v>
      </c>
      <c r="D50" s="11" t="s">
        <v>42</v>
      </c>
      <c r="E50" s="11" t="s">
        <v>31</v>
      </c>
      <c r="F50" s="11" t="s">
        <v>35</v>
      </c>
      <c r="G50" s="12">
        <v>4000</v>
      </c>
      <c r="H50" s="11" t="s">
        <v>46</v>
      </c>
      <c r="I50" s="11" t="s">
        <v>47</v>
      </c>
      <c r="J50" s="13">
        <f>VLOOKUP(C50&amp;I50&amp;E50,Orig_Dest!$A$2:$E$1876,5,FALSE)</f>
        <v>0</v>
      </c>
      <c r="K50" s="14" t="str">
        <f t="shared" si="0"/>
        <v>Dia 43</v>
      </c>
      <c r="L50" s="15" t="str">
        <f>IF(B50="Fornecedor",IF(VLOOKUP(C50,Base_Dados!$E$1:$F$7,2,FALSE)=F50," ","Fornecedor inválido!")," ")</f>
        <v xml:space="preserve"> </v>
      </c>
      <c r="M50" s="16" t="str">
        <f>IF(AND(LEFT(F50,2)="MP",H50&lt;&gt;Base_Dados!$A$1),"Impossível!!!"," ")</f>
        <v xml:space="preserve"> </v>
      </c>
      <c r="N50" s="15" t="str">
        <f>IF(E50="Avião",IF($G50&lt;=VLOOKUP($F50,Base_Dados!$K$1:$O$7,3,FALSE)," ","Limite "&amp;VLOOKUP($F50,Base_Dados!$K$1:$O$11,3,FALSE)&amp;" "&amp;VLOOKUP($F50,Base_Dados!$K$1:$O$11,2,FALSE))," ")</f>
        <v xml:space="preserve"> </v>
      </c>
      <c r="O50" s="15" t="str">
        <f>IF(E50="Caminhão",IF($G50&lt;=VLOOKUP($F50,Base_Dados!$K$1:$O$7,4,FALSE)," ","Limite "&amp;VLOOKUP($F50,Base_Dados!$K$1:$O$11,4,FALSE)&amp;" "&amp;VLOOKUP($F50,Base_Dados!$K$1:$O$11,2,FALSE))," ")</f>
        <v xml:space="preserve"> </v>
      </c>
      <c r="P50" s="15" t="str">
        <f>IF(E50="Navio",IF($G50&lt;=VLOOKUP($F50,Base_Dados!$K$1:$O$7,5,FALSE)," ","Limite "&amp;VLOOKUP($F50,Base_Dados!$K$1:$O$11,5,FALSE)&amp;" "&amp;VLOOKUP($F50,Base_Dados!$K$1:$O$11,2,FALSE))," ")</f>
        <v xml:space="preserve"> </v>
      </c>
      <c r="Q50" s="15" t="str">
        <f t="shared" si="1"/>
        <v/>
      </c>
      <c r="R50" s="1"/>
      <c r="S50" s="1"/>
      <c r="T50" s="1"/>
      <c r="U50" s="1"/>
      <c r="V50" s="1"/>
      <c r="W50" s="1"/>
      <c r="X50" s="1"/>
      <c r="Y50" s="1"/>
      <c r="Z50" s="1"/>
    </row>
    <row r="51" spans="1:26" ht="24" customHeight="1" x14ac:dyDescent="0.3">
      <c r="A51" s="10" t="s">
        <v>21</v>
      </c>
      <c r="B51" s="10" t="s">
        <v>27</v>
      </c>
      <c r="C51" s="11" t="s">
        <v>28</v>
      </c>
      <c r="D51" s="11" t="s">
        <v>42</v>
      </c>
      <c r="E51" s="11" t="s">
        <v>31</v>
      </c>
      <c r="F51" s="11" t="s">
        <v>35</v>
      </c>
      <c r="G51" s="12">
        <v>4000</v>
      </c>
      <c r="H51" s="11" t="s">
        <v>46</v>
      </c>
      <c r="I51" s="11" t="s">
        <v>47</v>
      </c>
      <c r="J51" s="13">
        <f>VLOOKUP(C51&amp;I51&amp;E51,Orig_Dest!$A$2:$E$1876,5,FALSE)</f>
        <v>0</v>
      </c>
      <c r="K51" s="14" t="str">
        <f t="shared" si="0"/>
        <v>Dia 43</v>
      </c>
      <c r="L51" s="15" t="str">
        <f>IF(B51="Fornecedor",IF(VLOOKUP(C51,Base_Dados!$E$1:$F$7,2,FALSE)=F51," ","Fornecedor inválido!")," ")</f>
        <v xml:space="preserve"> </v>
      </c>
      <c r="M51" s="16" t="str">
        <f>IF(AND(LEFT(F51,2)="MP",H51&lt;&gt;Base_Dados!$A$1),"Impossível!!!"," ")</f>
        <v xml:space="preserve"> </v>
      </c>
      <c r="N51" s="15" t="str">
        <f>IF(E51="Avião",IF($G51&lt;=VLOOKUP($F51,Base_Dados!$K$1:$O$7,3,FALSE)," ","Limite "&amp;VLOOKUP($F51,Base_Dados!$K$1:$O$11,3,FALSE)&amp;" "&amp;VLOOKUP($F51,Base_Dados!$K$1:$O$11,2,FALSE))," ")</f>
        <v xml:space="preserve"> </v>
      </c>
      <c r="O51" s="15" t="str">
        <f>IF(E51="Caminhão",IF($G51&lt;=VLOOKUP($F51,Base_Dados!$K$1:$O$7,4,FALSE)," ","Limite "&amp;VLOOKUP($F51,Base_Dados!$K$1:$O$11,4,FALSE)&amp;" "&amp;VLOOKUP($F51,Base_Dados!$K$1:$O$11,2,FALSE))," ")</f>
        <v xml:space="preserve"> </v>
      </c>
      <c r="P51" s="15" t="str">
        <f>IF(E51="Navio",IF($G51&lt;=VLOOKUP($F51,Base_Dados!$K$1:$O$7,5,FALSE)," ","Limite "&amp;VLOOKUP($F51,Base_Dados!$K$1:$O$11,5,FALSE)&amp;" "&amp;VLOOKUP($F51,Base_Dados!$K$1:$O$11,2,FALSE))," ")</f>
        <v xml:space="preserve"> </v>
      </c>
      <c r="Q51" s="15" t="str">
        <f t="shared" si="1"/>
        <v/>
      </c>
      <c r="R51" s="1"/>
      <c r="S51" s="1"/>
      <c r="T51" s="1"/>
      <c r="U51" s="1"/>
      <c r="V51" s="1"/>
      <c r="W51" s="1"/>
      <c r="X51" s="1"/>
      <c r="Y51" s="1"/>
      <c r="Z51" s="1"/>
    </row>
    <row r="52" spans="1:26" ht="24" customHeight="1" x14ac:dyDescent="0.3">
      <c r="A52" s="10" t="s">
        <v>21</v>
      </c>
      <c r="B52" s="10" t="s">
        <v>27</v>
      </c>
      <c r="C52" s="11" t="s">
        <v>28</v>
      </c>
      <c r="D52" s="11" t="s">
        <v>42</v>
      </c>
      <c r="E52" s="11" t="s">
        <v>31</v>
      </c>
      <c r="F52" s="11" t="s">
        <v>35</v>
      </c>
      <c r="G52" s="12">
        <v>4000</v>
      </c>
      <c r="H52" s="11" t="s">
        <v>46</v>
      </c>
      <c r="I52" s="11" t="s">
        <v>47</v>
      </c>
      <c r="J52" s="13">
        <f>VLOOKUP(C52&amp;I52&amp;E52,Orig_Dest!$A$2:$E$1876,5,FALSE)</f>
        <v>0</v>
      </c>
      <c r="K52" s="14" t="str">
        <f t="shared" si="0"/>
        <v>Dia 43</v>
      </c>
      <c r="L52" s="15" t="str">
        <f>IF(B52="Fornecedor",IF(VLOOKUP(C52,Base_Dados!$E$1:$F$7,2,FALSE)=F52," ","Fornecedor inválido!")," ")</f>
        <v xml:space="preserve"> </v>
      </c>
      <c r="M52" s="16" t="str">
        <f>IF(AND(LEFT(F52,2)="MP",H52&lt;&gt;Base_Dados!$A$1),"Impossível!!!"," ")</f>
        <v xml:space="preserve"> </v>
      </c>
      <c r="N52" s="15" t="str">
        <f>IF(E52="Avião",IF($G52&lt;=VLOOKUP($F52,Base_Dados!$K$1:$O$7,3,FALSE)," ","Limite "&amp;VLOOKUP($F52,Base_Dados!$K$1:$O$11,3,FALSE)&amp;" "&amp;VLOOKUP($F52,Base_Dados!$K$1:$O$11,2,FALSE))," ")</f>
        <v xml:space="preserve"> </v>
      </c>
      <c r="O52" s="15" t="str">
        <f>IF(E52="Caminhão",IF($G52&lt;=VLOOKUP($F52,Base_Dados!$K$1:$O$7,4,FALSE)," ","Limite "&amp;VLOOKUP($F52,Base_Dados!$K$1:$O$11,4,FALSE)&amp;" "&amp;VLOOKUP($F52,Base_Dados!$K$1:$O$11,2,FALSE))," ")</f>
        <v xml:space="preserve"> </v>
      </c>
      <c r="P52" s="15" t="str">
        <f>IF(E52="Navio",IF($G52&lt;=VLOOKUP($F52,Base_Dados!$K$1:$O$7,5,FALSE)," ","Limite "&amp;VLOOKUP($F52,Base_Dados!$K$1:$O$11,5,FALSE)&amp;" "&amp;VLOOKUP($F52,Base_Dados!$K$1:$O$11,2,FALSE))," ")</f>
        <v xml:space="preserve"> </v>
      </c>
      <c r="Q52" s="15" t="str">
        <f t="shared" si="1"/>
        <v/>
      </c>
      <c r="R52" s="1"/>
      <c r="S52" s="1"/>
      <c r="T52" s="1"/>
      <c r="U52" s="1"/>
      <c r="V52" s="1"/>
      <c r="W52" s="1"/>
      <c r="X52" s="1"/>
      <c r="Y52" s="1"/>
      <c r="Z52" s="1"/>
    </row>
    <row r="53" spans="1:26" ht="24" customHeight="1" x14ac:dyDescent="0.3">
      <c r="A53" s="10" t="s">
        <v>21</v>
      </c>
      <c r="B53" s="10" t="s">
        <v>27</v>
      </c>
      <c r="C53" s="11" t="s">
        <v>28</v>
      </c>
      <c r="D53" s="11" t="s">
        <v>42</v>
      </c>
      <c r="E53" s="11" t="s">
        <v>31</v>
      </c>
      <c r="F53" s="11" t="s">
        <v>35</v>
      </c>
      <c r="G53" s="12">
        <v>4000</v>
      </c>
      <c r="H53" s="11" t="s">
        <v>46</v>
      </c>
      <c r="I53" s="11" t="s">
        <v>47</v>
      </c>
      <c r="J53" s="13">
        <f>VLOOKUP(C53&amp;I53&amp;E53,Orig_Dest!$A$2:$E$1876,5,FALSE)</f>
        <v>0</v>
      </c>
      <c r="K53" s="14" t="str">
        <f t="shared" si="0"/>
        <v>Dia 43</v>
      </c>
      <c r="L53" s="15" t="str">
        <f>IF(B53="Fornecedor",IF(VLOOKUP(C53,Base_Dados!$E$1:$F$7,2,FALSE)=F53," ","Fornecedor inválido!")," ")</f>
        <v xml:space="preserve"> </v>
      </c>
      <c r="M53" s="16" t="str">
        <f>IF(AND(LEFT(F53,2)="MP",H53&lt;&gt;Base_Dados!$A$1),"Impossível!!!"," ")</f>
        <v xml:space="preserve"> </v>
      </c>
      <c r="N53" s="15" t="str">
        <f>IF(E53="Avião",IF($G53&lt;=VLOOKUP($F53,Base_Dados!$K$1:$O$7,3,FALSE)," ","Limite "&amp;VLOOKUP($F53,Base_Dados!$K$1:$O$11,3,FALSE)&amp;" "&amp;VLOOKUP($F53,Base_Dados!$K$1:$O$11,2,FALSE))," ")</f>
        <v xml:space="preserve"> </v>
      </c>
      <c r="O53" s="15" t="str">
        <f>IF(E53="Caminhão",IF($G53&lt;=VLOOKUP($F53,Base_Dados!$K$1:$O$7,4,FALSE)," ","Limite "&amp;VLOOKUP($F53,Base_Dados!$K$1:$O$11,4,FALSE)&amp;" "&amp;VLOOKUP($F53,Base_Dados!$K$1:$O$11,2,FALSE))," ")</f>
        <v xml:space="preserve"> </v>
      </c>
      <c r="P53" s="15" t="str">
        <f>IF(E53="Navio",IF($G53&lt;=VLOOKUP($F53,Base_Dados!$K$1:$O$7,5,FALSE)," ","Limite "&amp;VLOOKUP($F53,Base_Dados!$K$1:$O$11,5,FALSE)&amp;" "&amp;VLOOKUP($F53,Base_Dados!$K$1:$O$11,2,FALSE))," ")</f>
        <v xml:space="preserve"> </v>
      </c>
      <c r="Q53" s="15" t="str">
        <f t="shared" si="1"/>
        <v/>
      </c>
      <c r="R53" s="1"/>
      <c r="S53" s="1"/>
      <c r="T53" s="1"/>
      <c r="U53" s="1"/>
      <c r="V53" s="1"/>
      <c r="W53" s="1"/>
      <c r="X53" s="1"/>
      <c r="Y53" s="1"/>
      <c r="Z53" s="1"/>
    </row>
    <row r="54" spans="1:26" ht="24" customHeight="1" x14ac:dyDescent="0.3">
      <c r="A54" s="10" t="s">
        <v>21</v>
      </c>
      <c r="B54" s="10" t="s">
        <v>27</v>
      </c>
      <c r="C54" s="11" t="s">
        <v>28</v>
      </c>
      <c r="D54" s="11" t="s">
        <v>42</v>
      </c>
      <c r="E54" s="11" t="s">
        <v>31</v>
      </c>
      <c r="F54" s="11" t="s">
        <v>35</v>
      </c>
      <c r="G54" s="12">
        <v>4000</v>
      </c>
      <c r="H54" s="11" t="s">
        <v>46</v>
      </c>
      <c r="I54" s="11" t="s">
        <v>47</v>
      </c>
      <c r="J54" s="13">
        <f>VLOOKUP(C54&amp;I54&amp;E54,Orig_Dest!$A$2:$E$1876,5,FALSE)</f>
        <v>0</v>
      </c>
      <c r="K54" s="14" t="str">
        <f t="shared" si="0"/>
        <v>Dia 43</v>
      </c>
      <c r="L54" s="15" t="str">
        <f>IF(B54="Fornecedor",IF(VLOOKUP(C54,Base_Dados!$E$1:$F$7,2,FALSE)=F54," ","Fornecedor inválido!")," ")</f>
        <v xml:space="preserve"> </v>
      </c>
      <c r="M54" s="16" t="str">
        <f>IF(AND(LEFT(F54,2)="MP",H54&lt;&gt;Base_Dados!$A$1),"Impossível!!!"," ")</f>
        <v xml:space="preserve"> </v>
      </c>
      <c r="N54" s="15" t="str">
        <f>IF(E54="Avião",IF($G54&lt;=VLOOKUP($F54,Base_Dados!$K$1:$O$7,3,FALSE)," ","Limite "&amp;VLOOKUP($F54,Base_Dados!$K$1:$O$11,3,FALSE)&amp;" "&amp;VLOOKUP($F54,Base_Dados!$K$1:$O$11,2,FALSE))," ")</f>
        <v xml:space="preserve"> </v>
      </c>
      <c r="O54" s="15" t="str">
        <f>IF(E54="Caminhão",IF($G54&lt;=VLOOKUP($F54,Base_Dados!$K$1:$O$7,4,FALSE)," ","Limite "&amp;VLOOKUP($F54,Base_Dados!$K$1:$O$11,4,FALSE)&amp;" "&amp;VLOOKUP($F54,Base_Dados!$K$1:$O$11,2,FALSE))," ")</f>
        <v xml:space="preserve"> </v>
      </c>
      <c r="P54" s="15" t="str">
        <f>IF(E54="Navio",IF($G54&lt;=VLOOKUP($F54,Base_Dados!$K$1:$O$7,5,FALSE)," ","Limite "&amp;VLOOKUP($F54,Base_Dados!$K$1:$O$11,5,FALSE)&amp;" "&amp;VLOOKUP($F54,Base_Dados!$K$1:$O$11,2,FALSE))," ")</f>
        <v xml:space="preserve"> </v>
      </c>
      <c r="Q54" s="15" t="str">
        <f t="shared" si="1"/>
        <v/>
      </c>
      <c r="R54" s="1"/>
      <c r="S54" s="1"/>
      <c r="T54" s="1"/>
      <c r="U54" s="1"/>
      <c r="V54" s="1"/>
      <c r="W54" s="1"/>
      <c r="X54" s="1"/>
      <c r="Y54" s="1"/>
      <c r="Z54" s="1"/>
    </row>
    <row r="55" spans="1:26" ht="24" customHeight="1" x14ac:dyDescent="0.3">
      <c r="A55" s="10" t="s">
        <v>21</v>
      </c>
      <c r="B55" s="10" t="s">
        <v>27</v>
      </c>
      <c r="C55" s="11" t="s">
        <v>28</v>
      </c>
      <c r="D55" s="11" t="s">
        <v>42</v>
      </c>
      <c r="E55" s="11" t="s">
        <v>31</v>
      </c>
      <c r="F55" s="11" t="s">
        <v>35</v>
      </c>
      <c r="G55" s="12">
        <v>4000</v>
      </c>
      <c r="H55" s="11" t="s">
        <v>46</v>
      </c>
      <c r="I55" s="11" t="s">
        <v>47</v>
      </c>
      <c r="J55" s="13">
        <f>VLOOKUP(C55&amp;I55&amp;E55,Orig_Dest!$A$2:$E$1876,5,FALSE)</f>
        <v>0</v>
      </c>
      <c r="K55" s="14" t="str">
        <f t="shared" si="0"/>
        <v>Dia 43</v>
      </c>
      <c r="L55" s="15" t="str">
        <f>IF(B55="Fornecedor",IF(VLOOKUP(C55,Base_Dados!$E$1:$F$7,2,FALSE)=F55," ","Fornecedor inválido!")," ")</f>
        <v xml:space="preserve"> </v>
      </c>
      <c r="M55" s="16" t="str">
        <f>IF(AND(LEFT(F55,2)="MP",H55&lt;&gt;Base_Dados!$A$1),"Impossível!!!"," ")</f>
        <v xml:space="preserve"> </v>
      </c>
      <c r="N55" s="15" t="str">
        <f>IF(E55="Avião",IF($G55&lt;=VLOOKUP($F55,Base_Dados!$K$1:$O$7,3,FALSE)," ","Limite "&amp;VLOOKUP($F55,Base_Dados!$K$1:$O$11,3,FALSE)&amp;" "&amp;VLOOKUP($F55,Base_Dados!$K$1:$O$11,2,FALSE))," ")</f>
        <v xml:space="preserve"> </v>
      </c>
      <c r="O55" s="15" t="str">
        <f>IF(E55="Caminhão",IF($G55&lt;=VLOOKUP($F55,Base_Dados!$K$1:$O$7,4,FALSE)," ","Limite "&amp;VLOOKUP($F55,Base_Dados!$K$1:$O$11,4,FALSE)&amp;" "&amp;VLOOKUP($F55,Base_Dados!$K$1:$O$11,2,FALSE))," ")</f>
        <v xml:space="preserve"> </v>
      </c>
      <c r="P55" s="15" t="str">
        <f>IF(E55="Navio",IF($G55&lt;=VLOOKUP($F55,Base_Dados!$K$1:$O$7,5,FALSE)," ","Limite "&amp;VLOOKUP($F55,Base_Dados!$K$1:$O$11,5,FALSE)&amp;" "&amp;VLOOKUP($F55,Base_Dados!$K$1:$O$11,2,FALSE))," ")</f>
        <v xml:space="preserve"> </v>
      </c>
      <c r="Q55" s="15" t="str">
        <f t="shared" si="1"/>
        <v/>
      </c>
      <c r="R55" s="1"/>
      <c r="S55" s="1"/>
      <c r="T55" s="1"/>
      <c r="U55" s="1"/>
      <c r="V55" s="1"/>
      <c r="W55" s="1"/>
      <c r="X55" s="1"/>
      <c r="Y55" s="1"/>
      <c r="Z55" s="1"/>
    </row>
    <row r="56" spans="1:26" ht="24" customHeight="1" x14ac:dyDescent="0.3">
      <c r="A56" s="10" t="s">
        <v>21</v>
      </c>
      <c r="B56" s="10" t="s">
        <v>27</v>
      </c>
      <c r="C56" s="11" t="s">
        <v>28</v>
      </c>
      <c r="D56" s="11" t="s">
        <v>42</v>
      </c>
      <c r="E56" s="11" t="s">
        <v>31</v>
      </c>
      <c r="F56" s="11" t="s">
        <v>35</v>
      </c>
      <c r="G56" s="12">
        <v>4000</v>
      </c>
      <c r="H56" s="11" t="s">
        <v>46</v>
      </c>
      <c r="I56" s="11" t="s">
        <v>47</v>
      </c>
      <c r="J56" s="13">
        <f>VLOOKUP(C56&amp;I56&amp;E56,Orig_Dest!$A$2:$E$1876,5,FALSE)</f>
        <v>0</v>
      </c>
      <c r="K56" s="14" t="str">
        <f t="shared" si="0"/>
        <v>Dia 43</v>
      </c>
      <c r="L56" s="15" t="str">
        <f>IF(B56="Fornecedor",IF(VLOOKUP(C56,Base_Dados!$E$1:$F$7,2,FALSE)=F56," ","Fornecedor inválido!")," ")</f>
        <v xml:space="preserve"> </v>
      </c>
      <c r="M56" s="16" t="str">
        <f>IF(AND(LEFT(F56,2)="MP",H56&lt;&gt;Base_Dados!$A$1),"Impossível!!!"," ")</f>
        <v xml:space="preserve"> </v>
      </c>
      <c r="N56" s="15" t="str">
        <f>IF(E56="Avião",IF($G56&lt;=VLOOKUP($F56,Base_Dados!$K$1:$O$7,3,FALSE)," ","Limite "&amp;VLOOKUP($F56,Base_Dados!$K$1:$O$11,3,FALSE)&amp;" "&amp;VLOOKUP($F56,Base_Dados!$K$1:$O$11,2,FALSE))," ")</f>
        <v xml:space="preserve"> </v>
      </c>
      <c r="O56" s="15" t="str">
        <f>IF(E56="Caminhão",IF($G56&lt;=VLOOKUP($F56,Base_Dados!$K$1:$O$7,4,FALSE)," ","Limite "&amp;VLOOKUP($F56,Base_Dados!$K$1:$O$11,4,FALSE)&amp;" "&amp;VLOOKUP($F56,Base_Dados!$K$1:$O$11,2,FALSE))," ")</f>
        <v xml:space="preserve"> </v>
      </c>
      <c r="P56" s="15" t="str">
        <f>IF(E56="Navio",IF($G56&lt;=VLOOKUP($F56,Base_Dados!$K$1:$O$7,5,FALSE)," ","Limite "&amp;VLOOKUP($F56,Base_Dados!$K$1:$O$11,5,FALSE)&amp;" "&amp;VLOOKUP($F56,Base_Dados!$K$1:$O$11,2,FALSE))," ")</f>
        <v xml:space="preserve"> </v>
      </c>
      <c r="Q56" s="15" t="str">
        <f t="shared" si="1"/>
        <v/>
      </c>
      <c r="R56" s="1"/>
      <c r="S56" s="1"/>
      <c r="T56" s="1"/>
      <c r="U56" s="1"/>
      <c r="V56" s="1"/>
      <c r="W56" s="1"/>
      <c r="X56" s="1"/>
      <c r="Y56" s="1"/>
      <c r="Z56" s="1"/>
    </row>
    <row r="57" spans="1:26" ht="24" customHeight="1" x14ac:dyDescent="0.3">
      <c r="A57" s="10" t="s">
        <v>21</v>
      </c>
      <c r="B57" s="10" t="s">
        <v>27</v>
      </c>
      <c r="C57" s="11" t="s">
        <v>28</v>
      </c>
      <c r="D57" s="11" t="s">
        <v>42</v>
      </c>
      <c r="E57" s="11" t="s">
        <v>31</v>
      </c>
      <c r="F57" s="11" t="s">
        <v>35</v>
      </c>
      <c r="G57" s="12">
        <v>4000</v>
      </c>
      <c r="H57" s="11" t="s">
        <v>46</v>
      </c>
      <c r="I57" s="11" t="s">
        <v>47</v>
      </c>
      <c r="J57" s="13">
        <f>VLOOKUP(C57&amp;I57&amp;E57,Orig_Dest!$A$2:$E$1876,5,FALSE)</f>
        <v>0</v>
      </c>
      <c r="K57" s="14" t="str">
        <f t="shared" si="0"/>
        <v>Dia 43</v>
      </c>
      <c r="L57" s="15" t="str">
        <f>IF(B57="Fornecedor",IF(VLOOKUP(C57,Base_Dados!$E$1:$F$7,2,FALSE)=F57," ","Fornecedor inválido!")," ")</f>
        <v xml:space="preserve"> </v>
      </c>
      <c r="M57" s="16" t="str">
        <f>IF(AND(LEFT(F57,2)="MP",H57&lt;&gt;Base_Dados!$A$1),"Impossível!!!"," ")</f>
        <v xml:space="preserve"> </v>
      </c>
      <c r="N57" s="15" t="str">
        <f>IF(E57="Avião",IF($G57&lt;=VLOOKUP($F57,Base_Dados!$K$1:$O$7,3,FALSE)," ","Limite "&amp;VLOOKUP($F57,Base_Dados!$K$1:$O$11,3,FALSE)&amp;" "&amp;VLOOKUP($F57,Base_Dados!$K$1:$O$11,2,FALSE))," ")</f>
        <v xml:space="preserve"> </v>
      </c>
      <c r="O57" s="15" t="str">
        <f>IF(E57="Caminhão",IF($G57&lt;=VLOOKUP($F57,Base_Dados!$K$1:$O$7,4,FALSE)," ","Limite "&amp;VLOOKUP($F57,Base_Dados!$K$1:$O$11,4,FALSE)&amp;" "&amp;VLOOKUP($F57,Base_Dados!$K$1:$O$11,2,FALSE))," ")</f>
        <v xml:space="preserve"> </v>
      </c>
      <c r="P57" s="15" t="str">
        <f>IF(E57="Navio",IF($G57&lt;=VLOOKUP($F57,Base_Dados!$K$1:$O$7,5,FALSE)," ","Limite "&amp;VLOOKUP($F57,Base_Dados!$K$1:$O$11,5,FALSE)&amp;" "&amp;VLOOKUP($F57,Base_Dados!$K$1:$O$11,2,FALSE))," ")</f>
        <v xml:space="preserve"> </v>
      </c>
      <c r="Q57" s="15" t="str">
        <f t="shared" si="1"/>
        <v/>
      </c>
      <c r="R57" s="1"/>
      <c r="S57" s="1"/>
      <c r="T57" s="1"/>
      <c r="U57" s="1"/>
      <c r="V57" s="1"/>
      <c r="W57" s="1"/>
      <c r="X57" s="1"/>
      <c r="Y57" s="1"/>
      <c r="Z57" s="1"/>
    </row>
    <row r="58" spans="1:26" ht="24" customHeight="1" x14ac:dyDescent="0.3">
      <c r="A58" s="10" t="s">
        <v>21</v>
      </c>
      <c r="B58" s="10" t="s">
        <v>27</v>
      </c>
      <c r="C58" s="11" t="s">
        <v>28</v>
      </c>
      <c r="D58" s="11" t="s">
        <v>42</v>
      </c>
      <c r="E58" s="11" t="s">
        <v>31</v>
      </c>
      <c r="F58" s="11" t="s">
        <v>35</v>
      </c>
      <c r="G58" s="12">
        <v>4000</v>
      </c>
      <c r="H58" s="11" t="s">
        <v>46</v>
      </c>
      <c r="I58" s="11" t="s">
        <v>47</v>
      </c>
      <c r="J58" s="13">
        <f>VLOOKUP(C58&amp;I58&amp;E58,Orig_Dest!$A$2:$E$1876,5,FALSE)</f>
        <v>0</v>
      </c>
      <c r="K58" s="14" t="str">
        <f t="shared" si="0"/>
        <v>Dia 43</v>
      </c>
      <c r="L58" s="15" t="str">
        <f>IF(B58="Fornecedor",IF(VLOOKUP(C58,Base_Dados!$E$1:$F$7,2,FALSE)=F58," ","Fornecedor inválido!")," ")</f>
        <v xml:space="preserve"> </v>
      </c>
      <c r="M58" s="16" t="str">
        <f>IF(AND(LEFT(F58,2)="MP",H58&lt;&gt;Base_Dados!$A$1),"Impossível!!!"," ")</f>
        <v xml:space="preserve"> </v>
      </c>
      <c r="N58" s="15" t="str">
        <f>IF(E58="Avião",IF($G58&lt;=VLOOKUP($F58,Base_Dados!$K$1:$O$7,3,FALSE)," ","Limite "&amp;VLOOKUP($F58,Base_Dados!$K$1:$O$11,3,FALSE)&amp;" "&amp;VLOOKUP($F58,Base_Dados!$K$1:$O$11,2,FALSE))," ")</f>
        <v xml:space="preserve"> </v>
      </c>
      <c r="O58" s="15" t="str">
        <f>IF(E58="Caminhão",IF($G58&lt;=VLOOKUP($F58,Base_Dados!$K$1:$O$7,4,FALSE)," ","Limite "&amp;VLOOKUP($F58,Base_Dados!$K$1:$O$11,4,FALSE)&amp;" "&amp;VLOOKUP($F58,Base_Dados!$K$1:$O$11,2,FALSE))," ")</f>
        <v xml:space="preserve"> </v>
      </c>
      <c r="P58" s="15" t="str">
        <f>IF(E58="Navio",IF($G58&lt;=VLOOKUP($F58,Base_Dados!$K$1:$O$7,5,FALSE)," ","Limite "&amp;VLOOKUP($F58,Base_Dados!$K$1:$O$11,5,FALSE)&amp;" "&amp;VLOOKUP($F58,Base_Dados!$K$1:$O$11,2,FALSE))," ")</f>
        <v xml:space="preserve"> </v>
      </c>
      <c r="Q58" s="15" t="str">
        <f t="shared" si="1"/>
        <v/>
      </c>
      <c r="R58" s="1"/>
      <c r="S58" s="1"/>
      <c r="T58" s="1"/>
      <c r="U58" s="1"/>
      <c r="V58" s="1"/>
      <c r="W58" s="1"/>
      <c r="X58" s="1"/>
      <c r="Y58" s="1"/>
      <c r="Z58" s="1"/>
    </row>
    <row r="59" spans="1:26" ht="24" customHeight="1" x14ac:dyDescent="0.3">
      <c r="A59" s="10" t="s">
        <v>21</v>
      </c>
      <c r="B59" s="10" t="s">
        <v>27</v>
      </c>
      <c r="C59" s="11" t="s">
        <v>28</v>
      </c>
      <c r="D59" s="11" t="s">
        <v>42</v>
      </c>
      <c r="E59" s="11" t="s">
        <v>31</v>
      </c>
      <c r="F59" s="11" t="s">
        <v>35</v>
      </c>
      <c r="G59" s="12">
        <v>4000</v>
      </c>
      <c r="H59" s="11" t="s">
        <v>46</v>
      </c>
      <c r="I59" s="11" t="s">
        <v>47</v>
      </c>
      <c r="J59" s="13">
        <f>VLOOKUP(C59&amp;I59&amp;E59,Orig_Dest!$A$2:$E$1876,5,FALSE)</f>
        <v>0</v>
      </c>
      <c r="K59" s="14" t="str">
        <f t="shared" si="0"/>
        <v>Dia 43</v>
      </c>
      <c r="L59" s="15" t="str">
        <f>IF(B59="Fornecedor",IF(VLOOKUP(C59,Base_Dados!$E$1:$F$7,2,FALSE)=F59," ","Fornecedor inválido!")," ")</f>
        <v xml:space="preserve"> </v>
      </c>
      <c r="M59" s="16" t="str">
        <f>IF(AND(LEFT(F59,2)="MP",H59&lt;&gt;Base_Dados!$A$1),"Impossível!!!"," ")</f>
        <v xml:space="preserve"> </v>
      </c>
      <c r="N59" s="15" t="str">
        <f>IF(E59="Avião",IF($G59&lt;=VLOOKUP($F59,Base_Dados!$K$1:$O$7,3,FALSE)," ","Limite "&amp;VLOOKUP($F59,Base_Dados!$K$1:$O$11,3,FALSE)&amp;" "&amp;VLOOKUP($F59,Base_Dados!$K$1:$O$11,2,FALSE))," ")</f>
        <v xml:space="preserve"> </v>
      </c>
      <c r="O59" s="15" t="str">
        <f>IF(E59="Caminhão",IF($G59&lt;=VLOOKUP($F59,Base_Dados!$K$1:$O$7,4,FALSE)," ","Limite "&amp;VLOOKUP($F59,Base_Dados!$K$1:$O$11,4,FALSE)&amp;" "&amp;VLOOKUP($F59,Base_Dados!$K$1:$O$11,2,FALSE))," ")</f>
        <v xml:space="preserve"> </v>
      </c>
      <c r="P59" s="15" t="str">
        <f>IF(E59="Navio",IF($G59&lt;=VLOOKUP($F59,Base_Dados!$K$1:$O$7,5,FALSE)," ","Limite "&amp;VLOOKUP($F59,Base_Dados!$K$1:$O$11,5,FALSE)&amp;" "&amp;VLOOKUP($F59,Base_Dados!$K$1:$O$11,2,FALSE))," ")</f>
        <v xml:space="preserve"> </v>
      </c>
      <c r="Q59" s="15" t="str">
        <f t="shared" si="1"/>
        <v/>
      </c>
      <c r="R59" s="1"/>
      <c r="S59" s="1"/>
      <c r="T59" s="1"/>
      <c r="U59" s="1"/>
      <c r="V59" s="1"/>
      <c r="W59" s="1"/>
      <c r="X59" s="1"/>
      <c r="Y59" s="1"/>
      <c r="Z59" s="1"/>
    </row>
    <row r="60" spans="1:26" ht="24" customHeight="1" x14ac:dyDescent="0.3">
      <c r="A60" s="10" t="s">
        <v>21</v>
      </c>
      <c r="B60" s="10" t="s">
        <v>27</v>
      </c>
      <c r="C60" s="11" t="s">
        <v>28</v>
      </c>
      <c r="D60" s="11" t="s">
        <v>42</v>
      </c>
      <c r="E60" s="11" t="s">
        <v>31</v>
      </c>
      <c r="F60" s="11" t="s">
        <v>35</v>
      </c>
      <c r="G60" s="12">
        <v>4000</v>
      </c>
      <c r="H60" s="11" t="s">
        <v>46</v>
      </c>
      <c r="I60" s="11" t="s">
        <v>47</v>
      </c>
      <c r="J60" s="13">
        <f>VLOOKUP(C60&amp;I60&amp;E60,Orig_Dest!$A$2:$E$1876,5,FALSE)</f>
        <v>0</v>
      </c>
      <c r="K60" s="14" t="str">
        <f t="shared" si="0"/>
        <v>Dia 43</v>
      </c>
      <c r="L60" s="15" t="str">
        <f>IF(B60="Fornecedor",IF(VLOOKUP(C60,Base_Dados!$E$1:$F$7,2,FALSE)=F60," ","Fornecedor inválido!")," ")</f>
        <v xml:space="preserve"> </v>
      </c>
      <c r="M60" s="16" t="str">
        <f>IF(AND(LEFT(F60,2)="MP",H60&lt;&gt;Base_Dados!$A$1),"Impossível!!!"," ")</f>
        <v xml:space="preserve"> </v>
      </c>
      <c r="N60" s="15" t="str">
        <f>IF(E60="Avião",IF($G60&lt;=VLOOKUP($F60,Base_Dados!$K$1:$O$7,3,FALSE)," ","Limite "&amp;VLOOKUP($F60,Base_Dados!$K$1:$O$11,3,FALSE)&amp;" "&amp;VLOOKUP($F60,Base_Dados!$K$1:$O$11,2,FALSE))," ")</f>
        <v xml:space="preserve"> </v>
      </c>
      <c r="O60" s="15" t="str">
        <f>IF(E60="Caminhão",IF($G60&lt;=VLOOKUP($F60,Base_Dados!$K$1:$O$7,4,FALSE)," ","Limite "&amp;VLOOKUP($F60,Base_Dados!$K$1:$O$11,4,FALSE)&amp;" "&amp;VLOOKUP($F60,Base_Dados!$K$1:$O$11,2,FALSE))," ")</f>
        <v xml:space="preserve"> </v>
      </c>
      <c r="P60" s="15" t="str">
        <f>IF(E60="Navio",IF($G60&lt;=VLOOKUP($F60,Base_Dados!$K$1:$O$7,5,FALSE)," ","Limite "&amp;VLOOKUP($F60,Base_Dados!$K$1:$O$11,5,FALSE)&amp;" "&amp;VLOOKUP($F60,Base_Dados!$K$1:$O$11,2,FALSE))," ")</f>
        <v xml:space="preserve"> </v>
      </c>
      <c r="Q60" s="15" t="str">
        <f t="shared" si="1"/>
        <v/>
      </c>
      <c r="R60" s="1"/>
      <c r="S60" s="1"/>
      <c r="T60" s="1"/>
      <c r="U60" s="1"/>
      <c r="V60" s="1"/>
      <c r="W60" s="1"/>
      <c r="X60" s="1"/>
      <c r="Y60" s="1"/>
      <c r="Z60" s="1"/>
    </row>
    <row r="61" spans="1:26" ht="24" customHeight="1" x14ac:dyDescent="0.3">
      <c r="A61" s="10" t="s">
        <v>21</v>
      </c>
      <c r="B61" s="10" t="s">
        <v>27</v>
      </c>
      <c r="C61" s="11" t="s">
        <v>28</v>
      </c>
      <c r="D61" s="11" t="s">
        <v>42</v>
      </c>
      <c r="E61" s="11" t="s">
        <v>31</v>
      </c>
      <c r="F61" s="11" t="s">
        <v>35</v>
      </c>
      <c r="G61" s="12">
        <v>4000</v>
      </c>
      <c r="H61" s="11" t="s">
        <v>46</v>
      </c>
      <c r="I61" s="11" t="s">
        <v>47</v>
      </c>
      <c r="J61" s="13">
        <f>VLOOKUP(C61&amp;I61&amp;E61,Orig_Dest!$A$2:$E$1876,5,FALSE)</f>
        <v>0</v>
      </c>
      <c r="K61" s="14" t="str">
        <f t="shared" si="0"/>
        <v>Dia 43</v>
      </c>
      <c r="L61" s="15" t="str">
        <f>IF(B61="Fornecedor",IF(VLOOKUP(C61,Base_Dados!$E$1:$F$7,2,FALSE)=F61," ","Fornecedor inválido!")," ")</f>
        <v xml:space="preserve"> </v>
      </c>
      <c r="M61" s="16" t="str">
        <f>IF(AND(LEFT(F61,2)="MP",H61&lt;&gt;Base_Dados!$A$1),"Impossível!!!"," ")</f>
        <v xml:space="preserve"> </v>
      </c>
      <c r="N61" s="15" t="str">
        <f>IF(E61="Avião",IF($G61&lt;=VLOOKUP($F61,Base_Dados!$K$1:$O$7,3,FALSE)," ","Limite "&amp;VLOOKUP($F61,Base_Dados!$K$1:$O$11,3,FALSE)&amp;" "&amp;VLOOKUP($F61,Base_Dados!$K$1:$O$11,2,FALSE))," ")</f>
        <v xml:space="preserve"> </v>
      </c>
      <c r="O61" s="15" t="str">
        <f>IF(E61="Caminhão",IF($G61&lt;=VLOOKUP($F61,Base_Dados!$K$1:$O$7,4,FALSE)," ","Limite "&amp;VLOOKUP($F61,Base_Dados!$K$1:$O$11,4,FALSE)&amp;" "&amp;VLOOKUP($F61,Base_Dados!$K$1:$O$11,2,FALSE))," ")</f>
        <v xml:space="preserve"> </v>
      </c>
      <c r="P61" s="15" t="str">
        <f>IF(E61="Navio",IF($G61&lt;=VLOOKUP($F61,Base_Dados!$K$1:$O$7,5,FALSE)," ","Limite "&amp;VLOOKUP($F61,Base_Dados!$K$1:$O$11,5,FALSE)&amp;" "&amp;VLOOKUP($F61,Base_Dados!$K$1:$O$11,2,FALSE))," ")</f>
        <v xml:space="preserve"> </v>
      </c>
      <c r="Q61" s="15" t="str">
        <f t="shared" si="1"/>
        <v/>
      </c>
      <c r="R61" s="1"/>
      <c r="S61" s="1"/>
      <c r="T61" s="1"/>
      <c r="U61" s="1"/>
      <c r="V61" s="1"/>
      <c r="W61" s="1"/>
      <c r="X61" s="1"/>
      <c r="Y61" s="1"/>
      <c r="Z61" s="1"/>
    </row>
    <row r="62" spans="1:26" ht="24" customHeight="1" x14ac:dyDescent="0.3">
      <c r="A62" s="10" t="s">
        <v>21</v>
      </c>
      <c r="B62" s="10" t="s">
        <v>27</v>
      </c>
      <c r="C62" s="11" t="s">
        <v>28</v>
      </c>
      <c r="D62" s="11" t="s">
        <v>42</v>
      </c>
      <c r="E62" s="11" t="s">
        <v>31</v>
      </c>
      <c r="F62" s="11" t="s">
        <v>35</v>
      </c>
      <c r="G62" s="12">
        <v>4000</v>
      </c>
      <c r="H62" s="11" t="s">
        <v>46</v>
      </c>
      <c r="I62" s="11" t="s">
        <v>47</v>
      </c>
      <c r="J62" s="13">
        <f>VLOOKUP(C62&amp;I62&amp;E62,Orig_Dest!$A$2:$E$1876,5,FALSE)</f>
        <v>0</v>
      </c>
      <c r="K62" s="14" t="str">
        <f t="shared" si="0"/>
        <v>Dia 43</v>
      </c>
      <c r="L62" s="15" t="str">
        <f>IF(B62="Fornecedor",IF(VLOOKUP(C62,Base_Dados!$E$1:$F$7,2,FALSE)=F62," ","Fornecedor inválido!")," ")</f>
        <v xml:space="preserve"> </v>
      </c>
      <c r="M62" s="16" t="str">
        <f>IF(AND(LEFT(F62,2)="MP",H62&lt;&gt;Base_Dados!$A$1),"Impossível!!!"," ")</f>
        <v xml:space="preserve"> </v>
      </c>
      <c r="N62" s="15" t="str">
        <f>IF(E62="Avião",IF($G62&lt;=VLOOKUP($F62,Base_Dados!$K$1:$O$7,3,FALSE)," ","Limite "&amp;VLOOKUP($F62,Base_Dados!$K$1:$O$11,3,FALSE)&amp;" "&amp;VLOOKUP($F62,Base_Dados!$K$1:$O$11,2,FALSE))," ")</f>
        <v xml:space="preserve"> </v>
      </c>
      <c r="O62" s="15" t="str">
        <f>IF(E62="Caminhão",IF($G62&lt;=VLOOKUP($F62,Base_Dados!$K$1:$O$7,4,FALSE)," ","Limite "&amp;VLOOKUP($F62,Base_Dados!$K$1:$O$11,4,FALSE)&amp;" "&amp;VLOOKUP($F62,Base_Dados!$K$1:$O$11,2,FALSE))," ")</f>
        <v xml:space="preserve"> </v>
      </c>
      <c r="P62" s="15" t="str">
        <f>IF(E62="Navio",IF($G62&lt;=VLOOKUP($F62,Base_Dados!$K$1:$O$7,5,FALSE)," ","Limite "&amp;VLOOKUP($F62,Base_Dados!$K$1:$O$11,5,FALSE)&amp;" "&amp;VLOOKUP($F62,Base_Dados!$K$1:$O$11,2,FALSE))," ")</f>
        <v xml:space="preserve"> </v>
      </c>
      <c r="Q62" s="15" t="str">
        <f t="shared" si="1"/>
        <v/>
      </c>
      <c r="R62" s="1"/>
      <c r="S62" s="1"/>
      <c r="T62" s="1"/>
      <c r="U62" s="1"/>
      <c r="V62" s="1"/>
      <c r="W62" s="1"/>
      <c r="X62" s="1"/>
      <c r="Y62" s="1"/>
      <c r="Z62" s="1"/>
    </row>
    <row r="63" spans="1:26" ht="24" customHeight="1" x14ac:dyDescent="0.3">
      <c r="A63" s="10" t="s">
        <v>21</v>
      </c>
      <c r="B63" s="10" t="s">
        <v>27</v>
      </c>
      <c r="C63" s="11" t="s">
        <v>28</v>
      </c>
      <c r="D63" s="11" t="s">
        <v>42</v>
      </c>
      <c r="E63" s="11" t="s">
        <v>31</v>
      </c>
      <c r="F63" s="11" t="s">
        <v>35</v>
      </c>
      <c r="G63" s="12">
        <v>4000</v>
      </c>
      <c r="H63" s="11" t="s">
        <v>46</v>
      </c>
      <c r="I63" s="11" t="s">
        <v>47</v>
      </c>
      <c r="J63" s="13">
        <f>VLOOKUP(C63&amp;I63&amp;E63,Orig_Dest!$A$2:$E$1876,5,FALSE)</f>
        <v>0</v>
      </c>
      <c r="K63" s="14" t="str">
        <f t="shared" si="0"/>
        <v>Dia 43</v>
      </c>
      <c r="L63" s="15" t="str">
        <f>IF(B63="Fornecedor",IF(VLOOKUP(C63,Base_Dados!$E$1:$F$7,2,FALSE)=F63," ","Fornecedor inválido!")," ")</f>
        <v xml:space="preserve"> </v>
      </c>
      <c r="M63" s="16" t="str">
        <f>IF(AND(LEFT(F63,2)="MP",H63&lt;&gt;Base_Dados!$A$1),"Impossível!!!"," ")</f>
        <v xml:space="preserve"> </v>
      </c>
      <c r="N63" s="15" t="str">
        <f>IF(E63="Avião",IF($G63&lt;=VLOOKUP($F63,Base_Dados!$K$1:$O$7,3,FALSE)," ","Limite "&amp;VLOOKUP($F63,Base_Dados!$K$1:$O$11,3,FALSE)&amp;" "&amp;VLOOKUP($F63,Base_Dados!$K$1:$O$11,2,FALSE))," ")</f>
        <v xml:space="preserve"> </v>
      </c>
      <c r="O63" s="15" t="str">
        <f>IF(E63="Caminhão",IF($G63&lt;=VLOOKUP($F63,Base_Dados!$K$1:$O$7,4,FALSE)," ","Limite "&amp;VLOOKUP($F63,Base_Dados!$K$1:$O$11,4,FALSE)&amp;" "&amp;VLOOKUP($F63,Base_Dados!$K$1:$O$11,2,FALSE))," ")</f>
        <v xml:space="preserve"> </v>
      </c>
      <c r="P63" s="15" t="str">
        <f>IF(E63="Navio",IF($G63&lt;=VLOOKUP($F63,Base_Dados!$K$1:$O$7,5,FALSE)," ","Limite "&amp;VLOOKUP($F63,Base_Dados!$K$1:$O$11,5,FALSE)&amp;" "&amp;VLOOKUP($F63,Base_Dados!$K$1:$O$11,2,FALSE))," ")</f>
        <v xml:space="preserve"> </v>
      </c>
      <c r="Q63" s="15" t="str">
        <f t="shared" si="1"/>
        <v/>
      </c>
      <c r="R63" s="1"/>
      <c r="S63" s="1"/>
      <c r="T63" s="1"/>
      <c r="U63" s="1"/>
      <c r="V63" s="1"/>
      <c r="W63" s="1"/>
      <c r="X63" s="1"/>
      <c r="Y63" s="1"/>
      <c r="Z63" s="1"/>
    </row>
    <row r="64" spans="1:26" ht="24" customHeight="1" x14ac:dyDescent="0.3">
      <c r="A64" s="10" t="s">
        <v>21</v>
      </c>
      <c r="B64" s="10" t="s">
        <v>27</v>
      </c>
      <c r="C64" s="11" t="s">
        <v>28</v>
      </c>
      <c r="D64" s="11" t="s">
        <v>42</v>
      </c>
      <c r="E64" s="11" t="s">
        <v>31</v>
      </c>
      <c r="F64" s="11" t="s">
        <v>35</v>
      </c>
      <c r="G64" s="12">
        <v>4000</v>
      </c>
      <c r="H64" s="11" t="s">
        <v>46</v>
      </c>
      <c r="I64" s="11" t="s">
        <v>47</v>
      </c>
      <c r="J64" s="13">
        <f>VLOOKUP(C64&amp;I64&amp;E64,Orig_Dest!$A$2:$E$1876,5,FALSE)</f>
        <v>0</v>
      </c>
      <c r="K64" s="14" t="str">
        <f t="shared" si="0"/>
        <v>Dia 43</v>
      </c>
      <c r="L64" s="15" t="str">
        <f>IF(B64="Fornecedor",IF(VLOOKUP(C64,Base_Dados!$E$1:$F$7,2,FALSE)=F64," ","Fornecedor inválido!")," ")</f>
        <v xml:space="preserve"> </v>
      </c>
      <c r="M64" s="16" t="str">
        <f>IF(AND(LEFT(F64,2)="MP",H64&lt;&gt;Base_Dados!$A$1),"Impossível!!!"," ")</f>
        <v xml:space="preserve"> </v>
      </c>
      <c r="N64" s="15" t="str">
        <f>IF(E64="Avião",IF($G64&lt;=VLOOKUP($F64,Base_Dados!$K$1:$O$7,3,FALSE)," ","Limite "&amp;VLOOKUP($F64,Base_Dados!$K$1:$O$11,3,FALSE)&amp;" "&amp;VLOOKUP($F64,Base_Dados!$K$1:$O$11,2,FALSE))," ")</f>
        <v xml:space="preserve"> </v>
      </c>
      <c r="O64" s="15" t="str">
        <f>IF(E64="Caminhão",IF($G64&lt;=VLOOKUP($F64,Base_Dados!$K$1:$O$7,4,FALSE)," ","Limite "&amp;VLOOKUP($F64,Base_Dados!$K$1:$O$11,4,FALSE)&amp;" "&amp;VLOOKUP($F64,Base_Dados!$K$1:$O$11,2,FALSE))," ")</f>
        <v xml:space="preserve"> </v>
      </c>
      <c r="P64" s="15" t="str">
        <f>IF(E64="Navio",IF($G64&lt;=VLOOKUP($F64,Base_Dados!$K$1:$O$7,5,FALSE)," ","Limite "&amp;VLOOKUP($F64,Base_Dados!$K$1:$O$11,5,FALSE)&amp;" "&amp;VLOOKUP($F64,Base_Dados!$K$1:$O$11,2,FALSE))," ")</f>
        <v xml:space="preserve"> </v>
      </c>
      <c r="Q64" s="15" t="str">
        <f t="shared" si="1"/>
        <v/>
      </c>
      <c r="R64" s="1"/>
      <c r="S64" s="1"/>
      <c r="T64" s="1"/>
      <c r="U64" s="1"/>
      <c r="V64" s="1"/>
      <c r="W64" s="1"/>
      <c r="X64" s="1"/>
      <c r="Y64" s="1"/>
      <c r="Z64" s="1"/>
    </row>
    <row r="65" spans="1:26" ht="24" customHeight="1" x14ac:dyDescent="0.3">
      <c r="A65" s="10" t="s">
        <v>21</v>
      </c>
      <c r="B65" s="10" t="s">
        <v>27</v>
      </c>
      <c r="C65" s="11" t="s">
        <v>28</v>
      </c>
      <c r="D65" s="11" t="s">
        <v>42</v>
      </c>
      <c r="E65" s="11" t="s">
        <v>31</v>
      </c>
      <c r="F65" s="11" t="s">
        <v>35</v>
      </c>
      <c r="G65" s="12">
        <v>4000</v>
      </c>
      <c r="H65" s="11" t="s">
        <v>46</v>
      </c>
      <c r="I65" s="11" t="s">
        <v>47</v>
      </c>
      <c r="J65" s="13">
        <f>VLOOKUP(C65&amp;I65&amp;E65,Orig_Dest!$A$2:$E$1876,5,FALSE)</f>
        <v>0</v>
      </c>
      <c r="K65" s="14" t="str">
        <f t="shared" si="0"/>
        <v>Dia 43</v>
      </c>
      <c r="L65" s="15" t="str">
        <f>IF(B65="Fornecedor",IF(VLOOKUP(C65,Base_Dados!$E$1:$F$7,2,FALSE)=F65," ","Fornecedor inválido!")," ")</f>
        <v xml:space="preserve"> </v>
      </c>
      <c r="M65" s="16" t="str">
        <f>IF(AND(LEFT(F65,2)="MP",H65&lt;&gt;Base_Dados!$A$1),"Impossível!!!"," ")</f>
        <v xml:space="preserve"> </v>
      </c>
      <c r="N65" s="15" t="str">
        <f>IF(E65="Avião",IF($G65&lt;=VLOOKUP($F65,Base_Dados!$K$1:$O$7,3,FALSE)," ","Limite "&amp;VLOOKUP($F65,Base_Dados!$K$1:$O$11,3,FALSE)&amp;" "&amp;VLOOKUP($F65,Base_Dados!$K$1:$O$11,2,FALSE))," ")</f>
        <v xml:space="preserve"> </v>
      </c>
      <c r="O65" s="15" t="str">
        <f>IF(E65="Caminhão",IF($G65&lt;=VLOOKUP($F65,Base_Dados!$K$1:$O$7,4,FALSE)," ","Limite "&amp;VLOOKUP($F65,Base_Dados!$K$1:$O$11,4,FALSE)&amp;" "&amp;VLOOKUP($F65,Base_Dados!$K$1:$O$11,2,FALSE))," ")</f>
        <v xml:space="preserve"> </v>
      </c>
      <c r="P65" s="15" t="str">
        <f>IF(E65="Navio",IF($G65&lt;=VLOOKUP($F65,Base_Dados!$K$1:$O$7,5,FALSE)," ","Limite "&amp;VLOOKUP($F65,Base_Dados!$K$1:$O$11,5,FALSE)&amp;" "&amp;VLOOKUP($F65,Base_Dados!$K$1:$O$11,2,FALSE))," ")</f>
        <v xml:space="preserve"> </v>
      </c>
      <c r="Q65" s="15" t="str">
        <f t="shared" si="1"/>
        <v/>
      </c>
      <c r="R65" s="1"/>
      <c r="S65" s="1"/>
      <c r="T65" s="1"/>
      <c r="U65" s="1"/>
      <c r="V65" s="1"/>
      <c r="W65" s="1"/>
      <c r="X65" s="1"/>
      <c r="Y65" s="1"/>
      <c r="Z65" s="1"/>
    </row>
    <row r="66" spans="1:26" ht="24" customHeight="1" x14ac:dyDescent="0.3">
      <c r="A66" s="10" t="s">
        <v>21</v>
      </c>
      <c r="B66" s="10" t="s">
        <v>27</v>
      </c>
      <c r="C66" s="11" t="s">
        <v>28</v>
      </c>
      <c r="D66" s="11" t="s">
        <v>42</v>
      </c>
      <c r="E66" s="11" t="s">
        <v>31</v>
      </c>
      <c r="F66" s="11" t="s">
        <v>35</v>
      </c>
      <c r="G66" s="12">
        <v>4000</v>
      </c>
      <c r="H66" s="11" t="s">
        <v>46</v>
      </c>
      <c r="I66" s="11" t="s">
        <v>47</v>
      </c>
      <c r="J66" s="13">
        <f>VLOOKUP(C66&amp;I66&amp;E66,Orig_Dest!$A$2:$E$1876,5,FALSE)</f>
        <v>0</v>
      </c>
      <c r="K66" s="14" t="str">
        <f t="shared" si="0"/>
        <v>Dia 43</v>
      </c>
      <c r="L66" s="15" t="str">
        <f>IF(B66="Fornecedor",IF(VLOOKUP(C66,Base_Dados!$E$1:$F$7,2,FALSE)=F66," ","Fornecedor inválido!")," ")</f>
        <v xml:space="preserve"> </v>
      </c>
      <c r="M66" s="16" t="str">
        <f>IF(AND(LEFT(F66,2)="MP",H66&lt;&gt;Base_Dados!$A$1),"Impossível!!!"," ")</f>
        <v xml:space="preserve"> </v>
      </c>
      <c r="N66" s="15" t="str">
        <f>IF(E66="Avião",IF($G66&lt;=VLOOKUP($F66,Base_Dados!$K$1:$O$7,3,FALSE)," ","Limite "&amp;VLOOKUP($F66,Base_Dados!$K$1:$O$11,3,FALSE)&amp;" "&amp;VLOOKUP($F66,Base_Dados!$K$1:$O$11,2,FALSE))," ")</f>
        <v xml:space="preserve"> </v>
      </c>
      <c r="O66" s="15" t="str">
        <f>IF(E66="Caminhão",IF($G66&lt;=VLOOKUP($F66,Base_Dados!$K$1:$O$7,4,FALSE)," ","Limite "&amp;VLOOKUP($F66,Base_Dados!$K$1:$O$11,4,FALSE)&amp;" "&amp;VLOOKUP($F66,Base_Dados!$K$1:$O$11,2,FALSE))," ")</f>
        <v xml:space="preserve"> </v>
      </c>
      <c r="P66" s="15" t="str">
        <f>IF(E66="Navio",IF($G66&lt;=VLOOKUP($F66,Base_Dados!$K$1:$O$7,5,FALSE)," ","Limite "&amp;VLOOKUP($F66,Base_Dados!$K$1:$O$11,5,FALSE)&amp;" "&amp;VLOOKUP($F66,Base_Dados!$K$1:$O$11,2,FALSE))," ")</f>
        <v xml:space="preserve"> </v>
      </c>
      <c r="Q66" s="15" t="str">
        <f t="shared" si="1"/>
        <v/>
      </c>
      <c r="R66" s="1"/>
      <c r="S66" s="1"/>
      <c r="T66" s="1"/>
      <c r="U66" s="1"/>
      <c r="V66" s="1"/>
      <c r="W66" s="1"/>
      <c r="X66" s="1"/>
      <c r="Y66" s="1"/>
      <c r="Z66" s="1"/>
    </row>
    <row r="67" spans="1:26" ht="24" customHeight="1" x14ac:dyDescent="0.3">
      <c r="A67" s="10" t="s">
        <v>21</v>
      </c>
      <c r="B67" s="10" t="s">
        <v>27</v>
      </c>
      <c r="C67" s="11" t="s">
        <v>28</v>
      </c>
      <c r="D67" s="11" t="s">
        <v>42</v>
      </c>
      <c r="E67" s="11" t="s">
        <v>31</v>
      </c>
      <c r="F67" s="11" t="s">
        <v>35</v>
      </c>
      <c r="G67" s="12">
        <v>4000</v>
      </c>
      <c r="H67" s="11" t="s">
        <v>46</v>
      </c>
      <c r="I67" s="11" t="s">
        <v>47</v>
      </c>
      <c r="J67" s="13">
        <f>VLOOKUP(C67&amp;I67&amp;E67,Orig_Dest!$A$2:$E$1876,5,FALSE)</f>
        <v>0</v>
      </c>
      <c r="K67" s="14" t="str">
        <f t="shared" si="0"/>
        <v>Dia 43</v>
      </c>
      <c r="L67" s="15" t="str">
        <f>IF(B67="Fornecedor",IF(VLOOKUP(C67,Base_Dados!$E$1:$F$7,2,FALSE)=F67," ","Fornecedor inválido!")," ")</f>
        <v xml:space="preserve"> </v>
      </c>
      <c r="M67" s="16" t="str">
        <f>IF(AND(LEFT(F67,2)="MP",H67&lt;&gt;Base_Dados!$A$1),"Impossível!!!"," ")</f>
        <v xml:space="preserve"> </v>
      </c>
      <c r="N67" s="15" t="str">
        <f>IF(E67="Avião",IF($G67&lt;=VLOOKUP($F67,Base_Dados!$K$1:$O$7,3,FALSE)," ","Limite "&amp;VLOOKUP($F67,Base_Dados!$K$1:$O$11,3,FALSE)&amp;" "&amp;VLOOKUP($F67,Base_Dados!$K$1:$O$11,2,FALSE))," ")</f>
        <v xml:space="preserve"> </v>
      </c>
      <c r="O67" s="15" t="str">
        <f>IF(E67="Caminhão",IF($G67&lt;=VLOOKUP($F67,Base_Dados!$K$1:$O$7,4,FALSE)," ","Limite "&amp;VLOOKUP($F67,Base_Dados!$K$1:$O$11,4,FALSE)&amp;" "&amp;VLOOKUP($F67,Base_Dados!$K$1:$O$11,2,FALSE))," ")</f>
        <v xml:space="preserve"> </v>
      </c>
      <c r="P67" s="15" t="str">
        <f>IF(E67="Navio",IF($G67&lt;=VLOOKUP($F67,Base_Dados!$K$1:$O$7,5,FALSE)," ","Limite "&amp;VLOOKUP($F67,Base_Dados!$K$1:$O$11,5,FALSE)&amp;" "&amp;VLOOKUP($F67,Base_Dados!$K$1:$O$11,2,FALSE))," ")</f>
        <v xml:space="preserve"> </v>
      </c>
      <c r="Q67" s="15" t="str">
        <f t="shared" si="1"/>
        <v/>
      </c>
      <c r="R67" s="1"/>
      <c r="S67" s="1"/>
      <c r="T67" s="1"/>
      <c r="U67" s="1"/>
      <c r="V67" s="1"/>
      <c r="W67" s="1"/>
      <c r="X67" s="1"/>
      <c r="Y67" s="1"/>
      <c r="Z67" s="1"/>
    </row>
    <row r="68" spans="1:26" ht="24" customHeight="1" x14ac:dyDescent="0.3">
      <c r="A68" s="10" t="s">
        <v>21</v>
      </c>
      <c r="B68" s="10" t="s">
        <v>27</v>
      </c>
      <c r="C68" s="11" t="s">
        <v>28</v>
      </c>
      <c r="D68" s="11" t="s">
        <v>42</v>
      </c>
      <c r="E68" s="11" t="s">
        <v>31</v>
      </c>
      <c r="F68" s="11" t="s">
        <v>35</v>
      </c>
      <c r="G68" s="12">
        <v>4000</v>
      </c>
      <c r="H68" s="11" t="s">
        <v>46</v>
      </c>
      <c r="I68" s="11" t="s">
        <v>47</v>
      </c>
      <c r="J68" s="13">
        <f>VLOOKUP(C68&amp;I68&amp;E68,Orig_Dest!$A$2:$E$1876,5,FALSE)</f>
        <v>0</v>
      </c>
      <c r="K68" s="14" t="str">
        <f t="shared" si="0"/>
        <v>Dia 43</v>
      </c>
      <c r="L68" s="15" t="str">
        <f>IF(B68="Fornecedor",IF(VLOOKUP(C68,Base_Dados!$E$1:$F$7,2,FALSE)=F68," ","Fornecedor inválido!")," ")</f>
        <v xml:space="preserve"> </v>
      </c>
      <c r="M68" s="16" t="str">
        <f>IF(AND(LEFT(F68,2)="MP",H68&lt;&gt;Base_Dados!$A$1),"Impossível!!!"," ")</f>
        <v xml:space="preserve"> </v>
      </c>
      <c r="N68" s="15" t="str">
        <f>IF(E68="Avião",IF($G68&lt;=VLOOKUP($F68,Base_Dados!$K$1:$O$7,3,FALSE)," ","Limite "&amp;VLOOKUP($F68,Base_Dados!$K$1:$O$11,3,FALSE)&amp;" "&amp;VLOOKUP($F68,Base_Dados!$K$1:$O$11,2,FALSE))," ")</f>
        <v xml:space="preserve"> </v>
      </c>
      <c r="O68" s="15" t="str">
        <f>IF(E68="Caminhão",IF($G68&lt;=VLOOKUP($F68,Base_Dados!$K$1:$O$7,4,FALSE)," ","Limite "&amp;VLOOKUP($F68,Base_Dados!$K$1:$O$11,4,FALSE)&amp;" "&amp;VLOOKUP($F68,Base_Dados!$K$1:$O$11,2,FALSE))," ")</f>
        <v xml:space="preserve"> </v>
      </c>
      <c r="P68" s="15" t="str">
        <f>IF(E68="Navio",IF($G68&lt;=VLOOKUP($F68,Base_Dados!$K$1:$O$7,5,FALSE)," ","Limite "&amp;VLOOKUP($F68,Base_Dados!$K$1:$O$11,5,FALSE)&amp;" "&amp;VLOOKUP($F68,Base_Dados!$K$1:$O$11,2,FALSE))," ")</f>
        <v xml:space="preserve"> </v>
      </c>
      <c r="Q68" s="15" t="str">
        <f t="shared" si="1"/>
        <v/>
      </c>
      <c r="R68" s="1"/>
      <c r="S68" s="1"/>
      <c r="T68" s="1"/>
      <c r="U68" s="1"/>
      <c r="V68" s="1"/>
      <c r="W68" s="1"/>
      <c r="X68" s="1"/>
      <c r="Y68" s="1"/>
      <c r="Z68" s="1"/>
    </row>
    <row r="69" spans="1:26" ht="24" customHeight="1" x14ac:dyDescent="0.3">
      <c r="A69" s="10" t="s">
        <v>21</v>
      </c>
      <c r="B69" s="10" t="s">
        <v>27</v>
      </c>
      <c r="C69" s="11" t="s">
        <v>28</v>
      </c>
      <c r="D69" s="11" t="s">
        <v>42</v>
      </c>
      <c r="E69" s="11" t="s">
        <v>31</v>
      </c>
      <c r="F69" s="11" t="s">
        <v>35</v>
      </c>
      <c r="G69" s="12">
        <v>4000</v>
      </c>
      <c r="H69" s="11" t="s">
        <v>46</v>
      </c>
      <c r="I69" s="11" t="s">
        <v>47</v>
      </c>
      <c r="J69" s="13">
        <f>VLOOKUP(C69&amp;I69&amp;E69,Orig_Dest!$A$2:$E$1876,5,FALSE)</f>
        <v>0</v>
      </c>
      <c r="K69" s="14" t="str">
        <f t="shared" si="0"/>
        <v>Dia 43</v>
      </c>
      <c r="L69" s="15" t="str">
        <f>IF(B69="Fornecedor",IF(VLOOKUP(C69,Base_Dados!$E$1:$F$7,2,FALSE)=F69," ","Fornecedor inválido!")," ")</f>
        <v xml:space="preserve"> </v>
      </c>
      <c r="M69" s="16" t="str">
        <f>IF(AND(LEFT(F69,2)="MP",H69&lt;&gt;Base_Dados!$A$1),"Impossível!!!"," ")</f>
        <v xml:space="preserve"> </v>
      </c>
      <c r="N69" s="15" t="str">
        <f>IF(E69="Avião",IF($G69&lt;=VLOOKUP($F69,Base_Dados!$K$1:$O$7,3,FALSE)," ","Limite "&amp;VLOOKUP($F69,Base_Dados!$K$1:$O$11,3,FALSE)&amp;" "&amp;VLOOKUP($F69,Base_Dados!$K$1:$O$11,2,FALSE))," ")</f>
        <v xml:space="preserve"> </v>
      </c>
      <c r="O69" s="15" t="str">
        <f>IF(E69="Caminhão",IF($G69&lt;=VLOOKUP($F69,Base_Dados!$K$1:$O$7,4,FALSE)," ","Limite "&amp;VLOOKUP($F69,Base_Dados!$K$1:$O$11,4,FALSE)&amp;" "&amp;VLOOKUP($F69,Base_Dados!$K$1:$O$11,2,FALSE))," ")</f>
        <v xml:space="preserve"> </v>
      </c>
      <c r="P69" s="15" t="str">
        <f>IF(E69="Navio",IF($G69&lt;=VLOOKUP($F69,Base_Dados!$K$1:$O$7,5,FALSE)," ","Limite "&amp;VLOOKUP($F69,Base_Dados!$K$1:$O$11,5,FALSE)&amp;" "&amp;VLOOKUP($F69,Base_Dados!$K$1:$O$11,2,FALSE))," ")</f>
        <v xml:space="preserve"> </v>
      </c>
      <c r="Q69" s="15" t="str">
        <f t="shared" si="1"/>
        <v/>
      </c>
      <c r="R69" s="1"/>
      <c r="S69" s="1"/>
      <c r="T69" s="1"/>
      <c r="U69" s="1"/>
      <c r="V69" s="1"/>
      <c r="W69" s="1"/>
      <c r="X69" s="1"/>
      <c r="Y69" s="1"/>
      <c r="Z69" s="1"/>
    </row>
    <row r="70" spans="1:26" ht="24" customHeight="1" x14ac:dyDescent="0.3">
      <c r="A70" s="10" t="s">
        <v>21</v>
      </c>
      <c r="B70" s="10" t="s">
        <v>27</v>
      </c>
      <c r="C70" s="11" t="s">
        <v>28</v>
      </c>
      <c r="D70" s="11" t="s">
        <v>42</v>
      </c>
      <c r="E70" s="11" t="s">
        <v>31</v>
      </c>
      <c r="F70" s="11" t="s">
        <v>35</v>
      </c>
      <c r="G70" s="12">
        <v>4000</v>
      </c>
      <c r="H70" s="11" t="s">
        <v>46</v>
      </c>
      <c r="I70" s="11" t="s">
        <v>47</v>
      </c>
      <c r="J70" s="13">
        <f>VLOOKUP(C70&amp;I70&amp;E70,Orig_Dest!$A$2:$E$1876,5,FALSE)</f>
        <v>0</v>
      </c>
      <c r="K70" s="14" t="str">
        <f t="shared" si="0"/>
        <v>Dia 43</v>
      </c>
      <c r="L70" s="15" t="str">
        <f>IF(B70="Fornecedor",IF(VLOOKUP(C70,Base_Dados!$E$1:$F$7,2,FALSE)=F70," ","Fornecedor inválido!")," ")</f>
        <v xml:space="preserve"> </v>
      </c>
      <c r="M70" s="16" t="str">
        <f>IF(AND(LEFT(F70,2)="MP",H70&lt;&gt;Base_Dados!$A$1),"Impossível!!!"," ")</f>
        <v xml:space="preserve"> </v>
      </c>
      <c r="N70" s="15" t="str">
        <f>IF(E70="Avião",IF($G70&lt;=VLOOKUP($F70,Base_Dados!$K$1:$O$7,3,FALSE)," ","Limite "&amp;VLOOKUP($F70,Base_Dados!$K$1:$O$11,3,FALSE)&amp;" "&amp;VLOOKUP($F70,Base_Dados!$K$1:$O$11,2,FALSE))," ")</f>
        <v xml:space="preserve"> </v>
      </c>
      <c r="O70" s="15" t="str">
        <f>IF(E70="Caminhão",IF($G70&lt;=VLOOKUP($F70,Base_Dados!$K$1:$O$7,4,FALSE)," ","Limite "&amp;VLOOKUP($F70,Base_Dados!$K$1:$O$11,4,FALSE)&amp;" "&amp;VLOOKUP($F70,Base_Dados!$K$1:$O$11,2,FALSE))," ")</f>
        <v xml:space="preserve"> </v>
      </c>
      <c r="P70" s="15" t="str">
        <f>IF(E70="Navio",IF($G70&lt;=VLOOKUP($F70,Base_Dados!$K$1:$O$7,5,FALSE)," ","Limite "&amp;VLOOKUP($F70,Base_Dados!$K$1:$O$11,5,FALSE)&amp;" "&amp;VLOOKUP($F70,Base_Dados!$K$1:$O$11,2,FALSE))," ")</f>
        <v xml:space="preserve"> </v>
      </c>
      <c r="Q70" s="15" t="str">
        <f t="shared" si="1"/>
        <v/>
      </c>
      <c r="R70" s="1"/>
      <c r="S70" s="1"/>
      <c r="T70" s="1"/>
      <c r="U70" s="1"/>
      <c r="V70" s="1"/>
      <c r="W70" s="1"/>
      <c r="X70" s="1"/>
      <c r="Y70" s="1"/>
      <c r="Z70" s="1"/>
    </row>
    <row r="71" spans="1:26" ht="24" customHeight="1" x14ac:dyDescent="0.3">
      <c r="A71" s="10" t="s">
        <v>21</v>
      </c>
      <c r="B71" s="10" t="s">
        <v>27</v>
      </c>
      <c r="C71" s="11" t="s">
        <v>28</v>
      </c>
      <c r="D71" s="11" t="s">
        <v>42</v>
      </c>
      <c r="E71" s="11" t="s">
        <v>31</v>
      </c>
      <c r="F71" s="11" t="s">
        <v>35</v>
      </c>
      <c r="G71" s="12">
        <v>4000</v>
      </c>
      <c r="H71" s="11" t="s">
        <v>46</v>
      </c>
      <c r="I71" s="11" t="s">
        <v>47</v>
      </c>
      <c r="J71" s="13">
        <f>VLOOKUP(C71&amp;I71&amp;E71,Orig_Dest!$A$2:$E$1876,5,FALSE)</f>
        <v>0</v>
      </c>
      <c r="K71" s="14" t="str">
        <f t="shared" si="0"/>
        <v>Dia 43</v>
      </c>
      <c r="L71" s="15" t="str">
        <f>IF(B71="Fornecedor",IF(VLOOKUP(C71,Base_Dados!$E$1:$F$7,2,FALSE)=F71," ","Fornecedor inválido!")," ")</f>
        <v xml:space="preserve"> </v>
      </c>
      <c r="M71" s="16" t="str">
        <f>IF(AND(LEFT(F71,2)="MP",H71&lt;&gt;Base_Dados!$A$1),"Impossível!!!"," ")</f>
        <v xml:space="preserve"> </v>
      </c>
      <c r="N71" s="15" t="str">
        <f>IF(E71="Avião",IF($G71&lt;=VLOOKUP($F71,Base_Dados!$K$1:$O$7,3,FALSE)," ","Limite "&amp;VLOOKUP($F71,Base_Dados!$K$1:$O$11,3,FALSE)&amp;" "&amp;VLOOKUP($F71,Base_Dados!$K$1:$O$11,2,FALSE))," ")</f>
        <v xml:space="preserve"> </v>
      </c>
      <c r="O71" s="15" t="str">
        <f>IF(E71="Caminhão",IF($G71&lt;=VLOOKUP($F71,Base_Dados!$K$1:$O$7,4,FALSE)," ","Limite "&amp;VLOOKUP($F71,Base_Dados!$K$1:$O$11,4,FALSE)&amp;" "&amp;VLOOKUP($F71,Base_Dados!$K$1:$O$11,2,FALSE))," ")</f>
        <v xml:space="preserve"> </v>
      </c>
      <c r="P71" s="15" t="str">
        <f>IF(E71="Navio",IF($G71&lt;=VLOOKUP($F71,Base_Dados!$K$1:$O$7,5,FALSE)," ","Limite "&amp;VLOOKUP($F71,Base_Dados!$K$1:$O$11,5,FALSE)&amp;" "&amp;VLOOKUP($F71,Base_Dados!$K$1:$O$11,2,FALSE))," ")</f>
        <v xml:space="preserve"> </v>
      </c>
      <c r="Q71" s="15" t="str">
        <f t="shared" si="1"/>
        <v/>
      </c>
      <c r="R71" s="1"/>
      <c r="S71" s="1"/>
      <c r="T71" s="1"/>
      <c r="U71" s="1"/>
      <c r="V71" s="1"/>
      <c r="W71" s="1"/>
      <c r="X71" s="1"/>
      <c r="Y71" s="1"/>
      <c r="Z71" s="1"/>
    </row>
    <row r="72" spans="1:26" ht="24" customHeight="1" x14ac:dyDescent="0.3">
      <c r="A72" s="10" t="s">
        <v>21</v>
      </c>
      <c r="B72" s="10" t="s">
        <v>27</v>
      </c>
      <c r="C72" s="11" t="s">
        <v>28</v>
      </c>
      <c r="D72" s="11" t="s">
        <v>42</v>
      </c>
      <c r="E72" s="11" t="s">
        <v>31</v>
      </c>
      <c r="F72" s="11" t="s">
        <v>35</v>
      </c>
      <c r="G72" s="12">
        <v>4000</v>
      </c>
      <c r="H72" s="11" t="s">
        <v>46</v>
      </c>
      <c r="I72" s="11" t="s">
        <v>47</v>
      </c>
      <c r="J72" s="13">
        <f>VLOOKUP(C72&amp;I72&amp;E72,Orig_Dest!$A$2:$E$1876,5,FALSE)</f>
        <v>0</v>
      </c>
      <c r="K72" s="14" t="str">
        <f t="shared" si="0"/>
        <v>Dia 43</v>
      </c>
      <c r="L72" s="15" t="str">
        <f>IF(B72="Fornecedor",IF(VLOOKUP(C72,Base_Dados!$E$1:$F$7,2,FALSE)=F72," ","Fornecedor inválido!")," ")</f>
        <v xml:space="preserve"> </v>
      </c>
      <c r="M72" s="16" t="str">
        <f>IF(AND(LEFT(F72,2)="MP",H72&lt;&gt;Base_Dados!$A$1),"Impossível!!!"," ")</f>
        <v xml:space="preserve"> </v>
      </c>
      <c r="N72" s="15" t="str">
        <f>IF(E72="Avião",IF($G72&lt;=VLOOKUP($F72,Base_Dados!$K$1:$O$7,3,FALSE)," ","Limite "&amp;VLOOKUP($F72,Base_Dados!$K$1:$O$11,3,FALSE)&amp;" "&amp;VLOOKUP($F72,Base_Dados!$K$1:$O$11,2,FALSE))," ")</f>
        <v xml:space="preserve"> </v>
      </c>
      <c r="O72" s="15" t="str">
        <f>IF(E72="Caminhão",IF($G72&lt;=VLOOKUP($F72,Base_Dados!$K$1:$O$7,4,FALSE)," ","Limite "&amp;VLOOKUP($F72,Base_Dados!$K$1:$O$11,4,FALSE)&amp;" "&amp;VLOOKUP($F72,Base_Dados!$K$1:$O$11,2,FALSE))," ")</f>
        <v xml:space="preserve"> </v>
      </c>
      <c r="P72" s="15" t="str">
        <f>IF(E72="Navio",IF($G72&lt;=VLOOKUP($F72,Base_Dados!$K$1:$O$7,5,FALSE)," ","Limite "&amp;VLOOKUP($F72,Base_Dados!$K$1:$O$11,5,FALSE)&amp;" "&amp;VLOOKUP($F72,Base_Dados!$K$1:$O$11,2,FALSE))," ")</f>
        <v xml:space="preserve"> </v>
      </c>
      <c r="Q72" s="15" t="str">
        <f t="shared" si="1"/>
        <v/>
      </c>
      <c r="R72" s="1"/>
      <c r="S72" s="23"/>
      <c r="T72" s="1"/>
      <c r="U72" s="1"/>
      <c r="V72" s="1"/>
      <c r="W72" s="1"/>
      <c r="X72" s="1"/>
      <c r="Y72" s="1"/>
      <c r="Z72" s="1"/>
    </row>
    <row r="73" spans="1:26" ht="24" customHeight="1" x14ac:dyDescent="0.3">
      <c r="A73" s="10" t="s">
        <v>21</v>
      </c>
      <c r="B73" s="10" t="s">
        <v>27</v>
      </c>
      <c r="C73" s="11" t="s">
        <v>28</v>
      </c>
      <c r="D73" s="11" t="s">
        <v>42</v>
      </c>
      <c r="E73" s="11" t="s">
        <v>31</v>
      </c>
      <c r="F73" s="11" t="s">
        <v>35</v>
      </c>
      <c r="G73" s="12">
        <v>4000</v>
      </c>
      <c r="H73" s="11" t="s">
        <v>46</v>
      </c>
      <c r="I73" s="11" t="s">
        <v>47</v>
      </c>
      <c r="J73" s="13">
        <f>VLOOKUP(C73&amp;I73&amp;E73,Orig_Dest!$A$2:$E$1876,5,FALSE)</f>
        <v>0</v>
      </c>
      <c r="K73" s="14" t="str">
        <f t="shared" si="0"/>
        <v>Dia 43</v>
      </c>
      <c r="L73" s="15" t="str">
        <f>IF(B73="Fornecedor",IF(VLOOKUP(C73,Base_Dados!$E$1:$F$7,2,FALSE)=F73," ","Fornecedor inválido!")," ")</f>
        <v xml:space="preserve"> </v>
      </c>
      <c r="M73" s="16" t="str">
        <f>IF(AND(LEFT(F73,2)="MP",H73&lt;&gt;Base_Dados!$A$1),"Impossível!!!"," ")</f>
        <v xml:space="preserve"> </v>
      </c>
      <c r="N73" s="15" t="str">
        <f>IF(E73="Avião",IF($G73&lt;=VLOOKUP($F73,Base_Dados!$K$1:$O$7,3,FALSE)," ","Limite "&amp;VLOOKUP($F73,Base_Dados!$K$1:$O$11,3,FALSE)&amp;" "&amp;VLOOKUP($F73,Base_Dados!$K$1:$O$11,2,FALSE))," ")</f>
        <v xml:space="preserve"> </v>
      </c>
      <c r="O73" s="15" t="str">
        <f>IF(E73="Caminhão",IF($G73&lt;=VLOOKUP($F73,Base_Dados!$K$1:$O$7,4,FALSE)," ","Limite "&amp;VLOOKUP($F73,Base_Dados!$K$1:$O$11,4,FALSE)&amp;" "&amp;VLOOKUP($F73,Base_Dados!$K$1:$O$11,2,FALSE))," ")</f>
        <v xml:space="preserve"> </v>
      </c>
      <c r="P73" s="15" t="str">
        <f>IF(E73="Navio",IF($G73&lt;=VLOOKUP($F73,Base_Dados!$K$1:$O$7,5,FALSE)," ","Limite "&amp;VLOOKUP($F73,Base_Dados!$K$1:$O$11,5,FALSE)&amp;" "&amp;VLOOKUP($F73,Base_Dados!$K$1:$O$11,2,FALSE))," ")</f>
        <v xml:space="preserve"> </v>
      </c>
      <c r="Q73" s="15" t="str">
        <f t="shared" si="1"/>
        <v/>
      </c>
      <c r="R73" s="1"/>
      <c r="S73" s="23"/>
      <c r="T73" s="1"/>
      <c r="U73" s="1"/>
      <c r="V73" s="1"/>
      <c r="W73" s="1"/>
      <c r="X73" s="1"/>
      <c r="Y73" s="1"/>
      <c r="Z73" s="1"/>
    </row>
    <row r="74" spans="1:26" ht="24" customHeight="1" x14ac:dyDescent="0.3">
      <c r="A74" s="10" t="s">
        <v>21</v>
      </c>
      <c r="B74" s="10" t="s">
        <v>27</v>
      </c>
      <c r="C74" s="11" t="s">
        <v>28</v>
      </c>
      <c r="D74" s="11" t="s">
        <v>42</v>
      </c>
      <c r="E74" s="11" t="s">
        <v>31</v>
      </c>
      <c r="F74" s="11" t="s">
        <v>35</v>
      </c>
      <c r="G74" s="12">
        <v>4000</v>
      </c>
      <c r="H74" s="11" t="s">
        <v>46</v>
      </c>
      <c r="I74" s="11" t="s">
        <v>47</v>
      </c>
      <c r="J74" s="13">
        <f>VLOOKUP(C74&amp;I74&amp;E74,Orig_Dest!$A$2:$E$1876,5,FALSE)</f>
        <v>0</v>
      </c>
      <c r="K74" s="14" t="str">
        <f t="shared" si="0"/>
        <v>Dia 43</v>
      </c>
      <c r="L74" s="15" t="str">
        <f>IF(B74="Fornecedor",IF(VLOOKUP(C74,Base_Dados!$E$1:$F$7,2,FALSE)=F74," ","Fornecedor inválido!")," ")</f>
        <v xml:space="preserve"> </v>
      </c>
      <c r="M74" s="16" t="str">
        <f>IF(AND(LEFT(F74,2)="MP",H74&lt;&gt;Base_Dados!$A$1),"Impossível!!!"," ")</f>
        <v xml:space="preserve"> </v>
      </c>
      <c r="N74" s="15" t="str">
        <f>IF(E74="Avião",IF($G74&lt;=VLOOKUP($F74,Base_Dados!$K$1:$O$7,3,FALSE)," ","Limite "&amp;VLOOKUP($F74,Base_Dados!$K$1:$O$11,3,FALSE)&amp;" "&amp;VLOOKUP($F74,Base_Dados!$K$1:$O$11,2,FALSE))," ")</f>
        <v xml:space="preserve"> </v>
      </c>
      <c r="O74" s="15" t="str">
        <f>IF(E74="Caminhão",IF($G74&lt;=VLOOKUP($F74,Base_Dados!$K$1:$O$7,4,FALSE)," ","Limite "&amp;VLOOKUP($F74,Base_Dados!$K$1:$O$11,4,FALSE)&amp;" "&amp;VLOOKUP($F74,Base_Dados!$K$1:$O$11,2,FALSE))," ")</f>
        <v xml:space="preserve"> </v>
      </c>
      <c r="P74" s="15" t="str">
        <f>IF(E74="Navio",IF($G74&lt;=VLOOKUP($F74,Base_Dados!$K$1:$O$7,5,FALSE)," ","Limite "&amp;VLOOKUP($F74,Base_Dados!$K$1:$O$11,5,FALSE)&amp;" "&amp;VLOOKUP($F74,Base_Dados!$K$1:$O$11,2,FALSE))," ")</f>
        <v xml:space="preserve"> </v>
      </c>
      <c r="Q74" s="15" t="str">
        <f t="shared" si="1"/>
        <v/>
      </c>
      <c r="R74" s="1"/>
      <c r="S74" s="23"/>
      <c r="T74" s="1"/>
      <c r="U74" s="1"/>
      <c r="V74" s="1"/>
      <c r="W74" s="1"/>
      <c r="X74" s="1"/>
      <c r="Y74" s="1"/>
      <c r="Z74" s="1"/>
    </row>
    <row r="75" spans="1:26" ht="24" customHeight="1" x14ac:dyDescent="0.3">
      <c r="A75" s="10" t="s">
        <v>21</v>
      </c>
      <c r="B75" s="10" t="s">
        <v>27</v>
      </c>
      <c r="C75" s="11" t="s">
        <v>28</v>
      </c>
      <c r="D75" s="11" t="s">
        <v>42</v>
      </c>
      <c r="E75" s="11" t="s">
        <v>31</v>
      </c>
      <c r="F75" s="11" t="s">
        <v>35</v>
      </c>
      <c r="G75" s="12">
        <v>4000</v>
      </c>
      <c r="H75" s="11" t="s">
        <v>46</v>
      </c>
      <c r="I75" s="11" t="s">
        <v>47</v>
      </c>
      <c r="J75" s="13">
        <f>VLOOKUP(C75&amp;I75&amp;E75,Orig_Dest!$A$2:$E$1876,5,FALSE)</f>
        <v>0</v>
      </c>
      <c r="K75" s="14" t="str">
        <f t="shared" si="0"/>
        <v>Dia 43</v>
      </c>
      <c r="L75" s="15" t="str">
        <f>IF(B75="Fornecedor",IF(VLOOKUP(C75,Base_Dados!$E$1:$F$7,2,FALSE)=F75," ","Fornecedor inválido!")," ")</f>
        <v xml:space="preserve"> </v>
      </c>
      <c r="M75" s="16" t="str">
        <f>IF(AND(LEFT(F75,2)="MP",H75&lt;&gt;Base_Dados!$A$1),"Impossível!!!"," ")</f>
        <v xml:space="preserve"> </v>
      </c>
      <c r="N75" s="15" t="str">
        <f>IF(E75="Avião",IF($G75&lt;=VLOOKUP($F75,Base_Dados!$K$1:$O$7,3,FALSE)," ","Limite "&amp;VLOOKUP($F75,Base_Dados!$K$1:$O$11,3,FALSE)&amp;" "&amp;VLOOKUP($F75,Base_Dados!$K$1:$O$11,2,FALSE))," ")</f>
        <v xml:space="preserve"> </v>
      </c>
      <c r="O75" s="15" t="str">
        <f>IF(E75="Caminhão",IF($G75&lt;=VLOOKUP($F75,Base_Dados!$K$1:$O$7,4,FALSE)," ","Limite "&amp;VLOOKUP($F75,Base_Dados!$K$1:$O$11,4,FALSE)&amp;" "&amp;VLOOKUP($F75,Base_Dados!$K$1:$O$11,2,FALSE))," ")</f>
        <v xml:space="preserve"> </v>
      </c>
      <c r="P75" s="15" t="str">
        <f>IF(E75="Navio",IF($G75&lt;=VLOOKUP($F75,Base_Dados!$K$1:$O$7,5,FALSE)," ","Limite "&amp;VLOOKUP($F75,Base_Dados!$K$1:$O$11,5,FALSE)&amp;" "&amp;VLOOKUP($F75,Base_Dados!$K$1:$O$11,2,FALSE))," ")</f>
        <v xml:space="preserve"> </v>
      </c>
      <c r="Q75" s="15" t="str">
        <f t="shared" si="1"/>
        <v/>
      </c>
      <c r="R75" s="1"/>
      <c r="S75" s="23"/>
      <c r="T75" s="1"/>
      <c r="U75" s="1"/>
      <c r="V75" s="1"/>
      <c r="W75" s="1"/>
      <c r="X75" s="1"/>
      <c r="Y75" s="1"/>
      <c r="Z75" s="1"/>
    </row>
    <row r="76" spans="1:26" ht="24" customHeight="1" x14ac:dyDescent="0.3">
      <c r="A76" s="10" t="s">
        <v>21</v>
      </c>
      <c r="B76" s="10" t="s">
        <v>27</v>
      </c>
      <c r="C76" s="11" t="s">
        <v>28</v>
      </c>
      <c r="D76" s="11" t="s">
        <v>42</v>
      </c>
      <c r="E76" s="11" t="s">
        <v>31</v>
      </c>
      <c r="F76" s="11" t="s">
        <v>35</v>
      </c>
      <c r="G76" s="12">
        <v>4000</v>
      </c>
      <c r="H76" s="11" t="s">
        <v>46</v>
      </c>
      <c r="I76" s="11" t="s">
        <v>47</v>
      </c>
      <c r="J76" s="13">
        <f>VLOOKUP(C76&amp;I76&amp;E76,Orig_Dest!$A$2:$E$1876,5,FALSE)</f>
        <v>0</v>
      </c>
      <c r="K76" s="14" t="str">
        <f t="shared" si="0"/>
        <v>Dia 43</v>
      </c>
      <c r="L76" s="15" t="str">
        <f>IF(B76="Fornecedor",IF(VLOOKUP(C76,Base_Dados!$E$1:$F$7,2,FALSE)=F76," ","Fornecedor inválido!")," ")</f>
        <v xml:space="preserve"> </v>
      </c>
      <c r="M76" s="16" t="str">
        <f>IF(AND(LEFT(F76,2)="MP",H76&lt;&gt;Base_Dados!$A$1),"Impossível!!!"," ")</f>
        <v xml:space="preserve"> </v>
      </c>
      <c r="N76" s="15" t="str">
        <f>IF(E76="Avião",IF($G76&lt;=VLOOKUP($F76,Base_Dados!$K$1:$O$7,3,FALSE)," ","Limite "&amp;VLOOKUP($F76,Base_Dados!$K$1:$O$11,3,FALSE)&amp;" "&amp;VLOOKUP($F76,Base_Dados!$K$1:$O$11,2,FALSE))," ")</f>
        <v xml:space="preserve"> </v>
      </c>
      <c r="O76" s="15" t="str">
        <f>IF(E76="Caminhão",IF($G76&lt;=VLOOKUP($F76,Base_Dados!$K$1:$O$7,4,FALSE)," ","Limite "&amp;VLOOKUP($F76,Base_Dados!$K$1:$O$11,4,FALSE)&amp;" "&amp;VLOOKUP($F76,Base_Dados!$K$1:$O$11,2,FALSE))," ")</f>
        <v xml:space="preserve"> </v>
      </c>
      <c r="P76" s="15" t="str">
        <f>IF(E76="Navio",IF($G76&lt;=VLOOKUP($F76,Base_Dados!$K$1:$O$7,5,FALSE)," ","Limite "&amp;VLOOKUP($F76,Base_Dados!$K$1:$O$11,5,FALSE)&amp;" "&amp;VLOOKUP($F76,Base_Dados!$K$1:$O$11,2,FALSE))," ")</f>
        <v xml:space="preserve"> </v>
      </c>
      <c r="Q76" s="15" t="str">
        <f t="shared" si="1"/>
        <v/>
      </c>
      <c r="R76" s="1"/>
      <c r="S76" s="23"/>
      <c r="T76" s="1"/>
      <c r="U76" s="1"/>
      <c r="V76" s="1"/>
      <c r="W76" s="1"/>
      <c r="X76" s="1"/>
      <c r="Y76" s="1"/>
      <c r="Z76" s="1"/>
    </row>
    <row r="77" spans="1:26" ht="24" customHeight="1" x14ac:dyDescent="0.3">
      <c r="A77" s="10" t="s">
        <v>21</v>
      </c>
      <c r="B77" s="10" t="s">
        <v>27</v>
      </c>
      <c r="C77" s="11" t="s">
        <v>28</v>
      </c>
      <c r="D77" s="11" t="s">
        <v>42</v>
      </c>
      <c r="E77" s="11" t="s">
        <v>31</v>
      </c>
      <c r="F77" s="11" t="s">
        <v>35</v>
      </c>
      <c r="G77" s="12">
        <v>4000</v>
      </c>
      <c r="H77" s="11" t="s">
        <v>46</v>
      </c>
      <c r="I77" s="11" t="s">
        <v>47</v>
      </c>
      <c r="J77" s="13">
        <f>VLOOKUP(C77&amp;I77&amp;E77,Orig_Dest!$A$2:$E$1876,5,FALSE)</f>
        <v>0</v>
      </c>
      <c r="K77" s="14" t="str">
        <f t="shared" si="0"/>
        <v>Dia 43</v>
      </c>
      <c r="L77" s="15" t="str">
        <f>IF(B77="Fornecedor",IF(VLOOKUP(C77,Base_Dados!$E$1:$F$7,2,FALSE)=F77," ","Fornecedor inválido!")," ")</f>
        <v xml:space="preserve"> </v>
      </c>
      <c r="M77" s="16" t="str">
        <f>IF(AND(LEFT(F77,2)="MP",H77&lt;&gt;Base_Dados!$A$1),"Impossível!!!"," ")</f>
        <v xml:space="preserve"> </v>
      </c>
      <c r="N77" s="15" t="str">
        <f>IF(E77="Avião",IF($G77&lt;=VLOOKUP($F77,Base_Dados!$K$1:$O$7,3,FALSE)," ","Limite "&amp;VLOOKUP($F77,Base_Dados!$K$1:$O$11,3,FALSE)&amp;" "&amp;VLOOKUP($F77,Base_Dados!$K$1:$O$11,2,FALSE))," ")</f>
        <v xml:space="preserve"> </v>
      </c>
      <c r="O77" s="15" t="str">
        <f>IF(E77="Caminhão",IF($G77&lt;=VLOOKUP($F77,Base_Dados!$K$1:$O$7,4,FALSE)," ","Limite "&amp;VLOOKUP($F77,Base_Dados!$K$1:$O$11,4,FALSE)&amp;" "&amp;VLOOKUP($F77,Base_Dados!$K$1:$O$11,2,FALSE))," ")</f>
        <v xml:space="preserve"> </v>
      </c>
      <c r="P77" s="15" t="str">
        <f>IF(E77="Navio",IF($G77&lt;=VLOOKUP($F77,Base_Dados!$K$1:$O$7,5,FALSE)," ","Limite "&amp;VLOOKUP($F77,Base_Dados!$K$1:$O$11,5,FALSE)&amp;" "&amp;VLOOKUP($F77,Base_Dados!$K$1:$O$11,2,FALSE))," ")</f>
        <v xml:space="preserve"> </v>
      </c>
      <c r="Q77" s="15" t="str">
        <f t="shared" si="1"/>
        <v/>
      </c>
      <c r="R77" s="1"/>
      <c r="S77" s="23"/>
      <c r="T77" s="1"/>
      <c r="U77" s="1"/>
      <c r="V77" s="1"/>
      <c r="W77" s="1"/>
      <c r="X77" s="1"/>
      <c r="Y77" s="1"/>
      <c r="Z77" s="1"/>
    </row>
    <row r="78" spans="1:26" ht="24" customHeight="1" x14ac:dyDescent="0.3">
      <c r="A78" s="10" t="s">
        <v>21</v>
      </c>
      <c r="B78" s="10" t="s">
        <v>27</v>
      </c>
      <c r="C78" s="11" t="s">
        <v>28</v>
      </c>
      <c r="D78" s="11" t="s">
        <v>42</v>
      </c>
      <c r="E78" s="11" t="s">
        <v>31</v>
      </c>
      <c r="F78" s="11" t="s">
        <v>35</v>
      </c>
      <c r="G78" s="12">
        <v>4000</v>
      </c>
      <c r="H78" s="11" t="s">
        <v>46</v>
      </c>
      <c r="I78" s="11" t="s">
        <v>47</v>
      </c>
      <c r="J78" s="13">
        <f>VLOOKUP(C78&amp;I78&amp;E78,Orig_Dest!$A$2:$E$1876,5,FALSE)</f>
        <v>0</v>
      </c>
      <c r="K78" s="14" t="str">
        <f t="shared" si="0"/>
        <v>Dia 43</v>
      </c>
      <c r="L78" s="15" t="str">
        <f>IF(B78="Fornecedor",IF(VLOOKUP(C78,Base_Dados!$E$1:$F$7,2,FALSE)=F78," ","Fornecedor inválido!")," ")</f>
        <v xml:space="preserve"> </v>
      </c>
      <c r="M78" s="16" t="str">
        <f>IF(AND(LEFT(F78,2)="MP",H78&lt;&gt;Base_Dados!$A$1),"Impossível!!!"," ")</f>
        <v xml:space="preserve"> </v>
      </c>
      <c r="N78" s="15" t="str">
        <f>IF(E78="Avião",IF($G78&lt;=VLOOKUP($F78,Base_Dados!$K$1:$O$7,3,FALSE)," ","Limite "&amp;VLOOKUP($F78,Base_Dados!$K$1:$O$11,3,FALSE)&amp;" "&amp;VLOOKUP($F78,Base_Dados!$K$1:$O$11,2,FALSE))," ")</f>
        <v xml:space="preserve"> </v>
      </c>
      <c r="O78" s="15" t="str">
        <f>IF(E78="Caminhão",IF($G78&lt;=VLOOKUP($F78,Base_Dados!$K$1:$O$7,4,FALSE)," ","Limite "&amp;VLOOKUP($F78,Base_Dados!$K$1:$O$11,4,FALSE)&amp;" "&amp;VLOOKUP($F78,Base_Dados!$K$1:$O$11,2,FALSE))," ")</f>
        <v xml:space="preserve"> </v>
      </c>
      <c r="P78" s="15" t="str">
        <f>IF(E78="Navio",IF($G78&lt;=VLOOKUP($F78,Base_Dados!$K$1:$O$7,5,FALSE)," ","Limite "&amp;VLOOKUP($F78,Base_Dados!$K$1:$O$11,5,FALSE)&amp;" "&amp;VLOOKUP($F78,Base_Dados!$K$1:$O$11,2,FALSE))," ")</f>
        <v xml:space="preserve"> </v>
      </c>
      <c r="Q78" s="15" t="str">
        <f t="shared" si="1"/>
        <v/>
      </c>
      <c r="R78" s="1"/>
      <c r="S78" s="23"/>
      <c r="T78" s="1"/>
      <c r="U78" s="1"/>
      <c r="V78" s="1"/>
      <c r="W78" s="1"/>
      <c r="X78" s="1"/>
      <c r="Y78" s="1"/>
      <c r="Z78" s="1"/>
    </row>
    <row r="79" spans="1:26" ht="24" customHeight="1" x14ac:dyDescent="0.3">
      <c r="A79" s="10" t="s">
        <v>21</v>
      </c>
      <c r="B79" s="10" t="s">
        <v>27</v>
      </c>
      <c r="C79" s="11" t="s">
        <v>28</v>
      </c>
      <c r="D79" s="11" t="s">
        <v>42</v>
      </c>
      <c r="E79" s="11" t="s">
        <v>31</v>
      </c>
      <c r="F79" s="11" t="s">
        <v>35</v>
      </c>
      <c r="G79" s="12">
        <v>4000</v>
      </c>
      <c r="H79" s="11" t="s">
        <v>46</v>
      </c>
      <c r="I79" s="11" t="s">
        <v>47</v>
      </c>
      <c r="J79" s="13">
        <f>VLOOKUP(C79&amp;I79&amp;E79,Orig_Dest!$A$2:$E$1876,5,FALSE)</f>
        <v>0</v>
      </c>
      <c r="K79" s="14" t="str">
        <f t="shared" si="0"/>
        <v>Dia 43</v>
      </c>
      <c r="L79" s="15" t="str">
        <f>IF(B79="Fornecedor",IF(VLOOKUP(C79,Base_Dados!$E$1:$F$7,2,FALSE)=F79," ","Fornecedor inválido!")," ")</f>
        <v xml:space="preserve"> </v>
      </c>
      <c r="M79" s="16" t="str">
        <f>IF(AND(LEFT(F79,2)="MP",H79&lt;&gt;Base_Dados!$A$1),"Impossível!!!"," ")</f>
        <v xml:space="preserve"> </v>
      </c>
      <c r="N79" s="15" t="str">
        <f>IF(E79="Avião",IF($G79&lt;=VLOOKUP($F79,Base_Dados!$K$1:$O$7,3,FALSE)," ","Limite "&amp;VLOOKUP($F79,Base_Dados!$K$1:$O$11,3,FALSE)&amp;" "&amp;VLOOKUP($F79,Base_Dados!$K$1:$O$11,2,FALSE))," ")</f>
        <v xml:space="preserve"> </v>
      </c>
      <c r="O79" s="15" t="str">
        <f>IF(E79="Caminhão",IF($G79&lt;=VLOOKUP($F79,Base_Dados!$K$1:$O$7,4,FALSE)," ","Limite "&amp;VLOOKUP($F79,Base_Dados!$K$1:$O$11,4,FALSE)&amp;" "&amp;VLOOKUP($F79,Base_Dados!$K$1:$O$11,2,FALSE))," ")</f>
        <v xml:space="preserve"> </v>
      </c>
      <c r="P79" s="15" t="str">
        <f>IF(E79="Navio",IF($G79&lt;=VLOOKUP($F79,Base_Dados!$K$1:$O$7,5,FALSE)," ","Limite "&amp;VLOOKUP($F79,Base_Dados!$K$1:$O$11,5,FALSE)&amp;" "&amp;VLOOKUP($F79,Base_Dados!$K$1:$O$11,2,FALSE))," ")</f>
        <v xml:space="preserve"> </v>
      </c>
      <c r="Q79" s="15" t="str">
        <f t="shared" si="1"/>
        <v/>
      </c>
      <c r="R79" s="1"/>
      <c r="S79" s="23"/>
      <c r="T79" s="1"/>
      <c r="U79" s="1"/>
      <c r="V79" s="1"/>
      <c r="W79" s="1"/>
      <c r="X79" s="1"/>
      <c r="Y79" s="1"/>
      <c r="Z79" s="1"/>
    </row>
    <row r="80" spans="1:26" ht="24" customHeight="1" x14ac:dyDescent="0.3">
      <c r="A80" s="10" t="s">
        <v>21</v>
      </c>
      <c r="B80" s="10" t="s">
        <v>27</v>
      </c>
      <c r="C80" s="11" t="s">
        <v>28</v>
      </c>
      <c r="D80" s="11" t="s">
        <v>42</v>
      </c>
      <c r="E80" s="11" t="s">
        <v>31</v>
      </c>
      <c r="F80" s="11" t="s">
        <v>35</v>
      </c>
      <c r="G80" s="12">
        <v>4000</v>
      </c>
      <c r="H80" s="11" t="s">
        <v>46</v>
      </c>
      <c r="I80" s="11" t="s">
        <v>47</v>
      </c>
      <c r="J80" s="13">
        <f>VLOOKUP(C80&amp;I80&amp;E80,Orig_Dest!$A$2:$E$1876,5,FALSE)</f>
        <v>0</v>
      </c>
      <c r="K80" s="14" t="str">
        <f t="shared" si="0"/>
        <v>Dia 43</v>
      </c>
      <c r="L80" s="15" t="str">
        <f>IF(B80="Fornecedor",IF(VLOOKUP(C80,Base_Dados!$E$1:$F$7,2,FALSE)=F80," ","Fornecedor inválido!")," ")</f>
        <v xml:space="preserve"> </v>
      </c>
      <c r="M80" s="16" t="str">
        <f>IF(AND(LEFT(F80,2)="MP",H80&lt;&gt;Base_Dados!$A$1),"Impossível!!!"," ")</f>
        <v xml:space="preserve"> </v>
      </c>
      <c r="N80" s="15" t="str">
        <f>IF(E80="Avião",IF($G80&lt;=VLOOKUP($F80,Base_Dados!$K$1:$O$7,3,FALSE)," ","Limite "&amp;VLOOKUP($F80,Base_Dados!$K$1:$O$11,3,FALSE)&amp;" "&amp;VLOOKUP($F80,Base_Dados!$K$1:$O$11,2,FALSE))," ")</f>
        <v xml:space="preserve"> </v>
      </c>
      <c r="O80" s="15" t="str">
        <f>IF(E80="Caminhão",IF($G80&lt;=VLOOKUP($F80,Base_Dados!$K$1:$O$7,4,FALSE)," ","Limite "&amp;VLOOKUP($F80,Base_Dados!$K$1:$O$11,4,FALSE)&amp;" "&amp;VLOOKUP($F80,Base_Dados!$K$1:$O$11,2,FALSE))," ")</f>
        <v xml:space="preserve"> </v>
      </c>
      <c r="P80" s="15" t="str">
        <f>IF(E80="Navio",IF($G80&lt;=VLOOKUP($F80,Base_Dados!$K$1:$O$7,5,FALSE)," ","Limite "&amp;VLOOKUP($F80,Base_Dados!$K$1:$O$11,5,FALSE)&amp;" "&amp;VLOOKUP($F80,Base_Dados!$K$1:$O$11,2,FALSE))," ")</f>
        <v xml:space="preserve"> </v>
      </c>
      <c r="Q80" s="15" t="str">
        <f t="shared" si="1"/>
        <v/>
      </c>
      <c r="R80" s="1"/>
      <c r="S80" s="23"/>
      <c r="T80" s="1"/>
      <c r="U80" s="1"/>
      <c r="V80" s="1"/>
      <c r="W80" s="1"/>
      <c r="X80" s="1"/>
      <c r="Y80" s="1"/>
      <c r="Z80" s="1"/>
    </row>
    <row r="81" spans="1:26" ht="24" customHeight="1" x14ac:dyDescent="0.3">
      <c r="A81" s="10" t="s">
        <v>21</v>
      </c>
      <c r="B81" s="10" t="s">
        <v>27</v>
      </c>
      <c r="C81" s="11" t="s">
        <v>28</v>
      </c>
      <c r="D81" s="11" t="s">
        <v>42</v>
      </c>
      <c r="E81" s="11" t="s">
        <v>31</v>
      </c>
      <c r="F81" s="11" t="s">
        <v>35</v>
      </c>
      <c r="G81" s="12">
        <v>4000</v>
      </c>
      <c r="H81" s="11" t="s">
        <v>46</v>
      </c>
      <c r="I81" s="11" t="s">
        <v>47</v>
      </c>
      <c r="J81" s="13">
        <f>VLOOKUP(C81&amp;I81&amp;E81,Orig_Dest!$A$2:$E$1876,5,FALSE)</f>
        <v>0</v>
      </c>
      <c r="K81" s="14" t="str">
        <f t="shared" si="0"/>
        <v>Dia 43</v>
      </c>
      <c r="L81" s="15" t="str">
        <f>IF(B81="Fornecedor",IF(VLOOKUP(C81,Base_Dados!$E$1:$F$7,2,FALSE)=F81," ","Fornecedor inválido!")," ")</f>
        <v xml:space="preserve"> </v>
      </c>
      <c r="M81" s="16" t="str">
        <f>IF(AND(LEFT(F81,2)="MP",H81&lt;&gt;Base_Dados!$A$1),"Impossível!!!"," ")</f>
        <v xml:space="preserve"> </v>
      </c>
      <c r="N81" s="15" t="str">
        <f>IF(E81="Avião",IF($G81&lt;=VLOOKUP($F81,Base_Dados!$K$1:$O$7,3,FALSE)," ","Limite "&amp;VLOOKUP($F81,Base_Dados!$K$1:$O$11,3,FALSE)&amp;" "&amp;VLOOKUP($F81,Base_Dados!$K$1:$O$11,2,FALSE))," ")</f>
        <v xml:space="preserve"> </v>
      </c>
      <c r="O81" s="15" t="str">
        <f>IF(E81="Caminhão",IF($G81&lt;=VLOOKUP($F81,Base_Dados!$K$1:$O$7,4,FALSE)," ","Limite "&amp;VLOOKUP($F81,Base_Dados!$K$1:$O$11,4,FALSE)&amp;" "&amp;VLOOKUP($F81,Base_Dados!$K$1:$O$11,2,FALSE))," ")</f>
        <v xml:space="preserve"> </v>
      </c>
      <c r="P81" s="15" t="str">
        <f>IF(E81="Navio",IF($G81&lt;=VLOOKUP($F81,Base_Dados!$K$1:$O$7,5,FALSE)," ","Limite "&amp;VLOOKUP($F81,Base_Dados!$K$1:$O$11,5,FALSE)&amp;" "&amp;VLOOKUP($F81,Base_Dados!$K$1:$O$11,2,FALSE))," ")</f>
        <v xml:space="preserve"> </v>
      </c>
      <c r="Q81" s="15" t="str">
        <f t="shared" si="1"/>
        <v/>
      </c>
      <c r="R81" s="1"/>
      <c r="S81" s="1"/>
      <c r="T81" s="1"/>
      <c r="U81" s="1"/>
      <c r="V81" s="1"/>
      <c r="W81" s="1"/>
      <c r="X81" s="1"/>
      <c r="Y81" s="1"/>
      <c r="Z81" s="1"/>
    </row>
    <row r="82" spans="1:26" ht="24" customHeight="1" x14ac:dyDescent="0.3">
      <c r="A82" s="10" t="s">
        <v>21</v>
      </c>
      <c r="B82" s="10" t="s">
        <v>27</v>
      </c>
      <c r="C82" s="11" t="s">
        <v>28</v>
      </c>
      <c r="D82" s="11" t="s">
        <v>42</v>
      </c>
      <c r="E82" s="11" t="s">
        <v>31</v>
      </c>
      <c r="F82" s="11" t="s">
        <v>35</v>
      </c>
      <c r="G82" s="12">
        <v>4000</v>
      </c>
      <c r="H82" s="11" t="s">
        <v>46</v>
      </c>
      <c r="I82" s="11" t="s">
        <v>47</v>
      </c>
      <c r="J82" s="13">
        <f>VLOOKUP(C82&amp;I82&amp;E82,Orig_Dest!$A$2:$E$1876,5,FALSE)</f>
        <v>0</v>
      </c>
      <c r="K82" s="14" t="str">
        <f t="shared" si="0"/>
        <v>Dia 43</v>
      </c>
      <c r="L82" s="15" t="str">
        <f>IF(B82="Fornecedor",IF(VLOOKUP(C82,Base_Dados!$E$1:$F$7,2,FALSE)=F82," ","Fornecedor inválido!")," ")</f>
        <v xml:space="preserve"> </v>
      </c>
      <c r="M82" s="16" t="str">
        <f>IF(AND(LEFT(F82,2)="MP",H82&lt;&gt;Base_Dados!$A$1),"Impossível!!!"," ")</f>
        <v xml:space="preserve"> </v>
      </c>
      <c r="N82" s="15" t="str">
        <f>IF(E82="Avião",IF($G82&lt;=VLOOKUP($F82,Base_Dados!$K$1:$O$7,3,FALSE)," ","Limite "&amp;VLOOKUP($F82,Base_Dados!$K$1:$O$11,3,FALSE)&amp;" "&amp;VLOOKUP($F82,Base_Dados!$K$1:$O$11,2,FALSE))," ")</f>
        <v xml:space="preserve"> </v>
      </c>
      <c r="O82" s="15" t="str">
        <f>IF(E82="Caminhão",IF($G82&lt;=VLOOKUP($F82,Base_Dados!$K$1:$O$7,4,FALSE)," ","Limite "&amp;VLOOKUP($F82,Base_Dados!$K$1:$O$11,4,FALSE)&amp;" "&amp;VLOOKUP($F82,Base_Dados!$K$1:$O$11,2,FALSE))," ")</f>
        <v xml:space="preserve"> </v>
      </c>
      <c r="P82" s="15" t="str">
        <f>IF(E82="Navio",IF($G82&lt;=VLOOKUP($F82,Base_Dados!$K$1:$O$7,5,FALSE)," ","Limite "&amp;VLOOKUP($F82,Base_Dados!$K$1:$O$11,5,FALSE)&amp;" "&amp;VLOOKUP($F82,Base_Dados!$K$1:$O$11,2,FALSE))," ")</f>
        <v xml:space="preserve"> </v>
      </c>
      <c r="Q82" s="15" t="str">
        <f t="shared" si="1"/>
        <v/>
      </c>
      <c r="R82" s="1"/>
      <c r="S82" s="1"/>
      <c r="T82" s="1"/>
      <c r="U82" s="1"/>
      <c r="V82" s="1"/>
      <c r="W82" s="1"/>
      <c r="X82" s="1"/>
      <c r="Y82" s="1"/>
      <c r="Z82" s="1"/>
    </row>
    <row r="83" spans="1:26" ht="24" customHeight="1" x14ac:dyDescent="0.3">
      <c r="A83" s="10" t="s">
        <v>21</v>
      </c>
      <c r="B83" s="10" t="s">
        <v>27</v>
      </c>
      <c r="C83" s="11" t="s">
        <v>28</v>
      </c>
      <c r="D83" s="11" t="s">
        <v>42</v>
      </c>
      <c r="E83" s="11" t="s">
        <v>31</v>
      </c>
      <c r="F83" s="11" t="s">
        <v>35</v>
      </c>
      <c r="G83" s="12">
        <v>4000</v>
      </c>
      <c r="H83" s="11" t="s">
        <v>46</v>
      </c>
      <c r="I83" s="11" t="s">
        <v>47</v>
      </c>
      <c r="J83" s="13">
        <f>VLOOKUP(C83&amp;I83&amp;E83,Orig_Dest!$A$2:$E$1876,5,FALSE)</f>
        <v>0</v>
      </c>
      <c r="K83" s="14" t="str">
        <f t="shared" si="0"/>
        <v>Dia 43</v>
      </c>
      <c r="L83" s="15" t="str">
        <f>IF(B83="Fornecedor",IF(VLOOKUP(C83,Base_Dados!$E$1:$F$7,2,FALSE)=F83," ","Fornecedor inválido!")," ")</f>
        <v xml:space="preserve"> </v>
      </c>
      <c r="M83" s="16" t="str">
        <f>IF(AND(LEFT(F83,2)="MP",H83&lt;&gt;Base_Dados!$A$1),"Impossível!!!"," ")</f>
        <v xml:space="preserve"> </v>
      </c>
      <c r="N83" s="15" t="str">
        <f>IF(E83="Avião",IF($G83&lt;=VLOOKUP($F83,Base_Dados!$K$1:$O$7,3,FALSE)," ","Limite "&amp;VLOOKUP($F83,Base_Dados!$K$1:$O$11,3,FALSE)&amp;" "&amp;VLOOKUP($F83,Base_Dados!$K$1:$O$11,2,FALSE))," ")</f>
        <v xml:space="preserve"> </v>
      </c>
      <c r="O83" s="15" t="str">
        <f>IF(E83="Caminhão",IF($G83&lt;=VLOOKUP($F83,Base_Dados!$K$1:$O$7,4,FALSE)," ","Limite "&amp;VLOOKUP($F83,Base_Dados!$K$1:$O$11,4,FALSE)&amp;" "&amp;VLOOKUP($F83,Base_Dados!$K$1:$O$11,2,FALSE))," ")</f>
        <v xml:space="preserve"> </v>
      </c>
      <c r="P83" s="15" t="str">
        <f>IF(E83="Navio",IF($G83&lt;=VLOOKUP($F83,Base_Dados!$K$1:$O$7,5,FALSE)," ","Limite "&amp;VLOOKUP($F83,Base_Dados!$K$1:$O$11,5,FALSE)&amp;" "&amp;VLOOKUP($F83,Base_Dados!$K$1:$O$11,2,FALSE))," ")</f>
        <v xml:space="preserve"> </v>
      </c>
      <c r="Q83" s="15" t="str">
        <f t="shared" si="1"/>
        <v/>
      </c>
      <c r="R83" s="1"/>
      <c r="S83" s="1"/>
      <c r="T83" s="1"/>
      <c r="U83" s="1"/>
      <c r="V83" s="1"/>
      <c r="W83" s="1"/>
      <c r="X83" s="1"/>
      <c r="Y83" s="1"/>
      <c r="Z83" s="1"/>
    </row>
    <row r="84" spans="1:26" ht="24" customHeight="1" x14ac:dyDescent="0.3">
      <c r="A84" s="10" t="s">
        <v>21</v>
      </c>
      <c r="B84" s="10" t="s">
        <v>27</v>
      </c>
      <c r="C84" s="11" t="s">
        <v>28</v>
      </c>
      <c r="D84" s="11" t="s">
        <v>42</v>
      </c>
      <c r="E84" s="11" t="s">
        <v>31</v>
      </c>
      <c r="F84" s="11" t="s">
        <v>35</v>
      </c>
      <c r="G84" s="12">
        <v>4000</v>
      </c>
      <c r="H84" s="11" t="s">
        <v>46</v>
      </c>
      <c r="I84" s="11" t="s">
        <v>47</v>
      </c>
      <c r="J84" s="13">
        <f>VLOOKUP(C84&amp;I84&amp;E84,Orig_Dest!$A$2:$E$1876,5,FALSE)</f>
        <v>0</v>
      </c>
      <c r="K84" s="14" t="str">
        <f t="shared" si="0"/>
        <v>Dia 43</v>
      </c>
      <c r="L84" s="15" t="str">
        <f>IF(B84="Fornecedor",IF(VLOOKUP(C84,Base_Dados!$E$1:$F$7,2,FALSE)=F84," ","Fornecedor inválido!")," ")</f>
        <v xml:space="preserve"> </v>
      </c>
      <c r="M84" s="16" t="str">
        <f>IF(AND(LEFT(F84,2)="MP",H84&lt;&gt;Base_Dados!$A$1),"Impossível!!!"," ")</f>
        <v xml:space="preserve"> </v>
      </c>
      <c r="N84" s="15" t="str">
        <f>IF(E84="Avião",IF($G84&lt;=VLOOKUP($F84,Base_Dados!$K$1:$O$7,3,FALSE)," ","Limite "&amp;VLOOKUP($F84,Base_Dados!$K$1:$O$11,3,FALSE)&amp;" "&amp;VLOOKUP($F84,Base_Dados!$K$1:$O$11,2,FALSE))," ")</f>
        <v xml:space="preserve"> </v>
      </c>
      <c r="O84" s="15" t="str">
        <f>IF(E84="Caminhão",IF($G84&lt;=VLOOKUP($F84,Base_Dados!$K$1:$O$7,4,FALSE)," ","Limite "&amp;VLOOKUP($F84,Base_Dados!$K$1:$O$11,4,FALSE)&amp;" "&amp;VLOOKUP($F84,Base_Dados!$K$1:$O$11,2,FALSE))," ")</f>
        <v xml:space="preserve"> </v>
      </c>
      <c r="P84" s="15" t="str">
        <f>IF(E84="Navio",IF($G84&lt;=VLOOKUP($F84,Base_Dados!$K$1:$O$7,5,FALSE)," ","Limite "&amp;VLOOKUP($F84,Base_Dados!$K$1:$O$11,5,FALSE)&amp;" "&amp;VLOOKUP($F84,Base_Dados!$K$1:$O$11,2,FALSE))," ")</f>
        <v xml:space="preserve"> </v>
      </c>
      <c r="Q84" s="15" t="str">
        <f t="shared" si="1"/>
        <v/>
      </c>
      <c r="R84" s="1"/>
      <c r="S84" s="1"/>
      <c r="T84" s="1"/>
      <c r="U84" s="1"/>
      <c r="V84" s="1"/>
      <c r="W84" s="1"/>
      <c r="X84" s="1"/>
      <c r="Y84" s="1"/>
      <c r="Z84" s="1"/>
    </row>
    <row r="85" spans="1:26" ht="24" customHeight="1" x14ac:dyDescent="0.3">
      <c r="A85" s="10" t="s">
        <v>21</v>
      </c>
      <c r="B85" s="10" t="s">
        <v>27</v>
      </c>
      <c r="C85" s="11" t="s">
        <v>28</v>
      </c>
      <c r="D85" s="11" t="s">
        <v>42</v>
      </c>
      <c r="E85" s="11" t="s">
        <v>31</v>
      </c>
      <c r="F85" s="11" t="s">
        <v>35</v>
      </c>
      <c r="G85" s="12">
        <v>4000</v>
      </c>
      <c r="H85" s="11" t="s">
        <v>46</v>
      </c>
      <c r="I85" s="11" t="s">
        <v>47</v>
      </c>
      <c r="J85" s="13">
        <f>VLOOKUP(C85&amp;I85&amp;E85,Orig_Dest!$A$2:$E$1876,5,FALSE)</f>
        <v>0</v>
      </c>
      <c r="K85" s="14" t="str">
        <f t="shared" si="0"/>
        <v>Dia 43</v>
      </c>
      <c r="L85" s="15" t="str">
        <f>IF(B85="Fornecedor",IF(VLOOKUP(C85,Base_Dados!$E$1:$F$7,2,FALSE)=F85," ","Fornecedor inválido!")," ")</f>
        <v xml:space="preserve"> </v>
      </c>
      <c r="M85" s="16" t="str">
        <f>IF(AND(LEFT(F85,2)="MP",H85&lt;&gt;Base_Dados!$A$1),"Impossível!!!"," ")</f>
        <v xml:space="preserve"> </v>
      </c>
      <c r="N85" s="15" t="str">
        <f>IF(E85="Avião",IF($G85&lt;=VLOOKUP($F85,Base_Dados!$K$1:$O$7,3,FALSE)," ","Limite "&amp;VLOOKUP($F85,Base_Dados!$K$1:$O$11,3,FALSE)&amp;" "&amp;VLOOKUP($F85,Base_Dados!$K$1:$O$11,2,FALSE))," ")</f>
        <v xml:space="preserve"> </v>
      </c>
      <c r="O85" s="15" t="str">
        <f>IF(E85="Caminhão",IF($G85&lt;=VLOOKUP($F85,Base_Dados!$K$1:$O$7,4,FALSE)," ","Limite "&amp;VLOOKUP($F85,Base_Dados!$K$1:$O$11,4,FALSE)&amp;" "&amp;VLOOKUP($F85,Base_Dados!$K$1:$O$11,2,FALSE))," ")</f>
        <v xml:space="preserve"> </v>
      </c>
      <c r="P85" s="15" t="str">
        <f>IF(E85="Navio",IF($G85&lt;=VLOOKUP($F85,Base_Dados!$K$1:$O$7,5,FALSE)," ","Limite "&amp;VLOOKUP($F85,Base_Dados!$K$1:$O$11,5,FALSE)&amp;" "&amp;VLOOKUP($F85,Base_Dados!$K$1:$O$11,2,FALSE))," ")</f>
        <v xml:space="preserve"> </v>
      </c>
      <c r="Q85" s="15" t="str">
        <f t="shared" si="1"/>
        <v/>
      </c>
      <c r="R85" s="1"/>
      <c r="S85" s="1"/>
      <c r="T85" s="1"/>
      <c r="U85" s="1"/>
      <c r="V85" s="1"/>
      <c r="W85" s="1"/>
      <c r="X85" s="1"/>
      <c r="Y85" s="1"/>
      <c r="Z85" s="1"/>
    </row>
    <row r="86" spans="1:26" ht="24" customHeight="1" x14ac:dyDescent="0.3">
      <c r="A86" s="10" t="s">
        <v>21</v>
      </c>
      <c r="B86" s="10" t="s">
        <v>27</v>
      </c>
      <c r="C86" s="11" t="s">
        <v>28</v>
      </c>
      <c r="D86" s="11" t="s">
        <v>42</v>
      </c>
      <c r="E86" s="11" t="s">
        <v>31</v>
      </c>
      <c r="F86" s="11" t="s">
        <v>35</v>
      </c>
      <c r="G86" s="12">
        <v>4000</v>
      </c>
      <c r="H86" s="11" t="s">
        <v>46</v>
      </c>
      <c r="I86" s="11" t="s">
        <v>47</v>
      </c>
      <c r="J86" s="13">
        <f>VLOOKUP(C86&amp;I86&amp;E86,Orig_Dest!$A$2:$E$1876,5,FALSE)</f>
        <v>0</v>
      </c>
      <c r="K86" s="14" t="str">
        <f t="shared" si="0"/>
        <v>Dia 43</v>
      </c>
      <c r="L86" s="15" t="str">
        <f>IF(B86="Fornecedor",IF(VLOOKUP(C86,Base_Dados!$E$1:$F$7,2,FALSE)=F86," ","Fornecedor inválido!")," ")</f>
        <v xml:space="preserve"> </v>
      </c>
      <c r="M86" s="16" t="str">
        <f>IF(AND(LEFT(F86,2)="MP",H86&lt;&gt;Base_Dados!$A$1),"Impossível!!!"," ")</f>
        <v xml:space="preserve"> </v>
      </c>
      <c r="N86" s="15" t="str">
        <f>IF(E86="Avião",IF($G86&lt;=VLOOKUP($F86,Base_Dados!$K$1:$O$7,3,FALSE)," ","Limite "&amp;VLOOKUP($F86,Base_Dados!$K$1:$O$11,3,FALSE)&amp;" "&amp;VLOOKUP($F86,Base_Dados!$K$1:$O$11,2,FALSE))," ")</f>
        <v xml:space="preserve"> </v>
      </c>
      <c r="O86" s="15" t="str">
        <f>IF(E86="Caminhão",IF($G86&lt;=VLOOKUP($F86,Base_Dados!$K$1:$O$7,4,FALSE)," ","Limite "&amp;VLOOKUP($F86,Base_Dados!$K$1:$O$11,4,FALSE)&amp;" "&amp;VLOOKUP($F86,Base_Dados!$K$1:$O$11,2,FALSE))," ")</f>
        <v xml:space="preserve"> </v>
      </c>
      <c r="P86" s="15" t="str">
        <f>IF(E86="Navio",IF($G86&lt;=VLOOKUP($F86,Base_Dados!$K$1:$O$7,5,FALSE)," ","Limite "&amp;VLOOKUP($F86,Base_Dados!$K$1:$O$11,5,FALSE)&amp;" "&amp;VLOOKUP($F86,Base_Dados!$K$1:$O$11,2,FALSE))," ")</f>
        <v xml:space="preserve"> </v>
      </c>
      <c r="Q86" s="15" t="str">
        <f t="shared" si="1"/>
        <v/>
      </c>
      <c r="R86" s="1"/>
      <c r="S86" s="1"/>
      <c r="T86" s="1"/>
      <c r="U86" s="1"/>
      <c r="V86" s="1"/>
      <c r="W86" s="1"/>
      <c r="X86" s="1"/>
      <c r="Y86" s="1"/>
      <c r="Z86" s="1"/>
    </row>
    <row r="87" spans="1:26" ht="24" customHeight="1" x14ac:dyDescent="0.3">
      <c r="A87" s="10" t="s">
        <v>21</v>
      </c>
      <c r="B87" s="10" t="s">
        <v>27</v>
      </c>
      <c r="C87" s="11" t="s">
        <v>28</v>
      </c>
      <c r="D87" s="11" t="s">
        <v>42</v>
      </c>
      <c r="E87" s="11" t="s">
        <v>31</v>
      </c>
      <c r="F87" s="11" t="s">
        <v>35</v>
      </c>
      <c r="G87" s="12">
        <v>4000</v>
      </c>
      <c r="H87" s="11" t="s">
        <v>46</v>
      </c>
      <c r="I87" s="11" t="s">
        <v>47</v>
      </c>
      <c r="J87" s="13">
        <f>VLOOKUP(C87&amp;I87&amp;E87,Orig_Dest!$A$2:$E$1876,5,FALSE)</f>
        <v>0</v>
      </c>
      <c r="K87" s="14" t="str">
        <f t="shared" si="0"/>
        <v>Dia 43</v>
      </c>
      <c r="L87" s="15" t="str">
        <f>IF(B87="Fornecedor",IF(VLOOKUP(C87,Base_Dados!$E$1:$F$7,2,FALSE)=F87," ","Fornecedor inválido!")," ")</f>
        <v xml:space="preserve"> </v>
      </c>
      <c r="M87" s="16" t="str">
        <f>IF(AND(LEFT(F87,2)="MP",H87&lt;&gt;Base_Dados!$A$1),"Impossível!!!"," ")</f>
        <v xml:space="preserve"> </v>
      </c>
      <c r="N87" s="15" t="str">
        <f>IF(E87="Avião",IF($G87&lt;=VLOOKUP($F87,Base_Dados!$K$1:$O$7,3,FALSE)," ","Limite "&amp;VLOOKUP($F87,Base_Dados!$K$1:$O$11,3,FALSE)&amp;" "&amp;VLOOKUP($F87,Base_Dados!$K$1:$O$11,2,FALSE))," ")</f>
        <v xml:space="preserve"> </v>
      </c>
      <c r="O87" s="15" t="str">
        <f>IF(E87="Caminhão",IF($G87&lt;=VLOOKUP($F87,Base_Dados!$K$1:$O$7,4,FALSE)," ","Limite "&amp;VLOOKUP($F87,Base_Dados!$K$1:$O$11,4,FALSE)&amp;" "&amp;VLOOKUP($F87,Base_Dados!$K$1:$O$11,2,FALSE))," ")</f>
        <v xml:space="preserve"> </v>
      </c>
      <c r="P87" s="15" t="str">
        <f>IF(E87="Navio",IF($G87&lt;=VLOOKUP($F87,Base_Dados!$K$1:$O$7,5,FALSE)," ","Limite "&amp;VLOOKUP($F87,Base_Dados!$K$1:$O$11,5,FALSE)&amp;" "&amp;VLOOKUP($F87,Base_Dados!$K$1:$O$11,2,FALSE))," ")</f>
        <v xml:space="preserve"> </v>
      </c>
      <c r="Q87" s="15" t="str">
        <f t="shared" si="1"/>
        <v/>
      </c>
      <c r="R87" s="1"/>
      <c r="S87" s="1"/>
      <c r="T87" s="1"/>
      <c r="U87" s="1"/>
      <c r="V87" s="1"/>
      <c r="W87" s="1"/>
      <c r="X87" s="1"/>
      <c r="Y87" s="1"/>
      <c r="Z87" s="1"/>
    </row>
    <row r="88" spans="1:26" ht="24" customHeight="1" x14ac:dyDescent="0.3">
      <c r="A88" s="10" t="s">
        <v>21</v>
      </c>
      <c r="B88" s="10" t="s">
        <v>27</v>
      </c>
      <c r="C88" s="11" t="s">
        <v>28</v>
      </c>
      <c r="D88" s="11" t="s">
        <v>42</v>
      </c>
      <c r="E88" s="11" t="s">
        <v>31</v>
      </c>
      <c r="F88" s="11" t="s">
        <v>35</v>
      </c>
      <c r="G88" s="12">
        <v>4000</v>
      </c>
      <c r="H88" s="11" t="s">
        <v>46</v>
      </c>
      <c r="I88" s="11" t="s">
        <v>47</v>
      </c>
      <c r="J88" s="13">
        <f>VLOOKUP(C88&amp;I88&amp;E88,Orig_Dest!$A$2:$E$1876,5,FALSE)</f>
        <v>0</v>
      </c>
      <c r="K88" s="14" t="str">
        <f t="shared" si="0"/>
        <v>Dia 43</v>
      </c>
      <c r="L88" s="15" t="str">
        <f>IF(B88="Fornecedor",IF(VLOOKUP(C88,Base_Dados!$E$1:$F$7,2,FALSE)=F88," ","Fornecedor inválido!")," ")</f>
        <v xml:space="preserve"> </v>
      </c>
      <c r="M88" s="16" t="str">
        <f>IF(AND(LEFT(F88,2)="MP",H88&lt;&gt;Base_Dados!$A$1),"Impossível!!!"," ")</f>
        <v xml:space="preserve"> </v>
      </c>
      <c r="N88" s="15" t="str">
        <f>IF(E88="Avião",IF($G88&lt;=VLOOKUP($F88,Base_Dados!$K$1:$O$7,3,FALSE)," ","Limite "&amp;VLOOKUP($F88,Base_Dados!$K$1:$O$11,3,FALSE)&amp;" "&amp;VLOOKUP($F88,Base_Dados!$K$1:$O$11,2,FALSE))," ")</f>
        <v xml:space="preserve"> </v>
      </c>
      <c r="O88" s="15" t="str">
        <f>IF(E88="Caminhão",IF($G88&lt;=VLOOKUP($F88,Base_Dados!$K$1:$O$7,4,FALSE)," ","Limite "&amp;VLOOKUP($F88,Base_Dados!$K$1:$O$11,4,FALSE)&amp;" "&amp;VLOOKUP($F88,Base_Dados!$K$1:$O$11,2,FALSE))," ")</f>
        <v xml:space="preserve"> </v>
      </c>
      <c r="P88" s="15" t="str">
        <f>IF(E88="Navio",IF($G88&lt;=VLOOKUP($F88,Base_Dados!$K$1:$O$7,5,FALSE)," ","Limite "&amp;VLOOKUP($F88,Base_Dados!$K$1:$O$11,5,FALSE)&amp;" "&amp;VLOOKUP($F88,Base_Dados!$K$1:$O$11,2,FALSE))," ")</f>
        <v xml:space="preserve"> </v>
      </c>
      <c r="Q88" s="15" t="str">
        <f t="shared" si="1"/>
        <v/>
      </c>
      <c r="R88" s="1"/>
      <c r="S88" s="1"/>
      <c r="T88" s="1"/>
      <c r="U88" s="1"/>
      <c r="V88" s="1"/>
      <c r="W88" s="1"/>
      <c r="X88" s="1"/>
      <c r="Y88" s="1"/>
      <c r="Z88" s="1"/>
    </row>
    <row r="89" spans="1:26" ht="24" customHeight="1" x14ac:dyDescent="0.3">
      <c r="A89" s="10" t="s">
        <v>21</v>
      </c>
      <c r="B89" s="10" t="s">
        <v>27</v>
      </c>
      <c r="C89" s="11" t="s">
        <v>28</v>
      </c>
      <c r="D89" s="11" t="s">
        <v>42</v>
      </c>
      <c r="E89" s="11" t="s">
        <v>31</v>
      </c>
      <c r="F89" s="11" t="s">
        <v>35</v>
      </c>
      <c r="G89" s="12">
        <v>4000</v>
      </c>
      <c r="H89" s="11" t="s">
        <v>46</v>
      </c>
      <c r="I89" s="11" t="s">
        <v>47</v>
      </c>
      <c r="J89" s="13">
        <f>VLOOKUP(C89&amp;I89&amp;E89,Orig_Dest!$A$2:$E$1876,5,FALSE)</f>
        <v>0</v>
      </c>
      <c r="K89" s="14" t="str">
        <f t="shared" si="0"/>
        <v>Dia 43</v>
      </c>
      <c r="L89" s="15" t="str">
        <f>IF(B89="Fornecedor",IF(VLOOKUP(C89,Base_Dados!$E$1:$F$7,2,FALSE)=F89," ","Fornecedor inválido!")," ")</f>
        <v xml:space="preserve"> </v>
      </c>
      <c r="M89" s="16" t="str">
        <f>IF(AND(LEFT(F89,2)="MP",H89&lt;&gt;Base_Dados!$A$1),"Impossível!!!"," ")</f>
        <v xml:space="preserve"> </v>
      </c>
      <c r="N89" s="15" t="str">
        <f>IF(E89="Avião",IF($G89&lt;=VLOOKUP($F89,Base_Dados!$K$1:$O$7,3,FALSE)," ","Limite "&amp;VLOOKUP($F89,Base_Dados!$K$1:$O$11,3,FALSE)&amp;" "&amp;VLOOKUP($F89,Base_Dados!$K$1:$O$11,2,FALSE))," ")</f>
        <v xml:space="preserve"> </v>
      </c>
      <c r="O89" s="15" t="str">
        <f>IF(E89="Caminhão",IF($G89&lt;=VLOOKUP($F89,Base_Dados!$K$1:$O$7,4,FALSE)," ","Limite "&amp;VLOOKUP($F89,Base_Dados!$K$1:$O$11,4,FALSE)&amp;" "&amp;VLOOKUP($F89,Base_Dados!$K$1:$O$11,2,FALSE))," ")</f>
        <v xml:space="preserve"> </v>
      </c>
      <c r="P89" s="15" t="str">
        <f>IF(E89="Navio",IF($G89&lt;=VLOOKUP($F89,Base_Dados!$K$1:$O$7,5,FALSE)," ","Limite "&amp;VLOOKUP($F89,Base_Dados!$K$1:$O$11,5,FALSE)&amp;" "&amp;VLOOKUP($F89,Base_Dados!$K$1:$O$11,2,FALSE))," ")</f>
        <v xml:space="preserve"> </v>
      </c>
      <c r="Q89" s="15" t="str">
        <f t="shared" si="1"/>
        <v/>
      </c>
      <c r="R89" s="1"/>
      <c r="S89" s="1"/>
      <c r="T89" s="1"/>
      <c r="U89" s="1"/>
      <c r="V89" s="1"/>
      <c r="W89" s="1"/>
      <c r="X89" s="1"/>
      <c r="Y89" s="1"/>
      <c r="Z89" s="1"/>
    </row>
    <row r="90" spans="1:26" ht="24" customHeight="1" x14ac:dyDescent="0.3">
      <c r="A90" s="10" t="s">
        <v>21</v>
      </c>
      <c r="B90" s="10" t="s">
        <v>27</v>
      </c>
      <c r="C90" s="11" t="s">
        <v>28</v>
      </c>
      <c r="D90" s="11" t="s">
        <v>42</v>
      </c>
      <c r="E90" s="11" t="s">
        <v>31</v>
      </c>
      <c r="F90" s="11" t="s">
        <v>35</v>
      </c>
      <c r="G90" s="12">
        <v>4000</v>
      </c>
      <c r="H90" s="11" t="s">
        <v>46</v>
      </c>
      <c r="I90" s="11" t="s">
        <v>47</v>
      </c>
      <c r="J90" s="13">
        <f>VLOOKUP(C90&amp;I90&amp;E90,Orig_Dest!$A$2:$E$1876,5,FALSE)</f>
        <v>0</v>
      </c>
      <c r="K90" s="14" t="str">
        <f t="shared" si="0"/>
        <v>Dia 43</v>
      </c>
      <c r="L90" s="15" t="str">
        <f>IF(B90="Fornecedor",IF(VLOOKUP(C90,Base_Dados!$E$1:$F$7,2,FALSE)=F90," ","Fornecedor inválido!")," ")</f>
        <v xml:space="preserve"> </v>
      </c>
      <c r="M90" s="16" t="str">
        <f>IF(AND(LEFT(F90,2)="MP",H90&lt;&gt;Base_Dados!$A$1),"Impossível!!!"," ")</f>
        <v xml:space="preserve"> </v>
      </c>
      <c r="N90" s="15" t="str">
        <f>IF(E90="Avião",IF($G90&lt;=VLOOKUP($F90,Base_Dados!$K$1:$O$7,3,FALSE)," ","Limite "&amp;VLOOKUP($F90,Base_Dados!$K$1:$O$11,3,FALSE)&amp;" "&amp;VLOOKUP($F90,Base_Dados!$K$1:$O$11,2,FALSE))," ")</f>
        <v xml:space="preserve"> </v>
      </c>
      <c r="O90" s="15" t="str">
        <f>IF(E90="Caminhão",IF($G90&lt;=VLOOKUP($F90,Base_Dados!$K$1:$O$7,4,FALSE)," ","Limite "&amp;VLOOKUP($F90,Base_Dados!$K$1:$O$11,4,FALSE)&amp;" "&amp;VLOOKUP($F90,Base_Dados!$K$1:$O$11,2,FALSE))," ")</f>
        <v xml:space="preserve"> </v>
      </c>
      <c r="P90" s="15" t="str">
        <f>IF(E90="Navio",IF($G90&lt;=VLOOKUP($F90,Base_Dados!$K$1:$O$7,5,FALSE)," ","Limite "&amp;VLOOKUP($F90,Base_Dados!$K$1:$O$11,5,FALSE)&amp;" "&amp;VLOOKUP($F90,Base_Dados!$K$1:$O$11,2,FALSE))," ")</f>
        <v xml:space="preserve"> </v>
      </c>
      <c r="Q90" s="15" t="str">
        <f t="shared" si="1"/>
        <v/>
      </c>
      <c r="R90" s="1"/>
      <c r="S90" s="1"/>
      <c r="T90" s="1"/>
      <c r="U90" s="1"/>
      <c r="V90" s="1"/>
      <c r="W90" s="1"/>
      <c r="X90" s="1"/>
      <c r="Y90" s="1"/>
      <c r="Z90" s="1"/>
    </row>
    <row r="91" spans="1:26" ht="24" customHeight="1" x14ac:dyDescent="0.3">
      <c r="A91" s="10" t="s">
        <v>21</v>
      </c>
      <c r="B91" s="10" t="s">
        <v>27</v>
      </c>
      <c r="C91" s="11" t="s">
        <v>28</v>
      </c>
      <c r="D91" s="11" t="s">
        <v>42</v>
      </c>
      <c r="E91" s="11" t="s">
        <v>31</v>
      </c>
      <c r="F91" s="11" t="s">
        <v>35</v>
      </c>
      <c r="G91" s="12">
        <v>4000</v>
      </c>
      <c r="H91" s="11" t="s">
        <v>46</v>
      </c>
      <c r="I91" s="11" t="s">
        <v>47</v>
      </c>
      <c r="J91" s="13">
        <f>VLOOKUP(C91&amp;I91&amp;E91,Orig_Dest!$A$2:$E$1876,5,FALSE)</f>
        <v>0</v>
      </c>
      <c r="K91" s="14" t="str">
        <f t="shared" si="0"/>
        <v>Dia 43</v>
      </c>
      <c r="L91" s="15" t="str">
        <f>IF(B91="Fornecedor",IF(VLOOKUP(C91,Base_Dados!$E$1:$F$7,2,FALSE)=F91," ","Fornecedor inválido!")," ")</f>
        <v xml:space="preserve"> </v>
      </c>
      <c r="M91" s="16" t="str">
        <f>IF(AND(LEFT(F91,2)="MP",H91&lt;&gt;Base_Dados!$A$1),"Impossível!!!"," ")</f>
        <v xml:space="preserve"> </v>
      </c>
      <c r="N91" s="15" t="str">
        <f>IF(E91="Avião",IF($G91&lt;=VLOOKUP($F91,Base_Dados!$K$1:$O$7,3,FALSE)," ","Limite "&amp;VLOOKUP($F91,Base_Dados!$K$1:$O$11,3,FALSE)&amp;" "&amp;VLOOKUP($F91,Base_Dados!$K$1:$O$11,2,FALSE))," ")</f>
        <v xml:space="preserve"> </v>
      </c>
      <c r="O91" s="15" t="str">
        <f>IF(E91="Caminhão",IF($G91&lt;=VLOOKUP($F91,Base_Dados!$K$1:$O$7,4,FALSE)," ","Limite "&amp;VLOOKUP($F91,Base_Dados!$K$1:$O$11,4,FALSE)&amp;" "&amp;VLOOKUP($F91,Base_Dados!$K$1:$O$11,2,FALSE))," ")</f>
        <v xml:space="preserve"> </v>
      </c>
      <c r="P91" s="15" t="str">
        <f>IF(E91="Navio",IF($G91&lt;=VLOOKUP($F91,Base_Dados!$K$1:$O$7,5,FALSE)," ","Limite "&amp;VLOOKUP($F91,Base_Dados!$K$1:$O$11,5,FALSE)&amp;" "&amp;VLOOKUP($F91,Base_Dados!$K$1:$O$11,2,FALSE))," ")</f>
        <v xml:space="preserve"> </v>
      </c>
      <c r="Q91" s="15" t="str">
        <f t="shared" si="1"/>
        <v/>
      </c>
      <c r="R91" s="1"/>
      <c r="S91" s="1"/>
      <c r="T91" s="1"/>
      <c r="U91" s="1"/>
      <c r="V91" s="1"/>
      <c r="W91" s="1"/>
      <c r="X91" s="1"/>
      <c r="Y91" s="1"/>
      <c r="Z91" s="1"/>
    </row>
    <row r="92" spans="1:26" ht="24" customHeight="1" x14ac:dyDescent="0.3">
      <c r="A92" s="10" t="s">
        <v>21</v>
      </c>
      <c r="B92" s="10" t="s">
        <v>27</v>
      </c>
      <c r="C92" s="11" t="s">
        <v>28</v>
      </c>
      <c r="D92" s="11" t="s">
        <v>42</v>
      </c>
      <c r="E92" s="11" t="s">
        <v>31</v>
      </c>
      <c r="F92" s="11" t="s">
        <v>35</v>
      </c>
      <c r="G92" s="12">
        <v>4000</v>
      </c>
      <c r="H92" s="11" t="s">
        <v>46</v>
      </c>
      <c r="I92" s="11" t="s">
        <v>47</v>
      </c>
      <c r="J92" s="13">
        <f>VLOOKUP(C92&amp;I92&amp;E92,Orig_Dest!$A$2:$E$1876,5,FALSE)</f>
        <v>0</v>
      </c>
      <c r="K92" s="14" t="str">
        <f t="shared" si="0"/>
        <v>Dia 43</v>
      </c>
      <c r="L92" s="15" t="str">
        <f>IF(B92="Fornecedor",IF(VLOOKUP(C92,Base_Dados!$E$1:$F$7,2,FALSE)=F92," ","Fornecedor inválido!")," ")</f>
        <v xml:space="preserve"> </v>
      </c>
      <c r="M92" s="16" t="str">
        <f>IF(AND(LEFT(F92,2)="MP",H92&lt;&gt;Base_Dados!$A$1),"Impossível!!!"," ")</f>
        <v xml:space="preserve"> </v>
      </c>
      <c r="N92" s="15" t="str">
        <f>IF(E92="Avião",IF($G92&lt;=VLOOKUP($F92,Base_Dados!$K$1:$O$7,3,FALSE)," ","Limite "&amp;VLOOKUP($F92,Base_Dados!$K$1:$O$11,3,FALSE)&amp;" "&amp;VLOOKUP($F92,Base_Dados!$K$1:$O$11,2,FALSE))," ")</f>
        <v xml:space="preserve"> </v>
      </c>
      <c r="O92" s="15" t="str">
        <f>IF(E92="Caminhão",IF($G92&lt;=VLOOKUP($F92,Base_Dados!$K$1:$O$7,4,FALSE)," ","Limite "&amp;VLOOKUP($F92,Base_Dados!$K$1:$O$11,4,FALSE)&amp;" "&amp;VLOOKUP($F92,Base_Dados!$K$1:$O$11,2,FALSE))," ")</f>
        <v xml:space="preserve"> </v>
      </c>
      <c r="P92" s="15" t="str">
        <f>IF(E92="Navio",IF($G92&lt;=VLOOKUP($F92,Base_Dados!$K$1:$O$7,5,FALSE)," ","Limite "&amp;VLOOKUP($F92,Base_Dados!$K$1:$O$11,5,FALSE)&amp;" "&amp;VLOOKUP($F92,Base_Dados!$K$1:$O$11,2,FALSE))," ")</f>
        <v xml:space="preserve"> </v>
      </c>
      <c r="Q92" s="15" t="str">
        <f t="shared" si="1"/>
        <v/>
      </c>
      <c r="R92" s="1"/>
      <c r="S92" s="1"/>
      <c r="T92" s="1"/>
      <c r="U92" s="1"/>
      <c r="V92" s="1"/>
      <c r="W92" s="1"/>
      <c r="X92" s="1"/>
      <c r="Y92" s="1"/>
      <c r="Z92" s="1"/>
    </row>
    <row r="93" spans="1:26" ht="24" customHeight="1" x14ac:dyDescent="0.3">
      <c r="A93" s="10" t="s">
        <v>21</v>
      </c>
      <c r="B93" s="10" t="s">
        <v>27</v>
      </c>
      <c r="C93" s="11" t="s">
        <v>28</v>
      </c>
      <c r="D93" s="11" t="s">
        <v>42</v>
      </c>
      <c r="E93" s="11" t="s">
        <v>31</v>
      </c>
      <c r="F93" s="11" t="s">
        <v>35</v>
      </c>
      <c r="G93" s="12">
        <v>4000</v>
      </c>
      <c r="H93" s="11" t="s">
        <v>46</v>
      </c>
      <c r="I93" s="11" t="s">
        <v>47</v>
      </c>
      <c r="J93" s="13">
        <f>VLOOKUP(C93&amp;I93&amp;E93,Orig_Dest!$A$2:$E$1876,5,FALSE)</f>
        <v>0</v>
      </c>
      <c r="K93" s="14" t="str">
        <f t="shared" si="0"/>
        <v>Dia 43</v>
      </c>
      <c r="L93" s="15" t="str">
        <f>IF(B93="Fornecedor",IF(VLOOKUP(C93,Base_Dados!$E$1:$F$7,2,FALSE)=F93," ","Fornecedor inválido!")," ")</f>
        <v xml:space="preserve"> </v>
      </c>
      <c r="M93" s="16" t="str">
        <f>IF(AND(LEFT(F93,2)="MP",H93&lt;&gt;Base_Dados!$A$1),"Impossível!!!"," ")</f>
        <v xml:space="preserve"> </v>
      </c>
      <c r="N93" s="15" t="str">
        <f>IF(E93="Avião",IF($G93&lt;=VLOOKUP($F93,Base_Dados!$K$1:$O$7,3,FALSE)," ","Limite "&amp;VLOOKUP($F93,Base_Dados!$K$1:$O$11,3,FALSE)&amp;" "&amp;VLOOKUP($F93,Base_Dados!$K$1:$O$11,2,FALSE))," ")</f>
        <v xml:space="preserve"> </v>
      </c>
      <c r="O93" s="15" t="str">
        <f>IF(E93="Caminhão",IF($G93&lt;=VLOOKUP($F93,Base_Dados!$K$1:$O$7,4,FALSE)," ","Limite "&amp;VLOOKUP($F93,Base_Dados!$K$1:$O$11,4,FALSE)&amp;" "&amp;VLOOKUP($F93,Base_Dados!$K$1:$O$11,2,FALSE))," ")</f>
        <v xml:space="preserve"> </v>
      </c>
      <c r="P93" s="15" t="str">
        <f>IF(E93="Navio",IF($G93&lt;=VLOOKUP($F93,Base_Dados!$K$1:$O$7,5,FALSE)," ","Limite "&amp;VLOOKUP($F93,Base_Dados!$K$1:$O$11,5,FALSE)&amp;" "&amp;VLOOKUP($F93,Base_Dados!$K$1:$O$11,2,FALSE))," ")</f>
        <v xml:space="preserve"> </v>
      </c>
      <c r="Q93" s="15" t="str">
        <f t="shared" si="1"/>
        <v/>
      </c>
      <c r="R93" s="1"/>
      <c r="S93" s="1"/>
      <c r="T93" s="1"/>
      <c r="U93" s="1"/>
      <c r="V93" s="1"/>
      <c r="W93" s="1"/>
      <c r="X93" s="1"/>
      <c r="Y93" s="1"/>
      <c r="Z93" s="1"/>
    </row>
    <row r="94" spans="1:26" ht="24" customHeight="1" x14ac:dyDescent="0.3">
      <c r="A94" s="10" t="s">
        <v>21</v>
      </c>
      <c r="B94" s="10" t="s">
        <v>27</v>
      </c>
      <c r="C94" s="11" t="s">
        <v>28</v>
      </c>
      <c r="D94" s="11" t="s">
        <v>42</v>
      </c>
      <c r="E94" s="11" t="s">
        <v>31</v>
      </c>
      <c r="F94" s="11" t="s">
        <v>35</v>
      </c>
      <c r="G94" s="12">
        <v>4000</v>
      </c>
      <c r="H94" s="11" t="s">
        <v>46</v>
      </c>
      <c r="I94" s="11" t="s">
        <v>47</v>
      </c>
      <c r="J94" s="13">
        <f>VLOOKUP(C94&amp;I94&amp;E94,Orig_Dest!$A$2:$E$1876,5,FALSE)</f>
        <v>0</v>
      </c>
      <c r="K94" s="14" t="str">
        <f t="shared" si="0"/>
        <v>Dia 43</v>
      </c>
      <c r="L94" s="15" t="str">
        <f>IF(B94="Fornecedor",IF(VLOOKUP(C94,Base_Dados!$E$1:$F$7,2,FALSE)=F94," ","Fornecedor inválido!")," ")</f>
        <v xml:space="preserve"> </v>
      </c>
      <c r="M94" s="16" t="str">
        <f>IF(AND(LEFT(F94,2)="MP",H94&lt;&gt;Base_Dados!$A$1),"Impossível!!!"," ")</f>
        <v xml:space="preserve"> </v>
      </c>
      <c r="N94" s="15" t="str">
        <f>IF(E94="Avião",IF($G94&lt;=VLOOKUP($F94,Base_Dados!$K$1:$O$7,3,FALSE)," ","Limite "&amp;VLOOKUP($F94,Base_Dados!$K$1:$O$11,3,FALSE)&amp;" "&amp;VLOOKUP($F94,Base_Dados!$K$1:$O$11,2,FALSE))," ")</f>
        <v xml:space="preserve"> </v>
      </c>
      <c r="O94" s="15" t="str">
        <f>IF(E94="Caminhão",IF($G94&lt;=VLOOKUP($F94,Base_Dados!$K$1:$O$7,4,FALSE)," ","Limite "&amp;VLOOKUP($F94,Base_Dados!$K$1:$O$11,4,FALSE)&amp;" "&amp;VLOOKUP($F94,Base_Dados!$K$1:$O$11,2,FALSE))," ")</f>
        <v xml:space="preserve"> </v>
      </c>
      <c r="P94" s="15" t="str">
        <f>IF(E94="Navio",IF($G94&lt;=VLOOKUP($F94,Base_Dados!$K$1:$O$7,5,FALSE)," ","Limite "&amp;VLOOKUP($F94,Base_Dados!$K$1:$O$11,5,FALSE)&amp;" "&amp;VLOOKUP($F94,Base_Dados!$K$1:$O$11,2,FALSE))," ")</f>
        <v xml:space="preserve"> </v>
      </c>
      <c r="Q94" s="15" t="str">
        <f t="shared" si="1"/>
        <v/>
      </c>
      <c r="R94" s="1"/>
      <c r="S94" s="1"/>
      <c r="T94" s="1"/>
      <c r="U94" s="1"/>
      <c r="V94" s="1"/>
      <c r="W94" s="1"/>
      <c r="X94" s="1"/>
      <c r="Y94" s="1"/>
      <c r="Z94" s="1"/>
    </row>
    <row r="95" spans="1:26" ht="24" customHeight="1" x14ac:dyDescent="0.3">
      <c r="A95" s="10" t="s">
        <v>21</v>
      </c>
      <c r="B95" s="10" t="s">
        <v>27</v>
      </c>
      <c r="C95" s="11" t="s">
        <v>28</v>
      </c>
      <c r="D95" s="11" t="s">
        <v>42</v>
      </c>
      <c r="E95" s="11" t="s">
        <v>31</v>
      </c>
      <c r="F95" s="11" t="s">
        <v>35</v>
      </c>
      <c r="G95" s="12">
        <v>4000</v>
      </c>
      <c r="H95" s="11" t="s">
        <v>46</v>
      </c>
      <c r="I95" s="11" t="s">
        <v>47</v>
      </c>
      <c r="J95" s="13">
        <f>VLOOKUP(C95&amp;I95&amp;E95,Orig_Dest!$A$2:$E$1876,5,FALSE)</f>
        <v>0</v>
      </c>
      <c r="K95" s="14" t="str">
        <f t="shared" si="0"/>
        <v>Dia 43</v>
      </c>
      <c r="L95" s="15" t="str">
        <f>IF(B95="Fornecedor",IF(VLOOKUP(C95,Base_Dados!$E$1:$F$7,2,FALSE)=F95," ","Fornecedor inválido!")," ")</f>
        <v xml:space="preserve"> </v>
      </c>
      <c r="M95" s="16" t="str">
        <f>IF(AND(LEFT(F95,2)="MP",H95&lt;&gt;Base_Dados!$A$1),"Impossível!!!"," ")</f>
        <v xml:space="preserve"> </v>
      </c>
      <c r="N95" s="15" t="str">
        <f>IF(E95="Avião",IF($G95&lt;=VLOOKUP($F95,Base_Dados!$K$1:$O$7,3,FALSE)," ","Limite "&amp;VLOOKUP($F95,Base_Dados!$K$1:$O$11,3,FALSE)&amp;" "&amp;VLOOKUP($F95,Base_Dados!$K$1:$O$11,2,FALSE))," ")</f>
        <v xml:space="preserve"> </v>
      </c>
      <c r="O95" s="15" t="str">
        <f>IF(E95="Caminhão",IF($G95&lt;=VLOOKUP($F95,Base_Dados!$K$1:$O$7,4,FALSE)," ","Limite "&amp;VLOOKUP($F95,Base_Dados!$K$1:$O$11,4,FALSE)&amp;" "&amp;VLOOKUP($F95,Base_Dados!$K$1:$O$11,2,FALSE))," ")</f>
        <v xml:space="preserve"> </v>
      </c>
      <c r="P95" s="15" t="str">
        <f>IF(E95="Navio",IF($G95&lt;=VLOOKUP($F95,Base_Dados!$K$1:$O$7,5,FALSE)," ","Limite "&amp;VLOOKUP($F95,Base_Dados!$K$1:$O$11,5,FALSE)&amp;" "&amp;VLOOKUP($F95,Base_Dados!$K$1:$O$11,2,FALSE))," ")</f>
        <v xml:space="preserve"> </v>
      </c>
      <c r="Q95" s="15" t="str">
        <f t="shared" si="1"/>
        <v/>
      </c>
      <c r="R95" s="1"/>
      <c r="S95" s="1"/>
      <c r="T95" s="1"/>
      <c r="U95" s="1"/>
      <c r="V95" s="1"/>
      <c r="W95" s="1"/>
      <c r="X95" s="1"/>
      <c r="Y95" s="1"/>
      <c r="Z95" s="1"/>
    </row>
    <row r="96" spans="1:26" ht="24" customHeight="1" x14ac:dyDescent="0.3">
      <c r="A96" s="10" t="s">
        <v>21</v>
      </c>
      <c r="B96" s="10" t="s">
        <v>27</v>
      </c>
      <c r="C96" s="11" t="s">
        <v>28</v>
      </c>
      <c r="D96" s="11" t="s">
        <v>42</v>
      </c>
      <c r="E96" s="11" t="s">
        <v>31</v>
      </c>
      <c r="F96" s="11" t="s">
        <v>35</v>
      </c>
      <c r="G96" s="12">
        <v>4000</v>
      </c>
      <c r="H96" s="11" t="s">
        <v>46</v>
      </c>
      <c r="I96" s="11" t="s">
        <v>47</v>
      </c>
      <c r="J96" s="13">
        <f>VLOOKUP(C96&amp;I96&amp;E96,Orig_Dest!$A$2:$E$1876,5,FALSE)</f>
        <v>0</v>
      </c>
      <c r="K96" s="14" t="str">
        <f t="shared" si="0"/>
        <v>Dia 43</v>
      </c>
      <c r="L96" s="15" t="str">
        <f>IF(B96="Fornecedor",IF(VLOOKUP(C96,Base_Dados!$E$1:$F$7,2,FALSE)=F96," ","Fornecedor inválido!")," ")</f>
        <v xml:space="preserve"> </v>
      </c>
      <c r="M96" s="16" t="str">
        <f>IF(AND(LEFT(F96,2)="MP",H96&lt;&gt;Base_Dados!$A$1),"Impossível!!!"," ")</f>
        <v xml:space="preserve"> </v>
      </c>
      <c r="N96" s="15" t="str">
        <f>IF(E96="Avião",IF($G96&lt;=VLOOKUP($F96,Base_Dados!$K$1:$O$7,3,FALSE)," ","Limite "&amp;VLOOKUP($F96,Base_Dados!$K$1:$O$11,3,FALSE)&amp;" "&amp;VLOOKUP($F96,Base_Dados!$K$1:$O$11,2,FALSE))," ")</f>
        <v xml:space="preserve"> </v>
      </c>
      <c r="O96" s="15" t="str">
        <f>IF(E96="Caminhão",IF($G96&lt;=VLOOKUP($F96,Base_Dados!$K$1:$O$7,4,FALSE)," ","Limite "&amp;VLOOKUP($F96,Base_Dados!$K$1:$O$11,4,FALSE)&amp;" "&amp;VLOOKUP($F96,Base_Dados!$K$1:$O$11,2,FALSE))," ")</f>
        <v xml:space="preserve"> </v>
      </c>
      <c r="P96" s="15" t="str">
        <f>IF(E96="Navio",IF($G96&lt;=VLOOKUP($F96,Base_Dados!$K$1:$O$7,5,FALSE)," ","Limite "&amp;VLOOKUP($F96,Base_Dados!$K$1:$O$11,5,FALSE)&amp;" "&amp;VLOOKUP($F96,Base_Dados!$K$1:$O$11,2,FALSE))," ")</f>
        <v xml:space="preserve"> </v>
      </c>
      <c r="Q96" s="15" t="str">
        <f t="shared" si="1"/>
        <v/>
      </c>
      <c r="R96" s="1"/>
      <c r="S96" s="1"/>
      <c r="T96" s="1"/>
      <c r="U96" s="1"/>
      <c r="V96" s="1"/>
      <c r="W96" s="1"/>
      <c r="X96" s="1"/>
      <c r="Y96" s="1"/>
      <c r="Z96" s="1"/>
    </row>
    <row r="97" spans="1:26" ht="24" customHeight="1" x14ac:dyDescent="0.3">
      <c r="A97" s="10" t="s">
        <v>21</v>
      </c>
      <c r="B97" s="10" t="s">
        <v>27</v>
      </c>
      <c r="C97" s="11" t="s">
        <v>28</v>
      </c>
      <c r="D97" s="11" t="s">
        <v>42</v>
      </c>
      <c r="E97" s="11" t="s">
        <v>31</v>
      </c>
      <c r="F97" s="11" t="s">
        <v>35</v>
      </c>
      <c r="G97" s="12">
        <v>4000</v>
      </c>
      <c r="H97" s="11" t="s">
        <v>46</v>
      </c>
      <c r="I97" s="11" t="s">
        <v>47</v>
      </c>
      <c r="J97" s="13">
        <f>VLOOKUP(C97&amp;I97&amp;E97,Orig_Dest!$A$2:$E$1876,5,FALSE)</f>
        <v>0</v>
      </c>
      <c r="K97" s="14" t="str">
        <f t="shared" si="0"/>
        <v>Dia 43</v>
      </c>
      <c r="L97" s="15" t="str">
        <f>IF(B97="Fornecedor",IF(VLOOKUP(C97,Base_Dados!$E$1:$F$7,2,FALSE)=F97," ","Fornecedor inválido!")," ")</f>
        <v xml:space="preserve"> </v>
      </c>
      <c r="M97" s="16" t="str">
        <f>IF(AND(LEFT(F97,2)="MP",H97&lt;&gt;Base_Dados!$A$1),"Impossível!!!"," ")</f>
        <v xml:space="preserve"> </v>
      </c>
      <c r="N97" s="15" t="str">
        <f>IF(E97="Avião",IF($G97&lt;=VLOOKUP($F97,Base_Dados!$K$1:$O$7,3,FALSE)," ","Limite "&amp;VLOOKUP($F97,Base_Dados!$K$1:$O$11,3,FALSE)&amp;" "&amp;VLOOKUP($F97,Base_Dados!$K$1:$O$11,2,FALSE))," ")</f>
        <v xml:space="preserve"> </v>
      </c>
      <c r="O97" s="15" t="str">
        <f>IF(E97="Caminhão",IF($G97&lt;=VLOOKUP($F97,Base_Dados!$K$1:$O$7,4,FALSE)," ","Limite "&amp;VLOOKUP($F97,Base_Dados!$K$1:$O$11,4,FALSE)&amp;" "&amp;VLOOKUP($F97,Base_Dados!$K$1:$O$11,2,FALSE))," ")</f>
        <v xml:space="preserve"> </v>
      </c>
      <c r="P97" s="15" t="str">
        <f>IF(E97="Navio",IF($G97&lt;=VLOOKUP($F97,Base_Dados!$K$1:$O$7,5,FALSE)," ","Limite "&amp;VLOOKUP($F97,Base_Dados!$K$1:$O$11,5,FALSE)&amp;" "&amp;VLOOKUP($F97,Base_Dados!$K$1:$O$11,2,FALSE))," ")</f>
        <v xml:space="preserve"> </v>
      </c>
      <c r="Q97" s="15" t="str">
        <f t="shared" si="1"/>
        <v/>
      </c>
      <c r="R97" s="1"/>
      <c r="S97" s="1"/>
      <c r="T97" s="1"/>
      <c r="U97" s="1"/>
      <c r="V97" s="1"/>
      <c r="W97" s="1"/>
      <c r="X97" s="1"/>
      <c r="Y97" s="1"/>
      <c r="Z97" s="1"/>
    </row>
    <row r="98" spans="1:26" ht="24" customHeight="1" x14ac:dyDescent="0.3">
      <c r="A98" s="10" t="s">
        <v>21</v>
      </c>
      <c r="B98" s="10" t="s">
        <v>27</v>
      </c>
      <c r="C98" s="11" t="s">
        <v>28</v>
      </c>
      <c r="D98" s="11" t="s">
        <v>42</v>
      </c>
      <c r="E98" s="11" t="s">
        <v>31</v>
      </c>
      <c r="F98" s="11" t="s">
        <v>35</v>
      </c>
      <c r="G98" s="12">
        <v>2400</v>
      </c>
      <c r="H98" s="11" t="s">
        <v>46</v>
      </c>
      <c r="I98" s="11" t="s">
        <v>47</v>
      </c>
      <c r="J98" s="13">
        <f>VLOOKUP(C98&amp;I98&amp;E98,Orig_Dest!$A$2:$E$1876,5,FALSE)</f>
        <v>0</v>
      </c>
      <c r="K98" s="14" t="str">
        <f t="shared" si="0"/>
        <v>Dia 43</v>
      </c>
      <c r="L98" s="15" t="str">
        <f>IF(B98="Fornecedor",IF(VLOOKUP(C98,Base_Dados!$E$1:$F$7,2,FALSE)=F98," ","Fornecedor inválido!")," ")</f>
        <v xml:space="preserve"> </v>
      </c>
      <c r="M98" s="16" t="str">
        <f>IF(AND(LEFT(F98,2)="MP",H98&lt;&gt;Base_Dados!$A$1),"Impossível!!!"," ")</f>
        <v xml:space="preserve"> </v>
      </c>
      <c r="N98" s="15" t="str">
        <f>IF(E98="Avião",IF($G98&lt;=VLOOKUP($F98,Base_Dados!$K$1:$O$7,3,FALSE)," ","Limite "&amp;VLOOKUP($F98,Base_Dados!$K$1:$O$11,3,FALSE)&amp;" "&amp;VLOOKUP($F98,Base_Dados!$K$1:$O$11,2,FALSE))," ")</f>
        <v xml:space="preserve"> </v>
      </c>
      <c r="O98" s="15" t="str">
        <f>IF(E98="Caminhão",IF($G98&lt;=VLOOKUP($F98,Base_Dados!$K$1:$O$7,4,FALSE)," ","Limite "&amp;VLOOKUP($F98,Base_Dados!$K$1:$O$11,4,FALSE)&amp;" "&amp;VLOOKUP($F98,Base_Dados!$K$1:$O$11,2,FALSE))," ")</f>
        <v xml:space="preserve"> </v>
      </c>
      <c r="P98" s="15" t="str">
        <f>IF(E98="Navio",IF($G98&lt;=VLOOKUP($F98,Base_Dados!$K$1:$O$7,5,FALSE)," ","Limite "&amp;VLOOKUP($F98,Base_Dados!$K$1:$O$11,5,FALSE)&amp;" "&amp;VLOOKUP($F98,Base_Dados!$K$1:$O$11,2,FALSE))," ")</f>
        <v xml:space="preserve"> </v>
      </c>
      <c r="Q98" s="15" t="str">
        <f t="shared" si="1"/>
        <v/>
      </c>
      <c r="R98" s="1"/>
      <c r="S98" s="1"/>
      <c r="T98" s="1"/>
      <c r="U98" s="1"/>
      <c r="V98" s="1"/>
      <c r="W98" s="1"/>
      <c r="X98" s="1"/>
      <c r="Y98" s="1"/>
      <c r="Z98" s="1"/>
    </row>
    <row r="99" spans="1:26" ht="24" customHeight="1" x14ac:dyDescent="0.3">
      <c r="A99" s="10" t="s">
        <v>21</v>
      </c>
      <c r="B99" s="10" t="s">
        <v>27</v>
      </c>
      <c r="C99" s="11" t="s">
        <v>28</v>
      </c>
      <c r="D99" s="11" t="s">
        <v>45</v>
      </c>
      <c r="E99" s="11" t="s">
        <v>32</v>
      </c>
      <c r="F99" s="11" t="s">
        <v>35</v>
      </c>
      <c r="G99" s="12">
        <v>150789</v>
      </c>
      <c r="H99" s="11" t="s">
        <v>46</v>
      </c>
      <c r="I99" s="11" t="s">
        <v>47</v>
      </c>
      <c r="J99" s="13">
        <f>VLOOKUP(C99&amp;I99&amp;E99,Orig_Dest!$A$2:$E$1876,5,FALSE)</f>
        <v>1</v>
      </c>
      <c r="K99" s="14" t="str">
        <f t="shared" si="0"/>
        <v>Dia 45</v>
      </c>
      <c r="L99" s="15" t="str">
        <f>IF(B99="Fornecedor",IF(VLOOKUP(C99,Base_Dados!$E$1:$F$7,2,FALSE)=F99," ","Fornecedor inválido!")," ")</f>
        <v xml:space="preserve"> </v>
      </c>
      <c r="M99" s="16" t="str">
        <f>IF(AND(LEFT(F99,2)="MP",H99&lt;&gt;Base_Dados!$A$1),"Impossível!!!"," ")</f>
        <v xml:space="preserve"> </v>
      </c>
      <c r="N99" s="15" t="str">
        <f>IF(E99="Avião",IF($G99&lt;=VLOOKUP($F99,Base_Dados!$K$1:$O$7,3,FALSE)," ","Limite "&amp;VLOOKUP($F99,Base_Dados!$K$1:$O$11,3,FALSE)&amp;" "&amp;VLOOKUP($F99,Base_Dados!$K$1:$O$11,2,FALSE))," ")</f>
        <v xml:space="preserve"> </v>
      </c>
      <c r="O99" s="15" t="str">
        <f>IF(E99="Caminhão",IF($G99&lt;=VLOOKUP($F99,Base_Dados!$K$1:$O$7,4,FALSE)," ","Limite "&amp;VLOOKUP($F99,Base_Dados!$K$1:$O$11,4,FALSE)&amp;" "&amp;VLOOKUP($F99,Base_Dados!$K$1:$O$11,2,FALSE))," ")</f>
        <v xml:space="preserve"> </v>
      </c>
      <c r="P99" s="15" t="str">
        <f>IF(E99="Navio",IF($G99&lt;=VLOOKUP($F99,Base_Dados!$K$1:$O$7,5,FALSE)," ","Limite "&amp;VLOOKUP($F99,Base_Dados!$K$1:$O$11,5,FALSE)&amp;" "&amp;VLOOKUP($F99,Base_Dados!$K$1:$O$11,2,FALSE))," ")</f>
        <v xml:space="preserve"> </v>
      </c>
      <c r="Q99" s="15" t="str">
        <f t="shared" si="1"/>
        <v/>
      </c>
      <c r="R99" s="1"/>
      <c r="S99" s="1"/>
      <c r="T99" s="1"/>
      <c r="U99" s="1"/>
      <c r="V99" s="1"/>
      <c r="W99" s="1"/>
      <c r="X99" s="1"/>
      <c r="Y99" s="1"/>
      <c r="Z99" s="1"/>
    </row>
    <row r="100" spans="1:26" ht="24" customHeight="1" x14ac:dyDescent="0.3">
      <c r="A100" s="10" t="s">
        <v>21</v>
      </c>
      <c r="B100" s="10" t="s">
        <v>46</v>
      </c>
      <c r="C100" s="11" t="s">
        <v>50</v>
      </c>
      <c r="D100" s="11" t="s">
        <v>24</v>
      </c>
      <c r="E100" s="11" t="s">
        <v>32</v>
      </c>
      <c r="F100" s="11" t="s">
        <v>35</v>
      </c>
      <c r="G100" s="12">
        <v>16257</v>
      </c>
      <c r="H100" s="11" t="s">
        <v>51</v>
      </c>
      <c r="I100" s="11" t="s">
        <v>48</v>
      </c>
      <c r="J100" s="13">
        <f>VLOOKUP(C100&amp;I100&amp;E100,Orig_Dest!$A$2:$E$1876,5,FALSE)</f>
        <v>1</v>
      </c>
      <c r="K100" s="14" t="str">
        <f t="shared" si="0"/>
        <v>Dia 43</v>
      </c>
      <c r="L100" s="15" t="str">
        <f>IF(B100="Fornecedor",IF(VLOOKUP(C100,Base_Dados!$E$1:$F$7,2,FALSE)=F100," ","Fornecedor inválido!")," ")</f>
        <v xml:space="preserve"> </v>
      </c>
      <c r="M100" s="16" t="str">
        <f>IF(AND(LEFT(F100,2)="MP",H100&lt;&gt;Base_Dados!$A$1),"Impossível!!!"," ")</f>
        <v xml:space="preserve"> </v>
      </c>
      <c r="N100" s="15" t="str">
        <f>IF(E100="Avião",IF($G100&lt;=VLOOKUP($F100,Base_Dados!$K$1:$O$7,3,FALSE)," ","Limite "&amp;VLOOKUP($F100,Base_Dados!$K$1:$O$11,3,FALSE)&amp;" "&amp;VLOOKUP($F100,Base_Dados!$K$1:$O$11,2,FALSE))," ")</f>
        <v xml:space="preserve"> </v>
      </c>
      <c r="O100" s="15" t="str">
        <f>IF(E100="Caminhão",IF($G100&lt;=VLOOKUP($F100,Base_Dados!$K$1:$O$7,4,FALSE)," ","Limite "&amp;VLOOKUP($F100,Base_Dados!$K$1:$O$11,4,FALSE)&amp;" "&amp;VLOOKUP($F100,Base_Dados!$K$1:$O$11,2,FALSE))," ")</f>
        <v xml:space="preserve"> </v>
      </c>
      <c r="P100" s="15" t="str">
        <f>IF(E100="Navio",IF($G100&lt;=VLOOKUP($F100,Base_Dados!$K$1:$O$7,5,FALSE)," ","Limite "&amp;VLOOKUP($F100,Base_Dados!$K$1:$O$11,5,FALSE)&amp;" "&amp;VLOOKUP($F100,Base_Dados!$K$1:$O$11,2,FALSE))," ")</f>
        <v xml:space="preserve"> </v>
      </c>
      <c r="Q100" s="15" t="str">
        <f t="shared" si="1"/>
        <v/>
      </c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24" customHeight="1" x14ac:dyDescent="0.3">
      <c r="A101" s="10" t="s">
        <v>21</v>
      </c>
      <c r="B101" s="10" t="s">
        <v>46</v>
      </c>
      <c r="C101" s="11" t="s">
        <v>47</v>
      </c>
      <c r="D101" s="11" t="s">
        <v>24</v>
      </c>
      <c r="E101" s="11" t="s">
        <v>25</v>
      </c>
      <c r="F101" s="11" t="s">
        <v>35</v>
      </c>
      <c r="G101" s="12">
        <v>48771</v>
      </c>
      <c r="H101" s="11" t="s">
        <v>51</v>
      </c>
      <c r="I101" s="11" t="s">
        <v>52</v>
      </c>
      <c r="J101" s="13">
        <f>VLOOKUP(C101&amp;I101&amp;E101,Orig_Dest!$A$2:$E$1876,5,FALSE)</f>
        <v>1</v>
      </c>
      <c r="K101" s="14" t="str">
        <f t="shared" si="0"/>
        <v>Dia 43</v>
      </c>
      <c r="L101" s="15" t="str">
        <f>IF(B101="Fornecedor",IF(VLOOKUP(C101,Base_Dados!$E$1:$F$7,2,FALSE)=F101," ","Fornecedor inválido!")," ")</f>
        <v xml:space="preserve"> </v>
      </c>
      <c r="M101" s="16" t="str">
        <f>IF(AND(LEFT(F101,2)="MP",H101&lt;&gt;Base_Dados!$A$1),"Impossível!!!"," ")</f>
        <v xml:space="preserve"> </v>
      </c>
      <c r="N101" s="15" t="str">
        <f>IF(E101="Avião",IF($G101&lt;=VLOOKUP($F101,Base_Dados!$K$1:$O$7,3,FALSE)," ","Limite "&amp;VLOOKUP($F101,Base_Dados!$K$1:$O$11,3,FALSE)&amp;" "&amp;VLOOKUP($F101,Base_Dados!$K$1:$O$11,2,FALSE))," ")</f>
        <v xml:space="preserve"> </v>
      </c>
      <c r="O101" s="15" t="str">
        <f>IF(E101="Caminhão",IF($G101&lt;=VLOOKUP($F101,Base_Dados!$K$1:$O$7,4,FALSE)," ","Limite "&amp;VLOOKUP($F101,Base_Dados!$K$1:$O$11,4,FALSE)&amp;" "&amp;VLOOKUP($F101,Base_Dados!$K$1:$O$11,2,FALSE))," ")</f>
        <v xml:space="preserve"> </v>
      </c>
      <c r="P101" s="15" t="str">
        <f>IF(E101="Navio",IF($G101&lt;=VLOOKUP($F101,Base_Dados!$K$1:$O$7,5,FALSE)," ","Limite "&amp;VLOOKUP($F101,Base_Dados!$K$1:$O$11,5,FALSE)&amp;" "&amp;VLOOKUP($F101,Base_Dados!$K$1:$O$11,2,FALSE))," ")</f>
        <v xml:space="preserve"> </v>
      </c>
      <c r="Q101" s="15" t="str">
        <f t="shared" si="1"/>
        <v/>
      </c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24" customHeight="1" x14ac:dyDescent="0.3">
      <c r="A102" s="10" t="s">
        <v>21</v>
      </c>
      <c r="B102" s="10" t="s">
        <v>46</v>
      </c>
      <c r="C102" s="11" t="s">
        <v>47</v>
      </c>
      <c r="D102" s="11" t="s">
        <v>24</v>
      </c>
      <c r="E102" s="11" t="s">
        <v>25</v>
      </c>
      <c r="F102" s="11" t="s">
        <v>35</v>
      </c>
      <c r="G102" s="12">
        <v>69673</v>
      </c>
      <c r="H102" s="11" t="s">
        <v>51</v>
      </c>
      <c r="I102" s="11" t="s">
        <v>53</v>
      </c>
      <c r="J102" s="13">
        <f>VLOOKUP(C102&amp;I102&amp;E102,Orig_Dest!$A$2:$E$1876,5,FALSE)</f>
        <v>1</v>
      </c>
      <c r="K102" s="14" t="str">
        <f t="shared" si="0"/>
        <v>Dia 43</v>
      </c>
      <c r="L102" s="15" t="str">
        <f>IF(B102="Fornecedor",IF(VLOOKUP(C102,Base_Dados!$E$1:$F$7,2,FALSE)=F102," ","Fornecedor inválido!")," ")</f>
        <v xml:space="preserve"> </v>
      </c>
      <c r="M102" s="16" t="str">
        <f>IF(AND(LEFT(F102,2)="MP",H102&lt;&gt;Base_Dados!$A$1),"Impossível!!!"," ")</f>
        <v xml:space="preserve"> </v>
      </c>
      <c r="N102" s="15" t="str">
        <f>IF(E102="Avião",IF($G102&lt;=VLOOKUP($F102,Base_Dados!$K$1:$O$7,3,FALSE)," ","Limite "&amp;VLOOKUP($F102,Base_Dados!$K$1:$O$11,3,FALSE)&amp;" "&amp;VLOOKUP($F102,Base_Dados!$K$1:$O$11,2,FALSE))," ")</f>
        <v xml:space="preserve"> </v>
      </c>
      <c r="O102" s="15" t="str">
        <f>IF(E102="Caminhão",IF($G102&lt;=VLOOKUP($F102,Base_Dados!$K$1:$O$7,4,FALSE)," ","Limite "&amp;VLOOKUP($F102,Base_Dados!$K$1:$O$11,4,FALSE)&amp;" "&amp;VLOOKUP($F102,Base_Dados!$K$1:$O$11,2,FALSE))," ")</f>
        <v xml:space="preserve"> </v>
      </c>
      <c r="P102" s="15" t="str">
        <f>IF(E102="Navio",IF($G102&lt;=VLOOKUP($F102,Base_Dados!$K$1:$O$7,5,FALSE)," ","Limite "&amp;VLOOKUP($F102,Base_Dados!$K$1:$O$11,5,FALSE)&amp;" "&amp;VLOOKUP($F102,Base_Dados!$K$1:$O$11,2,FALSE))," ")</f>
        <v xml:space="preserve"> </v>
      </c>
      <c r="Q102" s="15" t="str">
        <f t="shared" si="1"/>
        <v/>
      </c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24" customHeight="1" x14ac:dyDescent="0.3">
      <c r="A103" s="10" t="s">
        <v>21</v>
      </c>
      <c r="B103" s="10" t="s">
        <v>46</v>
      </c>
      <c r="C103" s="11" t="s">
        <v>47</v>
      </c>
      <c r="D103" s="11" t="s">
        <v>42</v>
      </c>
      <c r="E103" s="11" t="s">
        <v>25</v>
      </c>
      <c r="F103" s="11" t="s">
        <v>35</v>
      </c>
      <c r="G103" s="12">
        <v>39017</v>
      </c>
      <c r="H103" s="11" t="s">
        <v>51</v>
      </c>
      <c r="I103" s="11" t="s">
        <v>54</v>
      </c>
      <c r="J103" s="13">
        <f>VLOOKUP(C103&amp;I103&amp;E103,Orig_Dest!$A$2:$E$1876,5,FALSE)</f>
        <v>0</v>
      </c>
      <c r="K103" s="14" t="str">
        <f t="shared" si="0"/>
        <v>Dia 43</v>
      </c>
      <c r="L103" s="15" t="str">
        <f>IF(B103="Fornecedor",IF(VLOOKUP(C103,Base_Dados!$E$1:$F$7,2,FALSE)=F103," ","Fornecedor inválido!")," ")</f>
        <v xml:space="preserve"> </v>
      </c>
      <c r="M103" s="16" t="str">
        <f>IF(AND(LEFT(F103,2)="MP",H103&lt;&gt;Base_Dados!$A$1),"Impossível!!!"," ")</f>
        <v xml:space="preserve"> </v>
      </c>
      <c r="N103" s="15" t="str">
        <f>IF(E103="Avião",IF($G103&lt;=VLOOKUP($F103,Base_Dados!$K$1:$O$7,3,FALSE)," ","Limite "&amp;VLOOKUP($F103,Base_Dados!$K$1:$O$11,3,FALSE)&amp;" "&amp;VLOOKUP($F103,Base_Dados!$K$1:$O$11,2,FALSE))," ")</f>
        <v xml:space="preserve"> </v>
      </c>
      <c r="O103" s="15" t="str">
        <f>IF(E103="Caminhão",IF($G103&lt;=VLOOKUP($F103,Base_Dados!$K$1:$O$7,4,FALSE)," ","Limite "&amp;VLOOKUP($F103,Base_Dados!$K$1:$O$11,4,FALSE)&amp;" "&amp;VLOOKUP($F103,Base_Dados!$K$1:$O$11,2,FALSE))," ")</f>
        <v xml:space="preserve"> </v>
      </c>
      <c r="P103" s="15" t="str">
        <f>IF(E103="Navio",IF($G103&lt;=VLOOKUP($F103,Base_Dados!$K$1:$O$7,5,FALSE)," ","Limite "&amp;VLOOKUP($F103,Base_Dados!$K$1:$O$11,5,FALSE)&amp;" "&amp;VLOOKUP($F103,Base_Dados!$K$1:$O$11,2,FALSE))," ")</f>
        <v xml:space="preserve"> </v>
      </c>
      <c r="Q103" s="15" t="str">
        <f t="shared" si="1"/>
        <v/>
      </c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24" customHeight="1" x14ac:dyDescent="0.3">
      <c r="A104" s="10" t="s">
        <v>21</v>
      </c>
      <c r="B104" s="10" t="s">
        <v>46</v>
      </c>
      <c r="C104" s="11" t="s">
        <v>47</v>
      </c>
      <c r="D104" s="11" t="s">
        <v>24</v>
      </c>
      <c r="E104" s="11" t="s">
        <v>25</v>
      </c>
      <c r="F104" s="11" t="s">
        <v>35</v>
      </c>
      <c r="G104" s="12">
        <v>13935</v>
      </c>
      <c r="H104" s="11" t="s">
        <v>51</v>
      </c>
      <c r="I104" s="11" t="s">
        <v>55</v>
      </c>
      <c r="J104" s="13">
        <f>VLOOKUP(C104&amp;I104&amp;E104,Orig_Dest!$A$2:$E$1876,5,FALSE)</f>
        <v>1</v>
      </c>
      <c r="K104" s="14" t="str">
        <f t="shared" si="0"/>
        <v>Dia 43</v>
      </c>
      <c r="L104" s="15" t="str">
        <f>IF(B104="Fornecedor",IF(VLOOKUP(C104,Base_Dados!$E$1:$F$7,2,FALSE)=F104," ","Fornecedor inválido!")," ")</f>
        <v xml:space="preserve"> </v>
      </c>
      <c r="M104" s="16" t="str">
        <f>IF(AND(LEFT(F104,2)="MP",H104&lt;&gt;Base_Dados!$A$1),"Impossível!!!"," ")</f>
        <v xml:space="preserve"> </v>
      </c>
      <c r="N104" s="15" t="str">
        <f>IF(E104="Avião",IF($G104&lt;=VLOOKUP($F104,Base_Dados!$K$1:$O$7,3,FALSE)," ","Limite "&amp;VLOOKUP($F104,Base_Dados!$K$1:$O$11,3,FALSE)&amp;" "&amp;VLOOKUP($F104,Base_Dados!$K$1:$O$11,2,FALSE))," ")</f>
        <v xml:space="preserve"> </v>
      </c>
      <c r="O104" s="15" t="str">
        <f>IF(E104="Caminhão",IF($G104&lt;=VLOOKUP($F104,Base_Dados!$K$1:$O$7,4,FALSE)," ","Limite "&amp;VLOOKUP($F104,Base_Dados!$K$1:$O$11,4,FALSE)&amp;" "&amp;VLOOKUP($F104,Base_Dados!$K$1:$O$11,2,FALSE))," ")</f>
        <v xml:space="preserve"> </v>
      </c>
      <c r="P104" s="15" t="str">
        <f>IF(E104="Navio",IF($G104&lt;=VLOOKUP($F104,Base_Dados!$K$1:$O$7,5,FALSE)," ","Limite "&amp;VLOOKUP($F104,Base_Dados!$K$1:$O$11,5,FALSE)&amp;" "&amp;VLOOKUP($F104,Base_Dados!$K$1:$O$11,2,FALSE))," ")</f>
        <v xml:space="preserve"> </v>
      </c>
      <c r="Q104" s="15" t="str">
        <f t="shared" si="1"/>
        <v/>
      </c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24" customHeight="1" x14ac:dyDescent="0.3">
      <c r="A105" s="10" t="s">
        <v>21</v>
      </c>
      <c r="B105" s="10" t="s">
        <v>46</v>
      </c>
      <c r="C105" s="11" t="s">
        <v>47</v>
      </c>
      <c r="D105" s="11" t="s">
        <v>24</v>
      </c>
      <c r="E105" s="11" t="s">
        <v>25</v>
      </c>
      <c r="F105" s="11" t="s">
        <v>35</v>
      </c>
      <c r="G105" s="12">
        <v>16722</v>
      </c>
      <c r="H105" s="11" t="s">
        <v>51</v>
      </c>
      <c r="I105" s="11" t="s">
        <v>37</v>
      </c>
      <c r="J105" s="13">
        <f>VLOOKUP(C105&amp;I105&amp;E105,Orig_Dest!$A$2:$E$1876,5,FALSE)</f>
        <v>1</v>
      </c>
      <c r="K105" s="14" t="str">
        <f t="shared" si="0"/>
        <v>Dia 43</v>
      </c>
      <c r="L105" s="15" t="str">
        <f>IF(B105="Fornecedor",IF(VLOOKUP(C105,Base_Dados!$E$1:$F$7,2,FALSE)=F105," ","Fornecedor inválido!")," ")</f>
        <v xml:space="preserve"> </v>
      </c>
      <c r="M105" s="16" t="str">
        <f>IF(AND(LEFT(F105,2)="MP",H105&lt;&gt;Base_Dados!$A$1),"Impossível!!!"," ")</f>
        <v xml:space="preserve"> </v>
      </c>
      <c r="N105" s="15" t="str">
        <f>IF(E105="Avião",IF($G105&lt;=VLOOKUP($F105,Base_Dados!$K$1:$O$7,3,FALSE)," ","Limite "&amp;VLOOKUP($F105,Base_Dados!$K$1:$O$11,3,FALSE)&amp;" "&amp;VLOOKUP($F105,Base_Dados!$K$1:$O$11,2,FALSE))," ")</f>
        <v xml:space="preserve"> </v>
      </c>
      <c r="O105" s="15" t="str">
        <f>IF(E105="Caminhão",IF($G105&lt;=VLOOKUP($F105,Base_Dados!$K$1:$O$7,4,FALSE)," ","Limite "&amp;VLOOKUP($F105,Base_Dados!$K$1:$O$11,4,FALSE)&amp;" "&amp;VLOOKUP($F105,Base_Dados!$K$1:$O$11,2,FALSE))," ")</f>
        <v xml:space="preserve"> </v>
      </c>
      <c r="P105" s="15" t="str">
        <f>IF(E105="Navio",IF($G105&lt;=VLOOKUP($F105,Base_Dados!$K$1:$O$7,5,FALSE)," ","Limite "&amp;VLOOKUP($F105,Base_Dados!$K$1:$O$11,5,FALSE)&amp;" "&amp;VLOOKUP($F105,Base_Dados!$K$1:$O$11,2,FALSE))," ")</f>
        <v xml:space="preserve"> </v>
      </c>
      <c r="Q105" s="15" t="str">
        <f t="shared" si="1"/>
        <v/>
      </c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24" customHeight="1" x14ac:dyDescent="0.3">
      <c r="A106" s="10" t="s">
        <v>21</v>
      </c>
      <c r="B106" s="10" t="s">
        <v>46</v>
      </c>
      <c r="C106" s="11" t="s">
        <v>47</v>
      </c>
      <c r="D106" s="11" t="s">
        <v>42</v>
      </c>
      <c r="E106" s="11" t="s">
        <v>32</v>
      </c>
      <c r="F106" s="11" t="s">
        <v>35</v>
      </c>
      <c r="G106" s="12">
        <v>61312</v>
      </c>
      <c r="H106" s="11" t="s">
        <v>51</v>
      </c>
      <c r="I106" s="11" t="s">
        <v>56</v>
      </c>
      <c r="J106" s="13">
        <f>VLOOKUP(C106&amp;I106&amp;E106,Orig_Dest!$A$2:$E$1876,5,FALSE)</f>
        <v>0</v>
      </c>
      <c r="K106" s="14" t="str">
        <f t="shared" si="0"/>
        <v>Dia 43</v>
      </c>
      <c r="L106" s="15" t="str">
        <f>IF(B106="Fornecedor",IF(VLOOKUP(C106,Base_Dados!$E$1:$F$7,2,FALSE)=F106," ","Fornecedor inválido!")," ")</f>
        <v xml:space="preserve"> </v>
      </c>
      <c r="M106" s="16" t="str">
        <f>IF(AND(LEFT(F106,2)="MP",H106&lt;&gt;Base_Dados!$A$1),"Impossível!!!"," ")</f>
        <v xml:space="preserve"> </v>
      </c>
      <c r="N106" s="15" t="str">
        <f>IF(E106="Avião",IF($G106&lt;=VLOOKUP($F106,Base_Dados!$K$1:$O$7,3,FALSE)," ","Limite "&amp;VLOOKUP($F106,Base_Dados!$K$1:$O$11,3,FALSE)&amp;" "&amp;VLOOKUP($F106,Base_Dados!$K$1:$O$11,2,FALSE))," ")</f>
        <v xml:space="preserve"> </v>
      </c>
      <c r="O106" s="15" t="str">
        <f>IF(E106="Caminhão",IF($G106&lt;=VLOOKUP($F106,Base_Dados!$K$1:$O$7,4,FALSE)," ","Limite "&amp;VLOOKUP($F106,Base_Dados!$K$1:$O$11,4,FALSE)&amp;" "&amp;VLOOKUP($F106,Base_Dados!$K$1:$O$11,2,FALSE))," ")</f>
        <v xml:space="preserve"> </v>
      </c>
      <c r="P106" s="15" t="str">
        <f>IF(E106="Navio",IF($G106&lt;=VLOOKUP($F106,Base_Dados!$K$1:$O$7,5,FALSE)," ","Limite "&amp;VLOOKUP($F106,Base_Dados!$K$1:$O$11,5,FALSE)&amp;" "&amp;VLOOKUP($F106,Base_Dados!$K$1:$O$11,2,FALSE))," ")</f>
        <v xml:space="preserve"> </v>
      </c>
      <c r="Q106" s="15" t="str">
        <f t="shared" si="1"/>
        <v/>
      </c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24" customHeight="1" x14ac:dyDescent="0.3">
      <c r="A107" s="10" t="s">
        <v>21</v>
      </c>
      <c r="B107" s="10" t="s">
        <v>46</v>
      </c>
      <c r="C107" s="11" t="s">
        <v>50</v>
      </c>
      <c r="D107" s="11" t="s">
        <v>24</v>
      </c>
      <c r="E107" s="11" t="s">
        <v>32</v>
      </c>
      <c r="F107" s="11" t="s">
        <v>35</v>
      </c>
      <c r="G107" s="12">
        <v>55274</v>
      </c>
      <c r="H107" s="11" t="s">
        <v>51</v>
      </c>
      <c r="I107" s="11" t="s">
        <v>57</v>
      </c>
      <c r="J107" s="13">
        <f>VLOOKUP(C107&amp;I107&amp;E107,Orig_Dest!$A$2:$E$1876,5,FALSE)</f>
        <v>1</v>
      </c>
      <c r="K107" s="14" t="str">
        <f t="shared" si="0"/>
        <v>Dia 43</v>
      </c>
      <c r="L107" s="15" t="str">
        <f>IF(B107="Fornecedor",IF(VLOOKUP(C107,Base_Dados!$E$1:$F$7,2,FALSE)=F107," ","Fornecedor inválido!")," ")</f>
        <v xml:space="preserve"> </v>
      </c>
      <c r="M107" s="16" t="str">
        <f>IF(AND(LEFT(F107,2)="MP",H107&lt;&gt;Base_Dados!$A$1),"Impossível!!!"," ")</f>
        <v xml:space="preserve"> </v>
      </c>
      <c r="N107" s="15" t="str">
        <f>IF(E107="Avião",IF($G107&lt;=VLOOKUP($F107,Base_Dados!$K$1:$O$7,3,FALSE)," ","Limite "&amp;VLOOKUP($F107,Base_Dados!$K$1:$O$11,3,FALSE)&amp;" "&amp;VLOOKUP($F107,Base_Dados!$K$1:$O$11,2,FALSE))," ")</f>
        <v xml:space="preserve"> </v>
      </c>
      <c r="O107" s="15" t="str">
        <f>IF(E107="Caminhão",IF($G107&lt;=VLOOKUP($F107,Base_Dados!$K$1:$O$7,4,FALSE)," ","Limite "&amp;VLOOKUP($F107,Base_Dados!$K$1:$O$11,4,FALSE)&amp;" "&amp;VLOOKUP($F107,Base_Dados!$K$1:$O$11,2,FALSE))," ")</f>
        <v xml:space="preserve"> </v>
      </c>
      <c r="P107" s="15" t="str">
        <f>IF(E107="Navio",IF($G107&lt;=VLOOKUP($F107,Base_Dados!$K$1:$O$7,5,FALSE)," ","Limite "&amp;VLOOKUP($F107,Base_Dados!$K$1:$O$11,5,FALSE)&amp;" "&amp;VLOOKUP($F107,Base_Dados!$K$1:$O$11,2,FALSE))," ")</f>
        <v xml:space="preserve"> </v>
      </c>
      <c r="Q107" s="15" t="str">
        <f t="shared" si="1"/>
        <v/>
      </c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24" customHeight="1" x14ac:dyDescent="0.3">
      <c r="A108" s="10" t="s">
        <v>21</v>
      </c>
      <c r="B108" s="10" t="s">
        <v>46</v>
      </c>
      <c r="C108" s="11" t="s">
        <v>47</v>
      </c>
      <c r="D108" s="11" t="s">
        <v>24</v>
      </c>
      <c r="E108" s="11" t="s">
        <v>25</v>
      </c>
      <c r="F108" s="11" t="s">
        <v>35</v>
      </c>
      <c r="G108" s="12">
        <v>39017</v>
      </c>
      <c r="H108" s="11" t="s">
        <v>51</v>
      </c>
      <c r="I108" s="11" t="s">
        <v>58</v>
      </c>
      <c r="J108" s="13">
        <f>VLOOKUP(C108&amp;I108&amp;E108,Orig_Dest!$A$2:$E$1876,5,FALSE)</f>
        <v>1</v>
      </c>
      <c r="K108" s="14" t="str">
        <f t="shared" si="0"/>
        <v>Dia 43</v>
      </c>
      <c r="L108" s="15" t="str">
        <f>IF(B108="Fornecedor",IF(VLOOKUP(C108,Base_Dados!$E$1:$F$7,2,FALSE)=F108," ","Fornecedor inválido!")," ")</f>
        <v xml:space="preserve"> </v>
      </c>
      <c r="M108" s="16" t="str">
        <f>IF(AND(LEFT(F108,2)="MP",H108&lt;&gt;Base_Dados!$A$1),"Impossível!!!"," ")</f>
        <v xml:space="preserve"> </v>
      </c>
      <c r="N108" s="15" t="str">
        <f>IF(E108="Avião",IF($G108&lt;=VLOOKUP($F108,Base_Dados!$K$1:$O$7,3,FALSE)," ","Limite "&amp;VLOOKUP($F108,Base_Dados!$K$1:$O$11,3,FALSE)&amp;" "&amp;VLOOKUP($F108,Base_Dados!$K$1:$O$11,2,FALSE))," ")</f>
        <v xml:space="preserve"> </v>
      </c>
      <c r="O108" s="15" t="str">
        <f>IF(E108="Caminhão",IF($G108&lt;=VLOOKUP($F108,Base_Dados!$K$1:$O$7,4,FALSE)," ","Limite "&amp;VLOOKUP($F108,Base_Dados!$K$1:$O$11,4,FALSE)&amp;" "&amp;VLOOKUP($F108,Base_Dados!$K$1:$O$11,2,FALSE))," ")</f>
        <v xml:space="preserve"> </v>
      </c>
      <c r="P108" s="15" t="str">
        <f>IF(E108="Navio",IF($G108&lt;=VLOOKUP($F108,Base_Dados!$K$1:$O$7,5,FALSE)," ","Limite "&amp;VLOOKUP($F108,Base_Dados!$K$1:$O$11,5,FALSE)&amp;" "&amp;VLOOKUP($F108,Base_Dados!$K$1:$O$11,2,FALSE))," ")</f>
        <v xml:space="preserve"> </v>
      </c>
      <c r="Q108" s="15" t="str">
        <f t="shared" si="1"/>
        <v/>
      </c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24" customHeight="1" x14ac:dyDescent="0.3">
      <c r="A109" s="10" t="s">
        <v>21</v>
      </c>
      <c r="B109" s="10" t="s">
        <v>46</v>
      </c>
      <c r="C109" s="11" t="s">
        <v>47</v>
      </c>
      <c r="D109" s="11" t="s">
        <v>38</v>
      </c>
      <c r="E109" s="11" t="s">
        <v>25</v>
      </c>
      <c r="F109" s="11" t="s">
        <v>35</v>
      </c>
      <c r="G109" s="12">
        <v>32514</v>
      </c>
      <c r="H109" s="11" t="s">
        <v>51</v>
      </c>
      <c r="I109" s="11" t="s">
        <v>59</v>
      </c>
      <c r="J109" s="13">
        <f>VLOOKUP(C109&amp;I109&amp;E109,Orig_Dest!$A$2:$E$1876,5,FALSE)</f>
        <v>2</v>
      </c>
      <c r="K109" s="14" t="str">
        <f t="shared" si="0"/>
        <v>Dia 43</v>
      </c>
      <c r="L109" s="15" t="str">
        <f>IF(B109="Fornecedor",IF(VLOOKUP(C109,Base_Dados!$E$1:$F$7,2,FALSE)=F109," ","Fornecedor inválido!")," ")</f>
        <v xml:space="preserve"> </v>
      </c>
      <c r="M109" s="16" t="str">
        <f>IF(AND(LEFT(F109,2)="MP",H109&lt;&gt;Base_Dados!$A$1),"Impossível!!!"," ")</f>
        <v xml:space="preserve"> </v>
      </c>
      <c r="N109" s="15" t="str">
        <f>IF(E109="Avião",IF($G109&lt;=VLOOKUP($F109,Base_Dados!$K$1:$O$7,3,FALSE)," ","Limite "&amp;VLOOKUP($F109,Base_Dados!$K$1:$O$11,3,FALSE)&amp;" "&amp;VLOOKUP($F109,Base_Dados!$K$1:$O$11,2,FALSE))," ")</f>
        <v xml:space="preserve"> </v>
      </c>
      <c r="O109" s="15" t="str">
        <f>IF(E109="Caminhão",IF($G109&lt;=VLOOKUP($F109,Base_Dados!$K$1:$O$7,4,FALSE)," ","Limite "&amp;VLOOKUP($F109,Base_Dados!$K$1:$O$11,4,FALSE)&amp;" "&amp;VLOOKUP($F109,Base_Dados!$K$1:$O$11,2,FALSE))," ")</f>
        <v xml:space="preserve"> </v>
      </c>
      <c r="P109" s="15" t="str">
        <f>IF(E109="Navio",IF($G109&lt;=VLOOKUP($F109,Base_Dados!$K$1:$O$7,5,FALSE)," ","Limite "&amp;VLOOKUP($F109,Base_Dados!$K$1:$O$11,5,FALSE)&amp;" "&amp;VLOOKUP($F109,Base_Dados!$K$1:$O$11,2,FALSE))," ")</f>
        <v xml:space="preserve"> </v>
      </c>
      <c r="Q109" s="15" t="str">
        <f t="shared" si="1"/>
        <v/>
      </c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24" customHeight="1" x14ac:dyDescent="0.3">
      <c r="A110" s="10" t="s">
        <v>21</v>
      </c>
      <c r="B110" s="10" t="s">
        <v>46</v>
      </c>
      <c r="C110" s="11" t="s">
        <v>47</v>
      </c>
      <c r="D110" s="11" t="s">
        <v>24</v>
      </c>
      <c r="E110" s="11" t="s">
        <v>25</v>
      </c>
      <c r="F110" s="11" t="s">
        <v>35</v>
      </c>
      <c r="G110" s="12">
        <v>16722</v>
      </c>
      <c r="H110" s="11" t="s">
        <v>51</v>
      </c>
      <c r="I110" s="11" t="s">
        <v>28</v>
      </c>
      <c r="J110" s="13">
        <f>VLOOKUP(C110&amp;I110&amp;E110,Orig_Dest!$A$2:$E$1876,5,FALSE)</f>
        <v>1</v>
      </c>
      <c r="K110" s="14" t="str">
        <f t="shared" si="0"/>
        <v>Dia 43</v>
      </c>
      <c r="L110" s="15" t="str">
        <f>IF(B110="Fornecedor",IF(VLOOKUP(C110,Base_Dados!$E$1:$F$7,2,FALSE)=F110," ","Fornecedor inválido!")," ")</f>
        <v xml:space="preserve"> </v>
      </c>
      <c r="M110" s="16" t="str">
        <f>IF(AND(LEFT(F110,2)="MP",H110&lt;&gt;Base_Dados!$A$1),"Impossível!!!"," ")</f>
        <v xml:space="preserve"> </v>
      </c>
      <c r="N110" s="15" t="str">
        <f>IF(E110="Avião",IF($G110&lt;=VLOOKUP($F110,Base_Dados!$K$1:$O$7,3,FALSE)," ","Limite "&amp;VLOOKUP($F110,Base_Dados!$K$1:$O$11,3,FALSE)&amp;" "&amp;VLOOKUP($F110,Base_Dados!$K$1:$O$11,2,FALSE))," ")</f>
        <v xml:space="preserve"> </v>
      </c>
      <c r="O110" s="15" t="str">
        <f>IF(E110="Caminhão",IF($G110&lt;=VLOOKUP($F110,Base_Dados!$K$1:$O$7,4,FALSE)," ","Limite "&amp;VLOOKUP($F110,Base_Dados!$K$1:$O$11,4,FALSE)&amp;" "&amp;VLOOKUP($F110,Base_Dados!$K$1:$O$11,2,FALSE))," ")</f>
        <v xml:space="preserve"> </v>
      </c>
      <c r="P110" s="15" t="str">
        <f>IF(E110="Navio",IF($G110&lt;=VLOOKUP($F110,Base_Dados!$K$1:$O$7,5,FALSE)," ","Limite "&amp;VLOOKUP($F110,Base_Dados!$K$1:$O$11,5,FALSE)&amp;" "&amp;VLOOKUP($F110,Base_Dados!$K$1:$O$11,2,FALSE))," ")</f>
        <v xml:space="preserve"> </v>
      </c>
      <c r="Q110" s="15" t="str">
        <f t="shared" si="1"/>
        <v/>
      </c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24" customHeight="1" x14ac:dyDescent="0.3">
      <c r="A111" s="10" t="s">
        <v>21</v>
      </c>
      <c r="B111" s="10" t="s">
        <v>46</v>
      </c>
      <c r="C111" s="11" t="s">
        <v>47</v>
      </c>
      <c r="D111" s="11" t="s">
        <v>38</v>
      </c>
      <c r="E111" s="11" t="s">
        <v>25</v>
      </c>
      <c r="F111" s="11" t="s">
        <v>35</v>
      </c>
      <c r="G111" s="12">
        <v>32514</v>
      </c>
      <c r="H111" s="11" t="s">
        <v>51</v>
      </c>
      <c r="I111" s="11" t="s">
        <v>60</v>
      </c>
      <c r="J111" s="13">
        <f>VLOOKUP(C111&amp;I111&amp;E111,Orig_Dest!$A$2:$E$1876,5,FALSE)</f>
        <v>2</v>
      </c>
      <c r="K111" s="14" t="str">
        <f t="shared" si="0"/>
        <v>Dia 43</v>
      </c>
      <c r="L111" s="15" t="str">
        <f>IF(B111="Fornecedor",IF(VLOOKUP(C111,Base_Dados!$E$1:$F$7,2,FALSE)=F111," ","Fornecedor inválido!")," ")</f>
        <v xml:space="preserve"> </v>
      </c>
      <c r="M111" s="16" t="str">
        <f>IF(AND(LEFT(F111,2)="MP",H111&lt;&gt;Base_Dados!$A$1),"Impossível!!!"," ")</f>
        <v xml:space="preserve"> </v>
      </c>
      <c r="N111" s="15" t="str">
        <f>IF(E111="Avião",IF($G111&lt;=VLOOKUP($F111,Base_Dados!$K$1:$O$7,3,FALSE)," ","Limite "&amp;VLOOKUP($F111,Base_Dados!$K$1:$O$11,3,FALSE)&amp;" "&amp;VLOOKUP($F111,Base_Dados!$K$1:$O$11,2,FALSE))," ")</f>
        <v xml:space="preserve"> </v>
      </c>
      <c r="O111" s="15" t="str">
        <f>IF(E111="Caminhão",IF($G111&lt;=VLOOKUP($F111,Base_Dados!$K$1:$O$7,4,FALSE)," ","Limite "&amp;VLOOKUP($F111,Base_Dados!$K$1:$O$11,4,FALSE)&amp;" "&amp;VLOOKUP($F111,Base_Dados!$K$1:$O$11,2,FALSE))," ")</f>
        <v xml:space="preserve"> </v>
      </c>
      <c r="P111" s="15" t="str">
        <f>IF(E111="Navio",IF($G111&lt;=VLOOKUP($F111,Base_Dados!$K$1:$O$7,5,FALSE)," ","Limite "&amp;VLOOKUP($F111,Base_Dados!$K$1:$O$11,5,FALSE)&amp;" "&amp;VLOOKUP($F111,Base_Dados!$K$1:$O$11,2,FALSE))," ")</f>
        <v xml:space="preserve"> </v>
      </c>
      <c r="Q111" s="15" t="str">
        <f t="shared" si="1"/>
        <v/>
      </c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24" customHeight="1" x14ac:dyDescent="0.3">
      <c r="A112" s="10" t="s">
        <v>21</v>
      </c>
      <c r="B112" s="10" t="s">
        <v>46</v>
      </c>
      <c r="C112" s="11" t="s">
        <v>50</v>
      </c>
      <c r="D112" s="11" t="s">
        <v>42</v>
      </c>
      <c r="E112" s="11" t="s">
        <v>31</v>
      </c>
      <c r="F112" s="11" t="s">
        <v>35</v>
      </c>
      <c r="G112" s="12">
        <v>487</v>
      </c>
      <c r="H112" s="11" t="s">
        <v>51</v>
      </c>
      <c r="I112" s="11" t="s">
        <v>23</v>
      </c>
      <c r="J112" s="13">
        <f>VLOOKUP(C112&amp;I112&amp;E112,Orig_Dest!$A$2:$E$1876,5,FALSE)</f>
        <v>0</v>
      </c>
      <c r="K112" s="14" t="str">
        <f t="shared" si="0"/>
        <v>Dia 43</v>
      </c>
      <c r="L112" s="15" t="str">
        <f>IF(B112="Fornecedor",IF(VLOOKUP(C112,Base_Dados!$E$1:$F$7,2,FALSE)=F112," ","Fornecedor inválido!")," ")</f>
        <v xml:space="preserve"> </v>
      </c>
      <c r="M112" s="16" t="str">
        <f>IF(AND(LEFT(F112,2)="MP",H112&lt;&gt;Base_Dados!$A$1),"Impossível!!!"," ")</f>
        <v xml:space="preserve"> </v>
      </c>
      <c r="N112" s="15" t="str">
        <f>IF(E112="Avião",IF($G112&lt;=VLOOKUP($F112,Base_Dados!$K$1:$O$7,3,FALSE)," ","Limite "&amp;VLOOKUP($F112,Base_Dados!$K$1:$O$11,3,FALSE)&amp;" "&amp;VLOOKUP($F112,Base_Dados!$K$1:$O$11,2,FALSE))," ")</f>
        <v xml:space="preserve"> </v>
      </c>
      <c r="O112" s="15" t="str">
        <f>IF(E112="Caminhão",IF($G112&lt;=VLOOKUP($F112,Base_Dados!$K$1:$O$7,4,FALSE)," ","Limite "&amp;VLOOKUP($F112,Base_Dados!$K$1:$O$11,4,FALSE)&amp;" "&amp;VLOOKUP($F112,Base_Dados!$K$1:$O$11,2,FALSE))," ")</f>
        <v xml:space="preserve"> </v>
      </c>
      <c r="P112" s="15" t="str">
        <f>IF(E112="Navio",IF($G112&lt;=VLOOKUP($F112,Base_Dados!$K$1:$O$7,5,FALSE)," ","Limite "&amp;VLOOKUP($F112,Base_Dados!$K$1:$O$11,5,FALSE)&amp;" "&amp;VLOOKUP($F112,Base_Dados!$K$1:$O$11,2,FALSE))," ")</f>
        <v xml:space="preserve"> </v>
      </c>
      <c r="Q112" s="15" t="str">
        <f t="shared" si="1"/>
        <v/>
      </c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24" customHeight="1" x14ac:dyDescent="0.3">
      <c r="A113" s="10" t="s">
        <v>21</v>
      </c>
      <c r="B113" s="10" t="s">
        <v>46</v>
      </c>
      <c r="C113" s="11" t="s">
        <v>47</v>
      </c>
      <c r="D113" s="11" t="s">
        <v>42</v>
      </c>
      <c r="E113" s="11" t="s">
        <v>31</v>
      </c>
      <c r="F113" s="11" t="s">
        <v>35</v>
      </c>
      <c r="G113" s="12">
        <v>4000</v>
      </c>
      <c r="H113" s="11" t="s">
        <v>51</v>
      </c>
      <c r="I113" s="11" t="s">
        <v>23</v>
      </c>
      <c r="J113" s="13">
        <f>VLOOKUP(C113&amp;I113&amp;E113,Orig_Dest!$A$2:$E$1876,5,FALSE)</f>
        <v>0</v>
      </c>
      <c r="K113" s="14" t="str">
        <f t="shared" si="0"/>
        <v>Dia 43</v>
      </c>
      <c r="L113" s="15" t="str">
        <f>IF(B113="Fornecedor",IF(VLOOKUP(C113,Base_Dados!$E$1:$F$7,2,FALSE)=F113," ","Fornecedor inválido!")," ")</f>
        <v xml:space="preserve"> </v>
      </c>
      <c r="M113" s="16" t="str">
        <f>IF(AND(LEFT(F113,2)="MP",H113&lt;&gt;Base_Dados!$A$1),"Impossível!!!"," ")</f>
        <v xml:space="preserve"> </v>
      </c>
      <c r="N113" s="15" t="str">
        <f>IF(E113="Avião",IF($G113&lt;=VLOOKUP($F113,Base_Dados!$K$1:$O$7,3,FALSE)," ","Limite "&amp;VLOOKUP($F113,Base_Dados!$K$1:$O$11,3,FALSE)&amp;" "&amp;VLOOKUP($F113,Base_Dados!$K$1:$O$11,2,FALSE))," ")</f>
        <v xml:space="preserve"> </v>
      </c>
      <c r="O113" s="15" t="str">
        <f>IF(E113="Caminhão",IF($G113&lt;=VLOOKUP($F113,Base_Dados!$K$1:$O$7,4,FALSE)," ","Limite "&amp;VLOOKUP($F113,Base_Dados!$K$1:$O$11,4,FALSE)&amp;" "&amp;VLOOKUP($F113,Base_Dados!$K$1:$O$11,2,FALSE))," ")</f>
        <v xml:space="preserve"> </v>
      </c>
      <c r="P113" s="15" t="str">
        <f>IF(E113="Navio",IF($G113&lt;=VLOOKUP($F113,Base_Dados!$K$1:$O$7,5,FALSE)," ","Limite "&amp;VLOOKUP($F113,Base_Dados!$K$1:$O$11,5,FALSE)&amp;" "&amp;VLOOKUP($F113,Base_Dados!$K$1:$O$11,2,FALSE))," ")</f>
        <v xml:space="preserve"> </v>
      </c>
      <c r="Q113" s="15" t="str">
        <f t="shared" si="1"/>
        <v/>
      </c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24" customHeight="1" x14ac:dyDescent="0.3">
      <c r="A114" s="10" t="s">
        <v>21</v>
      </c>
      <c r="B114" s="10" t="s">
        <v>46</v>
      </c>
      <c r="C114" s="11" t="s">
        <v>47</v>
      </c>
      <c r="D114" s="11" t="s">
        <v>42</v>
      </c>
      <c r="E114" s="11" t="s">
        <v>31</v>
      </c>
      <c r="F114" s="11" t="s">
        <v>35</v>
      </c>
      <c r="G114" s="12">
        <v>4000</v>
      </c>
      <c r="H114" s="11" t="s">
        <v>51</v>
      </c>
      <c r="I114" s="11" t="s">
        <v>23</v>
      </c>
      <c r="J114" s="13">
        <f>VLOOKUP(C114&amp;I114&amp;E114,Orig_Dest!$A$2:$E$1876,5,FALSE)</f>
        <v>0</v>
      </c>
      <c r="K114" s="14" t="str">
        <f t="shared" si="0"/>
        <v>Dia 43</v>
      </c>
      <c r="L114" s="15" t="str">
        <f>IF(B114="Fornecedor",IF(VLOOKUP(C114,Base_Dados!$E$1:$F$7,2,FALSE)=F114," ","Fornecedor inválido!")," ")</f>
        <v xml:space="preserve"> </v>
      </c>
      <c r="M114" s="16" t="str">
        <f>IF(AND(LEFT(F114,2)="MP",H114&lt;&gt;Base_Dados!$A$1),"Impossível!!!"," ")</f>
        <v xml:space="preserve"> </v>
      </c>
      <c r="N114" s="15" t="str">
        <f>IF(E114="Avião",IF($G114&lt;=VLOOKUP($F114,Base_Dados!$K$1:$O$7,3,FALSE)," ","Limite "&amp;VLOOKUP($F114,Base_Dados!$K$1:$O$11,3,FALSE)&amp;" "&amp;VLOOKUP($F114,Base_Dados!$K$1:$O$11,2,FALSE))," ")</f>
        <v xml:space="preserve"> </v>
      </c>
      <c r="O114" s="15" t="str">
        <f>IF(E114="Caminhão",IF($G114&lt;=VLOOKUP($F114,Base_Dados!$K$1:$O$7,4,FALSE)," ","Limite "&amp;VLOOKUP($F114,Base_Dados!$K$1:$O$11,4,FALSE)&amp;" "&amp;VLOOKUP($F114,Base_Dados!$K$1:$O$11,2,FALSE))," ")</f>
        <v xml:space="preserve"> </v>
      </c>
      <c r="P114" s="15" t="str">
        <f>IF(E114="Navio",IF($G114&lt;=VLOOKUP($F114,Base_Dados!$K$1:$O$7,5,FALSE)," ","Limite "&amp;VLOOKUP($F114,Base_Dados!$K$1:$O$11,5,FALSE)&amp;" "&amp;VLOOKUP($F114,Base_Dados!$K$1:$O$11,2,FALSE))," ")</f>
        <v xml:space="preserve"> </v>
      </c>
      <c r="Q114" s="15" t="str">
        <f t="shared" si="1"/>
        <v/>
      </c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24" customHeight="1" x14ac:dyDescent="0.3">
      <c r="A115" s="10" t="s">
        <v>21</v>
      </c>
      <c r="B115" s="10" t="s">
        <v>46</v>
      </c>
      <c r="C115" s="11" t="s">
        <v>47</v>
      </c>
      <c r="D115" s="11" t="s">
        <v>42</v>
      </c>
      <c r="E115" s="11" t="s">
        <v>31</v>
      </c>
      <c r="F115" s="11" t="s">
        <v>35</v>
      </c>
      <c r="G115" s="12">
        <v>4000</v>
      </c>
      <c r="H115" s="11" t="s">
        <v>51</v>
      </c>
      <c r="I115" s="11" t="s">
        <v>23</v>
      </c>
      <c r="J115" s="13">
        <f>VLOOKUP(C115&amp;I115&amp;E115,Orig_Dest!$A$2:$E$1876,5,FALSE)</f>
        <v>0</v>
      </c>
      <c r="K115" s="14" t="str">
        <f t="shared" si="0"/>
        <v>Dia 43</v>
      </c>
      <c r="L115" s="15" t="str">
        <f>IF(B115="Fornecedor",IF(VLOOKUP(C115,Base_Dados!$E$1:$F$7,2,FALSE)=F115," ","Fornecedor inválido!")," ")</f>
        <v xml:space="preserve"> </v>
      </c>
      <c r="M115" s="16" t="str">
        <f>IF(AND(LEFT(F115,2)="MP",H115&lt;&gt;Base_Dados!$A$1),"Impossível!!!"," ")</f>
        <v xml:space="preserve"> </v>
      </c>
      <c r="N115" s="15" t="str">
        <f>IF(E115="Avião",IF($G115&lt;=VLOOKUP($F115,Base_Dados!$K$1:$O$7,3,FALSE)," ","Limite "&amp;VLOOKUP($F115,Base_Dados!$K$1:$O$11,3,FALSE)&amp;" "&amp;VLOOKUP($F115,Base_Dados!$K$1:$O$11,2,FALSE))," ")</f>
        <v xml:space="preserve"> </v>
      </c>
      <c r="O115" s="15" t="str">
        <f>IF(E115="Caminhão",IF($G115&lt;=VLOOKUP($F115,Base_Dados!$K$1:$O$7,4,FALSE)," ","Limite "&amp;VLOOKUP($F115,Base_Dados!$K$1:$O$11,4,FALSE)&amp;" "&amp;VLOOKUP($F115,Base_Dados!$K$1:$O$11,2,FALSE))," ")</f>
        <v xml:space="preserve"> </v>
      </c>
      <c r="P115" s="15" t="str">
        <f>IF(E115="Navio",IF($G115&lt;=VLOOKUP($F115,Base_Dados!$K$1:$O$7,5,FALSE)," ","Limite "&amp;VLOOKUP($F115,Base_Dados!$K$1:$O$11,5,FALSE)&amp;" "&amp;VLOOKUP($F115,Base_Dados!$K$1:$O$11,2,FALSE))," ")</f>
        <v xml:space="preserve"> </v>
      </c>
      <c r="Q115" s="15" t="str">
        <f t="shared" si="1"/>
        <v/>
      </c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24" customHeight="1" x14ac:dyDescent="0.3">
      <c r="A116" s="10" t="s">
        <v>21</v>
      </c>
      <c r="B116" s="10" t="s">
        <v>46</v>
      </c>
      <c r="C116" s="11" t="s">
        <v>47</v>
      </c>
      <c r="D116" s="11" t="s">
        <v>42</v>
      </c>
      <c r="E116" s="11" t="s">
        <v>31</v>
      </c>
      <c r="F116" s="11" t="s">
        <v>35</v>
      </c>
      <c r="G116" s="12">
        <v>3770</v>
      </c>
      <c r="H116" s="11" t="s">
        <v>51</v>
      </c>
      <c r="I116" s="11" t="s">
        <v>23</v>
      </c>
      <c r="J116" s="13">
        <f>VLOOKUP(C116&amp;I116&amp;E116,Orig_Dest!$A$2:$E$1876,5,FALSE)</f>
        <v>0</v>
      </c>
      <c r="K116" s="14" t="str">
        <f t="shared" si="0"/>
        <v>Dia 43</v>
      </c>
      <c r="L116" s="15" t="str">
        <f>IF(B116="Fornecedor",IF(VLOOKUP(C116,Base_Dados!$E$1:$F$7,2,FALSE)=F116," ","Fornecedor inválido!")," ")</f>
        <v xml:space="preserve"> </v>
      </c>
      <c r="M116" s="16" t="str">
        <f>IF(AND(LEFT(F116,2)="MP",H116&lt;&gt;Base_Dados!$A$1),"Impossível!!!"," ")</f>
        <v xml:space="preserve"> </v>
      </c>
      <c r="N116" s="15" t="str">
        <f>IF(E116="Avião",IF($G116&lt;=VLOOKUP($F116,Base_Dados!$K$1:$O$7,3,FALSE)," ","Limite "&amp;VLOOKUP($F116,Base_Dados!$K$1:$O$11,3,FALSE)&amp;" "&amp;VLOOKUP($F116,Base_Dados!$K$1:$O$11,2,FALSE))," ")</f>
        <v xml:space="preserve"> </v>
      </c>
      <c r="O116" s="15" t="str">
        <f>IF(E116="Caminhão",IF($G116&lt;=VLOOKUP($F116,Base_Dados!$K$1:$O$7,4,FALSE)," ","Limite "&amp;VLOOKUP($F116,Base_Dados!$K$1:$O$11,4,FALSE)&amp;" "&amp;VLOOKUP($F116,Base_Dados!$K$1:$O$11,2,FALSE))," ")</f>
        <v xml:space="preserve"> </v>
      </c>
      <c r="P116" s="15" t="str">
        <f>IF(E116="Navio",IF($G116&lt;=VLOOKUP($F116,Base_Dados!$K$1:$O$7,5,FALSE)," ","Limite "&amp;VLOOKUP($F116,Base_Dados!$K$1:$O$11,5,FALSE)&amp;" "&amp;VLOOKUP($F116,Base_Dados!$K$1:$O$11,2,FALSE))," ")</f>
        <v xml:space="preserve"> </v>
      </c>
      <c r="Q116" s="15" t="str">
        <f t="shared" si="1"/>
        <v/>
      </c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24" customHeight="1" x14ac:dyDescent="0.3">
      <c r="A117" s="10" t="s">
        <v>21</v>
      </c>
      <c r="B117" s="10" t="s">
        <v>46</v>
      </c>
      <c r="C117" s="11" t="s">
        <v>50</v>
      </c>
      <c r="D117" s="11" t="s">
        <v>38</v>
      </c>
      <c r="E117" s="11" t="s">
        <v>32</v>
      </c>
      <c r="F117" s="11" t="s">
        <v>35</v>
      </c>
      <c r="G117" s="12">
        <v>32514</v>
      </c>
      <c r="H117" s="11" t="s">
        <v>51</v>
      </c>
      <c r="I117" s="11" t="s">
        <v>61</v>
      </c>
      <c r="J117" s="13">
        <f>VLOOKUP(C117&amp;I117&amp;E117,Orig_Dest!$A$2:$E$1876,5,FALSE)</f>
        <v>2</v>
      </c>
      <c r="K117" s="14" t="str">
        <f t="shared" si="0"/>
        <v>Dia 43</v>
      </c>
      <c r="L117" s="15" t="str">
        <f>IF(B117="Fornecedor",IF(VLOOKUP(C117,Base_Dados!$E$1:$F$7,2,FALSE)=F117," ","Fornecedor inválido!")," ")</f>
        <v xml:space="preserve"> </v>
      </c>
      <c r="M117" s="16" t="str">
        <f>IF(AND(LEFT(F117,2)="MP",H117&lt;&gt;Base_Dados!$A$1),"Impossível!!!"," ")</f>
        <v xml:space="preserve"> </v>
      </c>
      <c r="N117" s="15" t="str">
        <f>IF(E117="Avião",IF($G117&lt;=VLOOKUP($F117,Base_Dados!$K$1:$O$7,3,FALSE)," ","Limite "&amp;VLOOKUP($F117,Base_Dados!$K$1:$O$11,3,FALSE)&amp;" "&amp;VLOOKUP($F117,Base_Dados!$K$1:$O$11,2,FALSE))," ")</f>
        <v xml:space="preserve"> </v>
      </c>
      <c r="O117" s="15" t="str">
        <f>IF(E117="Caminhão",IF($G117&lt;=VLOOKUP($F117,Base_Dados!$K$1:$O$7,4,FALSE)," ","Limite "&amp;VLOOKUP($F117,Base_Dados!$K$1:$O$11,4,FALSE)&amp;" "&amp;VLOOKUP($F117,Base_Dados!$K$1:$O$11,2,FALSE))," ")</f>
        <v xml:space="preserve"> </v>
      </c>
      <c r="P117" s="15" t="str">
        <f>IF(E117="Navio",IF($G117&lt;=VLOOKUP($F117,Base_Dados!$K$1:$O$7,5,FALSE)," ","Limite "&amp;VLOOKUP($F117,Base_Dados!$K$1:$O$11,5,FALSE)&amp;" "&amp;VLOOKUP($F117,Base_Dados!$K$1:$O$11,2,FALSE))," ")</f>
        <v xml:space="preserve"> </v>
      </c>
      <c r="Q117" s="15" t="str">
        <f t="shared" si="1"/>
        <v/>
      </c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24" customHeight="1" x14ac:dyDescent="0.3">
      <c r="A118" s="10" t="s">
        <v>21</v>
      </c>
      <c r="B118" s="10" t="s">
        <v>46</v>
      </c>
      <c r="C118" s="11" t="s">
        <v>47</v>
      </c>
      <c r="D118" s="11" t="s">
        <v>24</v>
      </c>
      <c r="E118" s="11" t="s">
        <v>25</v>
      </c>
      <c r="F118" s="11" t="s">
        <v>35</v>
      </c>
      <c r="G118" s="12">
        <v>61312</v>
      </c>
      <c r="H118" s="11" t="s">
        <v>51</v>
      </c>
      <c r="I118" s="11" t="s">
        <v>44</v>
      </c>
      <c r="J118" s="13">
        <f>VLOOKUP(C118&amp;I118&amp;E118,Orig_Dest!$A$2:$E$1876,5,FALSE)</f>
        <v>1</v>
      </c>
      <c r="K118" s="14" t="str">
        <f t="shared" si="0"/>
        <v>Dia 43</v>
      </c>
      <c r="L118" s="15" t="str">
        <f>IF(B118="Fornecedor",IF(VLOOKUP(C118,Base_Dados!$E$1:$F$7,2,FALSE)=F118," ","Fornecedor inválido!")," ")</f>
        <v xml:space="preserve"> </v>
      </c>
      <c r="M118" s="16" t="str">
        <f>IF(AND(LEFT(F118,2)="MP",H118&lt;&gt;Base_Dados!$A$1),"Impossível!!!"," ")</f>
        <v xml:space="preserve"> </v>
      </c>
      <c r="N118" s="15" t="str">
        <f>IF(E118="Avião",IF($G118&lt;=VLOOKUP($F118,Base_Dados!$K$1:$O$7,3,FALSE)," ","Limite "&amp;VLOOKUP($F118,Base_Dados!$K$1:$O$11,3,FALSE)&amp;" "&amp;VLOOKUP($F118,Base_Dados!$K$1:$O$11,2,FALSE))," ")</f>
        <v xml:space="preserve"> </v>
      </c>
      <c r="O118" s="15" t="str">
        <f>IF(E118="Caminhão",IF($G118&lt;=VLOOKUP($F118,Base_Dados!$K$1:$O$7,4,FALSE)," ","Limite "&amp;VLOOKUP($F118,Base_Dados!$K$1:$O$11,4,FALSE)&amp;" "&amp;VLOOKUP($F118,Base_Dados!$K$1:$O$11,2,FALSE))," ")</f>
        <v xml:space="preserve"> </v>
      </c>
      <c r="P118" s="15" t="str">
        <f>IF(E118="Navio",IF($G118&lt;=VLOOKUP($F118,Base_Dados!$K$1:$O$7,5,FALSE)," ","Limite "&amp;VLOOKUP($F118,Base_Dados!$K$1:$O$11,5,FALSE)&amp;" "&amp;VLOOKUP($F118,Base_Dados!$K$1:$O$11,2,FALSE))," ")</f>
        <v xml:space="preserve"> </v>
      </c>
      <c r="Q118" s="15" t="str">
        <f t="shared" si="1"/>
        <v/>
      </c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24" customHeight="1" x14ac:dyDescent="0.3">
      <c r="A119" s="10" t="s">
        <v>21</v>
      </c>
      <c r="B119" s="10" t="s">
        <v>46</v>
      </c>
      <c r="C119" s="11" t="s">
        <v>50</v>
      </c>
      <c r="D119" s="11" t="s">
        <v>38</v>
      </c>
      <c r="E119" s="11" t="s">
        <v>32</v>
      </c>
      <c r="F119" s="11" t="s">
        <v>35</v>
      </c>
      <c r="G119" s="12">
        <v>2256</v>
      </c>
      <c r="H119" s="11" t="s">
        <v>51</v>
      </c>
      <c r="I119" s="11" t="s">
        <v>62</v>
      </c>
      <c r="J119" s="13">
        <f>VLOOKUP(C119&amp;I119&amp;E119,Orig_Dest!$A$2:$E$1876,5,FALSE)</f>
        <v>2</v>
      </c>
      <c r="K119" s="14" t="str">
        <f t="shared" si="0"/>
        <v>Dia 43</v>
      </c>
      <c r="L119" s="15" t="str">
        <f>IF(B119="Fornecedor",IF(VLOOKUP(C119,Base_Dados!$E$1:$F$7,2,FALSE)=F119," ","Fornecedor inválido!")," ")</f>
        <v xml:space="preserve"> </v>
      </c>
      <c r="M119" s="16" t="str">
        <f>IF(AND(LEFT(F119,2)="MP",H119&lt;&gt;Base_Dados!$A$1),"Impossível!!!"," ")</f>
        <v xml:space="preserve"> </v>
      </c>
      <c r="N119" s="15" t="str">
        <f>IF(E119="Avião",IF($G119&lt;=VLOOKUP($F119,Base_Dados!$K$1:$O$7,3,FALSE)," ","Limite "&amp;VLOOKUP($F119,Base_Dados!$K$1:$O$11,3,FALSE)&amp;" "&amp;VLOOKUP($F119,Base_Dados!$K$1:$O$11,2,FALSE))," ")</f>
        <v xml:space="preserve"> </v>
      </c>
      <c r="O119" s="15" t="str">
        <f>IF(E119="Caminhão",IF($G119&lt;=VLOOKUP($F119,Base_Dados!$K$1:$O$7,4,FALSE)," ","Limite "&amp;VLOOKUP($F119,Base_Dados!$K$1:$O$11,4,FALSE)&amp;" "&amp;VLOOKUP($F119,Base_Dados!$K$1:$O$11,2,FALSE))," ")</f>
        <v xml:space="preserve"> </v>
      </c>
      <c r="P119" s="15" t="str">
        <f>IF(E119="Navio",IF($G119&lt;=VLOOKUP($F119,Base_Dados!$K$1:$O$7,5,FALSE)," ","Limite "&amp;VLOOKUP($F119,Base_Dados!$K$1:$O$11,5,FALSE)&amp;" "&amp;VLOOKUP($F119,Base_Dados!$K$1:$O$11,2,FALSE))," ")</f>
        <v xml:space="preserve"> </v>
      </c>
      <c r="Q119" s="15" t="str">
        <f t="shared" si="1"/>
        <v/>
      </c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24" customHeight="1" x14ac:dyDescent="0.3">
      <c r="A120" s="10" t="s">
        <v>21</v>
      </c>
      <c r="B120" s="10" t="s">
        <v>46</v>
      </c>
      <c r="C120" s="11" t="s">
        <v>47</v>
      </c>
      <c r="D120" s="11" t="s">
        <v>38</v>
      </c>
      <c r="E120" s="11" t="s">
        <v>25</v>
      </c>
      <c r="F120" s="11" t="s">
        <v>35</v>
      </c>
      <c r="G120" s="12">
        <v>46515</v>
      </c>
      <c r="H120" s="11" t="s">
        <v>51</v>
      </c>
      <c r="I120" s="11" t="s">
        <v>62</v>
      </c>
      <c r="J120" s="13">
        <f>VLOOKUP(C120&amp;I120&amp;E120,Orig_Dest!$A$2:$E$1876,5,FALSE)</f>
        <v>2</v>
      </c>
      <c r="K120" s="14" t="str">
        <f t="shared" si="0"/>
        <v>Dia 43</v>
      </c>
      <c r="L120" s="15" t="str">
        <f>IF(B120="Fornecedor",IF(VLOOKUP(C120,Base_Dados!$E$1:$F$7,2,FALSE)=F120," ","Fornecedor inválido!")," ")</f>
        <v xml:space="preserve"> </v>
      </c>
      <c r="M120" s="16" t="str">
        <f>IF(AND(LEFT(F120,2)="MP",H120&lt;&gt;Base_Dados!$A$1),"Impossível!!!"," ")</f>
        <v xml:space="preserve"> </v>
      </c>
      <c r="N120" s="15" t="str">
        <f>IF(E120="Avião",IF($G120&lt;=VLOOKUP($F120,Base_Dados!$K$1:$O$7,3,FALSE)," ","Limite "&amp;VLOOKUP($F120,Base_Dados!$K$1:$O$11,3,FALSE)&amp;" "&amp;VLOOKUP($F120,Base_Dados!$K$1:$O$11,2,FALSE))," ")</f>
        <v xml:space="preserve"> </v>
      </c>
      <c r="O120" s="15" t="str">
        <f>IF(E120="Caminhão",IF($G120&lt;=VLOOKUP($F120,Base_Dados!$K$1:$O$7,4,FALSE)," ","Limite "&amp;VLOOKUP($F120,Base_Dados!$K$1:$O$11,4,FALSE)&amp;" "&amp;VLOOKUP($F120,Base_Dados!$K$1:$O$11,2,FALSE))," ")</f>
        <v xml:space="preserve"> </v>
      </c>
      <c r="P120" s="15" t="str">
        <f>IF(E120="Navio",IF($G120&lt;=VLOOKUP($F120,Base_Dados!$K$1:$O$7,5,FALSE)," ","Limite "&amp;VLOOKUP($F120,Base_Dados!$K$1:$O$11,5,FALSE)&amp;" "&amp;VLOOKUP($F120,Base_Dados!$K$1:$O$11,2,FALSE))," ")</f>
        <v xml:space="preserve"> </v>
      </c>
      <c r="Q120" s="15" t="str">
        <f t="shared" si="1"/>
        <v/>
      </c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24" customHeight="1" x14ac:dyDescent="0.3">
      <c r="A121" s="10" t="s">
        <v>21</v>
      </c>
      <c r="B121" s="10" t="s">
        <v>46</v>
      </c>
      <c r="C121" s="11" t="s">
        <v>47</v>
      </c>
      <c r="D121" s="11" t="s">
        <v>42</v>
      </c>
      <c r="E121" s="11" t="s">
        <v>25</v>
      </c>
      <c r="F121" s="11" t="s">
        <v>35</v>
      </c>
      <c r="G121" s="12">
        <v>32514</v>
      </c>
      <c r="H121" s="11" t="s">
        <v>51</v>
      </c>
      <c r="I121" s="11" t="s">
        <v>63</v>
      </c>
      <c r="J121" s="13">
        <f>VLOOKUP(C121&amp;I121&amp;E121,Orig_Dest!$A$2:$E$1876,5,FALSE)</f>
        <v>0</v>
      </c>
      <c r="K121" s="14" t="str">
        <f t="shared" si="0"/>
        <v>Dia 43</v>
      </c>
      <c r="L121" s="15" t="str">
        <f>IF(B121="Fornecedor",IF(VLOOKUP(C121,Base_Dados!$E$1:$F$7,2,FALSE)=F121," ","Fornecedor inválido!")," ")</f>
        <v xml:space="preserve"> </v>
      </c>
      <c r="M121" s="16" t="str">
        <f>IF(AND(LEFT(F121,2)="MP",H121&lt;&gt;Base_Dados!$A$1),"Impossível!!!"," ")</f>
        <v xml:space="preserve"> </v>
      </c>
      <c r="N121" s="15" t="str">
        <f>IF(E121="Avião",IF($G121&lt;=VLOOKUP($F121,Base_Dados!$K$1:$O$7,3,FALSE)," ","Limite "&amp;VLOOKUP($F121,Base_Dados!$K$1:$O$11,3,FALSE)&amp;" "&amp;VLOOKUP($F121,Base_Dados!$K$1:$O$11,2,FALSE))," ")</f>
        <v xml:space="preserve"> </v>
      </c>
      <c r="O121" s="15" t="str">
        <f>IF(E121="Caminhão",IF($G121&lt;=VLOOKUP($F121,Base_Dados!$K$1:$O$7,4,FALSE)," ","Limite "&amp;VLOOKUP($F121,Base_Dados!$K$1:$O$11,4,FALSE)&amp;" "&amp;VLOOKUP($F121,Base_Dados!$K$1:$O$11,2,FALSE))," ")</f>
        <v xml:space="preserve"> </v>
      </c>
      <c r="P121" s="15" t="str">
        <f>IF(E121="Navio",IF($G121&lt;=VLOOKUP($F121,Base_Dados!$K$1:$O$7,5,FALSE)," ","Limite "&amp;VLOOKUP($F121,Base_Dados!$K$1:$O$11,5,FALSE)&amp;" "&amp;VLOOKUP($F121,Base_Dados!$K$1:$O$11,2,FALSE))," ")</f>
        <v xml:space="preserve"> </v>
      </c>
      <c r="Q121" s="15" t="str">
        <f t="shared" si="1"/>
        <v/>
      </c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24" customHeight="1" x14ac:dyDescent="0.3">
      <c r="A122" s="10" t="s">
        <v>21</v>
      </c>
      <c r="B122" s="10" t="s">
        <v>46</v>
      </c>
      <c r="C122" s="11" t="s">
        <v>47</v>
      </c>
      <c r="D122" s="11" t="s">
        <v>42</v>
      </c>
      <c r="E122" s="11" t="s">
        <v>25</v>
      </c>
      <c r="F122" s="11" t="s">
        <v>35</v>
      </c>
      <c r="G122" s="12">
        <v>65028</v>
      </c>
      <c r="H122" s="11" t="s">
        <v>51</v>
      </c>
      <c r="I122" s="11" t="s">
        <v>64</v>
      </c>
      <c r="J122" s="13">
        <f>VLOOKUP(C122&amp;I122&amp;E122,Orig_Dest!$A$2:$E$1876,5,FALSE)</f>
        <v>0</v>
      </c>
      <c r="K122" s="14" t="str">
        <f t="shared" si="0"/>
        <v>Dia 43</v>
      </c>
      <c r="L122" s="15" t="str">
        <f>IF(B122="Fornecedor",IF(VLOOKUP(C122,Base_Dados!$E$1:$F$7,2,FALSE)=F122," ","Fornecedor inválido!")," ")</f>
        <v xml:space="preserve"> </v>
      </c>
      <c r="M122" s="16" t="str">
        <f>IF(AND(LEFT(F122,2)="MP",H122&lt;&gt;Base_Dados!$A$1),"Impossível!!!"," ")</f>
        <v xml:space="preserve"> </v>
      </c>
      <c r="N122" s="15" t="str">
        <f>IF(E122="Avião",IF($G122&lt;=VLOOKUP($F122,Base_Dados!$K$1:$O$7,3,FALSE)," ","Limite "&amp;VLOOKUP($F122,Base_Dados!$K$1:$O$11,3,FALSE)&amp;" "&amp;VLOOKUP($F122,Base_Dados!$K$1:$O$11,2,FALSE))," ")</f>
        <v xml:space="preserve"> </v>
      </c>
      <c r="O122" s="15" t="str">
        <f>IF(E122="Caminhão",IF($G122&lt;=VLOOKUP($F122,Base_Dados!$K$1:$O$7,4,FALSE)," ","Limite "&amp;VLOOKUP($F122,Base_Dados!$K$1:$O$11,4,FALSE)&amp;" "&amp;VLOOKUP($F122,Base_Dados!$K$1:$O$11,2,FALSE))," ")</f>
        <v xml:space="preserve"> </v>
      </c>
      <c r="P122" s="15" t="str">
        <f>IF(E122="Navio",IF($G122&lt;=VLOOKUP($F122,Base_Dados!$K$1:$O$7,5,FALSE)," ","Limite "&amp;VLOOKUP($F122,Base_Dados!$K$1:$O$11,5,FALSE)&amp;" "&amp;VLOOKUP($F122,Base_Dados!$K$1:$O$11,2,FALSE))," ")</f>
        <v xml:space="preserve"> </v>
      </c>
      <c r="Q122" s="15" t="str">
        <f t="shared" si="1"/>
        <v/>
      </c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24" customHeight="1" x14ac:dyDescent="0.3">
      <c r="A123" s="10" t="s">
        <v>21</v>
      </c>
      <c r="B123" s="10" t="s">
        <v>46</v>
      </c>
      <c r="C123" s="11" t="s">
        <v>47</v>
      </c>
      <c r="D123" s="11" t="s">
        <v>38</v>
      </c>
      <c r="E123" s="11" t="s">
        <v>32</v>
      </c>
      <c r="F123" s="11" t="s">
        <v>35</v>
      </c>
      <c r="G123" s="12">
        <v>65028</v>
      </c>
      <c r="H123" s="11" t="s">
        <v>51</v>
      </c>
      <c r="I123" s="11" t="s">
        <v>65</v>
      </c>
      <c r="J123" s="13">
        <f>VLOOKUP(C123&amp;I123&amp;E123,Orig_Dest!$A$2:$E$1876,5,FALSE)</f>
        <v>2</v>
      </c>
      <c r="K123" s="14" t="str">
        <f t="shared" si="0"/>
        <v>Dia 43</v>
      </c>
      <c r="L123" s="15" t="str">
        <f>IF(B123="Fornecedor",IF(VLOOKUP(C123,Base_Dados!$E$1:$F$7,2,FALSE)=F123," ","Fornecedor inválido!")," ")</f>
        <v xml:space="preserve"> </v>
      </c>
      <c r="M123" s="16" t="str">
        <f>IF(AND(LEFT(F123,2)="MP",H123&lt;&gt;Base_Dados!$A$1),"Impossível!!!"," ")</f>
        <v xml:space="preserve"> </v>
      </c>
      <c r="N123" s="15" t="str">
        <f>IF(E123="Avião",IF($G123&lt;=VLOOKUP($F123,Base_Dados!$K$1:$O$7,3,FALSE)," ","Limite "&amp;VLOOKUP($F123,Base_Dados!$K$1:$O$11,3,FALSE)&amp;" "&amp;VLOOKUP($F123,Base_Dados!$K$1:$O$11,2,FALSE))," ")</f>
        <v xml:space="preserve"> </v>
      </c>
      <c r="O123" s="15" t="str">
        <f>IF(E123="Caminhão",IF($G123&lt;=VLOOKUP($F123,Base_Dados!$K$1:$O$7,4,FALSE)," ","Limite "&amp;VLOOKUP($F123,Base_Dados!$K$1:$O$11,4,FALSE)&amp;" "&amp;VLOOKUP($F123,Base_Dados!$K$1:$O$11,2,FALSE))," ")</f>
        <v xml:space="preserve"> </v>
      </c>
      <c r="P123" s="15" t="str">
        <f>IF(E123="Navio",IF($G123&lt;=VLOOKUP($F123,Base_Dados!$K$1:$O$7,5,FALSE)," ","Limite "&amp;VLOOKUP($F123,Base_Dados!$K$1:$O$11,5,FALSE)&amp;" "&amp;VLOOKUP($F123,Base_Dados!$K$1:$O$11,2,FALSE))," ")</f>
        <v xml:space="preserve"> </v>
      </c>
      <c r="Q123" s="15" t="str">
        <f t="shared" si="1"/>
        <v/>
      </c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24" customHeight="1" x14ac:dyDescent="0.3">
      <c r="A124" s="10" t="s">
        <v>21</v>
      </c>
      <c r="B124" s="10" t="s">
        <v>46</v>
      </c>
      <c r="C124" s="11" t="s">
        <v>47</v>
      </c>
      <c r="D124" s="11" t="s">
        <v>42</v>
      </c>
      <c r="E124" s="11" t="s">
        <v>25</v>
      </c>
      <c r="F124" s="11" t="s">
        <v>35</v>
      </c>
      <c r="G124" s="12">
        <v>32514</v>
      </c>
      <c r="H124" s="11" t="s">
        <v>51</v>
      </c>
      <c r="I124" s="11" t="s">
        <v>47</v>
      </c>
      <c r="J124" s="13">
        <f>VLOOKUP(C124&amp;I124&amp;E124,Orig_Dest!$A$2:$E$1876,5,FALSE)</f>
        <v>0</v>
      </c>
      <c r="K124" s="14" t="str">
        <f t="shared" si="0"/>
        <v>Dia 43</v>
      </c>
      <c r="L124" s="15" t="str">
        <f>IF(B124="Fornecedor",IF(VLOOKUP(C124,Base_Dados!$E$1:$F$7,2,FALSE)=F124," ","Fornecedor inválido!")," ")</f>
        <v xml:space="preserve"> </v>
      </c>
      <c r="M124" s="16" t="str">
        <f>IF(AND(LEFT(F124,2)="MP",H124&lt;&gt;Base_Dados!$A$1),"Impossível!!!"," ")</f>
        <v xml:space="preserve"> </v>
      </c>
      <c r="N124" s="15" t="str">
        <f>IF(E124="Avião",IF($G124&lt;=VLOOKUP($F124,Base_Dados!$K$1:$O$7,3,FALSE)," ","Limite "&amp;VLOOKUP($F124,Base_Dados!$K$1:$O$11,3,FALSE)&amp;" "&amp;VLOOKUP($F124,Base_Dados!$K$1:$O$11,2,FALSE))," ")</f>
        <v xml:space="preserve"> </v>
      </c>
      <c r="O124" s="15" t="str">
        <f>IF(E124="Caminhão",IF($G124&lt;=VLOOKUP($F124,Base_Dados!$K$1:$O$7,4,FALSE)," ","Limite "&amp;VLOOKUP($F124,Base_Dados!$K$1:$O$11,4,FALSE)&amp;" "&amp;VLOOKUP($F124,Base_Dados!$K$1:$O$11,2,FALSE))," ")</f>
        <v xml:space="preserve"> </v>
      </c>
      <c r="P124" s="15" t="str">
        <f>IF(E124="Navio",IF($G124&lt;=VLOOKUP($F124,Base_Dados!$K$1:$O$7,5,FALSE)," ","Limite "&amp;VLOOKUP($F124,Base_Dados!$K$1:$O$11,5,FALSE)&amp;" "&amp;VLOOKUP($F124,Base_Dados!$K$1:$O$11,2,FALSE))," ")</f>
        <v xml:space="preserve"> </v>
      </c>
      <c r="Q124" s="15" t="str">
        <f t="shared" si="1"/>
        <v/>
      </c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24" customHeight="1" x14ac:dyDescent="0.3">
      <c r="A125" s="10" t="s">
        <v>21</v>
      </c>
      <c r="B125" s="10" t="s">
        <v>46</v>
      </c>
      <c r="C125" s="11" t="s">
        <v>50</v>
      </c>
      <c r="D125" s="11" t="s">
        <v>42</v>
      </c>
      <c r="E125" s="11" t="s">
        <v>25</v>
      </c>
      <c r="F125" s="11" t="s">
        <v>35</v>
      </c>
      <c r="G125" s="12">
        <v>16257</v>
      </c>
      <c r="H125" s="11" t="s">
        <v>51</v>
      </c>
      <c r="I125" s="11" t="s">
        <v>50</v>
      </c>
      <c r="J125" s="13">
        <f>VLOOKUP(C125&amp;I125&amp;E125,Orig_Dest!$A$2:$E$1876,5,FALSE)</f>
        <v>0</v>
      </c>
      <c r="K125" s="14" t="str">
        <f t="shared" si="0"/>
        <v>Dia 43</v>
      </c>
      <c r="L125" s="15" t="str">
        <f>IF(B125="Fornecedor",IF(VLOOKUP(C125,Base_Dados!$E$1:$F$7,2,FALSE)=F125," ","Fornecedor inválido!")," ")</f>
        <v xml:space="preserve"> </v>
      </c>
      <c r="M125" s="16" t="str">
        <f>IF(AND(LEFT(F125,2)="MP",H125&lt;&gt;Base_Dados!$A$1),"Impossível!!!"," ")</f>
        <v xml:space="preserve"> </v>
      </c>
      <c r="N125" s="15" t="str">
        <f>IF(E125="Avião",IF($G125&lt;=VLOOKUP($F125,Base_Dados!$K$1:$O$7,3,FALSE)," ","Limite "&amp;VLOOKUP($F125,Base_Dados!$K$1:$O$11,3,FALSE)&amp;" "&amp;VLOOKUP($F125,Base_Dados!$K$1:$O$11,2,FALSE))," ")</f>
        <v xml:space="preserve"> </v>
      </c>
      <c r="O125" s="15" t="str">
        <f>IF(E125="Caminhão",IF($G125&lt;=VLOOKUP($F125,Base_Dados!$K$1:$O$7,4,FALSE)," ","Limite "&amp;VLOOKUP($F125,Base_Dados!$K$1:$O$11,4,FALSE)&amp;" "&amp;VLOOKUP($F125,Base_Dados!$K$1:$O$11,2,FALSE))," ")</f>
        <v xml:space="preserve"> </v>
      </c>
      <c r="P125" s="15" t="str">
        <f>IF(E125="Navio",IF($G125&lt;=VLOOKUP($F125,Base_Dados!$K$1:$O$7,5,FALSE)," ","Limite "&amp;VLOOKUP($F125,Base_Dados!$K$1:$O$11,5,FALSE)&amp;" "&amp;VLOOKUP($F125,Base_Dados!$K$1:$O$11,2,FALSE))," ")</f>
        <v xml:space="preserve"> </v>
      </c>
      <c r="Q125" s="15" t="str">
        <f t="shared" si="1"/>
        <v/>
      </c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24" customHeight="1" x14ac:dyDescent="0.3">
      <c r="A126" s="10" t="s">
        <v>21</v>
      </c>
      <c r="B126" s="10" t="s">
        <v>46</v>
      </c>
      <c r="C126" s="11" t="s">
        <v>47</v>
      </c>
      <c r="D126" s="11" t="s">
        <v>42</v>
      </c>
      <c r="E126" s="11" t="s">
        <v>25</v>
      </c>
      <c r="F126" s="11" t="s">
        <v>35</v>
      </c>
      <c r="G126" s="12">
        <v>81285</v>
      </c>
      <c r="H126" s="11" t="s">
        <v>51</v>
      </c>
      <c r="I126" s="11" t="s">
        <v>66</v>
      </c>
      <c r="J126" s="13">
        <f>VLOOKUP(C126&amp;I126&amp;E126,Orig_Dest!$A$2:$E$1876,5,FALSE)</f>
        <v>0</v>
      </c>
      <c r="K126" s="14" t="str">
        <f t="shared" si="0"/>
        <v>Dia 43</v>
      </c>
      <c r="L126" s="15" t="str">
        <f>IF(B126="Fornecedor",IF(VLOOKUP(C126,Base_Dados!$E$1:$F$7,2,FALSE)=F126," ","Fornecedor inválido!")," ")</f>
        <v xml:space="preserve"> </v>
      </c>
      <c r="M126" s="16" t="str">
        <f>IF(AND(LEFT(F126,2)="MP",H126&lt;&gt;Base_Dados!$A$1),"Impossível!!!"," ")</f>
        <v xml:space="preserve"> </v>
      </c>
      <c r="N126" s="15" t="str">
        <f>IF(E126="Avião",IF($G126&lt;=VLOOKUP($F126,Base_Dados!$K$1:$O$7,3,FALSE)," ","Limite "&amp;VLOOKUP($F126,Base_Dados!$K$1:$O$11,3,FALSE)&amp;" "&amp;VLOOKUP($F126,Base_Dados!$K$1:$O$11,2,FALSE))," ")</f>
        <v xml:space="preserve"> </v>
      </c>
      <c r="O126" s="15" t="str">
        <f>IF(E126="Caminhão",IF($G126&lt;=VLOOKUP($F126,Base_Dados!$K$1:$O$7,4,FALSE)," ","Limite "&amp;VLOOKUP($F126,Base_Dados!$K$1:$O$11,4,FALSE)&amp;" "&amp;VLOOKUP($F126,Base_Dados!$K$1:$O$11,2,FALSE))," ")</f>
        <v xml:space="preserve"> </v>
      </c>
      <c r="P126" s="15" t="str">
        <f>IF(E126="Navio",IF($G126&lt;=VLOOKUP($F126,Base_Dados!$K$1:$O$7,5,FALSE)," ","Limite "&amp;VLOOKUP($F126,Base_Dados!$K$1:$O$11,5,FALSE)&amp;" "&amp;VLOOKUP($F126,Base_Dados!$K$1:$O$11,2,FALSE))," ")</f>
        <v xml:space="preserve"> </v>
      </c>
      <c r="Q126" s="15" t="str">
        <f t="shared" si="1"/>
        <v/>
      </c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24" customHeight="1" x14ac:dyDescent="0.3">
      <c r="A127" s="10" t="s">
        <v>21</v>
      </c>
      <c r="B127" s="10" t="s">
        <v>46</v>
      </c>
      <c r="C127" s="11" t="s">
        <v>47</v>
      </c>
      <c r="D127" s="11" t="s">
        <v>24</v>
      </c>
      <c r="E127" s="11" t="s">
        <v>25</v>
      </c>
      <c r="F127" s="11" t="s">
        <v>35</v>
      </c>
      <c r="G127" s="12">
        <v>16257</v>
      </c>
      <c r="H127" s="11" t="s">
        <v>51</v>
      </c>
      <c r="I127" s="11" t="s">
        <v>67</v>
      </c>
      <c r="J127" s="13">
        <f>VLOOKUP(C127&amp;I127&amp;E127,Orig_Dest!$A$2:$E$1876,5,FALSE)</f>
        <v>1</v>
      </c>
      <c r="K127" s="14" t="str">
        <f t="shared" si="0"/>
        <v>Dia 43</v>
      </c>
      <c r="L127" s="15" t="str">
        <f>IF(B127="Fornecedor",IF(VLOOKUP(C127,Base_Dados!$E$1:$F$7,2,FALSE)=F127," ","Fornecedor inválido!")," ")</f>
        <v xml:space="preserve"> </v>
      </c>
      <c r="M127" s="16" t="str">
        <f>IF(AND(LEFT(F127,2)="MP",H127&lt;&gt;Base_Dados!$A$1),"Impossível!!!"," ")</f>
        <v xml:space="preserve"> </v>
      </c>
      <c r="N127" s="15" t="str">
        <f>IF(E127="Avião",IF($G127&lt;=VLOOKUP($F127,Base_Dados!$K$1:$O$7,3,FALSE)," ","Limite "&amp;VLOOKUP($F127,Base_Dados!$K$1:$O$11,3,FALSE)&amp;" "&amp;VLOOKUP($F127,Base_Dados!$K$1:$O$11,2,FALSE))," ")</f>
        <v xml:space="preserve"> </v>
      </c>
      <c r="O127" s="15" t="str">
        <f>IF(E127="Caminhão",IF($G127&lt;=VLOOKUP($F127,Base_Dados!$K$1:$O$7,4,FALSE)," ","Limite "&amp;VLOOKUP($F127,Base_Dados!$K$1:$O$11,4,FALSE)&amp;" "&amp;VLOOKUP($F127,Base_Dados!$K$1:$O$11,2,FALSE))," ")</f>
        <v xml:space="preserve"> </v>
      </c>
      <c r="P127" s="15" t="str">
        <f>IF(E127="Navio",IF($G127&lt;=VLOOKUP($F127,Base_Dados!$K$1:$O$7,5,FALSE)," ","Limite "&amp;VLOOKUP($F127,Base_Dados!$K$1:$O$11,5,FALSE)&amp;" "&amp;VLOOKUP($F127,Base_Dados!$K$1:$O$11,2,FALSE))," ")</f>
        <v xml:space="preserve"> </v>
      </c>
      <c r="Q127" s="15" t="str">
        <f t="shared" si="1"/>
        <v/>
      </c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24" customHeight="1" x14ac:dyDescent="0.3">
      <c r="A128" s="10" t="s">
        <v>21</v>
      </c>
      <c r="B128" s="10" t="s">
        <v>46</v>
      </c>
      <c r="C128" s="11" t="s">
        <v>47</v>
      </c>
      <c r="D128" s="11" t="s">
        <v>24</v>
      </c>
      <c r="E128" s="11" t="s">
        <v>32</v>
      </c>
      <c r="F128" s="11" t="s">
        <v>35</v>
      </c>
      <c r="G128" s="12">
        <v>9754</v>
      </c>
      <c r="H128" s="11" t="s">
        <v>51</v>
      </c>
      <c r="I128" s="11" t="s">
        <v>68</v>
      </c>
      <c r="J128" s="13">
        <f>VLOOKUP(C128&amp;I128&amp;E128,Orig_Dest!$A$2:$E$1876,5,FALSE)</f>
        <v>1</v>
      </c>
      <c r="K128" s="14" t="str">
        <f t="shared" si="0"/>
        <v>Dia 43</v>
      </c>
      <c r="L128" s="15" t="str">
        <f>IF(B128="Fornecedor",IF(VLOOKUP(C128,Base_Dados!$E$1:$F$7,2,FALSE)=F128," ","Fornecedor inválido!")," ")</f>
        <v xml:space="preserve"> </v>
      </c>
      <c r="M128" s="16" t="str">
        <f>IF(AND(LEFT(F128,2)="MP",H128&lt;&gt;Base_Dados!$A$1),"Impossível!!!"," ")</f>
        <v xml:space="preserve"> </v>
      </c>
      <c r="N128" s="15" t="str">
        <f>IF(E128="Avião",IF($G128&lt;=VLOOKUP($F128,Base_Dados!$K$1:$O$7,3,FALSE)," ","Limite "&amp;VLOOKUP($F128,Base_Dados!$K$1:$O$11,3,FALSE)&amp;" "&amp;VLOOKUP($F128,Base_Dados!$K$1:$O$11,2,FALSE))," ")</f>
        <v xml:space="preserve"> </v>
      </c>
      <c r="O128" s="15" t="str">
        <f>IF(E128="Caminhão",IF($G128&lt;=VLOOKUP($F128,Base_Dados!$K$1:$O$7,4,FALSE)," ","Limite "&amp;VLOOKUP($F128,Base_Dados!$K$1:$O$11,4,FALSE)&amp;" "&amp;VLOOKUP($F128,Base_Dados!$K$1:$O$11,2,FALSE))," ")</f>
        <v xml:space="preserve"> </v>
      </c>
      <c r="P128" s="15" t="str">
        <f>IF(E128="Navio",IF($G128&lt;=VLOOKUP($F128,Base_Dados!$K$1:$O$7,5,FALSE)," ","Limite "&amp;VLOOKUP($F128,Base_Dados!$K$1:$O$11,5,FALSE)&amp;" "&amp;VLOOKUP($F128,Base_Dados!$K$1:$O$11,2,FALSE))," ")</f>
        <v xml:space="preserve"> </v>
      </c>
      <c r="Q128" s="15" t="str">
        <f t="shared" si="1"/>
        <v/>
      </c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24" customHeight="1" x14ac:dyDescent="0.3">
      <c r="A129" s="10"/>
      <c r="B129" s="10"/>
      <c r="C129" s="11"/>
      <c r="D129" s="11"/>
      <c r="E129" s="11"/>
      <c r="F129" s="11"/>
      <c r="G129" s="12"/>
      <c r="H129" s="11"/>
      <c r="I129" s="11"/>
      <c r="J129" s="13" t="e">
        <f>VLOOKUP(C129&amp;I129&amp;E129,Orig_Dest!$A$2:$E$1876,5,FALSE)</f>
        <v>#N/A</v>
      </c>
      <c r="K129" s="14" t="e">
        <f t="shared" si="0"/>
        <v>#VALUE!</v>
      </c>
      <c r="L129" s="15" t="str">
        <f>IF(B129="Fornecedor",IF(VLOOKUP(C129,Base_Dados!$E$1:$F$7,2,FALSE)=F129," ","Fornecedor inválido!")," ")</f>
        <v xml:space="preserve"> </v>
      </c>
      <c r="M129" s="16" t="str">
        <f>IF(AND(LEFT(F129,2)="MP",H129&lt;&gt;Base_Dados!$A$1),"Impossível!!!"," ")</f>
        <v xml:space="preserve"> </v>
      </c>
      <c r="N129" s="15" t="str">
        <f>IF(E129="Avião",IF($G129&lt;=VLOOKUP($F129,Base_Dados!$K$1:$O$7,3,FALSE)," ","Limite "&amp;VLOOKUP($F129,Base_Dados!$K$1:$O$11,3,FALSE)&amp;" "&amp;VLOOKUP($F129,Base_Dados!$K$1:$O$11,2,FALSE))," ")</f>
        <v xml:space="preserve"> </v>
      </c>
      <c r="O129" s="15" t="str">
        <f>IF(E129="Caminhão",IF($G129&lt;=VLOOKUP($F129,Base_Dados!$K$1:$O$7,4,FALSE)," ","Limite "&amp;VLOOKUP($F129,Base_Dados!$K$1:$O$11,4,FALSE)&amp;" "&amp;VLOOKUP($F129,Base_Dados!$K$1:$O$11,2,FALSE))," ")</f>
        <v xml:space="preserve"> </v>
      </c>
      <c r="P129" s="15" t="str">
        <f>IF(E129="Navio",IF($G129&lt;=VLOOKUP($F129,Base_Dados!$K$1:$O$7,5,FALSE)," ","Limite "&amp;VLOOKUP($F129,Base_Dados!$K$1:$O$11,5,FALSE)&amp;" "&amp;VLOOKUP($F129,Base_Dados!$K$1:$O$11,2,FALSE))," ")</f>
        <v xml:space="preserve"> </v>
      </c>
      <c r="Q129" s="15" t="str">
        <f t="shared" si="1"/>
        <v>Fluxo Impossível</v>
      </c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24" customHeight="1" x14ac:dyDescent="0.3">
      <c r="A130" s="10"/>
      <c r="B130" s="10"/>
      <c r="C130" s="11"/>
      <c r="D130" s="11"/>
      <c r="E130" s="11"/>
      <c r="F130" s="11"/>
      <c r="G130" s="12"/>
      <c r="H130" s="11"/>
      <c r="I130" s="11"/>
      <c r="J130" s="13" t="e">
        <f>VLOOKUP(C130&amp;I130&amp;E130,Orig_Dest!$A$2:$E$1876,5,FALSE)</f>
        <v>#N/A</v>
      </c>
      <c r="K130" s="14" t="e">
        <f t="shared" si="0"/>
        <v>#VALUE!</v>
      </c>
      <c r="L130" s="15" t="str">
        <f>IF(B130="Fornecedor",IF(VLOOKUP(C130,Base_Dados!$E$1:$F$7,2,FALSE)=F130," ","Fornecedor inválido!")," ")</f>
        <v xml:space="preserve"> </v>
      </c>
      <c r="M130" s="16" t="str">
        <f>IF(AND(LEFT(F130,2)="MP",H130&lt;&gt;Base_Dados!$A$1),"Impossível!!!"," ")</f>
        <v xml:space="preserve"> </v>
      </c>
      <c r="N130" s="15" t="str">
        <f>IF(E130="Avião",IF($G130&lt;=VLOOKUP($F130,Base_Dados!$K$1:$O$7,3,FALSE)," ","Limite "&amp;VLOOKUP($F130,Base_Dados!$K$1:$O$11,3,FALSE)&amp;" "&amp;VLOOKUP($F130,Base_Dados!$K$1:$O$11,2,FALSE))," ")</f>
        <v xml:space="preserve"> </v>
      </c>
      <c r="O130" s="15" t="str">
        <f>IF(E130="Caminhão",IF($G130&lt;=VLOOKUP($F130,Base_Dados!$K$1:$O$7,4,FALSE)," ","Limite "&amp;VLOOKUP($F130,Base_Dados!$K$1:$O$11,4,FALSE)&amp;" "&amp;VLOOKUP($F130,Base_Dados!$K$1:$O$11,2,FALSE))," ")</f>
        <v xml:space="preserve"> </v>
      </c>
      <c r="P130" s="15" t="str">
        <f>IF(E130="Navio",IF($G130&lt;=VLOOKUP($F130,Base_Dados!$K$1:$O$7,5,FALSE)," ","Limite "&amp;VLOOKUP($F130,Base_Dados!$K$1:$O$11,5,FALSE)&amp;" "&amp;VLOOKUP($F130,Base_Dados!$K$1:$O$11,2,FALSE))," ")</f>
        <v xml:space="preserve"> </v>
      </c>
      <c r="Q130" s="15" t="str">
        <f t="shared" si="1"/>
        <v>Fluxo Impossível</v>
      </c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24" customHeight="1" x14ac:dyDescent="0.3">
      <c r="A131" s="10"/>
      <c r="B131" s="10"/>
      <c r="C131" s="11"/>
      <c r="D131" s="11"/>
      <c r="E131" s="11"/>
      <c r="F131" s="11"/>
      <c r="G131" s="12"/>
      <c r="H131" s="11"/>
      <c r="I131" s="11"/>
      <c r="J131" s="13" t="e">
        <f>VLOOKUP(C131&amp;I131&amp;E131,Orig_Dest!$A$2:$E$1876,5,FALSE)</f>
        <v>#N/A</v>
      </c>
      <c r="K131" s="14" t="e">
        <f t="shared" si="0"/>
        <v>#VALUE!</v>
      </c>
      <c r="L131" s="15" t="str">
        <f>IF(B131="Fornecedor",IF(VLOOKUP(C131,Base_Dados!$E$1:$F$7,2,FALSE)=F131," ","Fornecedor inválido!")," ")</f>
        <v xml:space="preserve"> </v>
      </c>
      <c r="M131" s="16" t="str">
        <f>IF(AND(LEFT(F131,2)="MP",H131&lt;&gt;Base_Dados!$A$1),"Impossível!!!"," ")</f>
        <v xml:space="preserve"> </v>
      </c>
      <c r="N131" s="15" t="str">
        <f>IF(E131="Avião",IF($G131&lt;=VLOOKUP($F131,Base_Dados!$K$1:$O$7,3,FALSE)," ","Limite "&amp;VLOOKUP($F131,Base_Dados!$K$1:$O$11,3,FALSE)&amp;" "&amp;VLOOKUP($F131,Base_Dados!$K$1:$O$11,2,FALSE))," ")</f>
        <v xml:space="preserve"> </v>
      </c>
      <c r="O131" s="15" t="str">
        <f>IF(E131="Caminhão",IF($G131&lt;=VLOOKUP($F131,Base_Dados!$K$1:$O$7,4,FALSE)," ","Limite "&amp;VLOOKUP($F131,Base_Dados!$K$1:$O$11,4,FALSE)&amp;" "&amp;VLOOKUP($F131,Base_Dados!$K$1:$O$11,2,FALSE))," ")</f>
        <v xml:space="preserve"> </v>
      </c>
      <c r="P131" s="15" t="str">
        <f>IF(E131="Navio",IF($G131&lt;=VLOOKUP($F131,Base_Dados!$K$1:$O$7,5,FALSE)," ","Limite "&amp;VLOOKUP($F131,Base_Dados!$K$1:$O$11,5,FALSE)&amp;" "&amp;VLOOKUP($F131,Base_Dados!$K$1:$O$11,2,FALSE))," ")</f>
        <v xml:space="preserve"> </v>
      </c>
      <c r="Q131" s="15" t="str">
        <f t="shared" si="1"/>
        <v>Fluxo Impossível</v>
      </c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24" customHeight="1" x14ac:dyDescent="0.3">
      <c r="A132" s="10"/>
      <c r="B132" s="10"/>
      <c r="C132" s="11"/>
      <c r="D132" s="11"/>
      <c r="E132" s="11"/>
      <c r="F132" s="11"/>
      <c r="G132" s="12"/>
      <c r="H132" s="11"/>
      <c r="I132" s="11"/>
      <c r="J132" s="13" t="e">
        <f>VLOOKUP(C132&amp;I132&amp;E132,Orig_Dest!$A$2:$E$1876,5,FALSE)</f>
        <v>#N/A</v>
      </c>
      <c r="K132" s="14" t="e">
        <f t="shared" si="0"/>
        <v>#VALUE!</v>
      </c>
      <c r="L132" s="15" t="str">
        <f>IF(B132="Fornecedor",IF(VLOOKUP(C132,Base_Dados!$E$1:$F$7,2,FALSE)=F132," ","Fornecedor inválido!")," ")</f>
        <v xml:space="preserve"> </v>
      </c>
      <c r="M132" s="16" t="str">
        <f>IF(AND(LEFT(F132,2)="MP",H132&lt;&gt;Base_Dados!$A$1),"Impossível!!!"," ")</f>
        <v xml:space="preserve"> </v>
      </c>
      <c r="N132" s="15" t="str">
        <f>IF(E132="Avião",IF($G132&lt;=VLOOKUP($F132,Base_Dados!$K$1:$O$7,3,FALSE)," ","Limite "&amp;VLOOKUP($F132,Base_Dados!$K$1:$O$11,3,FALSE)&amp;" "&amp;VLOOKUP($F132,Base_Dados!$K$1:$O$11,2,FALSE))," ")</f>
        <v xml:space="preserve"> </v>
      </c>
      <c r="O132" s="15" t="str">
        <f>IF(E132="Caminhão",IF($G132&lt;=VLOOKUP($F132,Base_Dados!$K$1:$O$7,4,FALSE)," ","Limite "&amp;VLOOKUP($F132,Base_Dados!$K$1:$O$11,4,FALSE)&amp;" "&amp;VLOOKUP($F132,Base_Dados!$K$1:$O$11,2,FALSE))," ")</f>
        <v xml:space="preserve"> </v>
      </c>
      <c r="P132" s="15" t="str">
        <f>IF(E132="Navio",IF($G132&lt;=VLOOKUP($F132,Base_Dados!$K$1:$O$7,5,FALSE)," ","Limite "&amp;VLOOKUP($F132,Base_Dados!$K$1:$O$11,5,FALSE)&amp;" "&amp;VLOOKUP($F132,Base_Dados!$K$1:$O$11,2,FALSE))," ")</f>
        <v xml:space="preserve"> </v>
      </c>
      <c r="Q132" s="15" t="str">
        <f t="shared" si="1"/>
        <v>Fluxo Impossível</v>
      </c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24" customHeight="1" x14ac:dyDescent="0.3">
      <c r="A133" s="10"/>
      <c r="B133" s="10"/>
      <c r="C133" s="11"/>
      <c r="D133" s="11"/>
      <c r="E133" s="11"/>
      <c r="F133" s="11"/>
      <c r="G133" s="12"/>
      <c r="H133" s="11"/>
      <c r="I133" s="11"/>
      <c r="J133" s="13" t="e">
        <f>VLOOKUP(C133&amp;I133&amp;E133,Orig_Dest!$A$2:$E$1876,5,FALSE)</f>
        <v>#N/A</v>
      </c>
      <c r="K133" s="14" t="e">
        <f t="shared" si="0"/>
        <v>#VALUE!</v>
      </c>
      <c r="L133" s="15" t="str">
        <f>IF(B133="Fornecedor",IF(VLOOKUP(C133,Base_Dados!$E$1:$F$7,2,FALSE)=F133," ","Fornecedor inválido!")," ")</f>
        <v xml:space="preserve"> </v>
      </c>
      <c r="M133" s="16" t="str">
        <f>IF(AND(LEFT(F133,2)="MP",H133&lt;&gt;Base_Dados!$A$1),"Impossível!!!"," ")</f>
        <v xml:space="preserve"> </v>
      </c>
      <c r="N133" s="15" t="str">
        <f>IF(E133="Avião",IF($G133&lt;=VLOOKUP($F133,Base_Dados!$K$1:$O$7,3,FALSE)," ","Limite "&amp;VLOOKUP($F133,Base_Dados!$K$1:$O$11,3,FALSE)&amp;" "&amp;VLOOKUP($F133,Base_Dados!$K$1:$O$11,2,FALSE))," ")</f>
        <v xml:space="preserve"> </v>
      </c>
      <c r="O133" s="15" t="str">
        <f>IF(E133="Caminhão",IF($G133&lt;=VLOOKUP($F133,Base_Dados!$K$1:$O$7,4,FALSE)," ","Limite "&amp;VLOOKUP($F133,Base_Dados!$K$1:$O$11,4,FALSE)&amp;" "&amp;VLOOKUP($F133,Base_Dados!$K$1:$O$11,2,FALSE))," ")</f>
        <v xml:space="preserve"> </v>
      </c>
      <c r="P133" s="15" t="str">
        <f>IF(E133="Navio",IF($G133&lt;=VLOOKUP($F133,Base_Dados!$K$1:$O$7,5,FALSE)," ","Limite "&amp;VLOOKUP($F133,Base_Dados!$K$1:$O$11,5,FALSE)&amp;" "&amp;VLOOKUP($F133,Base_Dados!$K$1:$O$11,2,FALSE))," ")</f>
        <v xml:space="preserve"> </v>
      </c>
      <c r="Q133" s="15" t="str">
        <f t="shared" si="1"/>
        <v>Fluxo Impossível</v>
      </c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24" customHeight="1" x14ac:dyDescent="0.3">
      <c r="A134" s="10"/>
      <c r="B134" s="10"/>
      <c r="C134" s="11"/>
      <c r="D134" s="11"/>
      <c r="E134" s="11"/>
      <c r="F134" s="11"/>
      <c r="G134" s="12"/>
      <c r="H134" s="11"/>
      <c r="I134" s="11"/>
      <c r="J134" s="13" t="e">
        <f>VLOOKUP(C134&amp;I134&amp;E134,Orig_Dest!$A$2:$E$1876,5,FALSE)</f>
        <v>#N/A</v>
      </c>
      <c r="K134" s="14" t="e">
        <f t="shared" si="0"/>
        <v>#VALUE!</v>
      </c>
      <c r="L134" s="15" t="str">
        <f>IF(B134="Fornecedor",IF(VLOOKUP(C134,Base_Dados!$E$1:$F$7,2,FALSE)=F134," ","Fornecedor inválido!")," ")</f>
        <v xml:space="preserve"> </v>
      </c>
      <c r="M134" s="16" t="str">
        <f>IF(AND(LEFT(F134,2)="MP",H134&lt;&gt;Base_Dados!$A$1),"Impossível!!!"," ")</f>
        <v xml:space="preserve"> </v>
      </c>
      <c r="N134" s="15" t="str">
        <f>IF(E134="Avião",IF($G134&lt;=VLOOKUP($F134,Base_Dados!$K$1:$O$7,3,FALSE)," ","Limite "&amp;VLOOKUP($F134,Base_Dados!$K$1:$O$11,3,FALSE)&amp;" "&amp;VLOOKUP($F134,Base_Dados!$K$1:$O$11,2,FALSE))," ")</f>
        <v xml:space="preserve"> </v>
      </c>
      <c r="O134" s="15" t="str">
        <f>IF(E134="Caminhão",IF($G134&lt;=VLOOKUP($F134,Base_Dados!$K$1:$O$7,4,FALSE)," ","Limite "&amp;VLOOKUP($F134,Base_Dados!$K$1:$O$11,4,FALSE)&amp;" "&amp;VLOOKUP($F134,Base_Dados!$K$1:$O$11,2,FALSE))," ")</f>
        <v xml:space="preserve"> </v>
      </c>
      <c r="P134" s="15" t="str">
        <f>IF(E134="Navio",IF($G134&lt;=VLOOKUP($F134,Base_Dados!$K$1:$O$7,5,FALSE)," ","Limite "&amp;VLOOKUP($F134,Base_Dados!$K$1:$O$11,5,FALSE)&amp;" "&amp;VLOOKUP($F134,Base_Dados!$K$1:$O$11,2,FALSE))," ")</f>
        <v xml:space="preserve"> </v>
      </c>
      <c r="Q134" s="15" t="str">
        <f t="shared" si="1"/>
        <v>Fluxo Impossível</v>
      </c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24" customHeight="1" x14ac:dyDescent="0.3">
      <c r="A135" s="10"/>
      <c r="B135" s="10"/>
      <c r="C135" s="11"/>
      <c r="D135" s="11"/>
      <c r="E135" s="11"/>
      <c r="F135" s="11"/>
      <c r="G135" s="12"/>
      <c r="H135" s="11"/>
      <c r="I135" s="11"/>
      <c r="J135" s="13" t="e">
        <f>VLOOKUP(C135&amp;I135&amp;E135,Orig_Dest!$A$2:$E$1876,5,FALSE)</f>
        <v>#N/A</v>
      </c>
      <c r="K135" s="14" t="e">
        <f t="shared" si="0"/>
        <v>#VALUE!</v>
      </c>
      <c r="L135" s="15" t="str">
        <f>IF(B135="Fornecedor",IF(VLOOKUP(C135,Base_Dados!$E$1:$F$7,2,FALSE)=F135," ","Fornecedor inválido!")," ")</f>
        <v xml:space="preserve"> </v>
      </c>
      <c r="M135" s="16" t="str">
        <f>IF(AND(LEFT(F135,2)="MP",H135&lt;&gt;Base_Dados!$A$1),"Impossível!!!"," ")</f>
        <v xml:space="preserve"> </v>
      </c>
      <c r="N135" s="15" t="str">
        <f>IF(E135="Avião",IF($G135&lt;=VLOOKUP($F135,Base_Dados!$K$1:$O$7,3,FALSE)," ","Limite "&amp;VLOOKUP($F135,Base_Dados!$K$1:$O$11,3,FALSE)&amp;" "&amp;VLOOKUP($F135,Base_Dados!$K$1:$O$11,2,FALSE))," ")</f>
        <v xml:space="preserve"> </v>
      </c>
      <c r="O135" s="15" t="str">
        <f>IF(E135="Caminhão",IF($G135&lt;=VLOOKUP($F135,Base_Dados!$K$1:$O$7,4,FALSE)," ","Limite "&amp;VLOOKUP($F135,Base_Dados!$K$1:$O$11,4,FALSE)&amp;" "&amp;VLOOKUP($F135,Base_Dados!$K$1:$O$11,2,FALSE))," ")</f>
        <v xml:space="preserve"> </v>
      </c>
      <c r="P135" s="15" t="str">
        <f>IF(E135="Navio",IF($G135&lt;=VLOOKUP($F135,Base_Dados!$K$1:$O$7,5,FALSE)," ","Limite "&amp;VLOOKUP($F135,Base_Dados!$K$1:$O$11,5,FALSE)&amp;" "&amp;VLOOKUP($F135,Base_Dados!$K$1:$O$11,2,FALSE))," ")</f>
        <v xml:space="preserve"> </v>
      </c>
      <c r="Q135" s="15" t="str">
        <f t="shared" si="1"/>
        <v>Fluxo Impossível</v>
      </c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24" customHeight="1" x14ac:dyDescent="0.3">
      <c r="A136" s="10"/>
      <c r="B136" s="10"/>
      <c r="C136" s="11"/>
      <c r="D136" s="11"/>
      <c r="E136" s="11"/>
      <c r="F136" s="11"/>
      <c r="G136" s="12"/>
      <c r="H136" s="11"/>
      <c r="I136" s="11"/>
      <c r="J136" s="13" t="e">
        <f>VLOOKUP(C136&amp;I136&amp;E136,Orig_Dest!$A$2:$E$1876,5,FALSE)</f>
        <v>#N/A</v>
      </c>
      <c r="K136" s="14" t="e">
        <f t="shared" si="0"/>
        <v>#VALUE!</v>
      </c>
      <c r="L136" s="15" t="str">
        <f>IF(B136="Fornecedor",IF(VLOOKUP(C136,Base_Dados!$E$1:$F$7,2,FALSE)=F136," ","Fornecedor inválido!")," ")</f>
        <v xml:space="preserve"> </v>
      </c>
      <c r="M136" s="16" t="str">
        <f>IF(AND(LEFT(F136,2)="MP",H136&lt;&gt;Base_Dados!$A$1),"Impossível!!!"," ")</f>
        <v xml:space="preserve"> </v>
      </c>
      <c r="N136" s="15" t="str">
        <f>IF(E136="Avião",IF($G136&lt;=VLOOKUP($F136,Base_Dados!$K$1:$O$7,3,FALSE)," ","Limite "&amp;VLOOKUP($F136,Base_Dados!$K$1:$O$11,3,FALSE)&amp;" "&amp;VLOOKUP($F136,Base_Dados!$K$1:$O$11,2,FALSE))," ")</f>
        <v xml:space="preserve"> </v>
      </c>
      <c r="O136" s="15" t="str">
        <f>IF(E136="Caminhão",IF($G136&lt;=VLOOKUP($F136,Base_Dados!$K$1:$O$7,4,FALSE)," ","Limite "&amp;VLOOKUP($F136,Base_Dados!$K$1:$O$11,4,FALSE)&amp;" "&amp;VLOOKUP($F136,Base_Dados!$K$1:$O$11,2,FALSE))," ")</f>
        <v xml:space="preserve"> </v>
      </c>
      <c r="P136" s="15" t="str">
        <f>IF(E136="Navio",IF($G136&lt;=VLOOKUP($F136,Base_Dados!$K$1:$O$7,5,FALSE)," ","Limite "&amp;VLOOKUP($F136,Base_Dados!$K$1:$O$11,5,FALSE)&amp;" "&amp;VLOOKUP($F136,Base_Dados!$K$1:$O$11,2,FALSE))," ")</f>
        <v xml:space="preserve"> </v>
      </c>
      <c r="Q136" s="15" t="str">
        <f t="shared" si="1"/>
        <v>Fluxo Impossível</v>
      </c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24" customHeight="1" x14ac:dyDescent="0.3">
      <c r="A137" s="10"/>
      <c r="B137" s="10"/>
      <c r="C137" s="11"/>
      <c r="D137" s="11"/>
      <c r="E137" s="11"/>
      <c r="F137" s="11"/>
      <c r="G137" s="12"/>
      <c r="H137" s="11"/>
      <c r="I137" s="11"/>
      <c r="J137" s="13" t="e">
        <f>VLOOKUP(C137&amp;I137&amp;E137,Orig_Dest!$A$2:$E$1876,5,FALSE)</f>
        <v>#N/A</v>
      </c>
      <c r="K137" s="14" t="e">
        <f t="shared" si="0"/>
        <v>#VALUE!</v>
      </c>
      <c r="L137" s="15" t="str">
        <f>IF(B137="Fornecedor",IF(VLOOKUP(C137,Base_Dados!$E$1:$F$7,2,FALSE)=F137," ","Fornecedor inválido!")," ")</f>
        <v xml:space="preserve"> </v>
      </c>
      <c r="M137" s="16" t="str">
        <f>IF(AND(LEFT(F137,2)="MP",H137&lt;&gt;Base_Dados!$A$1),"Impossível!!!"," ")</f>
        <v xml:space="preserve"> </v>
      </c>
      <c r="N137" s="15" t="str">
        <f>IF(E137="Avião",IF($G137&lt;=VLOOKUP($F137,Base_Dados!$K$1:$O$7,3,FALSE)," ","Limite "&amp;VLOOKUP($F137,Base_Dados!$K$1:$O$11,3,FALSE)&amp;" "&amp;VLOOKUP($F137,Base_Dados!$K$1:$O$11,2,FALSE))," ")</f>
        <v xml:space="preserve"> </v>
      </c>
      <c r="O137" s="15" t="str">
        <f>IF(E137="Caminhão",IF($G137&lt;=VLOOKUP($F137,Base_Dados!$K$1:$O$7,4,FALSE)," ","Limite "&amp;VLOOKUP($F137,Base_Dados!$K$1:$O$11,4,FALSE)&amp;" "&amp;VLOOKUP($F137,Base_Dados!$K$1:$O$11,2,FALSE))," ")</f>
        <v xml:space="preserve"> </v>
      </c>
      <c r="P137" s="15" t="str">
        <f>IF(E137="Navio",IF($G137&lt;=VLOOKUP($F137,Base_Dados!$K$1:$O$7,5,FALSE)," ","Limite "&amp;VLOOKUP($F137,Base_Dados!$K$1:$O$11,5,FALSE)&amp;" "&amp;VLOOKUP($F137,Base_Dados!$K$1:$O$11,2,FALSE))," ")</f>
        <v xml:space="preserve"> </v>
      </c>
      <c r="Q137" s="15" t="str">
        <f t="shared" si="1"/>
        <v>Fluxo Impossível</v>
      </c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24" customHeight="1" x14ac:dyDescent="0.3">
      <c r="A138" s="10"/>
      <c r="B138" s="10"/>
      <c r="C138" s="11"/>
      <c r="D138" s="11"/>
      <c r="E138" s="11"/>
      <c r="F138" s="11"/>
      <c r="G138" s="12"/>
      <c r="H138" s="11"/>
      <c r="I138" s="11"/>
      <c r="J138" s="13" t="e">
        <f>VLOOKUP(C138&amp;I138&amp;E138,Orig_Dest!$A$2:$E$1876,5,FALSE)</f>
        <v>#N/A</v>
      </c>
      <c r="K138" s="14" t="e">
        <f t="shared" si="0"/>
        <v>#VALUE!</v>
      </c>
      <c r="L138" s="15" t="str">
        <f>IF(B138="Fornecedor",IF(VLOOKUP(C138,Base_Dados!$E$1:$F$7,2,FALSE)=F138," ","Fornecedor inválido!")," ")</f>
        <v xml:space="preserve"> </v>
      </c>
      <c r="M138" s="16" t="str">
        <f>IF(AND(LEFT(F138,2)="MP",H138&lt;&gt;Base_Dados!$A$1),"Impossível!!!"," ")</f>
        <v xml:space="preserve"> </v>
      </c>
      <c r="N138" s="15" t="str">
        <f>IF(E138="Avião",IF($G138&lt;=VLOOKUP($F138,Base_Dados!$K$1:$O$7,3,FALSE)," ","Limite "&amp;VLOOKUP($F138,Base_Dados!$K$1:$O$11,3,FALSE)&amp;" "&amp;VLOOKUP($F138,Base_Dados!$K$1:$O$11,2,FALSE))," ")</f>
        <v xml:space="preserve"> </v>
      </c>
      <c r="O138" s="15" t="str">
        <f>IF(E138="Caminhão",IF($G138&lt;=VLOOKUP($F138,Base_Dados!$K$1:$O$7,4,FALSE)," ","Limite "&amp;VLOOKUP($F138,Base_Dados!$K$1:$O$11,4,FALSE)&amp;" "&amp;VLOOKUP($F138,Base_Dados!$K$1:$O$11,2,FALSE))," ")</f>
        <v xml:space="preserve"> </v>
      </c>
      <c r="P138" s="15" t="str">
        <f>IF(E138="Navio",IF($G138&lt;=VLOOKUP($F138,Base_Dados!$K$1:$O$7,5,FALSE)," ","Limite "&amp;VLOOKUP($F138,Base_Dados!$K$1:$O$11,5,FALSE)&amp;" "&amp;VLOOKUP($F138,Base_Dados!$K$1:$O$11,2,FALSE))," ")</f>
        <v xml:space="preserve"> </v>
      </c>
      <c r="Q138" s="15" t="str">
        <f t="shared" si="1"/>
        <v>Fluxo Impossível</v>
      </c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24" customHeight="1" x14ac:dyDescent="0.3">
      <c r="A139" s="10"/>
      <c r="B139" s="10"/>
      <c r="C139" s="11"/>
      <c r="D139" s="11"/>
      <c r="E139" s="11"/>
      <c r="F139" s="11"/>
      <c r="G139" s="12"/>
      <c r="H139" s="11"/>
      <c r="I139" s="11"/>
      <c r="J139" s="13" t="e">
        <f>VLOOKUP(C139&amp;I139&amp;E139,Orig_Dest!$A$2:$E$1876,5,FALSE)</f>
        <v>#N/A</v>
      </c>
      <c r="K139" s="14" t="e">
        <f t="shared" si="0"/>
        <v>#VALUE!</v>
      </c>
      <c r="L139" s="15" t="str">
        <f>IF(B139="Fornecedor",IF(VLOOKUP(C139,Base_Dados!$E$1:$F$7,2,FALSE)=F139," ","Fornecedor inválido!")," ")</f>
        <v xml:space="preserve"> </v>
      </c>
      <c r="M139" s="16" t="str">
        <f>IF(AND(LEFT(F139,2)="MP",H139&lt;&gt;Base_Dados!$A$1),"Impossível!!!"," ")</f>
        <v xml:space="preserve"> </v>
      </c>
      <c r="N139" s="15" t="str">
        <f>IF(E139="Avião",IF($G139&lt;=VLOOKUP($F139,Base_Dados!$K$1:$O$7,3,FALSE)," ","Limite "&amp;VLOOKUP($F139,Base_Dados!$K$1:$O$11,3,FALSE)&amp;" "&amp;VLOOKUP($F139,Base_Dados!$K$1:$O$11,2,FALSE))," ")</f>
        <v xml:space="preserve"> </v>
      </c>
      <c r="O139" s="15" t="str">
        <f>IF(E139="Caminhão",IF($G139&lt;=VLOOKUP($F139,Base_Dados!$K$1:$O$7,4,FALSE)," ","Limite "&amp;VLOOKUP($F139,Base_Dados!$K$1:$O$11,4,FALSE)&amp;" "&amp;VLOOKUP($F139,Base_Dados!$K$1:$O$11,2,FALSE))," ")</f>
        <v xml:space="preserve"> </v>
      </c>
      <c r="P139" s="15" t="str">
        <f>IF(E139="Navio",IF($G139&lt;=VLOOKUP($F139,Base_Dados!$K$1:$O$7,5,FALSE)," ","Limite "&amp;VLOOKUP($F139,Base_Dados!$K$1:$O$11,5,FALSE)&amp;" "&amp;VLOOKUP($F139,Base_Dados!$K$1:$O$11,2,FALSE))," ")</f>
        <v xml:space="preserve"> </v>
      </c>
      <c r="Q139" s="15" t="str">
        <f t="shared" si="1"/>
        <v>Fluxo Impossível</v>
      </c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24" customHeight="1" x14ac:dyDescent="0.3">
      <c r="A140" s="10"/>
      <c r="B140" s="10"/>
      <c r="C140" s="11"/>
      <c r="D140" s="11"/>
      <c r="E140" s="11"/>
      <c r="F140" s="11"/>
      <c r="G140" s="12"/>
      <c r="H140" s="11"/>
      <c r="I140" s="11"/>
      <c r="J140" s="13" t="e">
        <f>VLOOKUP(C140&amp;I140&amp;E140,Orig_Dest!$A$2:$E$1876,5,FALSE)</f>
        <v>#N/A</v>
      </c>
      <c r="K140" s="14" t="e">
        <f t="shared" si="0"/>
        <v>#VALUE!</v>
      </c>
      <c r="L140" s="15" t="str">
        <f>IF(B140="Fornecedor",IF(VLOOKUP(C140,Base_Dados!$E$1:$F$7,2,FALSE)=F140," ","Fornecedor inválido!")," ")</f>
        <v xml:space="preserve"> </v>
      </c>
      <c r="M140" s="16" t="str">
        <f>IF(AND(LEFT(F140,2)="MP",H140&lt;&gt;Base_Dados!$A$1),"Impossível!!!"," ")</f>
        <v xml:space="preserve"> </v>
      </c>
      <c r="N140" s="15" t="str">
        <f>IF(E140="Avião",IF($G140&lt;=VLOOKUP($F140,Base_Dados!$K$1:$O$7,3,FALSE)," ","Limite "&amp;VLOOKUP($F140,Base_Dados!$K$1:$O$11,3,FALSE)&amp;" "&amp;VLOOKUP($F140,Base_Dados!$K$1:$O$11,2,FALSE))," ")</f>
        <v xml:space="preserve"> </v>
      </c>
      <c r="O140" s="15" t="str">
        <f>IF(E140="Caminhão",IF($G140&lt;=VLOOKUP($F140,Base_Dados!$K$1:$O$7,4,FALSE)," ","Limite "&amp;VLOOKUP($F140,Base_Dados!$K$1:$O$11,4,FALSE)&amp;" "&amp;VLOOKUP($F140,Base_Dados!$K$1:$O$11,2,FALSE))," ")</f>
        <v xml:space="preserve"> </v>
      </c>
      <c r="P140" s="15" t="str">
        <f>IF(E140="Navio",IF($G140&lt;=VLOOKUP($F140,Base_Dados!$K$1:$O$7,5,FALSE)," ","Limite "&amp;VLOOKUP($F140,Base_Dados!$K$1:$O$11,5,FALSE)&amp;" "&amp;VLOOKUP($F140,Base_Dados!$K$1:$O$11,2,FALSE))," ")</f>
        <v xml:space="preserve"> </v>
      </c>
      <c r="Q140" s="15" t="str">
        <f t="shared" si="1"/>
        <v>Fluxo Impossível</v>
      </c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24" customHeight="1" x14ac:dyDescent="0.3">
      <c r="A141" s="10"/>
      <c r="B141" s="10"/>
      <c r="C141" s="11"/>
      <c r="D141" s="11"/>
      <c r="E141" s="11"/>
      <c r="F141" s="11"/>
      <c r="G141" s="12"/>
      <c r="H141" s="11"/>
      <c r="I141" s="11"/>
      <c r="J141" s="13" t="e">
        <f>VLOOKUP(C141&amp;I141&amp;E141,Orig_Dest!$A$2:$E$1876,5,FALSE)</f>
        <v>#N/A</v>
      </c>
      <c r="K141" s="14" t="e">
        <f t="shared" si="0"/>
        <v>#VALUE!</v>
      </c>
      <c r="L141" s="15" t="str">
        <f>IF(B141="Fornecedor",IF(VLOOKUP(C141,Base_Dados!$E$1:$F$7,2,FALSE)=F141," ","Fornecedor inválido!")," ")</f>
        <v xml:space="preserve"> </v>
      </c>
      <c r="M141" s="16" t="str">
        <f>IF(AND(LEFT(F141,2)="MP",H141&lt;&gt;Base_Dados!$A$1),"Impossível!!!"," ")</f>
        <v xml:space="preserve"> </v>
      </c>
      <c r="N141" s="15" t="str">
        <f>IF(E141="Avião",IF($G141&lt;=VLOOKUP($F141,Base_Dados!$K$1:$O$7,3,FALSE)," ","Limite "&amp;VLOOKUP($F141,Base_Dados!$K$1:$O$11,3,FALSE)&amp;" "&amp;VLOOKUP($F141,Base_Dados!$K$1:$O$11,2,FALSE))," ")</f>
        <v xml:space="preserve"> </v>
      </c>
      <c r="O141" s="15" t="str">
        <f>IF(E141="Caminhão",IF($G141&lt;=VLOOKUP($F141,Base_Dados!$K$1:$O$7,4,FALSE)," ","Limite "&amp;VLOOKUP($F141,Base_Dados!$K$1:$O$11,4,FALSE)&amp;" "&amp;VLOOKUP($F141,Base_Dados!$K$1:$O$11,2,FALSE))," ")</f>
        <v xml:space="preserve"> </v>
      </c>
      <c r="P141" s="15" t="str">
        <f>IF(E141="Navio",IF($G141&lt;=VLOOKUP($F141,Base_Dados!$K$1:$O$7,5,FALSE)," ","Limite "&amp;VLOOKUP($F141,Base_Dados!$K$1:$O$11,5,FALSE)&amp;" "&amp;VLOOKUP($F141,Base_Dados!$K$1:$O$11,2,FALSE))," ")</f>
        <v xml:space="preserve"> </v>
      </c>
      <c r="Q141" s="15" t="str">
        <f t="shared" si="1"/>
        <v>Fluxo Impossível</v>
      </c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24" customHeight="1" x14ac:dyDescent="0.3">
      <c r="A142" s="10"/>
      <c r="B142" s="10"/>
      <c r="C142" s="11"/>
      <c r="D142" s="11"/>
      <c r="E142" s="11"/>
      <c r="F142" s="11"/>
      <c r="G142" s="12"/>
      <c r="H142" s="11"/>
      <c r="I142" s="11"/>
      <c r="J142" s="13" t="e">
        <f>VLOOKUP(C142&amp;I142&amp;E142,Orig_Dest!$A$2:$E$1876,5,FALSE)</f>
        <v>#N/A</v>
      </c>
      <c r="K142" s="14" t="e">
        <f t="shared" si="0"/>
        <v>#VALUE!</v>
      </c>
      <c r="L142" s="15" t="str">
        <f>IF(B142="Fornecedor",IF(VLOOKUP(C142,Base_Dados!$E$1:$F$7,2,FALSE)=F142," ","Fornecedor inválido!")," ")</f>
        <v xml:space="preserve"> </v>
      </c>
      <c r="M142" s="16" t="str">
        <f>IF(AND(LEFT(F142,2)="MP",H142&lt;&gt;Base_Dados!$A$1),"Impossível!!!"," ")</f>
        <v xml:space="preserve"> </v>
      </c>
      <c r="N142" s="15" t="str">
        <f>IF(E142="Avião",IF($G142&lt;=VLOOKUP($F142,Base_Dados!$K$1:$O$7,3,FALSE)," ","Limite "&amp;VLOOKUP($F142,Base_Dados!$K$1:$O$11,3,FALSE)&amp;" "&amp;VLOOKUP($F142,Base_Dados!$K$1:$O$11,2,FALSE))," ")</f>
        <v xml:space="preserve"> </v>
      </c>
      <c r="O142" s="15" t="str">
        <f>IF(E142="Caminhão",IF($G142&lt;=VLOOKUP($F142,Base_Dados!$K$1:$O$7,4,FALSE)," ","Limite "&amp;VLOOKUP($F142,Base_Dados!$K$1:$O$11,4,FALSE)&amp;" "&amp;VLOOKUP($F142,Base_Dados!$K$1:$O$11,2,FALSE))," ")</f>
        <v xml:space="preserve"> </v>
      </c>
      <c r="P142" s="15" t="str">
        <f>IF(E142="Navio",IF($G142&lt;=VLOOKUP($F142,Base_Dados!$K$1:$O$7,5,FALSE)," ","Limite "&amp;VLOOKUP($F142,Base_Dados!$K$1:$O$11,5,FALSE)&amp;" "&amp;VLOOKUP($F142,Base_Dados!$K$1:$O$11,2,FALSE))," ")</f>
        <v xml:space="preserve"> </v>
      </c>
      <c r="Q142" s="15" t="str">
        <f t="shared" si="1"/>
        <v>Fluxo Impossível</v>
      </c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24" customHeight="1" x14ac:dyDescent="0.3">
      <c r="A143" s="10"/>
      <c r="B143" s="10"/>
      <c r="C143" s="11"/>
      <c r="D143" s="11"/>
      <c r="E143" s="11"/>
      <c r="F143" s="11"/>
      <c r="G143" s="12"/>
      <c r="H143" s="11"/>
      <c r="I143" s="11"/>
      <c r="J143" s="13" t="e">
        <f>VLOOKUP(C143&amp;I143&amp;E143,Orig_Dest!$A$2:$E$1876,5,FALSE)</f>
        <v>#N/A</v>
      </c>
      <c r="K143" s="14" t="e">
        <f t="shared" si="0"/>
        <v>#VALUE!</v>
      </c>
      <c r="L143" s="15" t="str">
        <f>IF(B143="Fornecedor",IF(VLOOKUP(C143,Base_Dados!$E$1:$F$7,2,FALSE)=F143," ","Fornecedor inválido!")," ")</f>
        <v xml:space="preserve"> </v>
      </c>
      <c r="M143" s="16" t="str">
        <f>IF(AND(LEFT(F143,2)="MP",H143&lt;&gt;Base_Dados!$A$1),"Impossível!!!"," ")</f>
        <v xml:space="preserve"> </v>
      </c>
      <c r="N143" s="15" t="str">
        <f>IF(E143="Avião",IF($G143&lt;=VLOOKUP($F143,Base_Dados!$K$1:$O$7,3,FALSE)," ","Limite "&amp;VLOOKUP($F143,Base_Dados!$K$1:$O$11,3,FALSE)&amp;" "&amp;VLOOKUP($F143,Base_Dados!$K$1:$O$11,2,FALSE))," ")</f>
        <v xml:space="preserve"> </v>
      </c>
      <c r="O143" s="15" t="str">
        <f>IF(E143="Caminhão",IF($G143&lt;=VLOOKUP($F143,Base_Dados!$K$1:$O$7,4,FALSE)," ","Limite "&amp;VLOOKUP($F143,Base_Dados!$K$1:$O$11,4,FALSE)&amp;" "&amp;VLOOKUP($F143,Base_Dados!$K$1:$O$11,2,FALSE))," ")</f>
        <v xml:space="preserve"> </v>
      </c>
      <c r="P143" s="15" t="str">
        <f>IF(E143="Navio",IF($G143&lt;=VLOOKUP($F143,Base_Dados!$K$1:$O$7,5,FALSE)," ","Limite "&amp;VLOOKUP($F143,Base_Dados!$K$1:$O$11,5,FALSE)&amp;" "&amp;VLOOKUP($F143,Base_Dados!$K$1:$O$11,2,FALSE))," ")</f>
        <v xml:space="preserve"> </v>
      </c>
      <c r="Q143" s="15" t="str">
        <f t="shared" si="1"/>
        <v>Fluxo Impossível</v>
      </c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24" customHeight="1" x14ac:dyDescent="0.3">
      <c r="A144" s="10"/>
      <c r="B144" s="10"/>
      <c r="C144" s="11"/>
      <c r="D144" s="11"/>
      <c r="E144" s="11"/>
      <c r="F144" s="11"/>
      <c r="G144" s="12"/>
      <c r="H144" s="11"/>
      <c r="I144" s="11"/>
      <c r="J144" s="13" t="e">
        <f>VLOOKUP(C144&amp;I144&amp;E144,Orig_Dest!$A$2:$E$1876,5,FALSE)</f>
        <v>#N/A</v>
      </c>
      <c r="K144" s="14" t="e">
        <f t="shared" si="0"/>
        <v>#VALUE!</v>
      </c>
      <c r="L144" s="15" t="str">
        <f>IF(B144="Fornecedor",IF(VLOOKUP(C144,Base_Dados!$E$1:$F$7,2,FALSE)=F144," ","Fornecedor inválido!")," ")</f>
        <v xml:space="preserve"> </v>
      </c>
      <c r="M144" s="16" t="str">
        <f>IF(AND(LEFT(F144,2)="MP",H144&lt;&gt;Base_Dados!$A$1),"Impossível!!!"," ")</f>
        <v xml:space="preserve"> </v>
      </c>
      <c r="N144" s="15" t="str">
        <f>IF(E144="Avião",IF($G144&lt;=VLOOKUP($F144,Base_Dados!$K$1:$O$7,3,FALSE)," ","Limite "&amp;VLOOKUP($F144,Base_Dados!$K$1:$O$11,3,FALSE)&amp;" "&amp;VLOOKUP($F144,Base_Dados!$K$1:$O$11,2,FALSE))," ")</f>
        <v xml:space="preserve"> </v>
      </c>
      <c r="O144" s="15" t="str">
        <f>IF(E144="Caminhão",IF($G144&lt;=VLOOKUP($F144,Base_Dados!$K$1:$O$7,4,FALSE)," ","Limite "&amp;VLOOKUP($F144,Base_Dados!$K$1:$O$11,4,FALSE)&amp;" "&amp;VLOOKUP($F144,Base_Dados!$K$1:$O$11,2,FALSE))," ")</f>
        <v xml:space="preserve"> </v>
      </c>
      <c r="P144" s="15" t="str">
        <f>IF(E144="Navio",IF($G144&lt;=VLOOKUP($F144,Base_Dados!$K$1:$O$7,5,FALSE)," ","Limite "&amp;VLOOKUP($F144,Base_Dados!$K$1:$O$11,5,FALSE)&amp;" "&amp;VLOOKUP($F144,Base_Dados!$K$1:$O$11,2,FALSE))," ")</f>
        <v xml:space="preserve"> </v>
      </c>
      <c r="Q144" s="15" t="str">
        <f t="shared" si="1"/>
        <v>Fluxo Impossível</v>
      </c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24" customHeight="1" x14ac:dyDescent="0.3">
      <c r="A145" s="10"/>
      <c r="B145" s="10"/>
      <c r="C145" s="11"/>
      <c r="D145" s="11"/>
      <c r="E145" s="11"/>
      <c r="F145" s="11"/>
      <c r="G145" s="12"/>
      <c r="H145" s="11"/>
      <c r="I145" s="11"/>
      <c r="J145" s="13" t="e">
        <f>VLOOKUP(C145&amp;I145&amp;E145,Orig_Dest!$A$2:$E$1876,5,FALSE)</f>
        <v>#N/A</v>
      </c>
      <c r="K145" s="14" t="e">
        <f t="shared" si="0"/>
        <v>#VALUE!</v>
      </c>
      <c r="L145" s="15" t="str">
        <f>IF(B145="Fornecedor",IF(VLOOKUP(C145,Base_Dados!$E$1:$F$7,2,FALSE)=F145," ","Fornecedor inválido!")," ")</f>
        <v xml:space="preserve"> </v>
      </c>
      <c r="M145" s="16" t="str">
        <f>IF(AND(LEFT(F145,2)="MP",H145&lt;&gt;Base_Dados!$A$1),"Impossível!!!"," ")</f>
        <v xml:space="preserve"> </v>
      </c>
      <c r="N145" s="15" t="str">
        <f>IF(E145="Avião",IF($G145&lt;=VLOOKUP($F145,Base_Dados!$K$1:$O$7,3,FALSE)," ","Limite "&amp;VLOOKUP($F145,Base_Dados!$K$1:$O$11,3,FALSE)&amp;" "&amp;VLOOKUP($F145,Base_Dados!$K$1:$O$11,2,FALSE))," ")</f>
        <v xml:space="preserve"> </v>
      </c>
      <c r="O145" s="15" t="str">
        <f>IF(E145="Caminhão",IF($G145&lt;=VLOOKUP($F145,Base_Dados!$K$1:$O$7,4,FALSE)," ","Limite "&amp;VLOOKUP($F145,Base_Dados!$K$1:$O$11,4,FALSE)&amp;" "&amp;VLOOKUP($F145,Base_Dados!$K$1:$O$11,2,FALSE))," ")</f>
        <v xml:space="preserve"> </v>
      </c>
      <c r="P145" s="15" t="str">
        <f>IF(E145="Navio",IF($G145&lt;=VLOOKUP($F145,Base_Dados!$K$1:$O$7,5,FALSE)," ","Limite "&amp;VLOOKUP($F145,Base_Dados!$K$1:$O$11,5,FALSE)&amp;" "&amp;VLOOKUP($F145,Base_Dados!$K$1:$O$11,2,FALSE))," ")</f>
        <v xml:space="preserve"> </v>
      </c>
      <c r="Q145" s="15" t="str">
        <f t="shared" si="1"/>
        <v>Fluxo Impossível</v>
      </c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24" customHeight="1" x14ac:dyDescent="0.3">
      <c r="A146" s="10"/>
      <c r="B146" s="10"/>
      <c r="C146" s="11"/>
      <c r="D146" s="11"/>
      <c r="E146" s="11"/>
      <c r="F146" s="11"/>
      <c r="G146" s="12"/>
      <c r="H146" s="11"/>
      <c r="I146" s="11"/>
      <c r="J146" s="13" t="e">
        <f>VLOOKUP(C146&amp;I146&amp;E146,Orig_Dest!$A$2:$E$1876,5,FALSE)</f>
        <v>#N/A</v>
      </c>
      <c r="K146" s="14" t="e">
        <f t="shared" si="0"/>
        <v>#VALUE!</v>
      </c>
      <c r="L146" s="15" t="str">
        <f>IF(B146="Fornecedor",IF(VLOOKUP(C146,Base_Dados!$E$1:$F$7,2,FALSE)=F146," ","Fornecedor inválido!")," ")</f>
        <v xml:space="preserve"> </v>
      </c>
      <c r="M146" s="16" t="str">
        <f>IF(AND(LEFT(F146,2)="MP",H146&lt;&gt;Base_Dados!$A$1),"Impossível!!!"," ")</f>
        <v xml:space="preserve"> </v>
      </c>
      <c r="N146" s="15" t="str">
        <f>IF(E146="Avião",IF($G146&lt;=VLOOKUP($F146,Base_Dados!$K$1:$O$7,3,FALSE)," ","Limite "&amp;VLOOKUP($F146,Base_Dados!$K$1:$O$11,3,FALSE)&amp;" "&amp;VLOOKUP($F146,Base_Dados!$K$1:$O$11,2,FALSE))," ")</f>
        <v xml:space="preserve"> </v>
      </c>
      <c r="O146" s="15" t="str">
        <f>IF(E146="Caminhão",IF($G146&lt;=VLOOKUP($F146,Base_Dados!$K$1:$O$7,4,FALSE)," ","Limite "&amp;VLOOKUP($F146,Base_Dados!$K$1:$O$11,4,FALSE)&amp;" "&amp;VLOOKUP($F146,Base_Dados!$K$1:$O$11,2,FALSE))," ")</f>
        <v xml:space="preserve"> </v>
      </c>
      <c r="P146" s="15" t="str">
        <f>IF(E146="Navio",IF($G146&lt;=VLOOKUP($F146,Base_Dados!$K$1:$O$7,5,FALSE)," ","Limite "&amp;VLOOKUP($F146,Base_Dados!$K$1:$O$11,5,FALSE)&amp;" "&amp;VLOOKUP($F146,Base_Dados!$K$1:$O$11,2,FALSE))," ")</f>
        <v xml:space="preserve"> </v>
      </c>
      <c r="Q146" s="15" t="str">
        <f t="shared" si="1"/>
        <v>Fluxo Impossível</v>
      </c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24" customHeight="1" x14ac:dyDescent="0.3">
      <c r="A147" s="10"/>
      <c r="B147" s="10"/>
      <c r="C147" s="11"/>
      <c r="D147" s="11"/>
      <c r="E147" s="11"/>
      <c r="F147" s="11"/>
      <c r="G147" s="12"/>
      <c r="H147" s="11"/>
      <c r="I147" s="11"/>
      <c r="J147" s="13" t="e">
        <f>VLOOKUP(C147&amp;I147&amp;E147,Orig_Dest!$A$2:$E$1876,5,FALSE)</f>
        <v>#N/A</v>
      </c>
      <c r="K147" s="14" t="e">
        <f t="shared" si="0"/>
        <v>#VALUE!</v>
      </c>
      <c r="L147" s="15" t="str">
        <f>IF(B147="Fornecedor",IF(VLOOKUP(C147,Base_Dados!$E$1:$F$7,2,FALSE)=F147," ","Fornecedor inválido!")," ")</f>
        <v xml:space="preserve"> </v>
      </c>
      <c r="M147" s="16" t="str">
        <f>IF(AND(LEFT(F147,2)="MP",H147&lt;&gt;Base_Dados!$A$1),"Impossível!!!"," ")</f>
        <v xml:space="preserve"> </v>
      </c>
      <c r="N147" s="15" t="str">
        <f>IF(E147="Avião",IF($G147&lt;=VLOOKUP($F147,Base_Dados!$K$1:$O$7,3,FALSE)," ","Limite "&amp;VLOOKUP($F147,Base_Dados!$K$1:$O$11,3,FALSE)&amp;" "&amp;VLOOKUP($F147,Base_Dados!$K$1:$O$11,2,FALSE))," ")</f>
        <v xml:space="preserve"> </v>
      </c>
      <c r="O147" s="15" t="str">
        <f>IF(E147="Caminhão",IF($G147&lt;=VLOOKUP($F147,Base_Dados!$K$1:$O$7,4,FALSE)," ","Limite "&amp;VLOOKUP($F147,Base_Dados!$K$1:$O$11,4,FALSE)&amp;" "&amp;VLOOKUP($F147,Base_Dados!$K$1:$O$11,2,FALSE))," ")</f>
        <v xml:space="preserve"> </v>
      </c>
      <c r="P147" s="15" t="str">
        <f>IF(E147="Navio",IF($G147&lt;=VLOOKUP($F147,Base_Dados!$K$1:$O$7,5,FALSE)," ","Limite "&amp;VLOOKUP($F147,Base_Dados!$K$1:$O$11,5,FALSE)&amp;" "&amp;VLOOKUP($F147,Base_Dados!$K$1:$O$11,2,FALSE))," ")</f>
        <v xml:space="preserve"> </v>
      </c>
      <c r="Q147" s="15" t="str">
        <f t="shared" si="1"/>
        <v>Fluxo Impossível</v>
      </c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24" customHeight="1" x14ac:dyDescent="0.3">
      <c r="A148" s="10"/>
      <c r="B148" s="10"/>
      <c r="C148" s="11"/>
      <c r="D148" s="11"/>
      <c r="E148" s="11"/>
      <c r="F148" s="11"/>
      <c r="G148" s="12"/>
      <c r="H148" s="11"/>
      <c r="I148" s="11"/>
      <c r="J148" s="13" t="e">
        <f>VLOOKUP(C148&amp;I148&amp;E148,Orig_Dest!$A$2:$E$1876,5,FALSE)</f>
        <v>#N/A</v>
      </c>
      <c r="K148" s="14" t="e">
        <f t="shared" si="0"/>
        <v>#VALUE!</v>
      </c>
      <c r="L148" s="15" t="str">
        <f>IF(B148="Fornecedor",IF(VLOOKUP(C148,Base_Dados!$E$1:$F$7,2,FALSE)=F148," ","Fornecedor inválido!")," ")</f>
        <v xml:space="preserve"> </v>
      </c>
      <c r="M148" s="16" t="str">
        <f>IF(AND(LEFT(F148,2)="MP",H148&lt;&gt;Base_Dados!$A$1),"Impossível!!!"," ")</f>
        <v xml:space="preserve"> </v>
      </c>
      <c r="N148" s="15" t="str">
        <f>IF(E148="Avião",IF($G148&lt;=VLOOKUP($F148,Base_Dados!$K$1:$O$7,3,FALSE)," ","Limite "&amp;VLOOKUP($F148,Base_Dados!$K$1:$O$11,3,FALSE)&amp;" "&amp;VLOOKUP($F148,Base_Dados!$K$1:$O$11,2,FALSE))," ")</f>
        <v xml:space="preserve"> </v>
      </c>
      <c r="O148" s="15" t="str">
        <f>IF(E148="Caminhão",IF($G148&lt;=VLOOKUP($F148,Base_Dados!$K$1:$O$7,4,FALSE)," ","Limite "&amp;VLOOKUP($F148,Base_Dados!$K$1:$O$11,4,FALSE)&amp;" "&amp;VLOOKUP($F148,Base_Dados!$K$1:$O$11,2,FALSE))," ")</f>
        <v xml:space="preserve"> </v>
      </c>
      <c r="P148" s="15" t="str">
        <f>IF(E148="Navio",IF($G148&lt;=VLOOKUP($F148,Base_Dados!$K$1:$O$7,5,FALSE)," ","Limite "&amp;VLOOKUP($F148,Base_Dados!$K$1:$O$11,5,FALSE)&amp;" "&amp;VLOOKUP($F148,Base_Dados!$K$1:$O$11,2,FALSE))," ")</f>
        <v xml:space="preserve"> </v>
      </c>
      <c r="Q148" s="15" t="str">
        <f t="shared" si="1"/>
        <v>Fluxo Impossível</v>
      </c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24" customHeight="1" x14ac:dyDescent="0.3">
      <c r="A149" s="10"/>
      <c r="B149" s="10"/>
      <c r="C149" s="11"/>
      <c r="D149" s="11"/>
      <c r="E149" s="11"/>
      <c r="F149" s="11"/>
      <c r="G149" s="12"/>
      <c r="H149" s="11"/>
      <c r="I149" s="11"/>
      <c r="J149" s="13" t="e">
        <f>VLOOKUP(C149&amp;I149&amp;E149,Orig_Dest!$A$2:$E$1876,5,FALSE)</f>
        <v>#N/A</v>
      </c>
      <c r="K149" s="14" t="e">
        <f t="shared" si="0"/>
        <v>#VALUE!</v>
      </c>
      <c r="L149" s="15" t="str">
        <f>IF(B149="Fornecedor",IF(VLOOKUP(C149,Base_Dados!$E$1:$F$7,2,FALSE)=F149," ","Fornecedor inválido!")," ")</f>
        <v xml:space="preserve"> </v>
      </c>
      <c r="M149" s="16" t="str">
        <f>IF(AND(LEFT(F149,2)="MP",H149&lt;&gt;Base_Dados!$A$1),"Impossível!!!"," ")</f>
        <v xml:space="preserve"> </v>
      </c>
      <c r="N149" s="15" t="str">
        <f>IF(E149="Avião",IF($G149&lt;=VLOOKUP($F149,Base_Dados!$K$1:$O$7,3,FALSE)," ","Limite "&amp;VLOOKUP($F149,Base_Dados!$K$1:$O$11,3,FALSE)&amp;" "&amp;VLOOKUP($F149,Base_Dados!$K$1:$O$11,2,FALSE))," ")</f>
        <v xml:space="preserve"> </v>
      </c>
      <c r="O149" s="15" t="str">
        <f>IF(E149="Caminhão",IF($G149&lt;=VLOOKUP($F149,Base_Dados!$K$1:$O$7,4,FALSE)," ","Limite "&amp;VLOOKUP($F149,Base_Dados!$K$1:$O$11,4,FALSE)&amp;" "&amp;VLOOKUP($F149,Base_Dados!$K$1:$O$11,2,FALSE))," ")</f>
        <v xml:space="preserve"> </v>
      </c>
      <c r="P149" s="15" t="str">
        <f>IF(E149="Navio",IF($G149&lt;=VLOOKUP($F149,Base_Dados!$K$1:$O$7,5,FALSE)," ","Limite "&amp;VLOOKUP($F149,Base_Dados!$K$1:$O$11,5,FALSE)&amp;" "&amp;VLOOKUP($F149,Base_Dados!$K$1:$O$11,2,FALSE))," ")</f>
        <v xml:space="preserve"> </v>
      </c>
      <c r="Q149" s="15" t="str">
        <f t="shared" si="1"/>
        <v>Fluxo Impossível</v>
      </c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24" customHeight="1" x14ac:dyDescent="0.3">
      <c r="A150" s="10"/>
      <c r="B150" s="10"/>
      <c r="C150" s="11"/>
      <c r="D150" s="11"/>
      <c r="E150" s="11"/>
      <c r="F150" s="11"/>
      <c r="G150" s="12"/>
      <c r="H150" s="11"/>
      <c r="I150" s="11"/>
      <c r="J150" s="13" t="e">
        <f>VLOOKUP(C150&amp;I150&amp;E150,Orig_Dest!$A$2:$E$1876,5,FALSE)</f>
        <v>#N/A</v>
      </c>
      <c r="K150" s="14" t="e">
        <f t="shared" si="0"/>
        <v>#VALUE!</v>
      </c>
      <c r="L150" s="15" t="str">
        <f>IF(B150="Fornecedor",IF(VLOOKUP(C150,Base_Dados!$E$1:$F$7,2,FALSE)=F150," ","Fornecedor inválido!")," ")</f>
        <v xml:space="preserve"> </v>
      </c>
      <c r="M150" s="16" t="str">
        <f>IF(AND(LEFT(F150,2)="MP",H150&lt;&gt;Base_Dados!$A$1),"Impossível!!!"," ")</f>
        <v xml:space="preserve"> </v>
      </c>
      <c r="N150" s="15" t="str">
        <f>IF(E150="Avião",IF($G150&lt;=VLOOKUP($F150,Base_Dados!$K$1:$O$7,3,FALSE)," ","Limite "&amp;VLOOKUP($F150,Base_Dados!$K$1:$O$11,3,FALSE)&amp;" "&amp;VLOOKUP($F150,Base_Dados!$K$1:$O$11,2,FALSE))," ")</f>
        <v xml:space="preserve"> </v>
      </c>
      <c r="O150" s="15" t="str">
        <f>IF(E150="Caminhão",IF($G150&lt;=VLOOKUP($F150,Base_Dados!$K$1:$O$7,4,FALSE)," ","Limite "&amp;VLOOKUP($F150,Base_Dados!$K$1:$O$11,4,FALSE)&amp;" "&amp;VLOOKUP($F150,Base_Dados!$K$1:$O$11,2,FALSE))," ")</f>
        <v xml:space="preserve"> </v>
      </c>
      <c r="P150" s="15" t="str">
        <f>IF(E150="Navio",IF($G150&lt;=VLOOKUP($F150,Base_Dados!$K$1:$O$7,5,FALSE)," ","Limite "&amp;VLOOKUP($F150,Base_Dados!$K$1:$O$11,5,FALSE)&amp;" "&amp;VLOOKUP($F150,Base_Dados!$K$1:$O$11,2,FALSE))," ")</f>
        <v xml:space="preserve"> </v>
      </c>
      <c r="Q150" s="15" t="str">
        <f t="shared" si="1"/>
        <v>Fluxo Impossível</v>
      </c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24" customHeight="1" x14ac:dyDescent="0.3">
      <c r="A151" s="10"/>
      <c r="B151" s="10"/>
      <c r="C151" s="11"/>
      <c r="D151" s="11"/>
      <c r="E151" s="11"/>
      <c r="F151" s="11"/>
      <c r="G151" s="12"/>
      <c r="H151" s="11"/>
      <c r="I151" s="11"/>
      <c r="J151" s="13" t="e">
        <f>VLOOKUP(C151&amp;I151&amp;E151,Orig_Dest!$A$2:$E$1876,5,FALSE)</f>
        <v>#N/A</v>
      </c>
      <c r="K151" s="14" t="e">
        <f t="shared" si="0"/>
        <v>#VALUE!</v>
      </c>
      <c r="L151" s="15" t="str">
        <f>IF(B151="Fornecedor",IF(VLOOKUP(C151,Base_Dados!$E$1:$F$7,2,FALSE)=F151," ","Fornecedor inválido!")," ")</f>
        <v xml:space="preserve"> </v>
      </c>
      <c r="M151" s="16" t="str">
        <f>IF(AND(LEFT(F151,2)="MP",H151&lt;&gt;Base_Dados!$A$1),"Impossível!!!"," ")</f>
        <v xml:space="preserve"> </v>
      </c>
      <c r="N151" s="15" t="str">
        <f>IF(E151="Avião",IF($G151&lt;=VLOOKUP($F151,Base_Dados!$K$1:$O$7,3,FALSE)," ","Limite "&amp;VLOOKUP($F151,Base_Dados!$K$1:$O$11,3,FALSE)&amp;" "&amp;VLOOKUP($F151,Base_Dados!$K$1:$O$11,2,FALSE))," ")</f>
        <v xml:space="preserve"> </v>
      </c>
      <c r="O151" s="15" t="str">
        <f>IF(E151="Caminhão",IF($G151&lt;=VLOOKUP($F151,Base_Dados!$K$1:$O$7,4,FALSE)," ","Limite "&amp;VLOOKUP($F151,Base_Dados!$K$1:$O$11,4,FALSE)&amp;" "&amp;VLOOKUP($F151,Base_Dados!$K$1:$O$11,2,FALSE))," ")</f>
        <v xml:space="preserve"> </v>
      </c>
      <c r="P151" s="15" t="str">
        <f>IF(E151="Navio",IF($G151&lt;=VLOOKUP($F151,Base_Dados!$K$1:$O$7,5,FALSE)," ","Limite "&amp;VLOOKUP($F151,Base_Dados!$K$1:$O$11,5,FALSE)&amp;" "&amp;VLOOKUP($F151,Base_Dados!$K$1:$O$11,2,FALSE))," ")</f>
        <v xml:space="preserve"> </v>
      </c>
      <c r="Q151" s="15" t="str">
        <f t="shared" si="1"/>
        <v>Fluxo Impossível</v>
      </c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24" customHeight="1" x14ac:dyDescent="0.3">
      <c r="A152" s="10"/>
      <c r="B152" s="10"/>
      <c r="C152" s="11"/>
      <c r="D152" s="11"/>
      <c r="E152" s="11"/>
      <c r="F152" s="11"/>
      <c r="G152" s="12"/>
      <c r="H152" s="11"/>
      <c r="I152" s="11"/>
      <c r="J152" s="13" t="e">
        <f>VLOOKUP(C152&amp;I152&amp;E152,Orig_Dest!$A$2:$E$1876,5,FALSE)</f>
        <v>#N/A</v>
      </c>
      <c r="K152" s="14" t="e">
        <f t="shared" si="0"/>
        <v>#VALUE!</v>
      </c>
      <c r="L152" s="15" t="str">
        <f>IF(B152="Fornecedor",IF(VLOOKUP(C152,Base_Dados!$E$1:$F$7,2,FALSE)=F152," ","Fornecedor inválido!")," ")</f>
        <v xml:space="preserve"> </v>
      </c>
      <c r="M152" s="16" t="str">
        <f>IF(AND(LEFT(F152,2)="MP",H152&lt;&gt;Base_Dados!$A$1),"Impossível!!!"," ")</f>
        <v xml:space="preserve"> </v>
      </c>
      <c r="N152" s="15" t="str">
        <f>IF(E152="Avião",IF($G152&lt;=VLOOKUP($F152,Base_Dados!$K$1:$O$7,3,FALSE)," ","Limite "&amp;VLOOKUP($F152,Base_Dados!$K$1:$O$11,3,FALSE)&amp;" "&amp;VLOOKUP($F152,Base_Dados!$K$1:$O$11,2,FALSE))," ")</f>
        <v xml:space="preserve"> </v>
      </c>
      <c r="O152" s="15" t="str">
        <f>IF(E152="Caminhão",IF($G152&lt;=VLOOKUP($F152,Base_Dados!$K$1:$O$7,4,FALSE)," ","Limite "&amp;VLOOKUP($F152,Base_Dados!$K$1:$O$11,4,FALSE)&amp;" "&amp;VLOOKUP($F152,Base_Dados!$K$1:$O$11,2,FALSE))," ")</f>
        <v xml:space="preserve"> </v>
      </c>
      <c r="P152" s="15" t="str">
        <f>IF(E152="Navio",IF($G152&lt;=VLOOKUP($F152,Base_Dados!$K$1:$O$7,5,FALSE)," ","Limite "&amp;VLOOKUP($F152,Base_Dados!$K$1:$O$11,5,FALSE)&amp;" "&amp;VLOOKUP($F152,Base_Dados!$K$1:$O$11,2,FALSE))," ")</f>
        <v xml:space="preserve"> </v>
      </c>
      <c r="Q152" s="15" t="str">
        <f t="shared" si="1"/>
        <v>Fluxo Impossível</v>
      </c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24" customHeight="1" x14ac:dyDescent="0.3">
      <c r="A153" s="10"/>
      <c r="B153" s="10"/>
      <c r="C153" s="11"/>
      <c r="D153" s="11"/>
      <c r="E153" s="11"/>
      <c r="F153" s="11"/>
      <c r="G153" s="12"/>
      <c r="H153" s="11"/>
      <c r="I153" s="11"/>
      <c r="J153" s="13" t="e">
        <f>VLOOKUP(C153&amp;I153&amp;E153,Orig_Dest!$A$2:$E$1876,5,FALSE)</f>
        <v>#N/A</v>
      </c>
      <c r="K153" s="14" t="e">
        <f t="shared" si="0"/>
        <v>#VALUE!</v>
      </c>
      <c r="L153" s="15" t="str">
        <f>IF(B153="Fornecedor",IF(VLOOKUP(C153,Base_Dados!$E$1:$F$7,2,FALSE)=F153," ","Fornecedor inválido!")," ")</f>
        <v xml:space="preserve"> </v>
      </c>
      <c r="M153" s="16" t="str">
        <f>IF(AND(LEFT(F153,2)="MP",H153&lt;&gt;Base_Dados!$A$1),"Impossível!!!"," ")</f>
        <v xml:space="preserve"> </v>
      </c>
      <c r="N153" s="15" t="str">
        <f>IF(E153="Avião",IF($G153&lt;=VLOOKUP($F153,Base_Dados!$K$1:$O$7,3,FALSE)," ","Limite "&amp;VLOOKUP($F153,Base_Dados!$K$1:$O$11,3,FALSE)&amp;" "&amp;VLOOKUP($F153,Base_Dados!$K$1:$O$11,2,FALSE))," ")</f>
        <v xml:space="preserve"> </v>
      </c>
      <c r="O153" s="15" t="str">
        <f>IF(E153="Caminhão",IF($G153&lt;=VLOOKUP($F153,Base_Dados!$K$1:$O$7,4,FALSE)," ","Limite "&amp;VLOOKUP($F153,Base_Dados!$K$1:$O$11,4,FALSE)&amp;" "&amp;VLOOKUP($F153,Base_Dados!$K$1:$O$11,2,FALSE))," ")</f>
        <v xml:space="preserve"> </v>
      </c>
      <c r="P153" s="15" t="str">
        <f>IF(E153="Navio",IF($G153&lt;=VLOOKUP($F153,Base_Dados!$K$1:$O$7,5,FALSE)," ","Limite "&amp;VLOOKUP($F153,Base_Dados!$K$1:$O$11,5,FALSE)&amp;" "&amp;VLOOKUP($F153,Base_Dados!$K$1:$O$11,2,FALSE))," ")</f>
        <v xml:space="preserve"> </v>
      </c>
      <c r="Q153" s="15" t="str">
        <f t="shared" si="1"/>
        <v>Fluxo Impossível</v>
      </c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24" customHeight="1" x14ac:dyDescent="0.3">
      <c r="A154" s="10"/>
      <c r="B154" s="10"/>
      <c r="C154" s="11"/>
      <c r="D154" s="11"/>
      <c r="E154" s="11"/>
      <c r="F154" s="11"/>
      <c r="G154" s="12"/>
      <c r="H154" s="11"/>
      <c r="I154" s="11"/>
      <c r="J154" s="13" t="e">
        <f>VLOOKUP(C154&amp;I154&amp;E154,Orig_Dest!$A$2:$E$1876,5,FALSE)</f>
        <v>#N/A</v>
      </c>
      <c r="K154" s="14" t="e">
        <f t="shared" si="0"/>
        <v>#VALUE!</v>
      </c>
      <c r="L154" s="15" t="str">
        <f>IF(B154="Fornecedor",IF(VLOOKUP(C154,Base_Dados!$E$1:$F$7,2,FALSE)=F154," ","Fornecedor inválido!")," ")</f>
        <v xml:space="preserve"> </v>
      </c>
      <c r="M154" s="16" t="str">
        <f>IF(AND(LEFT(F154,2)="MP",H154&lt;&gt;Base_Dados!$A$1),"Impossível!!!"," ")</f>
        <v xml:space="preserve"> </v>
      </c>
      <c r="N154" s="15" t="str">
        <f>IF(E154="Avião",IF($G154&lt;=VLOOKUP($F154,Base_Dados!$K$1:$O$7,3,FALSE)," ","Limite "&amp;VLOOKUP($F154,Base_Dados!$K$1:$O$11,3,FALSE)&amp;" "&amp;VLOOKUP($F154,Base_Dados!$K$1:$O$11,2,FALSE))," ")</f>
        <v xml:space="preserve"> </v>
      </c>
      <c r="O154" s="15" t="str">
        <f>IF(E154="Caminhão",IF($G154&lt;=VLOOKUP($F154,Base_Dados!$K$1:$O$7,4,FALSE)," ","Limite "&amp;VLOOKUP($F154,Base_Dados!$K$1:$O$11,4,FALSE)&amp;" "&amp;VLOOKUP($F154,Base_Dados!$K$1:$O$11,2,FALSE))," ")</f>
        <v xml:space="preserve"> </v>
      </c>
      <c r="P154" s="15" t="str">
        <f>IF(E154="Navio",IF($G154&lt;=VLOOKUP($F154,Base_Dados!$K$1:$O$7,5,FALSE)," ","Limite "&amp;VLOOKUP($F154,Base_Dados!$K$1:$O$11,5,FALSE)&amp;" "&amp;VLOOKUP($F154,Base_Dados!$K$1:$O$11,2,FALSE))," ")</f>
        <v xml:space="preserve"> </v>
      </c>
      <c r="Q154" s="15" t="str">
        <f t="shared" si="1"/>
        <v>Fluxo Impossível</v>
      </c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24" customHeight="1" x14ac:dyDescent="0.3">
      <c r="A155" s="10"/>
      <c r="B155" s="10"/>
      <c r="C155" s="11"/>
      <c r="D155" s="11"/>
      <c r="E155" s="11"/>
      <c r="F155" s="11"/>
      <c r="G155" s="12"/>
      <c r="H155" s="11"/>
      <c r="I155" s="11"/>
      <c r="J155" s="13" t="e">
        <f>VLOOKUP(C155&amp;I155&amp;E155,Orig_Dest!$A$2:$E$1876,5,FALSE)</f>
        <v>#N/A</v>
      </c>
      <c r="K155" s="14" t="e">
        <f t="shared" si="0"/>
        <v>#VALUE!</v>
      </c>
      <c r="L155" s="15" t="str">
        <f>IF(B155="Fornecedor",IF(VLOOKUP(C155,Base_Dados!$E$1:$F$7,2,FALSE)=F155," ","Fornecedor inválido!")," ")</f>
        <v xml:space="preserve"> </v>
      </c>
      <c r="M155" s="16" t="str">
        <f>IF(AND(LEFT(F155,2)="MP",H155&lt;&gt;Base_Dados!$A$1),"Impossível!!!"," ")</f>
        <v xml:space="preserve"> </v>
      </c>
      <c r="N155" s="15" t="str">
        <f>IF(E155="Avião",IF($G155&lt;=VLOOKUP($F155,Base_Dados!$K$1:$O$7,3,FALSE)," ","Limite "&amp;VLOOKUP($F155,Base_Dados!$K$1:$O$11,3,FALSE)&amp;" "&amp;VLOOKUP($F155,Base_Dados!$K$1:$O$11,2,FALSE))," ")</f>
        <v xml:space="preserve"> </v>
      </c>
      <c r="O155" s="15" t="str">
        <f>IF(E155="Caminhão",IF($G155&lt;=VLOOKUP($F155,Base_Dados!$K$1:$O$7,4,FALSE)," ","Limite "&amp;VLOOKUP($F155,Base_Dados!$K$1:$O$11,4,FALSE)&amp;" "&amp;VLOOKUP($F155,Base_Dados!$K$1:$O$11,2,FALSE))," ")</f>
        <v xml:space="preserve"> </v>
      </c>
      <c r="P155" s="15" t="str">
        <f>IF(E155="Navio",IF($G155&lt;=VLOOKUP($F155,Base_Dados!$K$1:$O$7,5,FALSE)," ","Limite "&amp;VLOOKUP($F155,Base_Dados!$K$1:$O$11,5,FALSE)&amp;" "&amp;VLOOKUP($F155,Base_Dados!$K$1:$O$11,2,FALSE))," ")</f>
        <v xml:space="preserve"> </v>
      </c>
      <c r="Q155" s="15" t="str">
        <f t="shared" si="1"/>
        <v>Fluxo Impossível</v>
      </c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24" customHeight="1" x14ac:dyDescent="0.3">
      <c r="A156" s="10"/>
      <c r="B156" s="10"/>
      <c r="C156" s="11"/>
      <c r="D156" s="11"/>
      <c r="E156" s="11"/>
      <c r="F156" s="11"/>
      <c r="G156" s="12"/>
      <c r="H156" s="11"/>
      <c r="I156" s="11"/>
      <c r="J156" s="13" t="e">
        <f>VLOOKUP(C156&amp;I156&amp;E156,Orig_Dest!$A$2:$E$1876,5,FALSE)</f>
        <v>#N/A</v>
      </c>
      <c r="K156" s="14" t="e">
        <f t="shared" si="0"/>
        <v>#VALUE!</v>
      </c>
      <c r="L156" s="15" t="str">
        <f>IF(B156="Fornecedor",IF(VLOOKUP(C156,Base_Dados!$E$1:$F$7,2,FALSE)=F156," ","Fornecedor inválido!")," ")</f>
        <v xml:space="preserve"> </v>
      </c>
      <c r="M156" s="16" t="str">
        <f>IF(AND(LEFT(F156,2)="MP",H156&lt;&gt;Base_Dados!$A$1),"Impossível!!!"," ")</f>
        <v xml:space="preserve"> </v>
      </c>
      <c r="N156" s="15" t="str">
        <f>IF(E156="Avião",IF($G156&lt;=VLOOKUP($F156,Base_Dados!$K$1:$O$7,3,FALSE)," ","Limite "&amp;VLOOKUP($F156,Base_Dados!$K$1:$O$11,3,FALSE)&amp;" "&amp;VLOOKUP($F156,Base_Dados!$K$1:$O$11,2,FALSE))," ")</f>
        <v xml:space="preserve"> </v>
      </c>
      <c r="O156" s="15" t="str">
        <f>IF(E156="Caminhão",IF($G156&lt;=VLOOKUP($F156,Base_Dados!$K$1:$O$7,4,FALSE)," ","Limite "&amp;VLOOKUP($F156,Base_Dados!$K$1:$O$11,4,FALSE)&amp;" "&amp;VLOOKUP($F156,Base_Dados!$K$1:$O$11,2,FALSE))," ")</f>
        <v xml:space="preserve"> </v>
      </c>
      <c r="P156" s="15" t="str">
        <f>IF(E156="Navio",IF($G156&lt;=VLOOKUP($F156,Base_Dados!$K$1:$O$7,5,FALSE)," ","Limite "&amp;VLOOKUP($F156,Base_Dados!$K$1:$O$11,5,FALSE)&amp;" "&amp;VLOOKUP($F156,Base_Dados!$K$1:$O$11,2,FALSE))," ")</f>
        <v xml:space="preserve"> </v>
      </c>
      <c r="Q156" s="15" t="str">
        <f t="shared" si="1"/>
        <v>Fluxo Impossível</v>
      </c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24" customHeight="1" x14ac:dyDescent="0.3">
      <c r="A157" s="10"/>
      <c r="B157" s="10"/>
      <c r="C157" s="11"/>
      <c r="D157" s="11"/>
      <c r="E157" s="11"/>
      <c r="F157" s="11"/>
      <c r="G157" s="12"/>
      <c r="H157" s="11"/>
      <c r="I157" s="11"/>
      <c r="J157" s="13" t="e">
        <f>VLOOKUP(C157&amp;I157&amp;E157,Orig_Dest!$A$2:$E$1876,5,FALSE)</f>
        <v>#N/A</v>
      </c>
      <c r="K157" s="14" t="e">
        <f t="shared" si="0"/>
        <v>#VALUE!</v>
      </c>
      <c r="L157" s="15" t="str">
        <f>IF(B157="Fornecedor",IF(VLOOKUP(C157,Base_Dados!$E$1:$F$7,2,FALSE)=F157," ","Fornecedor inválido!")," ")</f>
        <v xml:space="preserve"> </v>
      </c>
      <c r="M157" s="16" t="str">
        <f>IF(AND(LEFT(F157,2)="MP",H157&lt;&gt;Base_Dados!$A$1),"Impossível!!!"," ")</f>
        <v xml:space="preserve"> </v>
      </c>
      <c r="N157" s="15" t="str">
        <f>IF(E157="Avião",IF($G157&lt;=VLOOKUP($F157,Base_Dados!$K$1:$O$7,3,FALSE)," ","Limite "&amp;VLOOKUP($F157,Base_Dados!$K$1:$O$11,3,FALSE)&amp;" "&amp;VLOOKUP($F157,Base_Dados!$K$1:$O$11,2,FALSE))," ")</f>
        <v xml:space="preserve"> </v>
      </c>
      <c r="O157" s="15" t="str">
        <f>IF(E157="Caminhão",IF($G157&lt;=VLOOKUP($F157,Base_Dados!$K$1:$O$7,4,FALSE)," ","Limite "&amp;VLOOKUP($F157,Base_Dados!$K$1:$O$11,4,FALSE)&amp;" "&amp;VLOOKUP($F157,Base_Dados!$K$1:$O$11,2,FALSE))," ")</f>
        <v xml:space="preserve"> </v>
      </c>
      <c r="P157" s="15" t="str">
        <f>IF(E157="Navio",IF($G157&lt;=VLOOKUP($F157,Base_Dados!$K$1:$O$7,5,FALSE)," ","Limite "&amp;VLOOKUP($F157,Base_Dados!$K$1:$O$11,5,FALSE)&amp;" "&amp;VLOOKUP($F157,Base_Dados!$K$1:$O$11,2,FALSE))," ")</f>
        <v xml:space="preserve"> </v>
      </c>
      <c r="Q157" s="15" t="str">
        <f t="shared" si="1"/>
        <v>Fluxo Impossível</v>
      </c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24" customHeight="1" x14ac:dyDescent="0.3">
      <c r="A158" s="10"/>
      <c r="B158" s="10"/>
      <c r="C158" s="11"/>
      <c r="D158" s="11"/>
      <c r="E158" s="11"/>
      <c r="F158" s="11"/>
      <c r="G158" s="12"/>
      <c r="H158" s="11"/>
      <c r="I158" s="11"/>
      <c r="J158" s="13" t="e">
        <f>VLOOKUP(C158&amp;I158&amp;E158,Orig_Dest!$A$2:$E$1876,5,FALSE)</f>
        <v>#N/A</v>
      </c>
      <c r="K158" s="14" t="e">
        <f t="shared" si="0"/>
        <v>#VALUE!</v>
      </c>
      <c r="L158" s="15" t="str">
        <f>IF(B158="Fornecedor",IF(VLOOKUP(C158,Base_Dados!$E$1:$F$7,2,FALSE)=F158," ","Fornecedor inválido!")," ")</f>
        <v xml:space="preserve"> </v>
      </c>
      <c r="M158" s="16" t="str">
        <f>IF(AND(LEFT(F158,2)="MP",H158&lt;&gt;Base_Dados!$A$1),"Impossível!!!"," ")</f>
        <v xml:space="preserve"> </v>
      </c>
      <c r="N158" s="15" t="str">
        <f>IF(E158="Avião",IF($G158&lt;=VLOOKUP($F158,Base_Dados!$K$1:$O$7,3,FALSE)," ","Limite "&amp;VLOOKUP($F158,Base_Dados!$K$1:$O$11,3,FALSE)&amp;" "&amp;VLOOKUP($F158,Base_Dados!$K$1:$O$11,2,FALSE))," ")</f>
        <v xml:space="preserve"> </v>
      </c>
      <c r="O158" s="15" t="str">
        <f>IF(E158="Caminhão",IF($G158&lt;=VLOOKUP($F158,Base_Dados!$K$1:$O$7,4,FALSE)," ","Limite "&amp;VLOOKUP($F158,Base_Dados!$K$1:$O$11,4,FALSE)&amp;" "&amp;VLOOKUP($F158,Base_Dados!$K$1:$O$11,2,FALSE))," ")</f>
        <v xml:space="preserve"> </v>
      </c>
      <c r="P158" s="15" t="str">
        <f>IF(E158="Navio",IF($G158&lt;=VLOOKUP($F158,Base_Dados!$K$1:$O$7,5,FALSE)," ","Limite "&amp;VLOOKUP($F158,Base_Dados!$K$1:$O$11,5,FALSE)&amp;" "&amp;VLOOKUP($F158,Base_Dados!$K$1:$O$11,2,FALSE))," ")</f>
        <v xml:space="preserve"> </v>
      </c>
      <c r="Q158" s="15" t="str">
        <f t="shared" si="1"/>
        <v>Fluxo Impossível</v>
      </c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24" customHeight="1" x14ac:dyDescent="0.3">
      <c r="A159" s="10"/>
      <c r="B159" s="10"/>
      <c r="C159" s="11"/>
      <c r="D159" s="11"/>
      <c r="E159" s="11"/>
      <c r="F159" s="11"/>
      <c r="G159" s="12"/>
      <c r="H159" s="11"/>
      <c r="I159" s="11"/>
      <c r="J159" s="13" t="e">
        <f>VLOOKUP(C159&amp;I159&amp;E159,Orig_Dest!$A$2:$E$1876,5,FALSE)</f>
        <v>#N/A</v>
      </c>
      <c r="K159" s="14" t="e">
        <f t="shared" si="0"/>
        <v>#VALUE!</v>
      </c>
      <c r="L159" s="15" t="str">
        <f>IF(B159="Fornecedor",IF(VLOOKUP(C159,Base_Dados!$E$1:$F$7,2,FALSE)=F159," ","Fornecedor inválido!")," ")</f>
        <v xml:space="preserve"> </v>
      </c>
      <c r="M159" s="16" t="str">
        <f>IF(AND(LEFT(F159,2)="MP",H159&lt;&gt;Base_Dados!$A$1),"Impossível!!!"," ")</f>
        <v xml:space="preserve"> </v>
      </c>
      <c r="N159" s="15" t="str">
        <f>IF(E159="Avião",IF($G159&lt;=VLOOKUP($F159,Base_Dados!$K$1:$O$7,3,FALSE)," ","Limite "&amp;VLOOKUP($F159,Base_Dados!$K$1:$O$11,3,FALSE)&amp;" "&amp;VLOOKUP($F159,Base_Dados!$K$1:$O$11,2,FALSE))," ")</f>
        <v xml:space="preserve"> </v>
      </c>
      <c r="O159" s="15" t="str">
        <f>IF(E159="Caminhão",IF($G159&lt;=VLOOKUP($F159,Base_Dados!$K$1:$O$7,4,FALSE)," ","Limite "&amp;VLOOKUP($F159,Base_Dados!$K$1:$O$11,4,FALSE)&amp;" "&amp;VLOOKUP($F159,Base_Dados!$K$1:$O$11,2,FALSE))," ")</f>
        <v xml:space="preserve"> </v>
      </c>
      <c r="P159" s="15" t="str">
        <f>IF(E159="Navio",IF($G159&lt;=VLOOKUP($F159,Base_Dados!$K$1:$O$7,5,FALSE)," ","Limite "&amp;VLOOKUP($F159,Base_Dados!$K$1:$O$11,5,FALSE)&amp;" "&amp;VLOOKUP($F159,Base_Dados!$K$1:$O$11,2,FALSE))," ")</f>
        <v xml:space="preserve"> </v>
      </c>
      <c r="Q159" s="15" t="str">
        <f t="shared" si="1"/>
        <v>Fluxo Impossível</v>
      </c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24" customHeight="1" x14ac:dyDescent="0.3">
      <c r="A160" s="10"/>
      <c r="B160" s="10"/>
      <c r="C160" s="11"/>
      <c r="D160" s="11"/>
      <c r="E160" s="11"/>
      <c r="F160" s="11"/>
      <c r="G160" s="12"/>
      <c r="H160" s="11"/>
      <c r="I160" s="11"/>
      <c r="J160" s="13" t="e">
        <f>VLOOKUP(C160&amp;I160&amp;E160,Orig_Dest!$A$2:$E$1876,5,FALSE)</f>
        <v>#N/A</v>
      </c>
      <c r="K160" s="14" t="e">
        <f t="shared" si="0"/>
        <v>#VALUE!</v>
      </c>
      <c r="L160" s="15" t="str">
        <f>IF(B160="Fornecedor",IF(VLOOKUP(C160,Base_Dados!$E$1:$F$7,2,FALSE)=F160," ","Fornecedor inválido!")," ")</f>
        <v xml:space="preserve"> </v>
      </c>
      <c r="M160" s="16" t="str">
        <f>IF(AND(LEFT(F160,2)="MP",H160&lt;&gt;Base_Dados!$A$1),"Impossível!!!"," ")</f>
        <v xml:space="preserve"> </v>
      </c>
      <c r="N160" s="15" t="str">
        <f>IF(E160="Avião",IF($G160&lt;=VLOOKUP($F160,Base_Dados!$K$1:$O$7,3,FALSE)," ","Limite "&amp;VLOOKUP($F160,Base_Dados!$K$1:$O$11,3,FALSE)&amp;" "&amp;VLOOKUP($F160,Base_Dados!$K$1:$O$11,2,FALSE))," ")</f>
        <v xml:space="preserve"> </v>
      </c>
      <c r="O160" s="15" t="str">
        <f>IF(E160="Caminhão",IF($G160&lt;=VLOOKUP($F160,Base_Dados!$K$1:$O$7,4,FALSE)," ","Limite "&amp;VLOOKUP($F160,Base_Dados!$K$1:$O$11,4,FALSE)&amp;" "&amp;VLOOKUP($F160,Base_Dados!$K$1:$O$11,2,FALSE))," ")</f>
        <v xml:space="preserve"> </v>
      </c>
      <c r="P160" s="15" t="str">
        <f>IF(E160="Navio",IF($G160&lt;=VLOOKUP($F160,Base_Dados!$K$1:$O$7,5,FALSE)," ","Limite "&amp;VLOOKUP($F160,Base_Dados!$K$1:$O$11,5,FALSE)&amp;" "&amp;VLOOKUP($F160,Base_Dados!$K$1:$O$11,2,FALSE))," ")</f>
        <v xml:space="preserve"> </v>
      </c>
      <c r="Q160" s="15" t="str">
        <f t="shared" si="1"/>
        <v>Fluxo Impossível</v>
      </c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24" customHeight="1" x14ac:dyDescent="0.3">
      <c r="A161" s="10"/>
      <c r="B161" s="10"/>
      <c r="C161" s="11"/>
      <c r="D161" s="11"/>
      <c r="E161" s="11"/>
      <c r="F161" s="11"/>
      <c r="G161" s="12"/>
      <c r="H161" s="11"/>
      <c r="I161" s="11"/>
      <c r="J161" s="13" t="e">
        <f>VLOOKUP(C161&amp;I161&amp;E161,Orig_Dest!$A$2:$E$1876,5,FALSE)</f>
        <v>#N/A</v>
      </c>
      <c r="K161" s="14" t="e">
        <f t="shared" si="0"/>
        <v>#VALUE!</v>
      </c>
      <c r="L161" s="15" t="str">
        <f>IF(B161="Fornecedor",IF(VLOOKUP(C161,Base_Dados!$E$1:$F$7,2,FALSE)=F161," ","Fornecedor inválido!")," ")</f>
        <v xml:space="preserve"> </v>
      </c>
      <c r="M161" s="16" t="str">
        <f>IF(AND(LEFT(F161,2)="MP",H161&lt;&gt;Base_Dados!$A$1),"Impossível!!!"," ")</f>
        <v xml:space="preserve"> </v>
      </c>
      <c r="N161" s="15" t="str">
        <f>IF(E161="Avião",IF($G161&lt;=VLOOKUP($F161,Base_Dados!$K$1:$O$7,3,FALSE)," ","Limite "&amp;VLOOKUP($F161,Base_Dados!$K$1:$O$11,3,FALSE)&amp;" "&amp;VLOOKUP($F161,Base_Dados!$K$1:$O$11,2,FALSE))," ")</f>
        <v xml:space="preserve"> </v>
      </c>
      <c r="O161" s="15" t="str">
        <f>IF(E161="Caminhão",IF($G161&lt;=VLOOKUP($F161,Base_Dados!$K$1:$O$7,4,FALSE)," ","Limite "&amp;VLOOKUP($F161,Base_Dados!$K$1:$O$11,4,FALSE)&amp;" "&amp;VLOOKUP($F161,Base_Dados!$K$1:$O$11,2,FALSE))," ")</f>
        <v xml:space="preserve"> </v>
      </c>
      <c r="P161" s="15" t="str">
        <f>IF(E161="Navio",IF($G161&lt;=VLOOKUP($F161,Base_Dados!$K$1:$O$7,5,FALSE)," ","Limite "&amp;VLOOKUP($F161,Base_Dados!$K$1:$O$11,5,FALSE)&amp;" "&amp;VLOOKUP($F161,Base_Dados!$K$1:$O$11,2,FALSE))," ")</f>
        <v xml:space="preserve"> </v>
      </c>
      <c r="Q161" s="15" t="str">
        <f t="shared" si="1"/>
        <v>Fluxo Impossível</v>
      </c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24" customHeight="1" x14ac:dyDescent="0.3">
      <c r="A162" s="10"/>
      <c r="B162" s="10"/>
      <c r="C162" s="11"/>
      <c r="D162" s="11"/>
      <c r="E162" s="11"/>
      <c r="F162" s="11"/>
      <c r="G162" s="12"/>
      <c r="H162" s="11"/>
      <c r="I162" s="11"/>
      <c r="J162" s="13" t="e">
        <f>VLOOKUP(C162&amp;I162&amp;E162,Orig_Dest!$A$2:$E$1876,5,FALSE)</f>
        <v>#N/A</v>
      </c>
      <c r="K162" s="14" t="e">
        <f t="shared" si="0"/>
        <v>#VALUE!</v>
      </c>
      <c r="L162" s="15" t="str">
        <f>IF(B162="Fornecedor",IF(VLOOKUP(C162,Base_Dados!$E$1:$F$7,2,FALSE)=F162," ","Fornecedor inválido!")," ")</f>
        <v xml:space="preserve"> </v>
      </c>
      <c r="M162" s="16" t="str">
        <f>IF(AND(LEFT(F162,2)="MP",H162&lt;&gt;Base_Dados!$A$1),"Impossível!!!"," ")</f>
        <v xml:space="preserve"> </v>
      </c>
      <c r="N162" s="15" t="str">
        <f>IF(E162="Avião",IF($G162&lt;=VLOOKUP($F162,Base_Dados!$K$1:$O$7,3,FALSE)," ","Limite "&amp;VLOOKUP($F162,Base_Dados!$K$1:$O$11,3,FALSE)&amp;" "&amp;VLOOKUP($F162,Base_Dados!$K$1:$O$11,2,FALSE))," ")</f>
        <v xml:space="preserve"> </v>
      </c>
      <c r="O162" s="15" t="str">
        <f>IF(E162="Caminhão",IF($G162&lt;=VLOOKUP($F162,Base_Dados!$K$1:$O$7,4,FALSE)," ","Limite "&amp;VLOOKUP($F162,Base_Dados!$K$1:$O$11,4,FALSE)&amp;" "&amp;VLOOKUP($F162,Base_Dados!$K$1:$O$11,2,FALSE))," ")</f>
        <v xml:space="preserve"> </v>
      </c>
      <c r="P162" s="15" t="str">
        <f>IF(E162="Navio",IF($G162&lt;=VLOOKUP($F162,Base_Dados!$K$1:$O$7,5,FALSE)," ","Limite "&amp;VLOOKUP($F162,Base_Dados!$K$1:$O$11,5,FALSE)&amp;" "&amp;VLOOKUP($F162,Base_Dados!$K$1:$O$11,2,FALSE))," ")</f>
        <v xml:space="preserve"> </v>
      </c>
      <c r="Q162" s="15" t="str">
        <f t="shared" si="1"/>
        <v>Fluxo Impossível</v>
      </c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24" customHeight="1" x14ac:dyDescent="0.3">
      <c r="A163" s="10"/>
      <c r="B163" s="10"/>
      <c r="C163" s="11"/>
      <c r="D163" s="11"/>
      <c r="E163" s="11"/>
      <c r="F163" s="11"/>
      <c r="G163" s="12"/>
      <c r="H163" s="11"/>
      <c r="I163" s="11"/>
      <c r="J163" s="13" t="e">
        <f>VLOOKUP(C163&amp;I163&amp;E163,Orig_Dest!$A$2:$E$1876,5,FALSE)</f>
        <v>#N/A</v>
      </c>
      <c r="K163" s="14" t="e">
        <f t="shared" si="0"/>
        <v>#VALUE!</v>
      </c>
      <c r="L163" s="15" t="str">
        <f>IF(B163="Fornecedor",IF(VLOOKUP(C163,Base_Dados!$E$1:$F$7,2,FALSE)=F163," ","Fornecedor inválido!")," ")</f>
        <v xml:space="preserve"> </v>
      </c>
      <c r="M163" s="16" t="str">
        <f>IF(AND(LEFT(F163,2)="MP",H163&lt;&gt;Base_Dados!$A$1),"Impossível!!!"," ")</f>
        <v xml:space="preserve"> </v>
      </c>
      <c r="N163" s="15" t="str">
        <f>IF(E163="Avião",IF($G163&lt;=VLOOKUP($F163,Base_Dados!$K$1:$O$7,3,FALSE)," ","Limite "&amp;VLOOKUP($F163,Base_Dados!$K$1:$O$11,3,FALSE)&amp;" "&amp;VLOOKUP($F163,Base_Dados!$K$1:$O$11,2,FALSE))," ")</f>
        <v xml:space="preserve"> </v>
      </c>
      <c r="O163" s="15" t="str">
        <f>IF(E163="Caminhão",IF($G163&lt;=VLOOKUP($F163,Base_Dados!$K$1:$O$7,4,FALSE)," ","Limite "&amp;VLOOKUP($F163,Base_Dados!$K$1:$O$11,4,FALSE)&amp;" "&amp;VLOOKUP($F163,Base_Dados!$K$1:$O$11,2,FALSE))," ")</f>
        <v xml:space="preserve"> </v>
      </c>
      <c r="P163" s="15" t="str">
        <f>IF(E163="Navio",IF($G163&lt;=VLOOKUP($F163,Base_Dados!$K$1:$O$7,5,FALSE)," ","Limite "&amp;VLOOKUP($F163,Base_Dados!$K$1:$O$11,5,FALSE)&amp;" "&amp;VLOOKUP($F163,Base_Dados!$K$1:$O$11,2,FALSE))," ")</f>
        <v xml:space="preserve"> </v>
      </c>
      <c r="Q163" s="15" t="str">
        <f t="shared" si="1"/>
        <v>Fluxo Impossível</v>
      </c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24" customHeight="1" x14ac:dyDescent="0.3">
      <c r="A164" s="10"/>
      <c r="B164" s="10"/>
      <c r="C164" s="11"/>
      <c r="D164" s="11"/>
      <c r="E164" s="11"/>
      <c r="F164" s="11"/>
      <c r="G164" s="12"/>
      <c r="H164" s="11"/>
      <c r="I164" s="11"/>
      <c r="J164" s="13" t="e">
        <f>VLOOKUP(C164&amp;I164&amp;E164,Orig_Dest!$A$2:$E$1876,5,FALSE)</f>
        <v>#N/A</v>
      </c>
      <c r="K164" s="14" t="e">
        <f t="shared" si="0"/>
        <v>#VALUE!</v>
      </c>
      <c r="L164" s="15" t="str">
        <f>IF(B164="Fornecedor",IF(VLOOKUP(C164,Base_Dados!$E$1:$F$7,2,FALSE)=F164," ","Fornecedor inválido!")," ")</f>
        <v xml:space="preserve"> </v>
      </c>
      <c r="M164" s="16" t="str">
        <f>IF(AND(LEFT(F164,2)="MP",H164&lt;&gt;Base_Dados!$A$1),"Impossível!!!"," ")</f>
        <v xml:space="preserve"> </v>
      </c>
      <c r="N164" s="15" t="str">
        <f>IF(E164="Avião",IF($G164&lt;=VLOOKUP($F164,Base_Dados!$K$1:$O$7,3,FALSE)," ","Limite "&amp;VLOOKUP($F164,Base_Dados!$K$1:$O$11,3,FALSE)&amp;" "&amp;VLOOKUP($F164,Base_Dados!$K$1:$O$11,2,FALSE))," ")</f>
        <v xml:space="preserve"> </v>
      </c>
      <c r="O164" s="15" t="str">
        <f>IF(E164="Caminhão",IF($G164&lt;=VLOOKUP($F164,Base_Dados!$K$1:$O$7,4,FALSE)," ","Limite "&amp;VLOOKUP($F164,Base_Dados!$K$1:$O$11,4,FALSE)&amp;" "&amp;VLOOKUP($F164,Base_Dados!$K$1:$O$11,2,FALSE))," ")</f>
        <v xml:space="preserve"> </v>
      </c>
      <c r="P164" s="15" t="str">
        <f>IF(E164="Navio",IF($G164&lt;=VLOOKUP($F164,Base_Dados!$K$1:$O$7,5,FALSE)," ","Limite "&amp;VLOOKUP($F164,Base_Dados!$K$1:$O$11,5,FALSE)&amp;" "&amp;VLOOKUP($F164,Base_Dados!$K$1:$O$11,2,FALSE))," ")</f>
        <v xml:space="preserve"> </v>
      </c>
      <c r="Q164" s="15" t="str">
        <f t="shared" si="1"/>
        <v>Fluxo Impossível</v>
      </c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24" customHeight="1" x14ac:dyDescent="0.3">
      <c r="A165" s="10"/>
      <c r="B165" s="10"/>
      <c r="C165" s="11"/>
      <c r="D165" s="11"/>
      <c r="E165" s="11"/>
      <c r="F165" s="11"/>
      <c r="G165" s="12"/>
      <c r="H165" s="11"/>
      <c r="I165" s="11"/>
      <c r="J165" s="13" t="e">
        <f>VLOOKUP(C165&amp;I165&amp;E165,Orig_Dest!$A$2:$E$1876,5,FALSE)</f>
        <v>#N/A</v>
      </c>
      <c r="K165" s="14" t="e">
        <f t="shared" si="0"/>
        <v>#VALUE!</v>
      </c>
      <c r="L165" s="15" t="str">
        <f>IF(B165="Fornecedor",IF(VLOOKUP(C165,Base_Dados!$E$1:$F$7,2,FALSE)=F165," ","Fornecedor inválido!")," ")</f>
        <v xml:space="preserve"> </v>
      </c>
      <c r="M165" s="16" t="str">
        <f>IF(AND(LEFT(F165,2)="MP",H165&lt;&gt;Base_Dados!$A$1),"Impossível!!!"," ")</f>
        <v xml:space="preserve"> </v>
      </c>
      <c r="N165" s="15" t="str">
        <f>IF(E165="Avião",IF($G165&lt;=VLOOKUP($F165,Base_Dados!$K$1:$O$7,3,FALSE)," ","Limite "&amp;VLOOKUP($F165,Base_Dados!$K$1:$O$11,3,FALSE)&amp;" "&amp;VLOOKUP($F165,Base_Dados!$K$1:$O$11,2,FALSE))," ")</f>
        <v xml:space="preserve"> </v>
      </c>
      <c r="O165" s="15" t="str">
        <f>IF(E165="Caminhão",IF($G165&lt;=VLOOKUP($F165,Base_Dados!$K$1:$O$7,4,FALSE)," ","Limite "&amp;VLOOKUP($F165,Base_Dados!$K$1:$O$11,4,FALSE)&amp;" "&amp;VLOOKUP($F165,Base_Dados!$K$1:$O$11,2,FALSE))," ")</f>
        <v xml:space="preserve"> </v>
      </c>
      <c r="P165" s="15" t="str">
        <f>IF(E165="Navio",IF($G165&lt;=VLOOKUP($F165,Base_Dados!$K$1:$O$7,5,FALSE)," ","Limite "&amp;VLOOKUP($F165,Base_Dados!$K$1:$O$11,5,FALSE)&amp;" "&amp;VLOOKUP($F165,Base_Dados!$K$1:$O$11,2,FALSE))," ")</f>
        <v xml:space="preserve"> </v>
      </c>
      <c r="Q165" s="15" t="str">
        <f t="shared" si="1"/>
        <v>Fluxo Impossível</v>
      </c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24" customHeight="1" x14ac:dyDescent="0.3">
      <c r="A166" s="10"/>
      <c r="B166" s="10"/>
      <c r="C166" s="11"/>
      <c r="D166" s="11"/>
      <c r="E166" s="11"/>
      <c r="F166" s="11"/>
      <c r="G166" s="12"/>
      <c r="H166" s="11"/>
      <c r="I166" s="11"/>
      <c r="J166" s="13" t="e">
        <f>VLOOKUP(C166&amp;I166&amp;E166,Orig_Dest!$A$2:$E$1876,5,FALSE)</f>
        <v>#N/A</v>
      </c>
      <c r="K166" s="14" t="e">
        <f t="shared" si="0"/>
        <v>#VALUE!</v>
      </c>
      <c r="L166" s="15" t="str">
        <f>IF(B166="Fornecedor",IF(VLOOKUP(C166,Base_Dados!$E$1:$F$7,2,FALSE)=F166," ","Fornecedor inválido!")," ")</f>
        <v xml:space="preserve"> </v>
      </c>
      <c r="M166" s="16" t="str">
        <f>IF(AND(LEFT(F166,2)="MP",H166&lt;&gt;Base_Dados!$A$1),"Impossível!!!"," ")</f>
        <v xml:space="preserve"> </v>
      </c>
      <c r="N166" s="15" t="str">
        <f>IF(E166="Avião",IF($G166&lt;=VLOOKUP($F166,Base_Dados!$K$1:$O$7,3,FALSE)," ","Limite "&amp;VLOOKUP($F166,Base_Dados!$K$1:$O$11,3,FALSE)&amp;" "&amp;VLOOKUP($F166,Base_Dados!$K$1:$O$11,2,FALSE))," ")</f>
        <v xml:space="preserve"> </v>
      </c>
      <c r="O166" s="15" t="str">
        <f>IF(E166="Caminhão",IF($G166&lt;=VLOOKUP($F166,Base_Dados!$K$1:$O$7,4,FALSE)," ","Limite "&amp;VLOOKUP($F166,Base_Dados!$K$1:$O$11,4,FALSE)&amp;" "&amp;VLOOKUP($F166,Base_Dados!$K$1:$O$11,2,FALSE))," ")</f>
        <v xml:space="preserve"> </v>
      </c>
      <c r="P166" s="15" t="str">
        <f>IF(E166="Navio",IF($G166&lt;=VLOOKUP($F166,Base_Dados!$K$1:$O$7,5,FALSE)," ","Limite "&amp;VLOOKUP($F166,Base_Dados!$K$1:$O$11,5,FALSE)&amp;" "&amp;VLOOKUP($F166,Base_Dados!$K$1:$O$11,2,FALSE))," ")</f>
        <v xml:space="preserve"> </v>
      </c>
      <c r="Q166" s="15" t="str">
        <f t="shared" si="1"/>
        <v>Fluxo Impossível</v>
      </c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24" customHeight="1" x14ac:dyDescent="0.3">
      <c r="A167" s="10"/>
      <c r="B167" s="10"/>
      <c r="C167" s="11"/>
      <c r="D167" s="11"/>
      <c r="E167" s="11"/>
      <c r="F167" s="11"/>
      <c r="G167" s="12"/>
      <c r="H167" s="11"/>
      <c r="I167" s="11"/>
      <c r="J167" s="13" t="e">
        <f>VLOOKUP(C167&amp;I167&amp;E167,Orig_Dest!$A$2:$E$1876,5,FALSE)</f>
        <v>#N/A</v>
      </c>
      <c r="K167" s="14" t="e">
        <f t="shared" si="0"/>
        <v>#VALUE!</v>
      </c>
      <c r="L167" s="15" t="str">
        <f>IF(B167="Fornecedor",IF(VLOOKUP(C167,Base_Dados!$E$1:$F$7,2,FALSE)=F167," ","Fornecedor inválido!")," ")</f>
        <v xml:space="preserve"> </v>
      </c>
      <c r="M167" s="16" t="str">
        <f>IF(AND(LEFT(F167,2)="MP",H167&lt;&gt;Base_Dados!$A$1),"Impossível!!!"," ")</f>
        <v xml:space="preserve"> </v>
      </c>
      <c r="N167" s="15" t="str">
        <f>IF(E167="Avião",IF($G167&lt;=VLOOKUP($F167,Base_Dados!$K$1:$O$7,3,FALSE)," ","Limite "&amp;VLOOKUP($F167,Base_Dados!$K$1:$O$11,3,FALSE)&amp;" "&amp;VLOOKUP($F167,Base_Dados!$K$1:$O$11,2,FALSE))," ")</f>
        <v xml:space="preserve"> </v>
      </c>
      <c r="O167" s="15" t="str">
        <f>IF(E167="Caminhão",IF($G167&lt;=VLOOKUP($F167,Base_Dados!$K$1:$O$7,4,FALSE)," ","Limite "&amp;VLOOKUP($F167,Base_Dados!$K$1:$O$11,4,FALSE)&amp;" "&amp;VLOOKUP($F167,Base_Dados!$K$1:$O$11,2,FALSE))," ")</f>
        <v xml:space="preserve"> </v>
      </c>
      <c r="P167" s="15" t="str">
        <f>IF(E167="Navio",IF($G167&lt;=VLOOKUP($F167,Base_Dados!$K$1:$O$7,5,FALSE)," ","Limite "&amp;VLOOKUP($F167,Base_Dados!$K$1:$O$11,5,FALSE)&amp;" "&amp;VLOOKUP($F167,Base_Dados!$K$1:$O$11,2,FALSE))," ")</f>
        <v xml:space="preserve"> </v>
      </c>
      <c r="Q167" s="15" t="str">
        <f t="shared" si="1"/>
        <v>Fluxo Impossível</v>
      </c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24" customHeight="1" x14ac:dyDescent="0.3">
      <c r="A168" s="10"/>
      <c r="B168" s="10"/>
      <c r="C168" s="11"/>
      <c r="D168" s="11"/>
      <c r="E168" s="11"/>
      <c r="F168" s="11"/>
      <c r="G168" s="12"/>
      <c r="H168" s="11"/>
      <c r="I168" s="11"/>
      <c r="J168" s="13" t="e">
        <f>VLOOKUP(C168&amp;I168&amp;E168,Orig_Dest!$A$2:$E$1876,5,FALSE)</f>
        <v>#N/A</v>
      </c>
      <c r="K168" s="14" t="e">
        <f t="shared" si="0"/>
        <v>#VALUE!</v>
      </c>
      <c r="L168" s="15" t="str">
        <f>IF(B168="Fornecedor",IF(VLOOKUP(C168,Base_Dados!$E$1:$F$7,2,FALSE)=F168," ","Fornecedor inválido!")," ")</f>
        <v xml:space="preserve"> </v>
      </c>
      <c r="M168" s="16" t="str">
        <f>IF(AND(LEFT(F168,2)="MP",H168&lt;&gt;Base_Dados!$A$1),"Impossível!!!"," ")</f>
        <v xml:space="preserve"> </v>
      </c>
      <c r="N168" s="15" t="str">
        <f>IF(E168="Avião",IF($G168&lt;=VLOOKUP($F168,Base_Dados!$K$1:$O$7,3,FALSE)," ","Limite "&amp;VLOOKUP($F168,Base_Dados!$K$1:$O$11,3,FALSE)&amp;" "&amp;VLOOKUP($F168,Base_Dados!$K$1:$O$11,2,FALSE))," ")</f>
        <v xml:space="preserve"> </v>
      </c>
      <c r="O168" s="15" t="str">
        <f>IF(E168="Caminhão",IF($G168&lt;=VLOOKUP($F168,Base_Dados!$K$1:$O$7,4,FALSE)," ","Limite "&amp;VLOOKUP($F168,Base_Dados!$K$1:$O$11,4,FALSE)&amp;" "&amp;VLOOKUP($F168,Base_Dados!$K$1:$O$11,2,FALSE))," ")</f>
        <v xml:space="preserve"> </v>
      </c>
      <c r="P168" s="15" t="str">
        <f>IF(E168="Navio",IF($G168&lt;=VLOOKUP($F168,Base_Dados!$K$1:$O$7,5,FALSE)," ","Limite "&amp;VLOOKUP($F168,Base_Dados!$K$1:$O$11,5,FALSE)&amp;" "&amp;VLOOKUP($F168,Base_Dados!$K$1:$O$11,2,FALSE))," ")</f>
        <v xml:space="preserve"> </v>
      </c>
      <c r="Q168" s="15" t="str">
        <f t="shared" si="1"/>
        <v>Fluxo Impossível</v>
      </c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24" customHeight="1" x14ac:dyDescent="0.3">
      <c r="A169" s="10"/>
      <c r="B169" s="10"/>
      <c r="C169" s="11"/>
      <c r="D169" s="11"/>
      <c r="E169" s="11"/>
      <c r="F169" s="11"/>
      <c r="G169" s="12"/>
      <c r="H169" s="11"/>
      <c r="I169" s="11"/>
      <c r="J169" s="13" t="e">
        <f>VLOOKUP(C169&amp;I169&amp;E169,Orig_Dest!$A$2:$E$1876,5,FALSE)</f>
        <v>#N/A</v>
      </c>
      <c r="K169" s="14" t="e">
        <f t="shared" si="0"/>
        <v>#VALUE!</v>
      </c>
      <c r="L169" s="15" t="str">
        <f>IF(B169="Fornecedor",IF(VLOOKUP(C169,Base_Dados!$E$1:$F$7,2,FALSE)=F169," ","Fornecedor inválido!")," ")</f>
        <v xml:space="preserve"> </v>
      </c>
      <c r="M169" s="16" t="str">
        <f>IF(AND(LEFT(F169,2)="MP",H169&lt;&gt;Base_Dados!$A$1),"Impossível!!!"," ")</f>
        <v xml:space="preserve"> </v>
      </c>
      <c r="N169" s="15" t="str">
        <f>IF(E169="Avião",IF($G169&lt;=VLOOKUP($F169,Base_Dados!$K$1:$O$7,3,FALSE)," ","Limite "&amp;VLOOKUP($F169,Base_Dados!$K$1:$O$11,3,FALSE)&amp;" "&amp;VLOOKUP($F169,Base_Dados!$K$1:$O$11,2,FALSE))," ")</f>
        <v xml:space="preserve"> </v>
      </c>
      <c r="O169" s="15" t="str">
        <f>IF(E169="Caminhão",IF($G169&lt;=VLOOKUP($F169,Base_Dados!$K$1:$O$7,4,FALSE)," ","Limite "&amp;VLOOKUP($F169,Base_Dados!$K$1:$O$11,4,FALSE)&amp;" "&amp;VLOOKUP($F169,Base_Dados!$K$1:$O$11,2,FALSE))," ")</f>
        <v xml:space="preserve"> </v>
      </c>
      <c r="P169" s="15" t="str">
        <f>IF(E169="Navio",IF($G169&lt;=VLOOKUP($F169,Base_Dados!$K$1:$O$7,5,FALSE)," ","Limite "&amp;VLOOKUP($F169,Base_Dados!$K$1:$O$11,5,FALSE)&amp;" "&amp;VLOOKUP($F169,Base_Dados!$K$1:$O$11,2,FALSE))," ")</f>
        <v xml:space="preserve"> </v>
      </c>
      <c r="Q169" s="15" t="str">
        <f t="shared" si="1"/>
        <v>Fluxo Impossível</v>
      </c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24" customHeight="1" x14ac:dyDescent="0.3">
      <c r="A170" s="10"/>
      <c r="B170" s="10"/>
      <c r="C170" s="11"/>
      <c r="D170" s="11"/>
      <c r="E170" s="11"/>
      <c r="F170" s="11"/>
      <c r="G170" s="12"/>
      <c r="H170" s="11"/>
      <c r="I170" s="11"/>
      <c r="J170" s="13" t="e">
        <f>VLOOKUP(C170&amp;I170&amp;E170,Orig_Dest!$A$2:$E$1876,5,FALSE)</f>
        <v>#N/A</v>
      </c>
      <c r="K170" s="14" t="e">
        <f t="shared" si="0"/>
        <v>#VALUE!</v>
      </c>
      <c r="L170" s="15" t="str">
        <f>IF(B170="Fornecedor",IF(VLOOKUP(C170,Base_Dados!$E$1:$F$7,2,FALSE)=F170," ","Fornecedor inválido!")," ")</f>
        <v xml:space="preserve"> </v>
      </c>
      <c r="M170" s="16" t="str">
        <f>IF(AND(LEFT(F170,2)="MP",H170&lt;&gt;Base_Dados!$A$1),"Impossível!!!"," ")</f>
        <v xml:space="preserve"> </v>
      </c>
      <c r="N170" s="15" t="str">
        <f>IF(E170="Avião",IF($G170&lt;=VLOOKUP($F170,Base_Dados!$K$1:$O$7,3,FALSE)," ","Limite "&amp;VLOOKUP($F170,Base_Dados!$K$1:$O$11,3,FALSE)&amp;" "&amp;VLOOKUP($F170,Base_Dados!$K$1:$O$11,2,FALSE))," ")</f>
        <v xml:space="preserve"> </v>
      </c>
      <c r="O170" s="15" t="str">
        <f>IF(E170="Caminhão",IF($G170&lt;=VLOOKUP($F170,Base_Dados!$K$1:$O$7,4,FALSE)," ","Limite "&amp;VLOOKUP($F170,Base_Dados!$K$1:$O$11,4,FALSE)&amp;" "&amp;VLOOKUP($F170,Base_Dados!$K$1:$O$11,2,FALSE))," ")</f>
        <v xml:space="preserve"> </v>
      </c>
      <c r="P170" s="15" t="str">
        <f>IF(E170="Navio",IF($G170&lt;=VLOOKUP($F170,Base_Dados!$K$1:$O$7,5,FALSE)," ","Limite "&amp;VLOOKUP($F170,Base_Dados!$K$1:$O$11,5,FALSE)&amp;" "&amp;VLOOKUP($F170,Base_Dados!$K$1:$O$11,2,FALSE))," ")</f>
        <v xml:space="preserve"> </v>
      </c>
      <c r="Q170" s="15" t="str">
        <f t="shared" si="1"/>
        <v>Fluxo Impossível</v>
      </c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24" customHeight="1" x14ac:dyDescent="0.3">
      <c r="A171" s="10"/>
      <c r="B171" s="10"/>
      <c r="C171" s="11"/>
      <c r="D171" s="11"/>
      <c r="E171" s="11"/>
      <c r="F171" s="11"/>
      <c r="G171" s="12"/>
      <c r="H171" s="11"/>
      <c r="I171" s="11"/>
      <c r="J171" s="13" t="e">
        <f>VLOOKUP(C171&amp;I171&amp;E171,Orig_Dest!$A$2:$E$1876,5,FALSE)</f>
        <v>#N/A</v>
      </c>
      <c r="K171" s="14" t="e">
        <f t="shared" si="0"/>
        <v>#VALUE!</v>
      </c>
      <c r="L171" s="15" t="str">
        <f>IF(B171="Fornecedor",IF(VLOOKUP(C171,Base_Dados!$E$1:$F$7,2,FALSE)=F171," ","Fornecedor inválido!")," ")</f>
        <v xml:space="preserve"> </v>
      </c>
      <c r="M171" s="16" t="str">
        <f>IF(AND(LEFT(F171,2)="MP",H171&lt;&gt;Base_Dados!$A$1),"Impossível!!!"," ")</f>
        <v xml:space="preserve"> </v>
      </c>
      <c r="N171" s="15" t="str">
        <f>IF(E171="Avião",IF($G171&lt;=VLOOKUP($F171,Base_Dados!$K$1:$O$7,3,FALSE)," ","Limite "&amp;VLOOKUP($F171,Base_Dados!$K$1:$O$11,3,FALSE)&amp;" "&amp;VLOOKUP($F171,Base_Dados!$K$1:$O$11,2,FALSE))," ")</f>
        <v xml:space="preserve"> </v>
      </c>
      <c r="O171" s="15" t="str">
        <f>IF(E171="Caminhão",IF($G171&lt;=VLOOKUP($F171,Base_Dados!$K$1:$O$7,4,FALSE)," ","Limite "&amp;VLOOKUP($F171,Base_Dados!$K$1:$O$11,4,FALSE)&amp;" "&amp;VLOOKUP($F171,Base_Dados!$K$1:$O$11,2,FALSE))," ")</f>
        <v xml:space="preserve"> </v>
      </c>
      <c r="P171" s="15" t="str">
        <f>IF(E171="Navio",IF($G171&lt;=VLOOKUP($F171,Base_Dados!$K$1:$O$7,5,FALSE)," ","Limite "&amp;VLOOKUP($F171,Base_Dados!$K$1:$O$11,5,FALSE)&amp;" "&amp;VLOOKUP($F171,Base_Dados!$K$1:$O$11,2,FALSE))," ")</f>
        <v xml:space="preserve"> </v>
      </c>
      <c r="Q171" s="15" t="str">
        <f t="shared" si="1"/>
        <v>Fluxo Impossível</v>
      </c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24" customHeight="1" x14ac:dyDescent="0.3">
      <c r="A172" s="10"/>
      <c r="B172" s="10"/>
      <c r="C172" s="11"/>
      <c r="D172" s="11"/>
      <c r="E172" s="11"/>
      <c r="F172" s="11"/>
      <c r="G172" s="12"/>
      <c r="H172" s="11"/>
      <c r="I172" s="11"/>
      <c r="J172" s="13" t="e">
        <f>VLOOKUP(C172&amp;I172&amp;E172,Orig_Dest!$A$2:$E$1876,5,FALSE)</f>
        <v>#N/A</v>
      </c>
      <c r="K172" s="14" t="e">
        <f t="shared" si="0"/>
        <v>#VALUE!</v>
      </c>
      <c r="L172" s="15" t="str">
        <f>IF(B172="Fornecedor",IF(VLOOKUP(C172,Base_Dados!$E$1:$F$7,2,FALSE)=F172," ","Fornecedor inválido!")," ")</f>
        <v xml:space="preserve"> </v>
      </c>
      <c r="M172" s="16" t="str">
        <f>IF(AND(LEFT(F172,2)="MP",H172&lt;&gt;Base_Dados!$A$1),"Impossível!!!"," ")</f>
        <v xml:space="preserve"> </v>
      </c>
      <c r="N172" s="15" t="str">
        <f>IF(E172="Avião",IF($G172&lt;=VLOOKUP($F172,Base_Dados!$K$1:$O$7,3,FALSE)," ","Limite "&amp;VLOOKUP($F172,Base_Dados!$K$1:$O$11,3,FALSE)&amp;" "&amp;VLOOKUP($F172,Base_Dados!$K$1:$O$11,2,FALSE))," ")</f>
        <v xml:space="preserve"> </v>
      </c>
      <c r="O172" s="15" t="str">
        <f>IF(E172="Caminhão",IF($G172&lt;=VLOOKUP($F172,Base_Dados!$K$1:$O$7,4,FALSE)," ","Limite "&amp;VLOOKUP($F172,Base_Dados!$K$1:$O$11,4,FALSE)&amp;" "&amp;VLOOKUP($F172,Base_Dados!$K$1:$O$11,2,FALSE))," ")</f>
        <v xml:space="preserve"> </v>
      </c>
      <c r="P172" s="15" t="str">
        <f>IF(E172="Navio",IF($G172&lt;=VLOOKUP($F172,Base_Dados!$K$1:$O$7,5,FALSE)," ","Limite "&amp;VLOOKUP($F172,Base_Dados!$K$1:$O$11,5,FALSE)&amp;" "&amp;VLOOKUP($F172,Base_Dados!$K$1:$O$11,2,FALSE))," ")</f>
        <v xml:space="preserve"> </v>
      </c>
      <c r="Q172" s="15" t="str">
        <f t="shared" si="1"/>
        <v>Fluxo Impossível</v>
      </c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24" customHeight="1" x14ac:dyDescent="0.3">
      <c r="A173" s="10"/>
      <c r="B173" s="10"/>
      <c r="C173" s="11"/>
      <c r="D173" s="11"/>
      <c r="E173" s="11"/>
      <c r="F173" s="11"/>
      <c r="G173" s="12"/>
      <c r="H173" s="11"/>
      <c r="I173" s="11"/>
      <c r="J173" s="13" t="e">
        <f>VLOOKUP(C173&amp;I173&amp;E173,Orig_Dest!$A$2:$E$1876,5,FALSE)</f>
        <v>#N/A</v>
      </c>
      <c r="K173" s="14" t="e">
        <f t="shared" si="0"/>
        <v>#VALUE!</v>
      </c>
      <c r="L173" s="15" t="str">
        <f>IF(B173="Fornecedor",IF(VLOOKUP(C173,Base_Dados!$E$1:$F$7,2,FALSE)=F173," ","Fornecedor inválido!")," ")</f>
        <v xml:space="preserve"> </v>
      </c>
      <c r="M173" s="16" t="str">
        <f>IF(AND(LEFT(F173,2)="MP",H173&lt;&gt;Base_Dados!$A$1),"Impossível!!!"," ")</f>
        <v xml:space="preserve"> </v>
      </c>
      <c r="N173" s="15" t="str">
        <f>IF(E173="Avião",IF($G173&lt;=VLOOKUP($F173,Base_Dados!$K$1:$O$7,3,FALSE)," ","Limite "&amp;VLOOKUP($F173,Base_Dados!$K$1:$O$11,3,FALSE)&amp;" "&amp;VLOOKUP($F173,Base_Dados!$K$1:$O$11,2,FALSE))," ")</f>
        <v xml:space="preserve"> </v>
      </c>
      <c r="O173" s="15" t="str">
        <f>IF(E173="Caminhão",IF($G173&lt;=VLOOKUP($F173,Base_Dados!$K$1:$O$7,4,FALSE)," ","Limite "&amp;VLOOKUP($F173,Base_Dados!$K$1:$O$11,4,FALSE)&amp;" "&amp;VLOOKUP($F173,Base_Dados!$K$1:$O$11,2,FALSE))," ")</f>
        <v xml:space="preserve"> </v>
      </c>
      <c r="P173" s="15" t="str">
        <f>IF(E173="Navio",IF($G173&lt;=VLOOKUP($F173,Base_Dados!$K$1:$O$7,5,FALSE)," ","Limite "&amp;VLOOKUP($F173,Base_Dados!$K$1:$O$11,5,FALSE)&amp;" "&amp;VLOOKUP($F173,Base_Dados!$K$1:$O$11,2,FALSE))," ")</f>
        <v xml:space="preserve"> </v>
      </c>
      <c r="Q173" s="15" t="str">
        <f t="shared" si="1"/>
        <v>Fluxo Impossível</v>
      </c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24" customHeight="1" x14ac:dyDescent="0.3">
      <c r="A174" s="10"/>
      <c r="B174" s="10"/>
      <c r="C174" s="11"/>
      <c r="D174" s="11"/>
      <c r="E174" s="11"/>
      <c r="F174" s="11"/>
      <c r="G174" s="12"/>
      <c r="H174" s="11"/>
      <c r="I174" s="11"/>
      <c r="J174" s="13" t="e">
        <f>VLOOKUP(C174&amp;I174&amp;E174,Orig_Dest!$A$2:$E$1876,5,FALSE)</f>
        <v>#N/A</v>
      </c>
      <c r="K174" s="14" t="e">
        <f t="shared" si="0"/>
        <v>#VALUE!</v>
      </c>
      <c r="L174" s="15" t="str">
        <f>IF(B174="Fornecedor",IF(VLOOKUP(C174,Base_Dados!$E$1:$F$7,2,FALSE)=F174," ","Fornecedor inválido!")," ")</f>
        <v xml:space="preserve"> </v>
      </c>
      <c r="M174" s="16" t="str">
        <f>IF(AND(LEFT(F174,2)="MP",H174&lt;&gt;Base_Dados!$A$1),"Impossível!!!"," ")</f>
        <v xml:space="preserve"> </v>
      </c>
      <c r="N174" s="15" t="str">
        <f>IF(E174="Avião",IF($G174&lt;=VLOOKUP($F174,Base_Dados!$K$1:$O$7,3,FALSE)," ","Limite "&amp;VLOOKUP($F174,Base_Dados!$K$1:$O$11,3,FALSE)&amp;" "&amp;VLOOKUP($F174,Base_Dados!$K$1:$O$11,2,FALSE))," ")</f>
        <v xml:space="preserve"> </v>
      </c>
      <c r="O174" s="15" t="str">
        <f>IF(E174="Caminhão",IF($G174&lt;=VLOOKUP($F174,Base_Dados!$K$1:$O$7,4,FALSE)," ","Limite "&amp;VLOOKUP($F174,Base_Dados!$K$1:$O$11,4,FALSE)&amp;" "&amp;VLOOKUP($F174,Base_Dados!$K$1:$O$11,2,FALSE))," ")</f>
        <v xml:space="preserve"> </v>
      </c>
      <c r="P174" s="15" t="str">
        <f>IF(E174="Navio",IF($G174&lt;=VLOOKUP($F174,Base_Dados!$K$1:$O$7,5,FALSE)," ","Limite "&amp;VLOOKUP($F174,Base_Dados!$K$1:$O$11,5,FALSE)&amp;" "&amp;VLOOKUP($F174,Base_Dados!$K$1:$O$11,2,FALSE))," ")</f>
        <v xml:space="preserve"> </v>
      </c>
      <c r="Q174" s="15" t="str">
        <f t="shared" si="1"/>
        <v>Fluxo Impossível</v>
      </c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24" customHeight="1" x14ac:dyDescent="0.3">
      <c r="A175" s="10"/>
      <c r="B175" s="10"/>
      <c r="C175" s="11"/>
      <c r="D175" s="11"/>
      <c r="E175" s="11"/>
      <c r="F175" s="11"/>
      <c r="G175" s="12"/>
      <c r="H175" s="11"/>
      <c r="I175" s="11"/>
      <c r="J175" s="13" t="e">
        <f>VLOOKUP(C175&amp;I175&amp;E175,Orig_Dest!$A$2:$E$1876,5,FALSE)</f>
        <v>#N/A</v>
      </c>
      <c r="K175" s="14" t="e">
        <f t="shared" si="0"/>
        <v>#VALUE!</v>
      </c>
      <c r="L175" s="15" t="str">
        <f>IF(B175="Fornecedor",IF(VLOOKUP(C175,Base_Dados!$E$1:$F$7,2,FALSE)=F175," ","Fornecedor inválido!")," ")</f>
        <v xml:space="preserve"> </v>
      </c>
      <c r="M175" s="16" t="str">
        <f>IF(AND(LEFT(F175,2)="MP",H175&lt;&gt;Base_Dados!$A$1),"Impossível!!!"," ")</f>
        <v xml:space="preserve"> </v>
      </c>
      <c r="N175" s="15" t="str">
        <f>IF(E175="Avião",IF($G175&lt;=VLOOKUP($F175,Base_Dados!$K$1:$O$7,3,FALSE)," ","Limite "&amp;VLOOKUP($F175,Base_Dados!$K$1:$O$11,3,FALSE)&amp;" "&amp;VLOOKUP($F175,Base_Dados!$K$1:$O$11,2,FALSE))," ")</f>
        <v xml:space="preserve"> </v>
      </c>
      <c r="O175" s="15" t="str">
        <f>IF(E175="Caminhão",IF($G175&lt;=VLOOKUP($F175,Base_Dados!$K$1:$O$7,4,FALSE)," ","Limite "&amp;VLOOKUP($F175,Base_Dados!$K$1:$O$11,4,FALSE)&amp;" "&amp;VLOOKUP($F175,Base_Dados!$K$1:$O$11,2,FALSE))," ")</f>
        <v xml:space="preserve"> </v>
      </c>
      <c r="P175" s="15" t="str">
        <f>IF(E175="Navio",IF($G175&lt;=VLOOKUP($F175,Base_Dados!$K$1:$O$7,5,FALSE)," ","Limite "&amp;VLOOKUP($F175,Base_Dados!$K$1:$O$11,5,FALSE)&amp;" "&amp;VLOOKUP($F175,Base_Dados!$K$1:$O$11,2,FALSE))," ")</f>
        <v xml:space="preserve"> </v>
      </c>
      <c r="Q175" s="15" t="str">
        <f t="shared" si="1"/>
        <v>Fluxo Impossível</v>
      </c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24" customHeight="1" x14ac:dyDescent="0.3">
      <c r="A176" s="10"/>
      <c r="B176" s="10"/>
      <c r="C176" s="11"/>
      <c r="D176" s="11"/>
      <c r="E176" s="11"/>
      <c r="F176" s="11"/>
      <c r="G176" s="12"/>
      <c r="H176" s="11"/>
      <c r="I176" s="11"/>
      <c r="J176" s="13" t="e">
        <f>VLOOKUP(C176&amp;I176&amp;E176,Orig_Dest!$A$2:$E$1876,5,FALSE)</f>
        <v>#N/A</v>
      </c>
      <c r="K176" s="14" t="e">
        <f t="shared" si="0"/>
        <v>#VALUE!</v>
      </c>
      <c r="L176" s="15" t="str">
        <f>IF(B176="Fornecedor",IF(VLOOKUP(C176,Base_Dados!$E$1:$F$7,2,FALSE)=F176," ","Fornecedor inválido!")," ")</f>
        <v xml:space="preserve"> </v>
      </c>
      <c r="M176" s="16" t="str">
        <f>IF(AND(LEFT(F176,2)="MP",H176&lt;&gt;Base_Dados!$A$1),"Impossível!!!"," ")</f>
        <v xml:space="preserve"> </v>
      </c>
      <c r="N176" s="15" t="str">
        <f>IF(E176="Avião",IF($G176&lt;=VLOOKUP($F176,Base_Dados!$K$1:$O$7,3,FALSE)," ","Limite "&amp;VLOOKUP($F176,Base_Dados!$K$1:$O$11,3,FALSE)&amp;" "&amp;VLOOKUP($F176,Base_Dados!$K$1:$O$11,2,FALSE))," ")</f>
        <v xml:space="preserve"> </v>
      </c>
      <c r="O176" s="15" t="str">
        <f>IF(E176="Caminhão",IF($G176&lt;=VLOOKUP($F176,Base_Dados!$K$1:$O$7,4,FALSE)," ","Limite "&amp;VLOOKUP($F176,Base_Dados!$K$1:$O$11,4,FALSE)&amp;" "&amp;VLOOKUP($F176,Base_Dados!$K$1:$O$11,2,FALSE))," ")</f>
        <v xml:space="preserve"> </v>
      </c>
      <c r="P176" s="15" t="str">
        <f>IF(E176="Navio",IF($G176&lt;=VLOOKUP($F176,Base_Dados!$K$1:$O$7,5,FALSE)," ","Limite "&amp;VLOOKUP($F176,Base_Dados!$K$1:$O$11,5,FALSE)&amp;" "&amp;VLOOKUP($F176,Base_Dados!$K$1:$O$11,2,FALSE))," ")</f>
        <v xml:space="preserve"> </v>
      </c>
      <c r="Q176" s="15" t="str">
        <f t="shared" si="1"/>
        <v>Fluxo Impossível</v>
      </c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24" customHeight="1" x14ac:dyDescent="0.3">
      <c r="A177" s="10"/>
      <c r="B177" s="10"/>
      <c r="C177" s="11"/>
      <c r="D177" s="11"/>
      <c r="E177" s="11"/>
      <c r="F177" s="11"/>
      <c r="G177" s="12"/>
      <c r="H177" s="11"/>
      <c r="I177" s="11"/>
      <c r="J177" s="13" t="e">
        <f>VLOOKUP(C177&amp;I177&amp;E177,Orig_Dest!$A$2:$E$1876,5,FALSE)</f>
        <v>#N/A</v>
      </c>
      <c r="K177" s="14" t="e">
        <f t="shared" si="0"/>
        <v>#VALUE!</v>
      </c>
      <c r="L177" s="15" t="str">
        <f>IF(B177="Fornecedor",IF(VLOOKUP(C177,Base_Dados!$E$1:$F$7,2,FALSE)=F177," ","Fornecedor inválido!")," ")</f>
        <v xml:space="preserve"> </v>
      </c>
      <c r="M177" s="16" t="str">
        <f>IF(AND(LEFT(F177,2)="MP",H177&lt;&gt;Base_Dados!$A$1),"Impossível!!!"," ")</f>
        <v xml:space="preserve"> </v>
      </c>
      <c r="N177" s="15" t="str">
        <f>IF(E177="Avião",IF($G177&lt;=VLOOKUP($F177,Base_Dados!$K$1:$O$7,3,FALSE)," ","Limite "&amp;VLOOKUP($F177,Base_Dados!$K$1:$O$11,3,FALSE)&amp;" "&amp;VLOOKUP($F177,Base_Dados!$K$1:$O$11,2,FALSE))," ")</f>
        <v xml:space="preserve"> </v>
      </c>
      <c r="O177" s="15" t="str">
        <f>IF(E177="Caminhão",IF($G177&lt;=VLOOKUP($F177,Base_Dados!$K$1:$O$7,4,FALSE)," ","Limite "&amp;VLOOKUP($F177,Base_Dados!$K$1:$O$11,4,FALSE)&amp;" "&amp;VLOOKUP($F177,Base_Dados!$K$1:$O$11,2,FALSE))," ")</f>
        <v xml:space="preserve"> </v>
      </c>
      <c r="P177" s="15" t="str">
        <f>IF(E177="Navio",IF($G177&lt;=VLOOKUP($F177,Base_Dados!$K$1:$O$7,5,FALSE)," ","Limite "&amp;VLOOKUP($F177,Base_Dados!$K$1:$O$11,5,FALSE)&amp;" "&amp;VLOOKUP($F177,Base_Dados!$K$1:$O$11,2,FALSE))," ")</f>
        <v xml:space="preserve"> </v>
      </c>
      <c r="Q177" s="15" t="str">
        <f t="shared" si="1"/>
        <v>Fluxo Impossível</v>
      </c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24" customHeight="1" x14ac:dyDescent="0.3">
      <c r="A178" s="10"/>
      <c r="B178" s="10"/>
      <c r="C178" s="11"/>
      <c r="D178" s="11"/>
      <c r="E178" s="11"/>
      <c r="F178" s="11"/>
      <c r="G178" s="12"/>
      <c r="H178" s="11"/>
      <c r="I178" s="11"/>
      <c r="J178" s="13" t="e">
        <f>VLOOKUP(C178&amp;I178&amp;E178,Orig_Dest!$A$2:$E$1876,5,FALSE)</f>
        <v>#N/A</v>
      </c>
      <c r="K178" s="14" t="e">
        <f t="shared" si="0"/>
        <v>#VALUE!</v>
      </c>
      <c r="L178" s="15" t="str">
        <f>IF(B178="Fornecedor",IF(VLOOKUP(C178,Base_Dados!$E$1:$F$7,2,FALSE)=F178," ","Fornecedor inválido!")," ")</f>
        <v xml:space="preserve"> </v>
      </c>
      <c r="M178" s="16" t="str">
        <f>IF(AND(LEFT(F178,2)="MP",H178&lt;&gt;Base_Dados!$A$1),"Impossível!!!"," ")</f>
        <v xml:space="preserve"> </v>
      </c>
      <c r="N178" s="15" t="str">
        <f>IF(E178="Avião",IF($G178&lt;=VLOOKUP($F178,Base_Dados!$K$1:$O$7,3,FALSE)," ","Limite "&amp;VLOOKUP($F178,Base_Dados!$K$1:$O$11,3,FALSE)&amp;" "&amp;VLOOKUP($F178,Base_Dados!$K$1:$O$11,2,FALSE))," ")</f>
        <v xml:space="preserve"> </v>
      </c>
      <c r="O178" s="15" t="str">
        <f>IF(E178="Caminhão",IF($G178&lt;=VLOOKUP($F178,Base_Dados!$K$1:$O$7,4,FALSE)," ","Limite "&amp;VLOOKUP($F178,Base_Dados!$K$1:$O$11,4,FALSE)&amp;" "&amp;VLOOKUP($F178,Base_Dados!$K$1:$O$11,2,FALSE))," ")</f>
        <v xml:space="preserve"> </v>
      </c>
      <c r="P178" s="15" t="str">
        <f>IF(E178="Navio",IF($G178&lt;=VLOOKUP($F178,Base_Dados!$K$1:$O$7,5,FALSE)," ","Limite "&amp;VLOOKUP($F178,Base_Dados!$K$1:$O$11,5,FALSE)&amp;" "&amp;VLOOKUP($F178,Base_Dados!$K$1:$O$11,2,FALSE))," ")</f>
        <v xml:space="preserve"> </v>
      </c>
      <c r="Q178" s="15" t="str">
        <f t="shared" si="1"/>
        <v>Fluxo Impossível</v>
      </c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24" customHeight="1" x14ac:dyDescent="0.3">
      <c r="A179" s="10"/>
      <c r="B179" s="10"/>
      <c r="C179" s="11"/>
      <c r="D179" s="11"/>
      <c r="E179" s="11"/>
      <c r="F179" s="11"/>
      <c r="G179" s="12"/>
      <c r="H179" s="11"/>
      <c r="I179" s="11"/>
      <c r="J179" s="13" t="e">
        <f>VLOOKUP(C179&amp;I179&amp;E179,Orig_Dest!$A$2:$E$1876,5,FALSE)</f>
        <v>#N/A</v>
      </c>
      <c r="K179" s="14" t="e">
        <f t="shared" si="0"/>
        <v>#VALUE!</v>
      </c>
      <c r="L179" s="15" t="str">
        <f>IF(B179="Fornecedor",IF(VLOOKUP(C179,Base_Dados!$E$1:$F$7,2,FALSE)=F179," ","Fornecedor inválido!")," ")</f>
        <v xml:space="preserve"> </v>
      </c>
      <c r="M179" s="16" t="str">
        <f>IF(AND(LEFT(F179,2)="MP",H179&lt;&gt;Base_Dados!$A$1),"Impossível!!!"," ")</f>
        <v xml:space="preserve"> </v>
      </c>
      <c r="N179" s="15" t="str">
        <f>IF(E179="Avião",IF($G179&lt;=VLOOKUP($F179,Base_Dados!$K$1:$O$7,3,FALSE)," ","Limite "&amp;VLOOKUP($F179,Base_Dados!$K$1:$O$11,3,FALSE)&amp;" "&amp;VLOOKUP($F179,Base_Dados!$K$1:$O$11,2,FALSE))," ")</f>
        <v xml:space="preserve"> </v>
      </c>
      <c r="O179" s="15" t="str">
        <f>IF(E179="Caminhão",IF($G179&lt;=VLOOKUP($F179,Base_Dados!$K$1:$O$7,4,FALSE)," ","Limite "&amp;VLOOKUP($F179,Base_Dados!$K$1:$O$11,4,FALSE)&amp;" "&amp;VLOOKUP($F179,Base_Dados!$K$1:$O$11,2,FALSE))," ")</f>
        <v xml:space="preserve"> </v>
      </c>
      <c r="P179" s="15" t="str">
        <f>IF(E179="Navio",IF($G179&lt;=VLOOKUP($F179,Base_Dados!$K$1:$O$7,5,FALSE)," ","Limite "&amp;VLOOKUP($F179,Base_Dados!$K$1:$O$11,5,FALSE)&amp;" "&amp;VLOOKUP($F179,Base_Dados!$K$1:$O$11,2,FALSE))," ")</f>
        <v xml:space="preserve"> </v>
      </c>
      <c r="Q179" s="15" t="str">
        <f t="shared" si="1"/>
        <v>Fluxo Impossível</v>
      </c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24" customHeight="1" x14ac:dyDescent="0.3">
      <c r="A180" s="10"/>
      <c r="B180" s="10"/>
      <c r="C180" s="11"/>
      <c r="D180" s="11"/>
      <c r="E180" s="11"/>
      <c r="F180" s="11"/>
      <c r="G180" s="12"/>
      <c r="H180" s="11"/>
      <c r="I180" s="11"/>
      <c r="J180" s="13" t="e">
        <f>VLOOKUP(C180&amp;I180&amp;E180,Orig_Dest!$A$2:$E$1876,5,FALSE)</f>
        <v>#N/A</v>
      </c>
      <c r="K180" s="14" t="e">
        <f t="shared" si="0"/>
        <v>#VALUE!</v>
      </c>
      <c r="L180" s="15" t="str">
        <f>IF(B180="Fornecedor",IF(VLOOKUP(C180,Base_Dados!$E$1:$F$7,2,FALSE)=F180," ","Fornecedor inválido!")," ")</f>
        <v xml:space="preserve"> </v>
      </c>
      <c r="M180" s="16" t="str">
        <f>IF(AND(LEFT(F180,2)="MP",H180&lt;&gt;Base_Dados!$A$1),"Impossível!!!"," ")</f>
        <v xml:space="preserve"> </v>
      </c>
      <c r="N180" s="15" t="str">
        <f>IF(E180="Avião",IF($G180&lt;=VLOOKUP($F180,Base_Dados!$K$1:$O$7,3,FALSE)," ","Limite "&amp;VLOOKUP($F180,Base_Dados!$K$1:$O$11,3,FALSE)&amp;" "&amp;VLOOKUP($F180,Base_Dados!$K$1:$O$11,2,FALSE))," ")</f>
        <v xml:space="preserve"> </v>
      </c>
      <c r="O180" s="15" t="str">
        <f>IF(E180="Caminhão",IF($G180&lt;=VLOOKUP($F180,Base_Dados!$K$1:$O$7,4,FALSE)," ","Limite "&amp;VLOOKUP($F180,Base_Dados!$K$1:$O$11,4,FALSE)&amp;" "&amp;VLOOKUP($F180,Base_Dados!$K$1:$O$11,2,FALSE))," ")</f>
        <v xml:space="preserve"> </v>
      </c>
      <c r="P180" s="15" t="str">
        <f>IF(E180="Navio",IF($G180&lt;=VLOOKUP($F180,Base_Dados!$K$1:$O$7,5,FALSE)," ","Limite "&amp;VLOOKUP($F180,Base_Dados!$K$1:$O$11,5,FALSE)&amp;" "&amp;VLOOKUP($F180,Base_Dados!$K$1:$O$11,2,FALSE))," ")</f>
        <v xml:space="preserve"> </v>
      </c>
      <c r="Q180" s="15" t="str">
        <f t="shared" si="1"/>
        <v>Fluxo Impossível</v>
      </c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24" customHeight="1" x14ac:dyDescent="0.3">
      <c r="A181" s="10"/>
      <c r="B181" s="10"/>
      <c r="C181" s="11"/>
      <c r="D181" s="11"/>
      <c r="E181" s="11"/>
      <c r="F181" s="11"/>
      <c r="G181" s="12"/>
      <c r="H181" s="11"/>
      <c r="I181" s="11"/>
      <c r="J181" s="13" t="e">
        <f>VLOOKUP(C181&amp;I181&amp;E181,Orig_Dest!$A$2:$E$1876,5,FALSE)</f>
        <v>#N/A</v>
      </c>
      <c r="K181" s="14" t="e">
        <f t="shared" si="0"/>
        <v>#VALUE!</v>
      </c>
      <c r="L181" s="15" t="str">
        <f>IF(B181="Fornecedor",IF(VLOOKUP(C181,Base_Dados!$E$1:$F$7,2,FALSE)=F181," ","Fornecedor inválido!")," ")</f>
        <v xml:space="preserve"> </v>
      </c>
      <c r="M181" s="16" t="str">
        <f>IF(AND(LEFT(F181,2)="MP",H181&lt;&gt;Base_Dados!$A$1),"Impossível!!!"," ")</f>
        <v xml:space="preserve"> </v>
      </c>
      <c r="N181" s="15" t="str">
        <f>IF(E181="Avião",IF($G181&lt;=VLOOKUP($F181,Base_Dados!$K$1:$O$7,3,FALSE)," ","Limite "&amp;VLOOKUP($F181,Base_Dados!$K$1:$O$11,3,FALSE)&amp;" "&amp;VLOOKUP($F181,Base_Dados!$K$1:$O$11,2,FALSE))," ")</f>
        <v xml:space="preserve"> </v>
      </c>
      <c r="O181" s="15" t="str">
        <f>IF(E181="Caminhão",IF($G181&lt;=VLOOKUP($F181,Base_Dados!$K$1:$O$7,4,FALSE)," ","Limite "&amp;VLOOKUP($F181,Base_Dados!$K$1:$O$11,4,FALSE)&amp;" "&amp;VLOOKUP($F181,Base_Dados!$K$1:$O$11,2,FALSE))," ")</f>
        <v xml:space="preserve"> </v>
      </c>
      <c r="P181" s="15" t="str">
        <f>IF(E181="Navio",IF($G181&lt;=VLOOKUP($F181,Base_Dados!$K$1:$O$7,5,FALSE)," ","Limite "&amp;VLOOKUP($F181,Base_Dados!$K$1:$O$11,5,FALSE)&amp;" "&amp;VLOOKUP($F181,Base_Dados!$K$1:$O$11,2,FALSE))," ")</f>
        <v xml:space="preserve"> </v>
      </c>
      <c r="Q181" s="15" t="str">
        <f t="shared" si="1"/>
        <v>Fluxo Impossível</v>
      </c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24" customHeight="1" x14ac:dyDescent="0.3">
      <c r="A182" s="10"/>
      <c r="B182" s="10"/>
      <c r="C182" s="11"/>
      <c r="D182" s="11"/>
      <c r="E182" s="11"/>
      <c r="F182" s="11"/>
      <c r="G182" s="12"/>
      <c r="H182" s="11"/>
      <c r="I182" s="11"/>
      <c r="J182" s="13" t="e">
        <f>VLOOKUP(C182&amp;I182&amp;E182,Orig_Dest!$A$2:$E$1876,5,FALSE)</f>
        <v>#N/A</v>
      </c>
      <c r="K182" s="14" t="e">
        <f t="shared" si="0"/>
        <v>#VALUE!</v>
      </c>
      <c r="L182" s="15" t="str">
        <f>IF(B182="Fornecedor",IF(VLOOKUP(C182,Base_Dados!$E$1:$F$7,2,FALSE)=F182," ","Fornecedor inválido!")," ")</f>
        <v xml:space="preserve"> </v>
      </c>
      <c r="M182" s="16" t="str">
        <f>IF(AND(LEFT(F182,2)="MP",H182&lt;&gt;Base_Dados!$A$1),"Impossível!!!"," ")</f>
        <v xml:space="preserve"> </v>
      </c>
      <c r="N182" s="15" t="str">
        <f>IF(E182="Avião",IF($G182&lt;=VLOOKUP($F182,Base_Dados!$K$1:$O$7,3,FALSE)," ","Limite "&amp;VLOOKUP($F182,Base_Dados!$K$1:$O$11,3,FALSE)&amp;" "&amp;VLOOKUP($F182,Base_Dados!$K$1:$O$11,2,FALSE))," ")</f>
        <v xml:space="preserve"> </v>
      </c>
      <c r="O182" s="15" t="str">
        <f>IF(E182="Caminhão",IF($G182&lt;=VLOOKUP($F182,Base_Dados!$K$1:$O$7,4,FALSE)," ","Limite "&amp;VLOOKUP($F182,Base_Dados!$K$1:$O$11,4,FALSE)&amp;" "&amp;VLOOKUP($F182,Base_Dados!$K$1:$O$11,2,FALSE))," ")</f>
        <v xml:space="preserve"> </v>
      </c>
      <c r="P182" s="15" t="str">
        <f>IF(E182="Navio",IF($G182&lt;=VLOOKUP($F182,Base_Dados!$K$1:$O$7,5,FALSE)," ","Limite "&amp;VLOOKUP($F182,Base_Dados!$K$1:$O$11,5,FALSE)&amp;" "&amp;VLOOKUP($F182,Base_Dados!$K$1:$O$11,2,FALSE))," ")</f>
        <v xml:space="preserve"> </v>
      </c>
      <c r="Q182" s="15" t="str">
        <f t="shared" si="1"/>
        <v>Fluxo Impossível</v>
      </c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24" customHeight="1" x14ac:dyDescent="0.3">
      <c r="A183" s="10"/>
      <c r="B183" s="10"/>
      <c r="C183" s="11"/>
      <c r="D183" s="11"/>
      <c r="E183" s="11"/>
      <c r="F183" s="11"/>
      <c r="G183" s="12"/>
      <c r="H183" s="11"/>
      <c r="I183" s="11"/>
      <c r="J183" s="13" t="e">
        <f>VLOOKUP(C183&amp;I183&amp;E183,Orig_Dest!$A$2:$E$1876,5,FALSE)</f>
        <v>#N/A</v>
      </c>
      <c r="K183" s="14" t="e">
        <f t="shared" si="0"/>
        <v>#VALUE!</v>
      </c>
      <c r="L183" s="15" t="str">
        <f>IF(B183="Fornecedor",IF(VLOOKUP(C183,Base_Dados!$E$1:$F$7,2,FALSE)=F183," ","Fornecedor inválido!")," ")</f>
        <v xml:space="preserve"> </v>
      </c>
      <c r="M183" s="16" t="str">
        <f>IF(AND(LEFT(F183,2)="MP",H183&lt;&gt;Base_Dados!$A$1),"Impossível!!!"," ")</f>
        <v xml:space="preserve"> </v>
      </c>
      <c r="N183" s="15" t="str">
        <f>IF(E183="Avião",IF($G183&lt;=VLOOKUP($F183,Base_Dados!$K$1:$O$7,3,FALSE)," ","Limite "&amp;VLOOKUP($F183,Base_Dados!$K$1:$O$11,3,FALSE)&amp;" "&amp;VLOOKUP($F183,Base_Dados!$K$1:$O$11,2,FALSE))," ")</f>
        <v xml:space="preserve"> </v>
      </c>
      <c r="O183" s="15" t="str">
        <f>IF(E183="Caminhão",IF($G183&lt;=VLOOKUP($F183,Base_Dados!$K$1:$O$7,4,FALSE)," ","Limite "&amp;VLOOKUP($F183,Base_Dados!$K$1:$O$11,4,FALSE)&amp;" "&amp;VLOOKUP($F183,Base_Dados!$K$1:$O$11,2,FALSE))," ")</f>
        <v xml:space="preserve"> </v>
      </c>
      <c r="P183" s="15" t="str">
        <f>IF(E183="Navio",IF($G183&lt;=VLOOKUP($F183,Base_Dados!$K$1:$O$7,5,FALSE)," ","Limite "&amp;VLOOKUP($F183,Base_Dados!$K$1:$O$11,5,FALSE)&amp;" "&amp;VLOOKUP($F183,Base_Dados!$K$1:$O$11,2,FALSE))," ")</f>
        <v xml:space="preserve"> </v>
      </c>
      <c r="Q183" s="15" t="str">
        <f t="shared" si="1"/>
        <v>Fluxo Impossível</v>
      </c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24" customHeight="1" x14ac:dyDescent="0.3">
      <c r="A184" s="10"/>
      <c r="B184" s="10"/>
      <c r="C184" s="11"/>
      <c r="D184" s="11"/>
      <c r="E184" s="11"/>
      <c r="F184" s="11"/>
      <c r="G184" s="12"/>
      <c r="H184" s="11"/>
      <c r="I184" s="11"/>
      <c r="J184" s="13" t="e">
        <f>VLOOKUP(C184&amp;I184&amp;E184,Orig_Dest!$A$2:$E$1876,5,FALSE)</f>
        <v>#N/A</v>
      </c>
      <c r="K184" s="14" t="e">
        <f t="shared" si="0"/>
        <v>#VALUE!</v>
      </c>
      <c r="L184" s="15" t="str">
        <f>IF(B184="Fornecedor",IF(VLOOKUP(C184,Base_Dados!$E$1:$F$7,2,FALSE)=F184," ","Fornecedor inválido!")," ")</f>
        <v xml:space="preserve"> </v>
      </c>
      <c r="M184" s="16" t="str">
        <f>IF(AND(LEFT(F184,2)="MP",H184&lt;&gt;Base_Dados!$A$1),"Impossível!!!"," ")</f>
        <v xml:space="preserve"> </v>
      </c>
      <c r="N184" s="15" t="str">
        <f>IF(E184="Avião",IF($G184&lt;=VLOOKUP($F184,Base_Dados!$K$1:$O$7,3,FALSE)," ","Limite "&amp;VLOOKUP($F184,Base_Dados!$K$1:$O$11,3,FALSE)&amp;" "&amp;VLOOKUP($F184,Base_Dados!$K$1:$O$11,2,FALSE))," ")</f>
        <v xml:space="preserve"> </v>
      </c>
      <c r="O184" s="15" t="str">
        <f>IF(E184="Caminhão",IF($G184&lt;=VLOOKUP($F184,Base_Dados!$K$1:$O$7,4,FALSE)," ","Limite "&amp;VLOOKUP($F184,Base_Dados!$K$1:$O$11,4,FALSE)&amp;" "&amp;VLOOKUP($F184,Base_Dados!$K$1:$O$11,2,FALSE))," ")</f>
        <v xml:space="preserve"> </v>
      </c>
      <c r="P184" s="15" t="str">
        <f>IF(E184="Navio",IF($G184&lt;=VLOOKUP($F184,Base_Dados!$K$1:$O$7,5,FALSE)," ","Limite "&amp;VLOOKUP($F184,Base_Dados!$K$1:$O$11,5,FALSE)&amp;" "&amp;VLOOKUP($F184,Base_Dados!$K$1:$O$11,2,FALSE))," ")</f>
        <v xml:space="preserve"> </v>
      </c>
      <c r="Q184" s="15" t="str">
        <f t="shared" si="1"/>
        <v>Fluxo Impossível</v>
      </c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24" customHeight="1" x14ac:dyDescent="0.3">
      <c r="A185" s="10"/>
      <c r="B185" s="10"/>
      <c r="C185" s="11"/>
      <c r="D185" s="11"/>
      <c r="E185" s="11"/>
      <c r="F185" s="11"/>
      <c r="G185" s="12"/>
      <c r="H185" s="11"/>
      <c r="I185" s="11"/>
      <c r="J185" s="13" t="e">
        <f>VLOOKUP(C185&amp;I185&amp;E185,Orig_Dest!$A$2:$E$1876,5,FALSE)</f>
        <v>#N/A</v>
      </c>
      <c r="K185" s="14" t="e">
        <f t="shared" si="0"/>
        <v>#VALUE!</v>
      </c>
      <c r="L185" s="15" t="str">
        <f>IF(B185="Fornecedor",IF(VLOOKUP(C185,Base_Dados!$E$1:$F$7,2,FALSE)=F185," ","Fornecedor inválido!")," ")</f>
        <v xml:space="preserve"> </v>
      </c>
      <c r="M185" s="16" t="str">
        <f>IF(AND(LEFT(F185,2)="MP",H185&lt;&gt;Base_Dados!$A$1),"Impossível!!!"," ")</f>
        <v xml:space="preserve"> </v>
      </c>
      <c r="N185" s="15" t="str">
        <f>IF(E185="Avião",IF($G185&lt;=VLOOKUP($F185,Base_Dados!$K$1:$O$7,3,FALSE)," ","Limite "&amp;VLOOKUP($F185,Base_Dados!$K$1:$O$11,3,FALSE)&amp;" "&amp;VLOOKUP($F185,Base_Dados!$K$1:$O$11,2,FALSE))," ")</f>
        <v xml:space="preserve"> </v>
      </c>
      <c r="O185" s="15" t="str">
        <f>IF(E185="Caminhão",IF($G185&lt;=VLOOKUP($F185,Base_Dados!$K$1:$O$7,4,FALSE)," ","Limite "&amp;VLOOKUP($F185,Base_Dados!$K$1:$O$11,4,FALSE)&amp;" "&amp;VLOOKUP($F185,Base_Dados!$K$1:$O$11,2,FALSE))," ")</f>
        <v xml:space="preserve"> </v>
      </c>
      <c r="P185" s="15" t="str">
        <f>IF(E185="Navio",IF($G185&lt;=VLOOKUP($F185,Base_Dados!$K$1:$O$7,5,FALSE)," ","Limite "&amp;VLOOKUP($F185,Base_Dados!$K$1:$O$11,5,FALSE)&amp;" "&amp;VLOOKUP($F185,Base_Dados!$K$1:$O$11,2,FALSE))," ")</f>
        <v xml:space="preserve"> </v>
      </c>
      <c r="Q185" s="15" t="str">
        <f t="shared" si="1"/>
        <v>Fluxo Impossível</v>
      </c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24" customHeight="1" x14ac:dyDescent="0.3">
      <c r="A186" s="10"/>
      <c r="B186" s="10"/>
      <c r="C186" s="11"/>
      <c r="D186" s="11"/>
      <c r="E186" s="11"/>
      <c r="F186" s="11"/>
      <c r="G186" s="12"/>
      <c r="H186" s="11"/>
      <c r="I186" s="11"/>
      <c r="J186" s="13" t="e">
        <f>VLOOKUP(C186&amp;I186&amp;E186,Orig_Dest!$A$2:$E$1876,5,FALSE)</f>
        <v>#N/A</v>
      </c>
      <c r="K186" s="14" t="e">
        <f t="shared" si="0"/>
        <v>#VALUE!</v>
      </c>
      <c r="L186" s="15" t="str">
        <f>IF(B186="Fornecedor",IF(VLOOKUP(C186,Base_Dados!$E$1:$F$7,2,FALSE)=F186," ","Fornecedor inválido!")," ")</f>
        <v xml:space="preserve"> </v>
      </c>
      <c r="M186" s="16" t="str">
        <f>IF(AND(LEFT(F186,2)="MP",H186&lt;&gt;Base_Dados!$A$1),"Impossível!!!"," ")</f>
        <v xml:space="preserve"> </v>
      </c>
      <c r="N186" s="15" t="str">
        <f>IF(E186="Avião",IF($G186&lt;=VLOOKUP($F186,Base_Dados!$K$1:$O$7,3,FALSE)," ","Limite "&amp;VLOOKUP($F186,Base_Dados!$K$1:$O$11,3,FALSE)&amp;" "&amp;VLOOKUP($F186,Base_Dados!$K$1:$O$11,2,FALSE))," ")</f>
        <v xml:space="preserve"> </v>
      </c>
      <c r="O186" s="15" t="str">
        <f>IF(E186="Caminhão",IF($G186&lt;=VLOOKUP($F186,Base_Dados!$K$1:$O$7,4,FALSE)," ","Limite "&amp;VLOOKUP($F186,Base_Dados!$K$1:$O$11,4,FALSE)&amp;" "&amp;VLOOKUP($F186,Base_Dados!$K$1:$O$11,2,FALSE))," ")</f>
        <v xml:space="preserve"> </v>
      </c>
      <c r="P186" s="15" t="str">
        <f>IF(E186="Navio",IF($G186&lt;=VLOOKUP($F186,Base_Dados!$K$1:$O$7,5,FALSE)," ","Limite "&amp;VLOOKUP($F186,Base_Dados!$K$1:$O$11,5,FALSE)&amp;" "&amp;VLOOKUP($F186,Base_Dados!$K$1:$O$11,2,FALSE))," ")</f>
        <v xml:space="preserve"> </v>
      </c>
      <c r="Q186" s="15" t="str">
        <f t="shared" si="1"/>
        <v>Fluxo Impossível</v>
      </c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24" customHeight="1" x14ac:dyDescent="0.3">
      <c r="A187" s="10"/>
      <c r="B187" s="10"/>
      <c r="C187" s="11"/>
      <c r="D187" s="11"/>
      <c r="E187" s="11"/>
      <c r="F187" s="11"/>
      <c r="G187" s="12"/>
      <c r="H187" s="11"/>
      <c r="I187" s="11"/>
      <c r="J187" s="13" t="e">
        <f>VLOOKUP(C187&amp;I187&amp;E187,Orig_Dest!$A$2:$E$1876,5,FALSE)</f>
        <v>#N/A</v>
      </c>
      <c r="K187" s="14" t="e">
        <f t="shared" si="0"/>
        <v>#VALUE!</v>
      </c>
      <c r="L187" s="15" t="str">
        <f>IF(B187="Fornecedor",IF(VLOOKUP(C187,Base_Dados!$E$1:$F$7,2,FALSE)=F187," ","Fornecedor inválido!")," ")</f>
        <v xml:space="preserve"> </v>
      </c>
      <c r="M187" s="16" t="str">
        <f>IF(AND(LEFT(F187,2)="MP",H187&lt;&gt;Base_Dados!$A$1),"Impossível!!!"," ")</f>
        <v xml:space="preserve"> </v>
      </c>
      <c r="N187" s="15" t="str">
        <f>IF(E187="Avião",IF($G187&lt;=VLOOKUP($F187,Base_Dados!$K$1:$O$7,3,FALSE)," ","Limite "&amp;VLOOKUP($F187,Base_Dados!$K$1:$O$11,3,FALSE)&amp;" "&amp;VLOOKUP($F187,Base_Dados!$K$1:$O$11,2,FALSE))," ")</f>
        <v xml:space="preserve"> </v>
      </c>
      <c r="O187" s="15" t="str">
        <f>IF(E187="Caminhão",IF($G187&lt;=VLOOKUP($F187,Base_Dados!$K$1:$O$7,4,FALSE)," ","Limite "&amp;VLOOKUP($F187,Base_Dados!$K$1:$O$11,4,FALSE)&amp;" "&amp;VLOOKUP($F187,Base_Dados!$K$1:$O$11,2,FALSE))," ")</f>
        <v xml:space="preserve"> </v>
      </c>
      <c r="P187" s="15" t="str">
        <f>IF(E187="Navio",IF($G187&lt;=VLOOKUP($F187,Base_Dados!$K$1:$O$7,5,FALSE)," ","Limite "&amp;VLOOKUP($F187,Base_Dados!$K$1:$O$11,5,FALSE)&amp;" "&amp;VLOOKUP($F187,Base_Dados!$K$1:$O$11,2,FALSE))," ")</f>
        <v xml:space="preserve"> </v>
      </c>
      <c r="Q187" s="15" t="str">
        <f t="shared" si="1"/>
        <v>Fluxo Impossível</v>
      </c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24" customHeight="1" x14ac:dyDescent="0.3">
      <c r="A188" s="10"/>
      <c r="B188" s="10"/>
      <c r="C188" s="11"/>
      <c r="D188" s="11"/>
      <c r="E188" s="11"/>
      <c r="F188" s="11"/>
      <c r="G188" s="12"/>
      <c r="H188" s="11"/>
      <c r="I188" s="11"/>
      <c r="J188" s="13" t="e">
        <f>VLOOKUP(C188&amp;I188&amp;E188,Orig_Dest!$A$2:$E$1876,5,FALSE)</f>
        <v>#N/A</v>
      </c>
      <c r="K188" s="14" t="e">
        <f t="shared" si="0"/>
        <v>#VALUE!</v>
      </c>
      <c r="L188" s="15" t="str">
        <f>IF(B188="Fornecedor",IF(VLOOKUP(C188,Base_Dados!$E$1:$F$7,2,FALSE)=F188," ","Fornecedor inválido!")," ")</f>
        <v xml:space="preserve"> </v>
      </c>
      <c r="M188" s="16" t="str">
        <f>IF(AND(LEFT(F188,2)="MP",H188&lt;&gt;Base_Dados!$A$1),"Impossível!!!"," ")</f>
        <v xml:space="preserve"> </v>
      </c>
      <c r="N188" s="15" t="str">
        <f>IF(E188="Avião",IF($G188&lt;=VLOOKUP($F188,Base_Dados!$K$1:$O$7,3,FALSE)," ","Limite "&amp;VLOOKUP($F188,Base_Dados!$K$1:$O$11,3,FALSE)&amp;" "&amp;VLOOKUP($F188,Base_Dados!$K$1:$O$11,2,FALSE))," ")</f>
        <v xml:space="preserve"> </v>
      </c>
      <c r="O188" s="15" t="str">
        <f>IF(E188="Caminhão",IF($G188&lt;=VLOOKUP($F188,Base_Dados!$K$1:$O$7,4,FALSE)," ","Limite "&amp;VLOOKUP($F188,Base_Dados!$K$1:$O$11,4,FALSE)&amp;" "&amp;VLOOKUP($F188,Base_Dados!$K$1:$O$11,2,FALSE))," ")</f>
        <v xml:space="preserve"> </v>
      </c>
      <c r="P188" s="15" t="str">
        <f>IF(E188="Navio",IF($G188&lt;=VLOOKUP($F188,Base_Dados!$K$1:$O$7,5,FALSE)," ","Limite "&amp;VLOOKUP($F188,Base_Dados!$K$1:$O$11,5,FALSE)&amp;" "&amp;VLOOKUP($F188,Base_Dados!$K$1:$O$11,2,FALSE))," ")</f>
        <v xml:space="preserve"> </v>
      </c>
      <c r="Q188" s="15" t="str">
        <f t="shared" si="1"/>
        <v>Fluxo Impossível</v>
      </c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24" customHeight="1" x14ac:dyDescent="0.3">
      <c r="A189" s="10"/>
      <c r="B189" s="10"/>
      <c r="C189" s="11"/>
      <c r="D189" s="11"/>
      <c r="E189" s="11"/>
      <c r="F189" s="11"/>
      <c r="G189" s="12"/>
      <c r="H189" s="11"/>
      <c r="I189" s="11"/>
      <c r="J189" s="13" t="e">
        <f>VLOOKUP(C189&amp;I189&amp;E189,Orig_Dest!$A$2:$E$1876,5,FALSE)</f>
        <v>#N/A</v>
      </c>
      <c r="K189" s="14" t="e">
        <f t="shared" si="0"/>
        <v>#VALUE!</v>
      </c>
      <c r="L189" s="15" t="str">
        <f>IF(B189="Fornecedor",IF(VLOOKUP(C189,Base_Dados!$E$1:$F$7,2,FALSE)=F189," ","Fornecedor inválido!")," ")</f>
        <v xml:space="preserve"> </v>
      </c>
      <c r="M189" s="16" t="str">
        <f>IF(AND(LEFT(F189,2)="MP",H189&lt;&gt;Base_Dados!$A$1),"Impossível!!!"," ")</f>
        <v xml:space="preserve"> </v>
      </c>
      <c r="N189" s="15" t="str">
        <f>IF(E189="Avião",IF($G189&lt;=VLOOKUP($F189,Base_Dados!$K$1:$O$7,3,FALSE)," ","Limite "&amp;VLOOKUP($F189,Base_Dados!$K$1:$O$11,3,FALSE)&amp;" "&amp;VLOOKUP($F189,Base_Dados!$K$1:$O$11,2,FALSE))," ")</f>
        <v xml:space="preserve"> </v>
      </c>
      <c r="O189" s="15" t="str">
        <f>IF(E189="Caminhão",IF($G189&lt;=VLOOKUP($F189,Base_Dados!$K$1:$O$7,4,FALSE)," ","Limite "&amp;VLOOKUP($F189,Base_Dados!$K$1:$O$11,4,FALSE)&amp;" "&amp;VLOOKUP($F189,Base_Dados!$K$1:$O$11,2,FALSE))," ")</f>
        <v xml:space="preserve"> </v>
      </c>
      <c r="P189" s="15" t="str">
        <f>IF(E189="Navio",IF($G189&lt;=VLOOKUP($F189,Base_Dados!$K$1:$O$7,5,FALSE)," ","Limite "&amp;VLOOKUP($F189,Base_Dados!$K$1:$O$11,5,FALSE)&amp;" "&amp;VLOOKUP($F189,Base_Dados!$K$1:$O$11,2,FALSE))," ")</f>
        <v xml:space="preserve"> </v>
      </c>
      <c r="Q189" s="15" t="str">
        <f t="shared" si="1"/>
        <v>Fluxo Impossível</v>
      </c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24" customHeight="1" x14ac:dyDescent="0.3">
      <c r="A190" s="10"/>
      <c r="B190" s="10"/>
      <c r="C190" s="11"/>
      <c r="D190" s="11"/>
      <c r="E190" s="11"/>
      <c r="F190" s="11"/>
      <c r="G190" s="12"/>
      <c r="H190" s="11"/>
      <c r="I190" s="11"/>
      <c r="J190" s="13" t="e">
        <f>VLOOKUP(C190&amp;I190&amp;E190,Orig_Dest!$A$2:$E$1876,5,FALSE)</f>
        <v>#N/A</v>
      </c>
      <c r="K190" s="14" t="e">
        <f t="shared" si="0"/>
        <v>#VALUE!</v>
      </c>
      <c r="L190" s="15" t="str">
        <f>IF(B190="Fornecedor",IF(VLOOKUP(C190,Base_Dados!$E$1:$F$7,2,FALSE)=F190," ","Fornecedor inválido!")," ")</f>
        <v xml:space="preserve"> </v>
      </c>
      <c r="M190" s="16" t="str">
        <f>IF(AND(LEFT(F190,2)="MP",H190&lt;&gt;Base_Dados!$A$1),"Impossível!!!"," ")</f>
        <v xml:space="preserve"> </v>
      </c>
      <c r="N190" s="15" t="str">
        <f>IF(E190="Avião",IF($G190&lt;=VLOOKUP($F190,Base_Dados!$K$1:$O$7,3,FALSE)," ","Limite "&amp;VLOOKUP($F190,Base_Dados!$K$1:$O$11,3,FALSE)&amp;" "&amp;VLOOKUP($F190,Base_Dados!$K$1:$O$11,2,FALSE))," ")</f>
        <v xml:space="preserve"> </v>
      </c>
      <c r="O190" s="15" t="str">
        <f>IF(E190="Caminhão",IF($G190&lt;=VLOOKUP($F190,Base_Dados!$K$1:$O$7,4,FALSE)," ","Limite "&amp;VLOOKUP($F190,Base_Dados!$K$1:$O$11,4,FALSE)&amp;" "&amp;VLOOKUP($F190,Base_Dados!$K$1:$O$11,2,FALSE))," ")</f>
        <v xml:space="preserve"> </v>
      </c>
      <c r="P190" s="15" t="str">
        <f>IF(E190="Navio",IF($G190&lt;=VLOOKUP($F190,Base_Dados!$K$1:$O$7,5,FALSE)," ","Limite "&amp;VLOOKUP($F190,Base_Dados!$K$1:$O$11,5,FALSE)&amp;" "&amp;VLOOKUP($F190,Base_Dados!$K$1:$O$11,2,FALSE))," ")</f>
        <v xml:space="preserve"> </v>
      </c>
      <c r="Q190" s="15" t="str">
        <f t="shared" si="1"/>
        <v>Fluxo Impossível</v>
      </c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24" customHeight="1" x14ac:dyDescent="0.3">
      <c r="A191" s="10"/>
      <c r="B191" s="10"/>
      <c r="C191" s="11"/>
      <c r="D191" s="11"/>
      <c r="E191" s="11"/>
      <c r="F191" s="11"/>
      <c r="G191" s="12"/>
      <c r="H191" s="11"/>
      <c r="I191" s="11"/>
      <c r="J191" s="13" t="e">
        <f>VLOOKUP(C191&amp;I191&amp;E191,Orig_Dest!$A$2:$E$1876,5,FALSE)</f>
        <v>#N/A</v>
      </c>
      <c r="K191" s="14" t="e">
        <f t="shared" si="0"/>
        <v>#VALUE!</v>
      </c>
      <c r="L191" s="15" t="str">
        <f>IF(B191="Fornecedor",IF(VLOOKUP(C191,Base_Dados!$E$1:$F$7,2,FALSE)=F191," ","Fornecedor inválido!")," ")</f>
        <v xml:space="preserve"> </v>
      </c>
      <c r="M191" s="16" t="str">
        <f>IF(AND(LEFT(F191,2)="MP",H191&lt;&gt;Base_Dados!$A$1),"Impossível!!!"," ")</f>
        <v xml:space="preserve"> </v>
      </c>
      <c r="N191" s="15" t="str">
        <f>IF(E191="Avião",IF($G191&lt;=VLOOKUP($F191,Base_Dados!$K$1:$O$7,3,FALSE)," ","Limite "&amp;VLOOKUP($F191,Base_Dados!$K$1:$O$11,3,FALSE)&amp;" "&amp;VLOOKUP($F191,Base_Dados!$K$1:$O$11,2,FALSE))," ")</f>
        <v xml:space="preserve"> </v>
      </c>
      <c r="O191" s="15" t="str">
        <f>IF(E191="Caminhão",IF($G191&lt;=VLOOKUP($F191,Base_Dados!$K$1:$O$7,4,FALSE)," ","Limite "&amp;VLOOKUP($F191,Base_Dados!$K$1:$O$11,4,FALSE)&amp;" "&amp;VLOOKUP($F191,Base_Dados!$K$1:$O$11,2,FALSE))," ")</f>
        <v xml:space="preserve"> </v>
      </c>
      <c r="P191" s="15" t="str">
        <f>IF(E191="Navio",IF($G191&lt;=VLOOKUP($F191,Base_Dados!$K$1:$O$7,5,FALSE)," ","Limite "&amp;VLOOKUP($F191,Base_Dados!$K$1:$O$11,5,FALSE)&amp;" "&amp;VLOOKUP($F191,Base_Dados!$K$1:$O$11,2,FALSE))," ")</f>
        <v xml:space="preserve"> </v>
      </c>
      <c r="Q191" s="15" t="str">
        <f t="shared" si="1"/>
        <v>Fluxo Impossível</v>
      </c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24" customHeight="1" x14ac:dyDescent="0.3">
      <c r="A192" s="10"/>
      <c r="B192" s="10"/>
      <c r="C192" s="11"/>
      <c r="D192" s="11"/>
      <c r="E192" s="11"/>
      <c r="F192" s="11"/>
      <c r="G192" s="12"/>
      <c r="H192" s="11"/>
      <c r="I192" s="11"/>
      <c r="J192" s="13" t="e">
        <f>VLOOKUP(C192&amp;I192&amp;E192,Orig_Dest!$A$2:$E$1876,5,FALSE)</f>
        <v>#N/A</v>
      </c>
      <c r="K192" s="14" t="e">
        <f t="shared" si="0"/>
        <v>#VALUE!</v>
      </c>
      <c r="L192" s="15" t="str">
        <f>IF(B192="Fornecedor",IF(VLOOKUP(C192,Base_Dados!$E$1:$F$7,2,FALSE)=F192," ","Fornecedor inválido!")," ")</f>
        <v xml:space="preserve"> </v>
      </c>
      <c r="M192" s="16" t="str">
        <f>IF(AND(LEFT(F192,2)="MP",H192&lt;&gt;Base_Dados!$A$1),"Impossível!!!"," ")</f>
        <v xml:space="preserve"> </v>
      </c>
      <c r="N192" s="15" t="str">
        <f>IF(E192="Avião",IF($G192&lt;=VLOOKUP($F192,Base_Dados!$K$1:$O$7,3,FALSE)," ","Limite "&amp;VLOOKUP($F192,Base_Dados!$K$1:$O$11,3,FALSE)&amp;" "&amp;VLOOKUP($F192,Base_Dados!$K$1:$O$11,2,FALSE))," ")</f>
        <v xml:space="preserve"> </v>
      </c>
      <c r="O192" s="15" t="str">
        <f>IF(E192="Caminhão",IF($G192&lt;=VLOOKUP($F192,Base_Dados!$K$1:$O$7,4,FALSE)," ","Limite "&amp;VLOOKUP($F192,Base_Dados!$K$1:$O$11,4,FALSE)&amp;" "&amp;VLOOKUP($F192,Base_Dados!$K$1:$O$11,2,FALSE))," ")</f>
        <v xml:space="preserve"> </v>
      </c>
      <c r="P192" s="15" t="str">
        <f>IF(E192="Navio",IF($G192&lt;=VLOOKUP($F192,Base_Dados!$K$1:$O$7,5,FALSE)," ","Limite "&amp;VLOOKUP($F192,Base_Dados!$K$1:$O$11,5,FALSE)&amp;" "&amp;VLOOKUP($F192,Base_Dados!$K$1:$O$11,2,FALSE))," ")</f>
        <v xml:space="preserve"> </v>
      </c>
      <c r="Q192" s="15" t="str">
        <f t="shared" si="1"/>
        <v>Fluxo Impossível</v>
      </c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24" customHeight="1" x14ac:dyDescent="0.3">
      <c r="A193" s="10"/>
      <c r="B193" s="10"/>
      <c r="C193" s="11"/>
      <c r="D193" s="11"/>
      <c r="E193" s="11"/>
      <c r="F193" s="11"/>
      <c r="G193" s="12"/>
      <c r="H193" s="11"/>
      <c r="I193" s="11"/>
      <c r="J193" s="13" t="e">
        <f>VLOOKUP(C193&amp;I193&amp;E193,Orig_Dest!$A$2:$E$1876,5,FALSE)</f>
        <v>#N/A</v>
      </c>
      <c r="K193" s="14" t="e">
        <f t="shared" si="0"/>
        <v>#VALUE!</v>
      </c>
      <c r="L193" s="15" t="str">
        <f>IF(B193="Fornecedor",IF(VLOOKUP(C193,Base_Dados!$E$1:$F$7,2,FALSE)=F193," ","Fornecedor inválido!")," ")</f>
        <v xml:space="preserve"> </v>
      </c>
      <c r="M193" s="16" t="str">
        <f>IF(AND(LEFT(F193,2)="MP",H193&lt;&gt;Base_Dados!$A$1),"Impossível!!!"," ")</f>
        <v xml:space="preserve"> </v>
      </c>
      <c r="N193" s="15" t="str">
        <f>IF(E193="Avião",IF($G193&lt;=VLOOKUP($F193,Base_Dados!$K$1:$O$7,3,FALSE)," ","Limite "&amp;VLOOKUP($F193,Base_Dados!$K$1:$O$11,3,FALSE)&amp;" "&amp;VLOOKUP($F193,Base_Dados!$K$1:$O$11,2,FALSE))," ")</f>
        <v xml:space="preserve"> </v>
      </c>
      <c r="O193" s="15" t="str">
        <f>IF(E193="Caminhão",IF($G193&lt;=VLOOKUP($F193,Base_Dados!$K$1:$O$7,4,FALSE)," ","Limite "&amp;VLOOKUP($F193,Base_Dados!$K$1:$O$11,4,FALSE)&amp;" "&amp;VLOOKUP($F193,Base_Dados!$K$1:$O$11,2,FALSE))," ")</f>
        <v xml:space="preserve"> </v>
      </c>
      <c r="P193" s="15" t="str">
        <f>IF(E193="Navio",IF($G193&lt;=VLOOKUP($F193,Base_Dados!$K$1:$O$7,5,FALSE)," ","Limite "&amp;VLOOKUP($F193,Base_Dados!$K$1:$O$11,5,FALSE)&amp;" "&amp;VLOOKUP($F193,Base_Dados!$K$1:$O$11,2,FALSE))," ")</f>
        <v xml:space="preserve"> </v>
      </c>
      <c r="Q193" s="15" t="str">
        <f t="shared" si="1"/>
        <v>Fluxo Impossível</v>
      </c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24" customHeight="1" x14ac:dyDescent="0.3">
      <c r="A194" s="10"/>
      <c r="B194" s="10"/>
      <c r="C194" s="11"/>
      <c r="D194" s="11"/>
      <c r="E194" s="11"/>
      <c r="F194" s="11"/>
      <c r="G194" s="12"/>
      <c r="H194" s="11"/>
      <c r="I194" s="11"/>
      <c r="J194" s="13" t="e">
        <f>VLOOKUP(C194&amp;I194&amp;E194,Orig_Dest!$A$2:$E$1876,5,FALSE)</f>
        <v>#N/A</v>
      </c>
      <c r="K194" s="14" t="e">
        <f t="shared" si="0"/>
        <v>#VALUE!</v>
      </c>
      <c r="L194" s="15" t="str">
        <f>IF(B194="Fornecedor",IF(VLOOKUP(C194,Base_Dados!$E$1:$F$7,2,FALSE)=F194," ","Fornecedor inválido!")," ")</f>
        <v xml:space="preserve"> </v>
      </c>
      <c r="M194" s="16" t="str">
        <f>IF(AND(LEFT(F194,2)="MP",H194&lt;&gt;Base_Dados!$A$1),"Impossível!!!"," ")</f>
        <v xml:space="preserve"> </v>
      </c>
      <c r="N194" s="15" t="str">
        <f>IF(E194="Avião",IF($G194&lt;=VLOOKUP($F194,Base_Dados!$K$1:$O$7,3,FALSE)," ","Limite "&amp;VLOOKUP($F194,Base_Dados!$K$1:$O$11,3,FALSE)&amp;" "&amp;VLOOKUP($F194,Base_Dados!$K$1:$O$11,2,FALSE))," ")</f>
        <v xml:space="preserve"> </v>
      </c>
      <c r="O194" s="15" t="str">
        <f>IF(E194="Caminhão",IF($G194&lt;=VLOOKUP($F194,Base_Dados!$K$1:$O$7,4,FALSE)," ","Limite "&amp;VLOOKUP($F194,Base_Dados!$K$1:$O$11,4,FALSE)&amp;" "&amp;VLOOKUP($F194,Base_Dados!$K$1:$O$11,2,FALSE))," ")</f>
        <v xml:space="preserve"> </v>
      </c>
      <c r="P194" s="15" t="str">
        <f>IF(E194="Navio",IF($G194&lt;=VLOOKUP($F194,Base_Dados!$K$1:$O$7,5,FALSE)," ","Limite "&amp;VLOOKUP($F194,Base_Dados!$K$1:$O$11,5,FALSE)&amp;" "&amp;VLOOKUP($F194,Base_Dados!$K$1:$O$11,2,FALSE))," ")</f>
        <v xml:space="preserve"> </v>
      </c>
      <c r="Q194" s="15" t="str">
        <f t="shared" si="1"/>
        <v>Fluxo Impossível</v>
      </c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24" customHeight="1" x14ac:dyDescent="0.3">
      <c r="A195" s="10"/>
      <c r="B195" s="10"/>
      <c r="C195" s="11"/>
      <c r="D195" s="11"/>
      <c r="E195" s="11"/>
      <c r="F195" s="11"/>
      <c r="G195" s="12"/>
      <c r="H195" s="11"/>
      <c r="I195" s="11"/>
      <c r="J195" s="13" t="e">
        <f>VLOOKUP(C195&amp;I195&amp;E195,Orig_Dest!$A$2:$E$1876,5,FALSE)</f>
        <v>#N/A</v>
      </c>
      <c r="K195" s="14" t="e">
        <f t="shared" si="0"/>
        <v>#VALUE!</v>
      </c>
      <c r="L195" s="15" t="str">
        <f>IF(B195="Fornecedor",IF(VLOOKUP(C195,Base_Dados!$E$1:$F$7,2,FALSE)=F195," ","Fornecedor inválido!")," ")</f>
        <v xml:space="preserve"> </v>
      </c>
      <c r="M195" s="16" t="str">
        <f>IF(AND(LEFT(F195,2)="MP",H195&lt;&gt;Base_Dados!$A$1),"Impossível!!!"," ")</f>
        <v xml:space="preserve"> </v>
      </c>
      <c r="N195" s="15" t="str">
        <f>IF(E195="Avião",IF($G195&lt;=VLOOKUP($F195,Base_Dados!$K$1:$O$7,3,FALSE)," ","Limite "&amp;VLOOKUP($F195,Base_Dados!$K$1:$O$11,3,FALSE)&amp;" "&amp;VLOOKUP($F195,Base_Dados!$K$1:$O$11,2,FALSE))," ")</f>
        <v xml:space="preserve"> </v>
      </c>
      <c r="O195" s="15" t="str">
        <f>IF(E195="Caminhão",IF($G195&lt;=VLOOKUP($F195,Base_Dados!$K$1:$O$7,4,FALSE)," ","Limite "&amp;VLOOKUP($F195,Base_Dados!$K$1:$O$11,4,FALSE)&amp;" "&amp;VLOOKUP($F195,Base_Dados!$K$1:$O$11,2,FALSE))," ")</f>
        <v xml:space="preserve"> </v>
      </c>
      <c r="P195" s="15" t="str">
        <f>IF(E195="Navio",IF($G195&lt;=VLOOKUP($F195,Base_Dados!$K$1:$O$7,5,FALSE)," ","Limite "&amp;VLOOKUP($F195,Base_Dados!$K$1:$O$11,5,FALSE)&amp;" "&amp;VLOOKUP($F195,Base_Dados!$K$1:$O$11,2,FALSE))," ")</f>
        <v xml:space="preserve"> </v>
      </c>
      <c r="Q195" s="15" t="str">
        <f t="shared" si="1"/>
        <v>Fluxo Impossível</v>
      </c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24" customHeight="1" x14ac:dyDescent="0.3">
      <c r="A196" s="10"/>
      <c r="B196" s="10"/>
      <c r="C196" s="11"/>
      <c r="D196" s="11"/>
      <c r="E196" s="11"/>
      <c r="F196" s="11"/>
      <c r="G196" s="12"/>
      <c r="H196" s="11"/>
      <c r="I196" s="11"/>
      <c r="J196" s="13" t="e">
        <f>VLOOKUP(C196&amp;I196&amp;E196,Orig_Dest!$A$2:$E$1876,5,FALSE)</f>
        <v>#N/A</v>
      </c>
      <c r="K196" s="14" t="e">
        <f t="shared" si="0"/>
        <v>#VALUE!</v>
      </c>
      <c r="L196" s="15" t="str">
        <f>IF(B196="Fornecedor",IF(VLOOKUP(C196,Base_Dados!$E$1:$F$7,2,FALSE)=F196," ","Fornecedor inválido!")," ")</f>
        <v xml:space="preserve"> </v>
      </c>
      <c r="M196" s="16" t="str">
        <f>IF(AND(LEFT(F196,2)="MP",H196&lt;&gt;Base_Dados!$A$1),"Impossível!!!"," ")</f>
        <v xml:space="preserve"> </v>
      </c>
      <c r="N196" s="15" t="str">
        <f>IF(E196="Avião",IF($G196&lt;=VLOOKUP($F196,Base_Dados!$K$1:$O$7,3,FALSE)," ","Limite "&amp;VLOOKUP($F196,Base_Dados!$K$1:$O$11,3,FALSE)&amp;" "&amp;VLOOKUP($F196,Base_Dados!$K$1:$O$11,2,FALSE))," ")</f>
        <v xml:space="preserve"> </v>
      </c>
      <c r="O196" s="15" t="str">
        <f>IF(E196="Caminhão",IF($G196&lt;=VLOOKUP($F196,Base_Dados!$K$1:$O$7,4,FALSE)," ","Limite "&amp;VLOOKUP($F196,Base_Dados!$K$1:$O$11,4,FALSE)&amp;" "&amp;VLOOKUP($F196,Base_Dados!$K$1:$O$11,2,FALSE))," ")</f>
        <v xml:space="preserve"> </v>
      </c>
      <c r="P196" s="15" t="str">
        <f>IF(E196="Navio",IF($G196&lt;=VLOOKUP($F196,Base_Dados!$K$1:$O$7,5,FALSE)," ","Limite "&amp;VLOOKUP($F196,Base_Dados!$K$1:$O$11,5,FALSE)&amp;" "&amp;VLOOKUP($F196,Base_Dados!$K$1:$O$11,2,FALSE))," ")</f>
        <v xml:space="preserve"> </v>
      </c>
      <c r="Q196" s="15" t="str">
        <f t="shared" si="1"/>
        <v>Fluxo Impossível</v>
      </c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24" customHeight="1" x14ac:dyDescent="0.3">
      <c r="A197" s="10"/>
      <c r="B197" s="10"/>
      <c r="C197" s="11"/>
      <c r="D197" s="11"/>
      <c r="E197" s="11"/>
      <c r="F197" s="11"/>
      <c r="G197" s="12"/>
      <c r="H197" s="11"/>
      <c r="I197" s="11"/>
      <c r="J197" s="13" t="e">
        <f>VLOOKUP(C197&amp;I197&amp;E197,Orig_Dest!$A$2:$E$1876,5,FALSE)</f>
        <v>#N/A</v>
      </c>
      <c r="K197" s="14" t="e">
        <f t="shared" si="0"/>
        <v>#VALUE!</v>
      </c>
      <c r="L197" s="15" t="str">
        <f>IF(B197="Fornecedor",IF(VLOOKUP(C197,Base_Dados!$E$1:$F$7,2,FALSE)=F197," ","Fornecedor inválido!")," ")</f>
        <v xml:space="preserve"> </v>
      </c>
      <c r="M197" s="16" t="str">
        <f>IF(AND(LEFT(F197,2)="MP",H197&lt;&gt;Base_Dados!$A$1),"Impossível!!!"," ")</f>
        <v xml:space="preserve"> </v>
      </c>
      <c r="N197" s="15" t="str">
        <f>IF(E197="Avião",IF($G197&lt;=VLOOKUP($F197,Base_Dados!$K$1:$O$7,3,FALSE)," ","Limite "&amp;VLOOKUP($F197,Base_Dados!$K$1:$O$11,3,FALSE)&amp;" "&amp;VLOOKUP($F197,Base_Dados!$K$1:$O$11,2,FALSE))," ")</f>
        <v xml:space="preserve"> </v>
      </c>
      <c r="O197" s="15" t="str">
        <f>IF(E197="Caminhão",IF($G197&lt;=VLOOKUP($F197,Base_Dados!$K$1:$O$7,4,FALSE)," ","Limite "&amp;VLOOKUP($F197,Base_Dados!$K$1:$O$11,4,FALSE)&amp;" "&amp;VLOOKUP($F197,Base_Dados!$K$1:$O$11,2,FALSE))," ")</f>
        <v xml:space="preserve"> </v>
      </c>
      <c r="P197" s="15" t="str">
        <f>IF(E197="Navio",IF($G197&lt;=VLOOKUP($F197,Base_Dados!$K$1:$O$7,5,FALSE)," ","Limite "&amp;VLOOKUP($F197,Base_Dados!$K$1:$O$11,5,FALSE)&amp;" "&amp;VLOOKUP($F197,Base_Dados!$K$1:$O$11,2,FALSE))," ")</f>
        <v xml:space="preserve"> </v>
      </c>
      <c r="Q197" s="15" t="str">
        <f t="shared" si="1"/>
        <v>Fluxo Impossível</v>
      </c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24" customHeight="1" x14ac:dyDescent="0.3">
      <c r="A198" s="10"/>
      <c r="B198" s="10"/>
      <c r="C198" s="11"/>
      <c r="D198" s="11"/>
      <c r="E198" s="11"/>
      <c r="F198" s="11"/>
      <c r="G198" s="12"/>
      <c r="H198" s="11"/>
      <c r="I198" s="11"/>
      <c r="J198" s="13" t="e">
        <f>VLOOKUP(C198&amp;I198&amp;E198,Orig_Dest!$A$2:$E$1876,5,FALSE)</f>
        <v>#N/A</v>
      </c>
      <c r="K198" s="14" t="e">
        <f t="shared" si="0"/>
        <v>#VALUE!</v>
      </c>
      <c r="L198" s="15" t="str">
        <f>IF(B198="Fornecedor",IF(VLOOKUP(C198,Base_Dados!$E$1:$F$7,2,FALSE)=F198," ","Fornecedor inválido!")," ")</f>
        <v xml:space="preserve"> </v>
      </c>
      <c r="M198" s="16" t="str">
        <f>IF(AND(LEFT(F198,2)="MP",H198&lt;&gt;Base_Dados!$A$1),"Impossível!!!"," ")</f>
        <v xml:space="preserve"> </v>
      </c>
      <c r="N198" s="15" t="str">
        <f>IF(E198="Avião",IF($G198&lt;=VLOOKUP($F198,Base_Dados!$K$1:$O$7,3,FALSE)," ","Limite "&amp;VLOOKUP($F198,Base_Dados!$K$1:$O$11,3,FALSE)&amp;" "&amp;VLOOKUP($F198,Base_Dados!$K$1:$O$11,2,FALSE))," ")</f>
        <v xml:space="preserve"> </v>
      </c>
      <c r="O198" s="15" t="str">
        <f>IF(E198="Caminhão",IF($G198&lt;=VLOOKUP($F198,Base_Dados!$K$1:$O$7,4,FALSE)," ","Limite "&amp;VLOOKUP($F198,Base_Dados!$K$1:$O$11,4,FALSE)&amp;" "&amp;VLOOKUP($F198,Base_Dados!$K$1:$O$11,2,FALSE))," ")</f>
        <v xml:space="preserve"> </v>
      </c>
      <c r="P198" s="15" t="str">
        <f>IF(E198="Navio",IF($G198&lt;=VLOOKUP($F198,Base_Dados!$K$1:$O$7,5,FALSE)," ","Limite "&amp;VLOOKUP($F198,Base_Dados!$K$1:$O$11,5,FALSE)&amp;" "&amp;VLOOKUP($F198,Base_Dados!$K$1:$O$11,2,FALSE))," ")</f>
        <v xml:space="preserve"> </v>
      </c>
      <c r="Q198" s="15" t="str">
        <f t="shared" si="1"/>
        <v>Fluxo Impossível</v>
      </c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24" customHeight="1" x14ac:dyDescent="0.3">
      <c r="A199" s="10"/>
      <c r="B199" s="10"/>
      <c r="C199" s="11"/>
      <c r="D199" s="11"/>
      <c r="E199" s="11"/>
      <c r="F199" s="11"/>
      <c r="G199" s="12"/>
      <c r="H199" s="11"/>
      <c r="I199" s="11"/>
      <c r="J199" s="13" t="e">
        <f>VLOOKUP(C199&amp;I199&amp;E199,Orig_Dest!$A$2:$E$1876,5,FALSE)</f>
        <v>#N/A</v>
      </c>
      <c r="K199" s="14" t="e">
        <f t="shared" si="0"/>
        <v>#VALUE!</v>
      </c>
      <c r="L199" s="15" t="str">
        <f>IF(B199="Fornecedor",IF(VLOOKUP(C199,Base_Dados!$E$1:$F$7,2,FALSE)=F199," ","Fornecedor inválido!")," ")</f>
        <v xml:space="preserve"> </v>
      </c>
      <c r="M199" s="16" t="str">
        <f>IF(AND(LEFT(F199,2)="MP",H199&lt;&gt;Base_Dados!$A$1),"Impossível!!!"," ")</f>
        <v xml:space="preserve"> </v>
      </c>
      <c r="N199" s="15" t="str">
        <f>IF(E199="Avião",IF($G199&lt;=VLOOKUP($F199,Base_Dados!$K$1:$O$7,3,FALSE)," ","Limite "&amp;VLOOKUP($F199,Base_Dados!$K$1:$O$11,3,FALSE)&amp;" "&amp;VLOOKUP($F199,Base_Dados!$K$1:$O$11,2,FALSE))," ")</f>
        <v xml:space="preserve"> </v>
      </c>
      <c r="O199" s="15" t="str">
        <f>IF(E199="Caminhão",IF($G199&lt;=VLOOKUP($F199,Base_Dados!$K$1:$O$7,4,FALSE)," ","Limite "&amp;VLOOKUP($F199,Base_Dados!$K$1:$O$11,4,FALSE)&amp;" "&amp;VLOOKUP($F199,Base_Dados!$K$1:$O$11,2,FALSE))," ")</f>
        <v xml:space="preserve"> </v>
      </c>
      <c r="P199" s="15" t="str">
        <f>IF(E199="Navio",IF($G199&lt;=VLOOKUP($F199,Base_Dados!$K$1:$O$7,5,FALSE)," ","Limite "&amp;VLOOKUP($F199,Base_Dados!$K$1:$O$11,5,FALSE)&amp;" "&amp;VLOOKUP($F199,Base_Dados!$K$1:$O$11,2,FALSE))," ")</f>
        <v xml:space="preserve"> </v>
      </c>
      <c r="Q199" s="15" t="str">
        <f t="shared" si="1"/>
        <v>Fluxo Impossível</v>
      </c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24" customHeight="1" x14ac:dyDescent="0.3">
      <c r="A200" s="10"/>
      <c r="B200" s="10"/>
      <c r="C200" s="11"/>
      <c r="D200" s="11"/>
      <c r="E200" s="11"/>
      <c r="F200" s="11"/>
      <c r="G200" s="12"/>
      <c r="H200" s="11"/>
      <c r="I200" s="11"/>
      <c r="J200" s="13" t="e">
        <f>VLOOKUP(C200&amp;I200&amp;E200,Orig_Dest!$A$2:$E$1876,5,FALSE)</f>
        <v>#N/A</v>
      </c>
      <c r="K200" s="14" t="e">
        <f t="shared" si="0"/>
        <v>#VALUE!</v>
      </c>
      <c r="L200" s="15" t="str">
        <f>IF(B200="Fornecedor",IF(VLOOKUP(C200,Base_Dados!$E$1:$F$7,2,FALSE)=F200," ","Fornecedor inválido!")," ")</f>
        <v xml:space="preserve"> </v>
      </c>
      <c r="M200" s="16" t="str">
        <f>IF(AND(LEFT(F200,2)="MP",H200&lt;&gt;Base_Dados!$A$1),"Impossível!!!"," ")</f>
        <v xml:space="preserve"> </v>
      </c>
      <c r="N200" s="15" t="str">
        <f>IF(E200="Avião",IF($G200&lt;=VLOOKUP($F200,Base_Dados!$K$1:$O$7,3,FALSE)," ","Limite "&amp;VLOOKUP($F200,Base_Dados!$K$1:$O$11,3,FALSE)&amp;" "&amp;VLOOKUP($F200,Base_Dados!$K$1:$O$11,2,FALSE))," ")</f>
        <v xml:space="preserve"> </v>
      </c>
      <c r="O200" s="15" t="str">
        <f>IF(E200="Caminhão",IF($G200&lt;=VLOOKUP($F200,Base_Dados!$K$1:$O$7,4,FALSE)," ","Limite "&amp;VLOOKUP($F200,Base_Dados!$K$1:$O$11,4,FALSE)&amp;" "&amp;VLOOKUP($F200,Base_Dados!$K$1:$O$11,2,FALSE))," ")</f>
        <v xml:space="preserve"> </v>
      </c>
      <c r="P200" s="15" t="str">
        <f>IF(E200="Navio",IF($G200&lt;=VLOOKUP($F200,Base_Dados!$K$1:$O$7,5,FALSE)," ","Limite "&amp;VLOOKUP($F200,Base_Dados!$K$1:$O$11,5,FALSE)&amp;" "&amp;VLOOKUP($F200,Base_Dados!$K$1:$O$11,2,FALSE))," ")</f>
        <v xml:space="preserve"> </v>
      </c>
      <c r="Q200" s="15" t="str">
        <f t="shared" si="1"/>
        <v>Fluxo Impossível</v>
      </c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24" customHeight="1" x14ac:dyDescent="0.3">
      <c r="A201" s="10"/>
      <c r="B201" s="10"/>
      <c r="C201" s="11"/>
      <c r="D201" s="11"/>
      <c r="E201" s="11"/>
      <c r="F201" s="11"/>
      <c r="G201" s="12"/>
      <c r="H201" s="11"/>
      <c r="I201" s="11"/>
      <c r="J201" s="13" t="e">
        <f>VLOOKUP(C201&amp;I201&amp;E201,Orig_Dest!$A$2:$E$1876,5,FALSE)</f>
        <v>#N/A</v>
      </c>
      <c r="K201" s="14" t="e">
        <f t="shared" si="0"/>
        <v>#VALUE!</v>
      </c>
      <c r="L201" s="15" t="str">
        <f>IF(B201="Fornecedor",IF(VLOOKUP(C201,Base_Dados!$E$1:$F$7,2,FALSE)=F201," ","Fornecedor inválido!")," ")</f>
        <v xml:space="preserve"> </v>
      </c>
      <c r="M201" s="16" t="str">
        <f>IF(AND(LEFT(F201,2)="MP",H201&lt;&gt;Base_Dados!$A$1),"Impossível!!!"," ")</f>
        <v xml:space="preserve"> </v>
      </c>
      <c r="N201" s="15" t="str">
        <f>IF(E201="Avião",IF($G201&lt;=VLOOKUP($F201,Base_Dados!$K$1:$O$7,3,FALSE)," ","Limite "&amp;VLOOKUP($F201,Base_Dados!$K$1:$O$11,3,FALSE)&amp;" "&amp;VLOOKUP($F201,Base_Dados!$K$1:$O$11,2,FALSE))," ")</f>
        <v xml:space="preserve"> </v>
      </c>
      <c r="O201" s="15" t="str">
        <f>IF(E201="Caminhão",IF($G201&lt;=VLOOKUP($F201,Base_Dados!$K$1:$O$7,4,FALSE)," ","Limite "&amp;VLOOKUP($F201,Base_Dados!$K$1:$O$11,4,FALSE)&amp;" "&amp;VLOOKUP($F201,Base_Dados!$K$1:$O$11,2,FALSE))," ")</f>
        <v xml:space="preserve"> </v>
      </c>
      <c r="P201" s="15" t="str">
        <f>IF(E201="Navio",IF($G201&lt;=VLOOKUP($F201,Base_Dados!$K$1:$O$7,5,FALSE)," ","Limite "&amp;VLOOKUP($F201,Base_Dados!$K$1:$O$11,5,FALSE)&amp;" "&amp;VLOOKUP($F201,Base_Dados!$K$1:$O$11,2,FALSE))," ")</f>
        <v xml:space="preserve"> </v>
      </c>
      <c r="Q201" s="15" t="str">
        <f t="shared" si="1"/>
        <v>Fluxo Impossível</v>
      </c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24" customHeight="1" x14ac:dyDescent="0.3">
      <c r="A202" s="10"/>
      <c r="B202" s="10"/>
      <c r="C202" s="11"/>
      <c r="D202" s="11"/>
      <c r="E202" s="11"/>
      <c r="F202" s="11"/>
      <c r="G202" s="12"/>
      <c r="H202" s="11"/>
      <c r="I202" s="11"/>
      <c r="J202" s="13" t="e">
        <f>VLOOKUP(C202&amp;I202&amp;E202,Orig_Dest!$A$2:$E$1876,5,FALSE)</f>
        <v>#N/A</v>
      </c>
      <c r="K202" s="14" t="e">
        <f t="shared" si="0"/>
        <v>#VALUE!</v>
      </c>
      <c r="L202" s="15" t="str">
        <f>IF(B202="Fornecedor",IF(VLOOKUP(C202,Base_Dados!$E$1:$F$7,2,FALSE)=F202," ","Fornecedor inválido!")," ")</f>
        <v xml:space="preserve"> </v>
      </c>
      <c r="M202" s="16" t="str">
        <f>IF(AND(LEFT(F202,2)="MP",H202&lt;&gt;Base_Dados!$A$1),"Impossível!!!"," ")</f>
        <v xml:space="preserve"> </v>
      </c>
      <c r="N202" s="15" t="str">
        <f>IF(E202="Avião",IF($G202&lt;=VLOOKUP($F202,Base_Dados!$K$1:$O$7,3,FALSE)," ","Limite "&amp;VLOOKUP($F202,Base_Dados!$K$1:$O$11,3,FALSE)&amp;" "&amp;VLOOKUP($F202,Base_Dados!$K$1:$O$11,2,FALSE))," ")</f>
        <v xml:space="preserve"> </v>
      </c>
      <c r="O202" s="15" t="str">
        <f>IF(E202="Caminhão",IF($G202&lt;=VLOOKUP($F202,Base_Dados!$K$1:$O$7,4,FALSE)," ","Limite "&amp;VLOOKUP($F202,Base_Dados!$K$1:$O$11,4,FALSE)&amp;" "&amp;VLOOKUP($F202,Base_Dados!$K$1:$O$11,2,FALSE))," ")</f>
        <v xml:space="preserve"> </v>
      </c>
      <c r="P202" s="15" t="str">
        <f>IF(E202="Navio",IF($G202&lt;=VLOOKUP($F202,Base_Dados!$K$1:$O$7,5,FALSE)," ","Limite "&amp;VLOOKUP($F202,Base_Dados!$K$1:$O$11,5,FALSE)&amp;" "&amp;VLOOKUP($F202,Base_Dados!$K$1:$O$11,2,FALSE))," ")</f>
        <v xml:space="preserve"> </v>
      </c>
      <c r="Q202" s="15" t="str">
        <f t="shared" si="1"/>
        <v>Fluxo Impossível</v>
      </c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24" customHeight="1" x14ac:dyDescent="0.3">
      <c r="A203" s="10"/>
      <c r="B203" s="10"/>
      <c r="C203" s="11"/>
      <c r="D203" s="11"/>
      <c r="E203" s="11"/>
      <c r="F203" s="11"/>
      <c r="G203" s="12"/>
      <c r="H203" s="11"/>
      <c r="I203" s="11"/>
      <c r="J203" s="13" t="e">
        <f>VLOOKUP(C203&amp;I203&amp;E203,Orig_Dest!$A$2:$E$1876,5,FALSE)</f>
        <v>#N/A</v>
      </c>
      <c r="K203" s="14" t="e">
        <f t="shared" si="0"/>
        <v>#VALUE!</v>
      </c>
      <c r="L203" s="15" t="str">
        <f>IF(B203="Fornecedor",IF(VLOOKUP(C203,Base_Dados!$E$1:$F$7,2,FALSE)=F203," ","Fornecedor inválido!")," ")</f>
        <v xml:space="preserve"> </v>
      </c>
      <c r="M203" s="16" t="str">
        <f>IF(AND(LEFT(F203,2)="MP",H203&lt;&gt;Base_Dados!$A$1),"Impossível!!!"," ")</f>
        <v xml:space="preserve"> </v>
      </c>
      <c r="N203" s="15" t="str">
        <f>IF(E203="Avião",IF($G203&lt;=VLOOKUP($F203,Base_Dados!$K$1:$O$7,3,FALSE)," ","Limite "&amp;VLOOKUP($F203,Base_Dados!$K$1:$O$11,3,FALSE)&amp;" "&amp;VLOOKUP($F203,Base_Dados!$K$1:$O$11,2,FALSE))," ")</f>
        <v xml:space="preserve"> </v>
      </c>
      <c r="O203" s="15" t="str">
        <f>IF(E203="Caminhão",IF($G203&lt;=VLOOKUP($F203,Base_Dados!$K$1:$O$7,4,FALSE)," ","Limite "&amp;VLOOKUP($F203,Base_Dados!$K$1:$O$11,4,FALSE)&amp;" "&amp;VLOOKUP($F203,Base_Dados!$K$1:$O$11,2,FALSE))," ")</f>
        <v xml:space="preserve"> </v>
      </c>
      <c r="P203" s="15" t="str">
        <f>IF(E203="Navio",IF($G203&lt;=VLOOKUP($F203,Base_Dados!$K$1:$O$7,5,FALSE)," ","Limite "&amp;VLOOKUP($F203,Base_Dados!$K$1:$O$11,5,FALSE)&amp;" "&amp;VLOOKUP($F203,Base_Dados!$K$1:$O$11,2,FALSE))," ")</f>
        <v xml:space="preserve"> </v>
      </c>
      <c r="Q203" s="15" t="str">
        <f t="shared" si="1"/>
        <v>Fluxo Impossível</v>
      </c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24" customHeight="1" x14ac:dyDescent="0.3">
      <c r="A204" s="10"/>
      <c r="B204" s="10"/>
      <c r="C204" s="11"/>
      <c r="D204" s="11"/>
      <c r="E204" s="11"/>
      <c r="F204" s="11"/>
      <c r="G204" s="12"/>
      <c r="H204" s="11"/>
      <c r="I204" s="11"/>
      <c r="J204" s="13" t="e">
        <f>VLOOKUP(C204&amp;I204&amp;E204,Orig_Dest!$A$2:$E$1876,5,FALSE)</f>
        <v>#N/A</v>
      </c>
      <c r="K204" s="14" t="e">
        <f t="shared" si="0"/>
        <v>#VALUE!</v>
      </c>
      <c r="L204" s="15" t="str">
        <f>IF(B204="Fornecedor",IF(VLOOKUP(C204,Base_Dados!$E$1:$F$7,2,FALSE)=F204," ","Fornecedor inválido!")," ")</f>
        <v xml:space="preserve"> </v>
      </c>
      <c r="M204" s="16" t="str">
        <f>IF(AND(LEFT(F204,2)="MP",H204&lt;&gt;Base_Dados!$A$1),"Impossível!!!"," ")</f>
        <v xml:space="preserve"> </v>
      </c>
      <c r="N204" s="15" t="str">
        <f>IF(E204="Avião",IF($G204&lt;=VLOOKUP($F204,Base_Dados!$K$1:$O$7,3,FALSE)," ","Limite "&amp;VLOOKUP($F204,Base_Dados!$K$1:$O$11,3,FALSE)&amp;" "&amp;VLOOKUP($F204,Base_Dados!$K$1:$O$11,2,FALSE))," ")</f>
        <v xml:space="preserve"> </v>
      </c>
      <c r="O204" s="15" t="str">
        <f>IF(E204="Caminhão",IF($G204&lt;=VLOOKUP($F204,Base_Dados!$K$1:$O$7,4,FALSE)," ","Limite "&amp;VLOOKUP($F204,Base_Dados!$K$1:$O$11,4,FALSE)&amp;" "&amp;VLOOKUP($F204,Base_Dados!$K$1:$O$11,2,FALSE))," ")</f>
        <v xml:space="preserve"> </v>
      </c>
      <c r="P204" s="15" t="str">
        <f>IF(E204="Navio",IF($G204&lt;=VLOOKUP($F204,Base_Dados!$K$1:$O$7,5,FALSE)," ","Limite "&amp;VLOOKUP($F204,Base_Dados!$K$1:$O$11,5,FALSE)&amp;" "&amp;VLOOKUP($F204,Base_Dados!$K$1:$O$11,2,FALSE))," ")</f>
        <v xml:space="preserve"> </v>
      </c>
      <c r="Q204" s="15" t="str">
        <f t="shared" si="1"/>
        <v>Fluxo Impossível</v>
      </c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24" customHeight="1" x14ac:dyDescent="0.3">
      <c r="A205" s="10"/>
      <c r="B205" s="10"/>
      <c r="C205" s="11"/>
      <c r="D205" s="11"/>
      <c r="E205" s="11"/>
      <c r="F205" s="11"/>
      <c r="G205" s="12"/>
      <c r="H205" s="11"/>
      <c r="I205" s="11"/>
      <c r="J205" s="13" t="e">
        <f>VLOOKUP(C205&amp;I205&amp;E205,Orig_Dest!$A$2:$E$1876,5,FALSE)</f>
        <v>#N/A</v>
      </c>
      <c r="K205" s="14" t="e">
        <f t="shared" si="0"/>
        <v>#VALUE!</v>
      </c>
      <c r="L205" s="15" t="str">
        <f>IF(B205="Fornecedor",IF(VLOOKUP(C205,Base_Dados!$E$1:$F$7,2,FALSE)=F205," ","Fornecedor inválido!")," ")</f>
        <v xml:space="preserve"> </v>
      </c>
      <c r="M205" s="16" t="str">
        <f>IF(AND(LEFT(F205,2)="MP",H205&lt;&gt;Base_Dados!$A$1),"Impossível!!!"," ")</f>
        <v xml:space="preserve"> </v>
      </c>
      <c r="N205" s="15" t="str">
        <f>IF(E205="Avião",IF($G205&lt;=VLOOKUP($F205,Base_Dados!$K$1:$O$7,3,FALSE)," ","Limite "&amp;VLOOKUP($F205,Base_Dados!$K$1:$O$11,3,FALSE)&amp;" "&amp;VLOOKUP($F205,Base_Dados!$K$1:$O$11,2,FALSE))," ")</f>
        <v xml:space="preserve"> </v>
      </c>
      <c r="O205" s="15" t="str">
        <f>IF(E205="Caminhão",IF($G205&lt;=VLOOKUP($F205,Base_Dados!$K$1:$O$7,4,FALSE)," ","Limite "&amp;VLOOKUP($F205,Base_Dados!$K$1:$O$11,4,FALSE)&amp;" "&amp;VLOOKUP($F205,Base_Dados!$K$1:$O$11,2,FALSE))," ")</f>
        <v xml:space="preserve"> </v>
      </c>
      <c r="P205" s="15" t="str">
        <f>IF(E205="Navio",IF($G205&lt;=VLOOKUP($F205,Base_Dados!$K$1:$O$7,5,FALSE)," ","Limite "&amp;VLOOKUP($F205,Base_Dados!$K$1:$O$11,5,FALSE)&amp;" "&amp;VLOOKUP($F205,Base_Dados!$K$1:$O$11,2,FALSE))," ")</f>
        <v xml:space="preserve"> </v>
      </c>
      <c r="Q205" s="15" t="str">
        <f t="shared" si="1"/>
        <v>Fluxo Impossível</v>
      </c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24" customHeight="1" x14ac:dyDescent="0.3">
      <c r="A206" s="10"/>
      <c r="B206" s="10"/>
      <c r="C206" s="11"/>
      <c r="D206" s="11"/>
      <c r="E206" s="11"/>
      <c r="F206" s="11"/>
      <c r="G206" s="12"/>
      <c r="H206" s="11"/>
      <c r="I206" s="11"/>
      <c r="J206" s="13" t="e">
        <f>VLOOKUP(C206&amp;I206&amp;E206,Orig_Dest!$A$2:$E$1876,5,FALSE)</f>
        <v>#N/A</v>
      </c>
      <c r="K206" s="14" t="e">
        <f t="shared" si="0"/>
        <v>#VALUE!</v>
      </c>
      <c r="L206" s="15" t="str">
        <f>IF(B206="Fornecedor",IF(VLOOKUP(C206,Base_Dados!$E$1:$F$7,2,FALSE)=F206," ","Fornecedor inválido!")," ")</f>
        <v xml:space="preserve"> </v>
      </c>
      <c r="M206" s="16" t="str">
        <f>IF(AND(LEFT(F206,2)="MP",H206&lt;&gt;Base_Dados!$A$1),"Impossível!!!"," ")</f>
        <v xml:space="preserve"> </v>
      </c>
      <c r="N206" s="15" t="str">
        <f>IF(E206="Avião",IF($G206&lt;=VLOOKUP($F206,Base_Dados!$K$1:$O$7,3,FALSE)," ","Limite "&amp;VLOOKUP($F206,Base_Dados!$K$1:$O$11,3,FALSE)&amp;" "&amp;VLOOKUP($F206,Base_Dados!$K$1:$O$11,2,FALSE))," ")</f>
        <v xml:space="preserve"> </v>
      </c>
      <c r="O206" s="15" t="str">
        <f>IF(E206="Caminhão",IF($G206&lt;=VLOOKUP($F206,Base_Dados!$K$1:$O$7,4,FALSE)," ","Limite "&amp;VLOOKUP($F206,Base_Dados!$K$1:$O$11,4,FALSE)&amp;" "&amp;VLOOKUP($F206,Base_Dados!$K$1:$O$11,2,FALSE))," ")</f>
        <v xml:space="preserve"> </v>
      </c>
      <c r="P206" s="15" t="str">
        <f>IF(E206="Navio",IF($G206&lt;=VLOOKUP($F206,Base_Dados!$K$1:$O$7,5,FALSE)," ","Limite "&amp;VLOOKUP($F206,Base_Dados!$K$1:$O$11,5,FALSE)&amp;" "&amp;VLOOKUP($F206,Base_Dados!$K$1:$O$11,2,FALSE))," ")</f>
        <v xml:space="preserve"> </v>
      </c>
      <c r="Q206" s="15" t="str">
        <f t="shared" si="1"/>
        <v>Fluxo Impossível</v>
      </c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24" customHeight="1" x14ac:dyDescent="0.3">
      <c r="A207" s="10"/>
      <c r="B207" s="10"/>
      <c r="C207" s="11"/>
      <c r="D207" s="11"/>
      <c r="E207" s="11"/>
      <c r="F207" s="11"/>
      <c r="G207" s="12"/>
      <c r="H207" s="11"/>
      <c r="I207" s="11"/>
      <c r="J207" s="13" t="e">
        <f>VLOOKUP(C207&amp;I207&amp;E207,Orig_Dest!$A$2:$E$1876,5,FALSE)</f>
        <v>#N/A</v>
      </c>
      <c r="K207" s="14" t="e">
        <f t="shared" si="0"/>
        <v>#VALUE!</v>
      </c>
      <c r="L207" s="15" t="str">
        <f>IF(B207="Fornecedor",IF(VLOOKUP(C207,Base_Dados!$E$1:$F$7,2,FALSE)=F207," ","Fornecedor inválido!")," ")</f>
        <v xml:space="preserve"> </v>
      </c>
      <c r="M207" s="16" t="str">
        <f>IF(AND(LEFT(F207,2)="MP",H207&lt;&gt;Base_Dados!$A$1),"Impossível!!!"," ")</f>
        <v xml:space="preserve"> </v>
      </c>
      <c r="N207" s="15" t="str">
        <f>IF(E207="Avião",IF($G207&lt;=VLOOKUP($F207,Base_Dados!$K$1:$O$7,3,FALSE)," ","Limite "&amp;VLOOKUP($F207,Base_Dados!$K$1:$O$11,3,FALSE)&amp;" "&amp;VLOOKUP($F207,Base_Dados!$K$1:$O$11,2,FALSE))," ")</f>
        <v xml:space="preserve"> </v>
      </c>
      <c r="O207" s="15" t="str">
        <f>IF(E207="Caminhão",IF($G207&lt;=VLOOKUP($F207,Base_Dados!$K$1:$O$7,4,FALSE)," ","Limite "&amp;VLOOKUP($F207,Base_Dados!$K$1:$O$11,4,FALSE)&amp;" "&amp;VLOOKUP($F207,Base_Dados!$K$1:$O$11,2,FALSE))," ")</f>
        <v xml:space="preserve"> </v>
      </c>
      <c r="P207" s="15" t="str">
        <f>IF(E207="Navio",IF($G207&lt;=VLOOKUP($F207,Base_Dados!$K$1:$O$7,5,FALSE)," ","Limite "&amp;VLOOKUP($F207,Base_Dados!$K$1:$O$11,5,FALSE)&amp;" "&amp;VLOOKUP($F207,Base_Dados!$K$1:$O$11,2,FALSE))," ")</f>
        <v xml:space="preserve"> </v>
      </c>
      <c r="Q207" s="15" t="str">
        <f t="shared" si="1"/>
        <v>Fluxo Impossível</v>
      </c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24" customHeight="1" x14ac:dyDescent="0.3">
      <c r="A208" s="10"/>
      <c r="B208" s="10"/>
      <c r="C208" s="11"/>
      <c r="D208" s="11"/>
      <c r="E208" s="11"/>
      <c r="F208" s="11"/>
      <c r="G208" s="12"/>
      <c r="H208" s="11"/>
      <c r="I208" s="11"/>
      <c r="J208" s="13" t="e">
        <f>VLOOKUP(C208&amp;I208&amp;E208,Orig_Dest!$A$2:$E$1876,5,FALSE)</f>
        <v>#N/A</v>
      </c>
      <c r="K208" s="14" t="e">
        <f t="shared" si="0"/>
        <v>#VALUE!</v>
      </c>
      <c r="L208" s="15" t="str">
        <f>IF(B208="Fornecedor",IF(VLOOKUP(C208,Base_Dados!$E$1:$F$7,2,FALSE)=F208," ","Fornecedor inválido!")," ")</f>
        <v xml:space="preserve"> </v>
      </c>
      <c r="M208" s="16" t="str">
        <f>IF(AND(LEFT(F208,2)="MP",H208&lt;&gt;Base_Dados!$A$1),"Impossível!!!"," ")</f>
        <v xml:space="preserve"> </v>
      </c>
      <c r="N208" s="15" t="str">
        <f>IF(E208="Avião",IF($G208&lt;=VLOOKUP($F208,Base_Dados!$K$1:$O$7,3,FALSE)," ","Limite "&amp;VLOOKUP($F208,Base_Dados!$K$1:$O$11,3,FALSE)&amp;" "&amp;VLOOKUP($F208,Base_Dados!$K$1:$O$11,2,FALSE))," ")</f>
        <v xml:space="preserve"> </v>
      </c>
      <c r="O208" s="15" t="str">
        <f>IF(E208="Caminhão",IF($G208&lt;=VLOOKUP($F208,Base_Dados!$K$1:$O$7,4,FALSE)," ","Limite "&amp;VLOOKUP($F208,Base_Dados!$K$1:$O$11,4,FALSE)&amp;" "&amp;VLOOKUP($F208,Base_Dados!$K$1:$O$11,2,FALSE))," ")</f>
        <v xml:space="preserve"> </v>
      </c>
      <c r="P208" s="15" t="str">
        <f>IF(E208="Navio",IF($G208&lt;=VLOOKUP($F208,Base_Dados!$K$1:$O$7,5,FALSE)," ","Limite "&amp;VLOOKUP($F208,Base_Dados!$K$1:$O$11,5,FALSE)&amp;" "&amp;VLOOKUP($F208,Base_Dados!$K$1:$O$11,2,FALSE))," ")</f>
        <v xml:space="preserve"> </v>
      </c>
      <c r="Q208" s="15" t="str">
        <f t="shared" si="1"/>
        <v>Fluxo Impossível</v>
      </c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24" customHeight="1" x14ac:dyDescent="0.3">
      <c r="A209" s="10"/>
      <c r="B209" s="10"/>
      <c r="C209" s="11"/>
      <c r="D209" s="11"/>
      <c r="E209" s="11"/>
      <c r="F209" s="11"/>
      <c r="G209" s="12"/>
      <c r="H209" s="11"/>
      <c r="I209" s="11"/>
      <c r="J209" s="13" t="e">
        <f>VLOOKUP(C209&amp;I209&amp;E209,Orig_Dest!$A$2:$E$1876,5,FALSE)</f>
        <v>#N/A</v>
      </c>
      <c r="K209" s="14" t="e">
        <f t="shared" si="0"/>
        <v>#VALUE!</v>
      </c>
      <c r="L209" s="15" t="str">
        <f>IF(B209="Fornecedor",IF(VLOOKUP(C209,Base_Dados!$E$1:$F$7,2,FALSE)=F209," ","Fornecedor inválido!")," ")</f>
        <v xml:space="preserve"> </v>
      </c>
      <c r="M209" s="16" t="str">
        <f>IF(AND(LEFT(F209,2)="MP",H209&lt;&gt;Base_Dados!$A$1),"Impossível!!!"," ")</f>
        <v xml:space="preserve"> </v>
      </c>
      <c r="N209" s="15" t="str">
        <f>IF(E209="Avião",IF($G209&lt;=VLOOKUP($F209,Base_Dados!$K$1:$O$7,3,FALSE)," ","Limite "&amp;VLOOKUP($F209,Base_Dados!$K$1:$O$11,3,FALSE)&amp;" "&amp;VLOOKUP($F209,Base_Dados!$K$1:$O$11,2,FALSE))," ")</f>
        <v xml:space="preserve"> </v>
      </c>
      <c r="O209" s="15" t="str">
        <f>IF(E209="Caminhão",IF($G209&lt;=VLOOKUP($F209,Base_Dados!$K$1:$O$7,4,FALSE)," ","Limite "&amp;VLOOKUP($F209,Base_Dados!$K$1:$O$11,4,FALSE)&amp;" "&amp;VLOOKUP($F209,Base_Dados!$K$1:$O$11,2,FALSE))," ")</f>
        <v xml:space="preserve"> </v>
      </c>
      <c r="P209" s="15" t="str">
        <f>IF(E209="Navio",IF($G209&lt;=VLOOKUP($F209,Base_Dados!$K$1:$O$7,5,FALSE)," ","Limite "&amp;VLOOKUP($F209,Base_Dados!$K$1:$O$11,5,FALSE)&amp;" "&amp;VLOOKUP($F209,Base_Dados!$K$1:$O$11,2,FALSE))," ")</f>
        <v xml:space="preserve"> </v>
      </c>
      <c r="Q209" s="15" t="str">
        <f t="shared" si="1"/>
        <v>Fluxo Impossível</v>
      </c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24" customHeight="1" x14ac:dyDescent="0.3">
      <c r="A210" s="10"/>
      <c r="B210" s="10"/>
      <c r="C210" s="11"/>
      <c r="D210" s="11"/>
      <c r="E210" s="11"/>
      <c r="F210" s="11"/>
      <c r="G210" s="12"/>
      <c r="H210" s="11"/>
      <c r="I210" s="11"/>
      <c r="J210" s="13" t="e">
        <f>VLOOKUP(C210&amp;I210&amp;E210,Orig_Dest!$A$2:$E$1876,5,FALSE)</f>
        <v>#N/A</v>
      </c>
      <c r="K210" s="14" t="e">
        <f t="shared" si="0"/>
        <v>#VALUE!</v>
      </c>
      <c r="L210" s="15" t="str">
        <f>IF(B210="Fornecedor",IF(VLOOKUP(C210,Base_Dados!$E$1:$F$7,2,FALSE)=F210," ","Fornecedor inválido!")," ")</f>
        <v xml:space="preserve"> </v>
      </c>
      <c r="M210" s="16" t="str">
        <f>IF(AND(LEFT(F210,2)="MP",H210&lt;&gt;Base_Dados!$A$1),"Impossível!!!"," ")</f>
        <v xml:space="preserve"> </v>
      </c>
      <c r="N210" s="15" t="str">
        <f>IF(E210="Avião",IF($G210&lt;=VLOOKUP($F210,Base_Dados!$K$1:$O$7,3,FALSE)," ","Limite "&amp;VLOOKUP($F210,Base_Dados!$K$1:$O$11,3,FALSE)&amp;" "&amp;VLOOKUP($F210,Base_Dados!$K$1:$O$11,2,FALSE))," ")</f>
        <v xml:space="preserve"> </v>
      </c>
      <c r="O210" s="15" t="str">
        <f>IF(E210="Caminhão",IF($G210&lt;=VLOOKUP($F210,Base_Dados!$K$1:$O$7,4,FALSE)," ","Limite "&amp;VLOOKUP($F210,Base_Dados!$K$1:$O$11,4,FALSE)&amp;" "&amp;VLOOKUP($F210,Base_Dados!$K$1:$O$11,2,FALSE))," ")</f>
        <v xml:space="preserve"> </v>
      </c>
      <c r="P210" s="15" t="str">
        <f>IF(E210="Navio",IF($G210&lt;=VLOOKUP($F210,Base_Dados!$K$1:$O$7,5,FALSE)," ","Limite "&amp;VLOOKUP($F210,Base_Dados!$K$1:$O$11,5,FALSE)&amp;" "&amp;VLOOKUP($F210,Base_Dados!$K$1:$O$11,2,FALSE))," ")</f>
        <v xml:space="preserve"> </v>
      </c>
      <c r="Q210" s="15" t="str">
        <f t="shared" si="1"/>
        <v>Fluxo Impossível</v>
      </c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24" customHeight="1" x14ac:dyDescent="0.3">
      <c r="A211" s="10"/>
      <c r="B211" s="10"/>
      <c r="C211" s="11"/>
      <c r="D211" s="11"/>
      <c r="E211" s="11"/>
      <c r="F211" s="11"/>
      <c r="G211" s="12"/>
      <c r="H211" s="11"/>
      <c r="I211" s="11"/>
      <c r="J211" s="24" t="e">
        <f>VLOOKUP(C211&amp;I211&amp;E211,Orig_Dest!$A$2:$E$1876,5,FALSE)</f>
        <v>#N/A</v>
      </c>
      <c r="K211" s="14" t="e">
        <f t="shared" si="0"/>
        <v>#VALUE!</v>
      </c>
      <c r="L211" s="15" t="str">
        <f>IF(B211="Fornecedor",IF(VLOOKUP(C211,Base_Dados!$E$1:$F$7,2,FALSE)=F211," ","Fornecedor inválido!")," ")</f>
        <v xml:space="preserve"> </v>
      </c>
      <c r="M211" s="16" t="str">
        <f>IF(AND(LEFT(F211,2)="MP",H211&lt;&gt;Base_Dados!$A$1),"Impossível!!!"," ")</f>
        <v xml:space="preserve"> </v>
      </c>
      <c r="N211" s="15" t="str">
        <f>IF(E211="Avião",IF($G211&lt;=VLOOKUP($F211,Base_Dados!$K$1:$O$7,3,FALSE)," ","Limite "&amp;VLOOKUP($F211,Base_Dados!$K$1:$O$11,3,FALSE)&amp;" "&amp;VLOOKUP($F211,Base_Dados!$K$1:$O$11,2,FALSE))," ")</f>
        <v xml:space="preserve"> </v>
      </c>
      <c r="O211" s="15" t="str">
        <f>IF(E211="Caminhão",IF($G211&lt;=VLOOKUP($F211,Base_Dados!$K$1:$O$7,4,FALSE)," ","Limite "&amp;VLOOKUP($F211,Base_Dados!$K$1:$O$11,4,FALSE)&amp;" "&amp;VLOOKUP($F211,Base_Dados!$K$1:$O$11,2,FALSE))," ")</f>
        <v xml:space="preserve"> </v>
      </c>
      <c r="P211" s="15" t="str">
        <f>IF(E211="Navio",IF($G211&lt;=VLOOKUP($F211,Base_Dados!$K$1:$O$7,5,FALSE)," ","Limite "&amp;VLOOKUP($F211,Base_Dados!$K$1:$O$11,5,FALSE)&amp;" "&amp;VLOOKUP($F211,Base_Dados!$K$1:$O$11,2,FALSE))," ")</f>
        <v xml:space="preserve"> </v>
      </c>
      <c r="Q211" s="15" t="str">
        <f t="shared" si="1"/>
        <v>Fluxo Impossível</v>
      </c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24" customHeight="1" x14ac:dyDescent="0.3">
      <c r="A212" s="10"/>
      <c r="B212" s="10"/>
      <c r="C212" s="11"/>
      <c r="D212" s="11"/>
      <c r="E212" s="11"/>
      <c r="F212" s="11"/>
      <c r="G212" s="12"/>
      <c r="H212" s="11"/>
      <c r="I212" s="11"/>
      <c r="J212" s="24" t="e">
        <f>VLOOKUP(C212&amp;I212&amp;E212,Orig_Dest!$A$2:$E$1876,5,FALSE)</f>
        <v>#N/A</v>
      </c>
      <c r="K212" s="14" t="e">
        <f t="shared" si="0"/>
        <v>#VALUE!</v>
      </c>
      <c r="L212" s="15" t="str">
        <f>IF(B212="Fornecedor",IF(VLOOKUP(C212,Base_Dados!$E$1:$F$7,2,FALSE)=F212," ","Fornecedor inválido!")," ")</f>
        <v xml:space="preserve"> </v>
      </c>
      <c r="M212" s="16" t="str">
        <f>IF(AND(LEFT(F212,2)="MP",H212&lt;&gt;Base_Dados!$A$1),"Impossível!!!"," ")</f>
        <v xml:space="preserve"> </v>
      </c>
      <c r="N212" s="15" t="str">
        <f>IF(E212="Avião",IF($G212&lt;=VLOOKUP($F212,Base_Dados!$K$1:$O$7,3,FALSE)," ","Limite "&amp;VLOOKUP($F212,Base_Dados!$K$1:$O$11,3,FALSE)&amp;" "&amp;VLOOKUP($F212,Base_Dados!$K$1:$O$11,2,FALSE))," ")</f>
        <v xml:space="preserve"> </v>
      </c>
      <c r="O212" s="15" t="str">
        <f>IF(E212="Caminhão",IF($G212&lt;=VLOOKUP($F212,Base_Dados!$K$1:$O$7,4,FALSE)," ","Limite "&amp;VLOOKUP($F212,Base_Dados!$K$1:$O$11,4,FALSE)&amp;" "&amp;VLOOKUP($F212,Base_Dados!$K$1:$O$11,2,FALSE))," ")</f>
        <v xml:space="preserve"> </v>
      </c>
      <c r="P212" s="15" t="str">
        <f>IF(E212="Navio",IF($G212&lt;=VLOOKUP($F212,Base_Dados!$K$1:$O$7,5,FALSE)," ","Limite "&amp;VLOOKUP($F212,Base_Dados!$K$1:$O$11,5,FALSE)&amp;" "&amp;VLOOKUP($F212,Base_Dados!$K$1:$O$11,2,FALSE))," ")</f>
        <v xml:space="preserve"> </v>
      </c>
      <c r="Q212" s="15" t="str">
        <f t="shared" si="1"/>
        <v>Fluxo Impossível</v>
      </c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24" customHeight="1" x14ac:dyDescent="0.3">
      <c r="A213" s="10"/>
      <c r="B213" s="10"/>
      <c r="C213" s="11"/>
      <c r="D213" s="11"/>
      <c r="E213" s="11"/>
      <c r="F213" s="11"/>
      <c r="G213" s="12"/>
      <c r="H213" s="11"/>
      <c r="I213" s="11"/>
      <c r="J213" s="24" t="e">
        <f>VLOOKUP(C213&amp;I213&amp;E213,Orig_Dest!$A$2:$E$1876,5,FALSE)</f>
        <v>#N/A</v>
      </c>
      <c r="K213" s="14" t="e">
        <f t="shared" si="0"/>
        <v>#VALUE!</v>
      </c>
      <c r="L213" s="15" t="str">
        <f>IF(B213="Fornecedor",IF(VLOOKUP(C213,Base_Dados!$E$1:$F$7,2,FALSE)=F213," ","Fornecedor inválido!")," ")</f>
        <v xml:space="preserve"> </v>
      </c>
      <c r="M213" s="16" t="str">
        <f>IF(AND(LEFT(F213,2)="MP",H213&lt;&gt;Base_Dados!$A$1),"Impossível!!!"," ")</f>
        <v xml:space="preserve"> </v>
      </c>
      <c r="N213" s="15" t="str">
        <f>IF(E213="Avião",IF($G213&lt;=VLOOKUP($F213,Base_Dados!$K$1:$O$7,3,FALSE)," ","Limite "&amp;VLOOKUP($F213,Base_Dados!$K$1:$O$11,3,FALSE)&amp;" "&amp;VLOOKUP($F213,Base_Dados!$K$1:$O$11,2,FALSE))," ")</f>
        <v xml:space="preserve"> </v>
      </c>
      <c r="O213" s="15" t="str">
        <f>IF(E213="Caminhão",IF($G213&lt;=VLOOKUP($F213,Base_Dados!$K$1:$O$7,4,FALSE)," ","Limite "&amp;VLOOKUP($F213,Base_Dados!$K$1:$O$11,4,FALSE)&amp;" "&amp;VLOOKUP($F213,Base_Dados!$K$1:$O$11,2,FALSE))," ")</f>
        <v xml:space="preserve"> </v>
      </c>
      <c r="P213" s="15" t="str">
        <f>IF(E213="Navio",IF($G213&lt;=VLOOKUP($F213,Base_Dados!$K$1:$O$7,5,FALSE)," ","Limite "&amp;VLOOKUP($F213,Base_Dados!$K$1:$O$11,5,FALSE)&amp;" "&amp;VLOOKUP($F213,Base_Dados!$K$1:$O$11,2,FALSE))," ")</f>
        <v xml:space="preserve"> </v>
      </c>
      <c r="Q213" s="15" t="str">
        <f t="shared" si="1"/>
        <v>Fluxo Impossível</v>
      </c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24" customHeight="1" x14ac:dyDescent="0.3">
      <c r="A214" s="10"/>
      <c r="B214" s="10"/>
      <c r="C214" s="11"/>
      <c r="D214" s="11"/>
      <c r="E214" s="11"/>
      <c r="F214" s="11"/>
      <c r="G214" s="12"/>
      <c r="H214" s="11"/>
      <c r="I214" s="11"/>
      <c r="J214" s="24" t="e">
        <f>VLOOKUP(C214&amp;I214&amp;E214,Orig_Dest!$A$2:$E$1876,5,FALSE)</f>
        <v>#N/A</v>
      </c>
      <c r="K214" s="14" t="e">
        <f t="shared" si="0"/>
        <v>#VALUE!</v>
      </c>
      <c r="L214" s="15" t="str">
        <f>IF(B214="Fornecedor",IF(VLOOKUP(C214,Base_Dados!$E$1:$F$7,2,FALSE)=F214," ","Fornecedor inválido!")," ")</f>
        <v xml:space="preserve"> </v>
      </c>
      <c r="M214" s="16" t="str">
        <f>IF(AND(LEFT(F214,2)="MP",H214&lt;&gt;Base_Dados!$A$1),"Impossível!!!"," ")</f>
        <v xml:space="preserve"> </v>
      </c>
      <c r="N214" s="15" t="str">
        <f>IF(E214="Avião",IF($G214&lt;=VLOOKUP($F214,Base_Dados!$K$1:$O$7,3,FALSE)," ","Limite "&amp;VLOOKUP($F214,Base_Dados!$K$1:$O$11,3,FALSE)&amp;" "&amp;VLOOKUP($F214,Base_Dados!$K$1:$O$11,2,FALSE))," ")</f>
        <v xml:space="preserve"> </v>
      </c>
      <c r="O214" s="15" t="str">
        <f>IF(E214="Caminhão",IF($G214&lt;=VLOOKUP($F214,Base_Dados!$K$1:$O$7,4,FALSE)," ","Limite "&amp;VLOOKUP($F214,Base_Dados!$K$1:$O$11,4,FALSE)&amp;" "&amp;VLOOKUP($F214,Base_Dados!$K$1:$O$11,2,FALSE))," ")</f>
        <v xml:space="preserve"> </v>
      </c>
      <c r="P214" s="15" t="str">
        <f>IF(E214="Navio",IF($G214&lt;=VLOOKUP($F214,Base_Dados!$K$1:$O$7,5,FALSE)," ","Limite "&amp;VLOOKUP($F214,Base_Dados!$K$1:$O$11,5,FALSE)&amp;" "&amp;VLOOKUP($F214,Base_Dados!$K$1:$O$11,2,FALSE))," ")</f>
        <v xml:space="preserve"> </v>
      </c>
      <c r="Q214" s="15" t="str">
        <f t="shared" si="1"/>
        <v>Fluxo Impossível</v>
      </c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24" customHeight="1" x14ac:dyDescent="0.3">
      <c r="A215" s="10"/>
      <c r="B215" s="10"/>
      <c r="C215" s="11"/>
      <c r="D215" s="11"/>
      <c r="E215" s="11"/>
      <c r="F215" s="11"/>
      <c r="G215" s="12"/>
      <c r="H215" s="11"/>
      <c r="I215" s="11"/>
      <c r="J215" s="24" t="e">
        <f>VLOOKUP(C215&amp;I215&amp;E215,Orig_Dest!$A$2:$E$1876,5,FALSE)</f>
        <v>#N/A</v>
      </c>
      <c r="K215" s="14" t="e">
        <f t="shared" si="0"/>
        <v>#VALUE!</v>
      </c>
      <c r="L215" s="15" t="str">
        <f>IF(B215="Fornecedor",IF(VLOOKUP(C215,Base_Dados!$E$1:$F$7,2,FALSE)=F215," ","Fornecedor inválido!")," ")</f>
        <v xml:space="preserve"> </v>
      </c>
      <c r="M215" s="16" t="str">
        <f>IF(AND(LEFT(F215,2)="MP",H215&lt;&gt;Base_Dados!$A$1),"Impossível!!!"," ")</f>
        <v xml:space="preserve"> </v>
      </c>
      <c r="N215" s="15" t="str">
        <f>IF(E215="Avião",IF($G215&lt;=VLOOKUP($F215,Base_Dados!$K$1:$O$7,3,FALSE)," ","Limite "&amp;VLOOKUP($F215,Base_Dados!$K$1:$O$11,3,FALSE)&amp;" "&amp;VLOOKUP($F215,Base_Dados!$K$1:$O$11,2,FALSE))," ")</f>
        <v xml:space="preserve"> </v>
      </c>
      <c r="O215" s="15" t="str">
        <f>IF(E215="Caminhão",IF($G215&lt;=VLOOKUP($F215,Base_Dados!$K$1:$O$7,4,FALSE)," ","Limite "&amp;VLOOKUP($F215,Base_Dados!$K$1:$O$11,4,FALSE)&amp;" "&amp;VLOOKUP($F215,Base_Dados!$K$1:$O$11,2,FALSE))," ")</f>
        <v xml:space="preserve"> </v>
      </c>
      <c r="P215" s="15" t="str">
        <f>IF(E215="Navio",IF($G215&lt;=VLOOKUP($F215,Base_Dados!$K$1:$O$7,5,FALSE)," ","Limite "&amp;VLOOKUP($F215,Base_Dados!$K$1:$O$11,5,FALSE)&amp;" "&amp;VLOOKUP($F215,Base_Dados!$K$1:$O$11,2,FALSE))," ")</f>
        <v xml:space="preserve"> </v>
      </c>
      <c r="Q215" s="15" t="str">
        <f t="shared" si="1"/>
        <v>Fluxo Impossível</v>
      </c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24" customHeight="1" x14ac:dyDescent="0.3">
      <c r="A216" s="10"/>
      <c r="B216" s="10"/>
      <c r="C216" s="11"/>
      <c r="D216" s="11"/>
      <c r="E216" s="11"/>
      <c r="F216" s="11"/>
      <c r="G216" s="12"/>
      <c r="H216" s="11"/>
      <c r="I216" s="11"/>
      <c r="J216" s="24" t="e">
        <f>VLOOKUP(C216&amp;I216&amp;E216,Orig_Dest!$A$2:$E$1876,5,FALSE)</f>
        <v>#N/A</v>
      </c>
      <c r="K216" s="14" t="e">
        <f t="shared" si="0"/>
        <v>#VALUE!</v>
      </c>
      <c r="L216" s="15" t="str">
        <f>IF(B216="Fornecedor",IF(VLOOKUP(C216,Base_Dados!$E$1:$F$7,2,FALSE)=F216," ","Fornecedor inválido!")," ")</f>
        <v xml:space="preserve"> </v>
      </c>
      <c r="M216" s="16" t="str">
        <f>IF(AND(LEFT(F216,2)="MP",H216&lt;&gt;Base_Dados!$A$1),"Impossível!!!"," ")</f>
        <v xml:space="preserve"> </v>
      </c>
      <c r="N216" s="15" t="str">
        <f>IF(E216="Avião",IF($G216&lt;=VLOOKUP($F216,Base_Dados!$K$1:$O$7,3,FALSE)," ","Limite "&amp;VLOOKUP($F216,Base_Dados!$K$1:$O$11,3,FALSE)&amp;" "&amp;VLOOKUP($F216,Base_Dados!$K$1:$O$11,2,FALSE))," ")</f>
        <v xml:space="preserve"> </v>
      </c>
      <c r="O216" s="15" t="str">
        <f>IF(E216="Caminhão",IF($G216&lt;=VLOOKUP($F216,Base_Dados!$K$1:$O$7,4,FALSE)," ","Limite "&amp;VLOOKUP($F216,Base_Dados!$K$1:$O$11,4,FALSE)&amp;" "&amp;VLOOKUP($F216,Base_Dados!$K$1:$O$11,2,FALSE))," ")</f>
        <v xml:space="preserve"> </v>
      </c>
      <c r="P216" s="15" t="str">
        <f>IF(E216="Navio",IF($G216&lt;=VLOOKUP($F216,Base_Dados!$K$1:$O$7,5,FALSE)," ","Limite "&amp;VLOOKUP($F216,Base_Dados!$K$1:$O$11,5,FALSE)&amp;" "&amp;VLOOKUP($F216,Base_Dados!$K$1:$O$11,2,FALSE))," ")</f>
        <v xml:space="preserve"> </v>
      </c>
      <c r="Q216" s="15" t="str">
        <f t="shared" si="1"/>
        <v>Fluxo Impossível</v>
      </c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24" customHeight="1" x14ac:dyDescent="0.3">
      <c r="A217" s="10"/>
      <c r="B217" s="10"/>
      <c r="C217" s="11"/>
      <c r="D217" s="11"/>
      <c r="E217" s="11"/>
      <c r="F217" s="11"/>
      <c r="G217" s="12"/>
      <c r="H217" s="11"/>
      <c r="I217" s="11"/>
      <c r="J217" s="24" t="e">
        <f>VLOOKUP(C217&amp;I217&amp;E217,Orig_Dest!$A$2:$E$1876,5,FALSE)</f>
        <v>#N/A</v>
      </c>
      <c r="K217" s="14" t="e">
        <f t="shared" si="0"/>
        <v>#VALUE!</v>
      </c>
      <c r="L217" s="15" t="str">
        <f>IF(B217="Fornecedor",IF(VLOOKUP(C217,Base_Dados!$E$1:$F$7,2,FALSE)=F217," ","Fornecedor inválido!")," ")</f>
        <v xml:space="preserve"> </v>
      </c>
      <c r="M217" s="16" t="str">
        <f>IF(AND(LEFT(F217,2)="MP",H217&lt;&gt;Base_Dados!$A$1),"Impossível!!!"," ")</f>
        <v xml:space="preserve"> </v>
      </c>
      <c r="N217" s="15" t="str">
        <f>IF(E217="Avião",IF($G217&lt;=VLOOKUP($F217,Base_Dados!$K$1:$O$7,3,FALSE)," ","Limite "&amp;VLOOKUP($F217,Base_Dados!$K$1:$O$11,3,FALSE)&amp;" "&amp;VLOOKUP($F217,Base_Dados!$K$1:$O$11,2,FALSE))," ")</f>
        <v xml:space="preserve"> </v>
      </c>
      <c r="O217" s="15" t="str">
        <f>IF(E217="Caminhão",IF($G217&lt;=VLOOKUP($F217,Base_Dados!$K$1:$O$7,4,FALSE)," ","Limite "&amp;VLOOKUP($F217,Base_Dados!$K$1:$O$11,4,FALSE)&amp;" "&amp;VLOOKUP($F217,Base_Dados!$K$1:$O$11,2,FALSE))," ")</f>
        <v xml:space="preserve"> </v>
      </c>
      <c r="P217" s="15" t="str">
        <f>IF(E217="Navio",IF($G217&lt;=VLOOKUP($F217,Base_Dados!$K$1:$O$7,5,FALSE)," ","Limite "&amp;VLOOKUP($F217,Base_Dados!$K$1:$O$11,5,FALSE)&amp;" "&amp;VLOOKUP($F217,Base_Dados!$K$1:$O$11,2,FALSE))," ")</f>
        <v xml:space="preserve"> </v>
      </c>
      <c r="Q217" s="15" t="str">
        <f t="shared" si="1"/>
        <v>Fluxo Impossível</v>
      </c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24" customHeight="1" x14ac:dyDescent="0.3">
      <c r="A218" s="10"/>
      <c r="B218" s="10"/>
      <c r="C218" s="11"/>
      <c r="D218" s="11"/>
      <c r="E218" s="11"/>
      <c r="F218" s="11"/>
      <c r="G218" s="12"/>
      <c r="H218" s="11"/>
      <c r="I218" s="11"/>
      <c r="J218" s="24" t="e">
        <f>VLOOKUP(C218&amp;I218&amp;E218,Orig_Dest!$A$2:$E$1876,5,FALSE)</f>
        <v>#N/A</v>
      </c>
      <c r="K218" s="14" t="e">
        <f t="shared" si="0"/>
        <v>#VALUE!</v>
      </c>
      <c r="L218" s="15" t="str">
        <f>IF(B218="Fornecedor",IF(VLOOKUP(C218,Base_Dados!$E$1:$F$7,2,FALSE)=F218," ","Fornecedor inválido!")," ")</f>
        <v xml:space="preserve"> </v>
      </c>
      <c r="M218" s="16" t="str">
        <f>IF(AND(LEFT(F218,2)="MP",H218&lt;&gt;Base_Dados!$A$1),"Impossível!!!"," ")</f>
        <v xml:space="preserve"> </v>
      </c>
      <c r="N218" s="15" t="str">
        <f>IF(E218="Avião",IF($G218&lt;=VLOOKUP($F218,Base_Dados!$K$1:$O$7,3,FALSE)," ","Limite "&amp;VLOOKUP($F218,Base_Dados!$K$1:$O$11,3,FALSE)&amp;" "&amp;VLOOKUP($F218,Base_Dados!$K$1:$O$11,2,FALSE))," ")</f>
        <v xml:space="preserve"> </v>
      </c>
      <c r="O218" s="15" t="str">
        <f>IF(E218="Caminhão",IF($G218&lt;=VLOOKUP($F218,Base_Dados!$K$1:$O$7,4,FALSE)," ","Limite "&amp;VLOOKUP($F218,Base_Dados!$K$1:$O$11,4,FALSE)&amp;" "&amp;VLOOKUP($F218,Base_Dados!$K$1:$O$11,2,FALSE))," ")</f>
        <v xml:space="preserve"> </v>
      </c>
      <c r="P218" s="15" t="str">
        <f>IF(E218="Navio",IF($G218&lt;=VLOOKUP($F218,Base_Dados!$K$1:$O$7,5,FALSE)," ","Limite "&amp;VLOOKUP($F218,Base_Dados!$K$1:$O$11,5,FALSE)&amp;" "&amp;VLOOKUP($F218,Base_Dados!$K$1:$O$11,2,FALSE))," ")</f>
        <v xml:space="preserve"> </v>
      </c>
      <c r="Q218" s="15" t="str">
        <f t="shared" si="1"/>
        <v>Fluxo Impossível</v>
      </c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24" customHeight="1" x14ac:dyDescent="0.3">
      <c r="A219" s="10"/>
      <c r="B219" s="10"/>
      <c r="C219" s="11"/>
      <c r="D219" s="11"/>
      <c r="E219" s="11"/>
      <c r="F219" s="11"/>
      <c r="G219" s="12"/>
      <c r="H219" s="11"/>
      <c r="I219" s="11"/>
      <c r="J219" s="24" t="e">
        <f>VLOOKUP(C219&amp;I219&amp;E219,Orig_Dest!$A$2:$E$1876,5,FALSE)</f>
        <v>#N/A</v>
      </c>
      <c r="K219" s="14" t="e">
        <f t="shared" si="0"/>
        <v>#VALUE!</v>
      </c>
      <c r="L219" s="15" t="str">
        <f>IF(B219="Fornecedor",IF(VLOOKUP(C219,Base_Dados!$E$1:$F$7,2,FALSE)=F219," ","Fornecedor inválido!")," ")</f>
        <v xml:space="preserve"> </v>
      </c>
      <c r="M219" s="16" t="str">
        <f>IF(AND(LEFT(F219,2)="MP",H219&lt;&gt;Base_Dados!$A$1),"Impossível!!!"," ")</f>
        <v xml:space="preserve"> </v>
      </c>
      <c r="N219" s="15" t="str">
        <f>IF(E219="Avião",IF($G219&lt;=VLOOKUP($F219,Base_Dados!$K$1:$O$7,3,FALSE)," ","Limite "&amp;VLOOKUP($F219,Base_Dados!$K$1:$O$11,3,FALSE)&amp;" "&amp;VLOOKUP($F219,Base_Dados!$K$1:$O$11,2,FALSE))," ")</f>
        <v xml:space="preserve"> </v>
      </c>
      <c r="O219" s="15" t="str">
        <f>IF(E219="Caminhão",IF($G219&lt;=VLOOKUP($F219,Base_Dados!$K$1:$O$7,4,FALSE)," ","Limite "&amp;VLOOKUP($F219,Base_Dados!$K$1:$O$11,4,FALSE)&amp;" "&amp;VLOOKUP($F219,Base_Dados!$K$1:$O$11,2,FALSE))," ")</f>
        <v xml:space="preserve"> </v>
      </c>
      <c r="P219" s="15" t="str">
        <f>IF(E219="Navio",IF($G219&lt;=VLOOKUP($F219,Base_Dados!$K$1:$O$7,5,FALSE)," ","Limite "&amp;VLOOKUP($F219,Base_Dados!$K$1:$O$11,5,FALSE)&amp;" "&amp;VLOOKUP($F219,Base_Dados!$K$1:$O$11,2,FALSE))," ")</f>
        <v xml:space="preserve"> </v>
      </c>
      <c r="Q219" s="15" t="str">
        <f t="shared" si="1"/>
        <v>Fluxo Impossível</v>
      </c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24" customHeight="1" x14ac:dyDescent="0.3">
      <c r="A220" s="10"/>
      <c r="B220" s="10"/>
      <c r="C220" s="11"/>
      <c r="D220" s="11"/>
      <c r="E220" s="11"/>
      <c r="F220" s="11"/>
      <c r="G220" s="12"/>
      <c r="H220" s="11"/>
      <c r="I220" s="11"/>
      <c r="J220" s="24" t="e">
        <f>VLOOKUP(C220&amp;I220&amp;E220,Orig_Dest!$A$2:$E$1876,5,FALSE)</f>
        <v>#N/A</v>
      </c>
      <c r="K220" s="14" t="e">
        <f t="shared" si="0"/>
        <v>#VALUE!</v>
      </c>
      <c r="L220" s="15" t="str">
        <f>IF(B220="Fornecedor",IF(VLOOKUP(C220,Base_Dados!$E$1:$F$7,2,FALSE)=F220," ","Fornecedor inválido!")," ")</f>
        <v xml:space="preserve"> </v>
      </c>
      <c r="M220" s="16" t="str">
        <f>IF(AND(LEFT(F220,2)="MP",H220&lt;&gt;Base_Dados!$A$1),"Impossível!!!"," ")</f>
        <v xml:space="preserve"> </v>
      </c>
      <c r="N220" s="15" t="str">
        <f>IF(E220="Avião",IF($G220&lt;=VLOOKUP($F220,Base_Dados!$K$1:$O$7,3,FALSE)," ","Limite "&amp;VLOOKUP($F220,Base_Dados!$K$1:$O$11,3,FALSE)&amp;" "&amp;VLOOKUP($F220,Base_Dados!$K$1:$O$11,2,FALSE))," ")</f>
        <v xml:space="preserve"> </v>
      </c>
      <c r="O220" s="15" t="str">
        <f>IF(E220="Caminhão",IF($G220&lt;=VLOOKUP($F220,Base_Dados!$K$1:$O$7,4,FALSE)," ","Limite "&amp;VLOOKUP($F220,Base_Dados!$K$1:$O$11,4,FALSE)&amp;" "&amp;VLOOKUP($F220,Base_Dados!$K$1:$O$11,2,FALSE))," ")</f>
        <v xml:space="preserve"> </v>
      </c>
      <c r="P220" s="15" t="str">
        <f>IF(E220="Navio",IF($G220&lt;=VLOOKUP($F220,Base_Dados!$K$1:$O$7,5,FALSE)," ","Limite "&amp;VLOOKUP($F220,Base_Dados!$K$1:$O$11,5,FALSE)&amp;" "&amp;VLOOKUP($F220,Base_Dados!$K$1:$O$11,2,FALSE))," ")</f>
        <v xml:space="preserve"> </v>
      </c>
      <c r="Q220" s="15" t="str">
        <f t="shared" si="1"/>
        <v>Fluxo Impossível</v>
      </c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24" customHeight="1" x14ac:dyDescent="0.3">
      <c r="A221" s="10"/>
      <c r="B221" s="10"/>
      <c r="C221" s="11"/>
      <c r="D221" s="11"/>
      <c r="E221" s="11"/>
      <c r="F221" s="11"/>
      <c r="G221" s="12"/>
      <c r="H221" s="11"/>
      <c r="I221" s="11"/>
      <c r="J221" s="24" t="e">
        <f>VLOOKUP(C221&amp;I221&amp;E221,Orig_Dest!$A$2:$E$1876,5,FALSE)</f>
        <v>#N/A</v>
      </c>
      <c r="K221" s="14" t="e">
        <f t="shared" si="0"/>
        <v>#VALUE!</v>
      </c>
      <c r="L221" s="15" t="str">
        <f>IF(B221="Fornecedor",IF(VLOOKUP(C221,Base_Dados!$E$1:$F$7,2,FALSE)=F221," ","Fornecedor inválido!")," ")</f>
        <v xml:space="preserve"> </v>
      </c>
      <c r="M221" s="16" t="str">
        <f>IF(AND(LEFT(F221,2)="MP",H221&lt;&gt;Base_Dados!$A$1),"Impossível!!!"," ")</f>
        <v xml:space="preserve"> </v>
      </c>
      <c r="N221" s="15" t="str">
        <f>IF(E221="Avião",IF($G221&lt;=VLOOKUP($F221,Base_Dados!$K$1:$O$7,3,FALSE)," ","Limite "&amp;VLOOKUP($F221,Base_Dados!$K$1:$O$11,3,FALSE)&amp;" "&amp;VLOOKUP($F221,Base_Dados!$K$1:$O$11,2,FALSE))," ")</f>
        <v xml:space="preserve"> </v>
      </c>
      <c r="O221" s="15" t="str">
        <f>IF(E221="Caminhão",IF($G221&lt;=VLOOKUP($F221,Base_Dados!$K$1:$O$7,4,FALSE)," ","Limite "&amp;VLOOKUP($F221,Base_Dados!$K$1:$O$11,4,FALSE)&amp;" "&amp;VLOOKUP($F221,Base_Dados!$K$1:$O$11,2,FALSE))," ")</f>
        <v xml:space="preserve"> </v>
      </c>
      <c r="P221" s="15" t="str">
        <f>IF(E221="Navio",IF($G221&lt;=VLOOKUP($F221,Base_Dados!$K$1:$O$7,5,FALSE)," ","Limite "&amp;VLOOKUP($F221,Base_Dados!$K$1:$O$11,5,FALSE)&amp;" "&amp;VLOOKUP($F221,Base_Dados!$K$1:$O$11,2,FALSE))," ")</f>
        <v xml:space="preserve"> </v>
      </c>
      <c r="Q221" s="15" t="str">
        <f t="shared" si="1"/>
        <v>Fluxo Impossível</v>
      </c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24" customHeight="1" x14ac:dyDescent="0.3">
      <c r="A222" s="10"/>
      <c r="B222" s="10"/>
      <c r="C222" s="11"/>
      <c r="D222" s="11"/>
      <c r="E222" s="11"/>
      <c r="F222" s="11"/>
      <c r="G222" s="12"/>
      <c r="H222" s="11"/>
      <c r="I222" s="11"/>
      <c r="J222" s="24" t="e">
        <f>VLOOKUP(C222&amp;I222&amp;E222,Orig_Dest!$A$2:$E$1876,5,FALSE)</f>
        <v>#N/A</v>
      </c>
      <c r="K222" s="14" t="e">
        <f t="shared" si="0"/>
        <v>#VALUE!</v>
      </c>
      <c r="L222" s="15" t="str">
        <f>IF(B222="Fornecedor",IF(VLOOKUP(C222,Base_Dados!$E$1:$F$7,2,FALSE)=F222," ","Fornecedor inválido!")," ")</f>
        <v xml:space="preserve"> </v>
      </c>
      <c r="M222" s="16" t="str">
        <f>IF(AND(LEFT(F222,2)="MP",H222&lt;&gt;Base_Dados!$A$1),"Impossível!!!"," ")</f>
        <v xml:space="preserve"> </v>
      </c>
      <c r="N222" s="15" t="str">
        <f>IF(E222="Avião",IF($G222&lt;=VLOOKUP($F222,Base_Dados!$K$1:$O$7,3,FALSE)," ","Limite "&amp;VLOOKUP($F222,Base_Dados!$K$1:$O$11,3,FALSE)&amp;" "&amp;VLOOKUP($F222,Base_Dados!$K$1:$O$11,2,FALSE))," ")</f>
        <v xml:space="preserve"> </v>
      </c>
      <c r="O222" s="15" t="str">
        <f>IF(E222="Caminhão",IF($G222&lt;=VLOOKUP($F222,Base_Dados!$K$1:$O$7,4,FALSE)," ","Limite "&amp;VLOOKUP($F222,Base_Dados!$K$1:$O$11,4,FALSE)&amp;" "&amp;VLOOKUP($F222,Base_Dados!$K$1:$O$11,2,FALSE))," ")</f>
        <v xml:space="preserve"> </v>
      </c>
      <c r="P222" s="15" t="str">
        <f>IF(E222="Navio",IF($G222&lt;=VLOOKUP($F222,Base_Dados!$K$1:$O$7,5,FALSE)," ","Limite "&amp;VLOOKUP($F222,Base_Dados!$K$1:$O$11,5,FALSE)&amp;" "&amp;VLOOKUP($F222,Base_Dados!$K$1:$O$11,2,FALSE))," ")</f>
        <v xml:space="preserve"> </v>
      </c>
      <c r="Q222" s="15" t="str">
        <f t="shared" si="1"/>
        <v>Fluxo Impossível</v>
      </c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24" customHeight="1" x14ac:dyDescent="0.3">
      <c r="A223" s="10"/>
      <c r="B223" s="10"/>
      <c r="C223" s="11"/>
      <c r="D223" s="11"/>
      <c r="E223" s="11"/>
      <c r="F223" s="11"/>
      <c r="G223" s="12"/>
      <c r="H223" s="11"/>
      <c r="I223" s="11"/>
      <c r="J223" s="24" t="e">
        <f>VLOOKUP(C223&amp;I223&amp;E223,Orig_Dest!$A$2:$E$1876,5,FALSE)</f>
        <v>#N/A</v>
      </c>
      <c r="K223" s="14" t="e">
        <f t="shared" si="0"/>
        <v>#VALUE!</v>
      </c>
      <c r="L223" s="15" t="str">
        <f>IF(B223="Fornecedor",IF(VLOOKUP(C223,Base_Dados!$E$1:$F$7,2,FALSE)=F223," ","Fornecedor inválido!")," ")</f>
        <v xml:space="preserve"> </v>
      </c>
      <c r="M223" s="16" t="str">
        <f>IF(AND(LEFT(F223,2)="MP",H223&lt;&gt;Base_Dados!$A$1),"Impossível!!!"," ")</f>
        <v xml:space="preserve"> </v>
      </c>
      <c r="N223" s="15" t="str">
        <f>IF(E223="Avião",IF($G223&lt;=VLOOKUP($F223,Base_Dados!$K$1:$O$7,3,FALSE)," ","Limite "&amp;VLOOKUP($F223,Base_Dados!$K$1:$O$11,3,FALSE)&amp;" "&amp;VLOOKUP($F223,Base_Dados!$K$1:$O$11,2,FALSE))," ")</f>
        <v xml:space="preserve"> </v>
      </c>
      <c r="O223" s="15" t="str">
        <f>IF(E223="Caminhão",IF($G223&lt;=VLOOKUP($F223,Base_Dados!$K$1:$O$7,4,FALSE)," ","Limite "&amp;VLOOKUP($F223,Base_Dados!$K$1:$O$11,4,FALSE)&amp;" "&amp;VLOOKUP($F223,Base_Dados!$K$1:$O$11,2,FALSE))," ")</f>
        <v xml:space="preserve"> </v>
      </c>
      <c r="P223" s="15" t="str">
        <f>IF(E223="Navio",IF($G223&lt;=VLOOKUP($F223,Base_Dados!$K$1:$O$7,5,FALSE)," ","Limite "&amp;VLOOKUP($F223,Base_Dados!$K$1:$O$11,5,FALSE)&amp;" "&amp;VLOOKUP($F223,Base_Dados!$K$1:$O$11,2,FALSE))," ")</f>
        <v xml:space="preserve"> </v>
      </c>
      <c r="Q223" s="15" t="str">
        <f t="shared" si="1"/>
        <v>Fluxo Impossível</v>
      </c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24" customHeight="1" x14ac:dyDescent="0.3">
      <c r="A224" s="10"/>
      <c r="B224" s="10"/>
      <c r="C224" s="11"/>
      <c r="D224" s="11"/>
      <c r="E224" s="11"/>
      <c r="F224" s="11"/>
      <c r="G224" s="12"/>
      <c r="H224" s="11"/>
      <c r="I224" s="11"/>
      <c r="J224" s="24" t="e">
        <f>VLOOKUP(C224&amp;I224&amp;E224,Orig_Dest!$A$2:$E$1876,5,FALSE)</f>
        <v>#N/A</v>
      </c>
      <c r="K224" s="14" t="e">
        <f t="shared" si="0"/>
        <v>#VALUE!</v>
      </c>
      <c r="L224" s="15" t="str">
        <f>IF(B224="Fornecedor",IF(VLOOKUP(C224,Base_Dados!$E$1:$F$7,2,FALSE)=F224," ","Fornecedor inválido!")," ")</f>
        <v xml:space="preserve"> </v>
      </c>
      <c r="M224" s="16" t="str">
        <f>IF(AND(LEFT(F224,2)="MP",H224&lt;&gt;Base_Dados!$A$1),"Impossível!!!"," ")</f>
        <v xml:space="preserve"> </v>
      </c>
      <c r="N224" s="15" t="str">
        <f>IF(E224="Avião",IF($G224&lt;=VLOOKUP($F224,Base_Dados!$K$1:$O$7,3,FALSE)," ","Limite "&amp;VLOOKUP($F224,Base_Dados!$K$1:$O$11,3,FALSE)&amp;" "&amp;VLOOKUP($F224,Base_Dados!$K$1:$O$11,2,FALSE))," ")</f>
        <v xml:space="preserve"> </v>
      </c>
      <c r="O224" s="15" t="str">
        <f>IF(E224="Caminhão",IF($G224&lt;=VLOOKUP($F224,Base_Dados!$K$1:$O$7,4,FALSE)," ","Limite "&amp;VLOOKUP($F224,Base_Dados!$K$1:$O$11,4,FALSE)&amp;" "&amp;VLOOKUP($F224,Base_Dados!$K$1:$O$11,2,FALSE))," ")</f>
        <v xml:space="preserve"> </v>
      </c>
      <c r="P224" s="15" t="str">
        <f>IF(E224="Navio",IF($G224&lt;=VLOOKUP($F224,Base_Dados!$K$1:$O$7,5,FALSE)," ","Limite "&amp;VLOOKUP($F224,Base_Dados!$K$1:$O$11,5,FALSE)&amp;" "&amp;VLOOKUP($F224,Base_Dados!$K$1:$O$11,2,FALSE))," ")</f>
        <v xml:space="preserve"> </v>
      </c>
      <c r="Q224" s="15" t="str">
        <f t="shared" si="1"/>
        <v>Fluxo Impossível</v>
      </c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24" customHeight="1" x14ac:dyDescent="0.3">
      <c r="A225" s="10"/>
      <c r="B225" s="10"/>
      <c r="C225" s="11"/>
      <c r="D225" s="11"/>
      <c r="E225" s="11"/>
      <c r="F225" s="11"/>
      <c r="G225" s="12"/>
      <c r="H225" s="11"/>
      <c r="I225" s="11"/>
      <c r="J225" s="24" t="e">
        <f>VLOOKUP(C225&amp;I225&amp;E225,Orig_Dest!$A$2:$E$1876,5,FALSE)</f>
        <v>#N/A</v>
      </c>
      <c r="K225" s="14" t="e">
        <f t="shared" si="0"/>
        <v>#VALUE!</v>
      </c>
      <c r="L225" s="15" t="str">
        <f>IF(B225="Fornecedor",IF(VLOOKUP(C225,Base_Dados!$E$1:$F$7,2,FALSE)=F225," ","Fornecedor inválido!")," ")</f>
        <v xml:space="preserve"> </v>
      </c>
      <c r="M225" s="16" t="str">
        <f>IF(AND(LEFT(F225,2)="MP",H225&lt;&gt;Base_Dados!$A$1),"Impossível!!!"," ")</f>
        <v xml:space="preserve"> </v>
      </c>
      <c r="N225" s="15" t="str">
        <f>IF(E225="Avião",IF($G225&lt;=VLOOKUP($F225,Base_Dados!$K$1:$O$7,3,FALSE)," ","Limite "&amp;VLOOKUP($F225,Base_Dados!$K$1:$O$11,3,FALSE)&amp;" "&amp;VLOOKUP($F225,Base_Dados!$K$1:$O$11,2,FALSE))," ")</f>
        <v xml:space="preserve"> </v>
      </c>
      <c r="O225" s="15" t="str">
        <f>IF(E225="Caminhão",IF($G225&lt;=VLOOKUP($F225,Base_Dados!$K$1:$O$7,4,FALSE)," ","Limite "&amp;VLOOKUP($F225,Base_Dados!$K$1:$O$11,4,FALSE)&amp;" "&amp;VLOOKUP($F225,Base_Dados!$K$1:$O$11,2,FALSE))," ")</f>
        <v xml:space="preserve"> </v>
      </c>
      <c r="P225" s="15" t="str">
        <f>IF(E225="Navio",IF($G225&lt;=VLOOKUP($F225,Base_Dados!$K$1:$O$7,5,FALSE)," ","Limite "&amp;VLOOKUP($F225,Base_Dados!$K$1:$O$11,5,FALSE)&amp;" "&amp;VLOOKUP($F225,Base_Dados!$K$1:$O$11,2,FALSE))," ")</f>
        <v xml:space="preserve"> </v>
      </c>
      <c r="Q225" s="15" t="str">
        <f t="shared" si="1"/>
        <v>Fluxo Impossível</v>
      </c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24" customHeight="1" x14ac:dyDescent="0.3">
      <c r="A226" s="10"/>
      <c r="B226" s="10"/>
      <c r="C226" s="11"/>
      <c r="D226" s="11"/>
      <c r="E226" s="11"/>
      <c r="F226" s="11"/>
      <c r="G226" s="12"/>
      <c r="H226" s="11"/>
      <c r="I226" s="11"/>
      <c r="J226" s="24" t="e">
        <f>VLOOKUP(C226&amp;I226&amp;E226,Orig_Dest!$A$2:$E$1876,5,FALSE)</f>
        <v>#N/A</v>
      </c>
      <c r="K226" s="14" t="e">
        <f t="shared" si="0"/>
        <v>#VALUE!</v>
      </c>
      <c r="L226" s="15" t="str">
        <f>IF(B226="Fornecedor",IF(VLOOKUP(C226,Base_Dados!$E$1:$F$7,2,FALSE)=F226," ","Fornecedor inválido!")," ")</f>
        <v xml:space="preserve"> </v>
      </c>
      <c r="M226" s="16" t="str">
        <f>IF(AND(LEFT(F226,2)="MP",H226&lt;&gt;Base_Dados!$A$1),"Impossível!!!"," ")</f>
        <v xml:space="preserve"> </v>
      </c>
      <c r="N226" s="15" t="str">
        <f>IF(E226="Avião",IF($G226&lt;=VLOOKUP($F226,Base_Dados!$K$1:$O$7,3,FALSE)," ","Limite "&amp;VLOOKUP($F226,Base_Dados!$K$1:$O$11,3,FALSE)&amp;" "&amp;VLOOKUP($F226,Base_Dados!$K$1:$O$11,2,FALSE))," ")</f>
        <v xml:space="preserve"> </v>
      </c>
      <c r="O226" s="15" t="str">
        <f>IF(E226="Caminhão",IF($G226&lt;=VLOOKUP($F226,Base_Dados!$K$1:$O$7,4,FALSE)," ","Limite "&amp;VLOOKUP($F226,Base_Dados!$K$1:$O$11,4,FALSE)&amp;" "&amp;VLOOKUP($F226,Base_Dados!$K$1:$O$11,2,FALSE))," ")</f>
        <v xml:space="preserve"> </v>
      </c>
      <c r="P226" s="15" t="str">
        <f>IF(E226="Navio",IF($G226&lt;=VLOOKUP($F226,Base_Dados!$K$1:$O$7,5,FALSE)," ","Limite "&amp;VLOOKUP($F226,Base_Dados!$K$1:$O$11,5,FALSE)&amp;" "&amp;VLOOKUP($F226,Base_Dados!$K$1:$O$11,2,FALSE))," ")</f>
        <v xml:space="preserve"> </v>
      </c>
      <c r="Q226" s="15" t="str">
        <f t="shared" si="1"/>
        <v>Fluxo Impossível</v>
      </c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24" customHeight="1" x14ac:dyDescent="0.3">
      <c r="A227" s="10"/>
      <c r="B227" s="10"/>
      <c r="C227" s="11"/>
      <c r="D227" s="11"/>
      <c r="E227" s="11"/>
      <c r="F227" s="11"/>
      <c r="G227" s="12"/>
      <c r="H227" s="11"/>
      <c r="I227" s="11"/>
      <c r="J227" s="24" t="e">
        <f>VLOOKUP(C227&amp;I227&amp;E227,Orig_Dest!$A$2:$E$1876,5,FALSE)</f>
        <v>#N/A</v>
      </c>
      <c r="K227" s="14" t="e">
        <f t="shared" si="0"/>
        <v>#VALUE!</v>
      </c>
      <c r="L227" s="15" t="str">
        <f>IF(B227="Fornecedor",IF(VLOOKUP(C227,Base_Dados!$E$1:$F$7,2,FALSE)=F227," ","Fornecedor inválido!")," ")</f>
        <v xml:space="preserve"> </v>
      </c>
      <c r="M227" s="16" t="str">
        <f>IF(AND(LEFT(F227,2)="MP",H227&lt;&gt;Base_Dados!$A$1),"Impossível!!!"," ")</f>
        <v xml:space="preserve"> </v>
      </c>
      <c r="N227" s="15" t="str">
        <f>IF(E227="Avião",IF($G227&lt;=VLOOKUP($F227,Base_Dados!$K$1:$O$7,3,FALSE)," ","Limite "&amp;VLOOKUP($F227,Base_Dados!$K$1:$O$11,3,FALSE)&amp;" "&amp;VLOOKUP($F227,Base_Dados!$K$1:$O$11,2,FALSE))," ")</f>
        <v xml:space="preserve"> </v>
      </c>
      <c r="O227" s="15" t="str">
        <f>IF(E227="Caminhão",IF($G227&lt;=VLOOKUP($F227,Base_Dados!$K$1:$O$7,4,FALSE)," ","Limite "&amp;VLOOKUP($F227,Base_Dados!$K$1:$O$11,4,FALSE)&amp;" "&amp;VLOOKUP($F227,Base_Dados!$K$1:$O$11,2,FALSE))," ")</f>
        <v xml:space="preserve"> </v>
      </c>
      <c r="P227" s="15" t="str">
        <f>IF(E227="Navio",IF($G227&lt;=VLOOKUP($F227,Base_Dados!$K$1:$O$7,5,FALSE)," ","Limite "&amp;VLOOKUP($F227,Base_Dados!$K$1:$O$11,5,FALSE)&amp;" "&amp;VLOOKUP($F227,Base_Dados!$K$1:$O$11,2,FALSE))," ")</f>
        <v xml:space="preserve"> </v>
      </c>
      <c r="Q227" s="15" t="str">
        <f t="shared" si="1"/>
        <v>Fluxo Impossível</v>
      </c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24" customHeight="1" x14ac:dyDescent="0.3">
      <c r="A228" s="10"/>
      <c r="B228" s="10"/>
      <c r="C228" s="11"/>
      <c r="D228" s="11"/>
      <c r="E228" s="11"/>
      <c r="F228" s="11"/>
      <c r="G228" s="12"/>
      <c r="H228" s="11"/>
      <c r="I228" s="11"/>
      <c r="J228" s="24" t="e">
        <f>VLOOKUP(C228&amp;I228&amp;E228,Orig_Dest!$A$2:$E$1876,5,FALSE)</f>
        <v>#N/A</v>
      </c>
      <c r="K228" s="14" t="e">
        <f t="shared" si="0"/>
        <v>#VALUE!</v>
      </c>
      <c r="L228" s="15" t="str">
        <f>IF(B228="Fornecedor",IF(VLOOKUP(C228,Base_Dados!$E$1:$F$7,2,FALSE)=F228," ","Fornecedor inválido!")," ")</f>
        <v xml:space="preserve"> </v>
      </c>
      <c r="M228" s="16" t="str">
        <f>IF(AND(LEFT(F228,2)="MP",H228&lt;&gt;Base_Dados!$A$1),"Impossível!!!"," ")</f>
        <v xml:space="preserve"> </v>
      </c>
      <c r="N228" s="15" t="str">
        <f>IF(E228="Avião",IF($G228&lt;=VLOOKUP($F228,Base_Dados!$K$1:$O$7,3,FALSE)," ","Limite "&amp;VLOOKUP($F228,Base_Dados!$K$1:$O$11,3,FALSE)&amp;" "&amp;VLOOKUP($F228,Base_Dados!$K$1:$O$11,2,FALSE))," ")</f>
        <v xml:space="preserve"> </v>
      </c>
      <c r="O228" s="15" t="str">
        <f>IF(E228="Caminhão",IF($G228&lt;=VLOOKUP($F228,Base_Dados!$K$1:$O$7,4,FALSE)," ","Limite "&amp;VLOOKUP($F228,Base_Dados!$K$1:$O$11,4,FALSE)&amp;" "&amp;VLOOKUP($F228,Base_Dados!$K$1:$O$11,2,FALSE))," ")</f>
        <v xml:space="preserve"> </v>
      </c>
      <c r="P228" s="15" t="str">
        <f>IF(E228="Navio",IF($G228&lt;=VLOOKUP($F228,Base_Dados!$K$1:$O$7,5,FALSE)," ","Limite "&amp;VLOOKUP($F228,Base_Dados!$K$1:$O$11,5,FALSE)&amp;" "&amp;VLOOKUP($F228,Base_Dados!$K$1:$O$11,2,FALSE))," ")</f>
        <v xml:space="preserve"> </v>
      </c>
      <c r="Q228" s="15" t="str">
        <f t="shared" si="1"/>
        <v>Fluxo Impossível</v>
      </c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24" customHeight="1" x14ac:dyDescent="0.3">
      <c r="A229" s="10"/>
      <c r="B229" s="10"/>
      <c r="C229" s="11"/>
      <c r="D229" s="11"/>
      <c r="E229" s="11"/>
      <c r="F229" s="11"/>
      <c r="G229" s="12"/>
      <c r="H229" s="11"/>
      <c r="I229" s="11"/>
      <c r="J229" s="24" t="e">
        <f>VLOOKUP(C229&amp;I229&amp;E229,Orig_Dest!$A$2:$E$1876,5,FALSE)</f>
        <v>#N/A</v>
      </c>
      <c r="K229" s="14" t="e">
        <f t="shared" si="0"/>
        <v>#VALUE!</v>
      </c>
      <c r="L229" s="15" t="str">
        <f>IF(B229="Fornecedor",IF(VLOOKUP(C229,Base_Dados!$E$1:$F$7,2,FALSE)=F229," ","Fornecedor inválido!")," ")</f>
        <v xml:space="preserve"> </v>
      </c>
      <c r="M229" s="16" t="str">
        <f>IF(AND(LEFT(F229,2)="MP",H229&lt;&gt;Base_Dados!$A$1),"Impossível!!!"," ")</f>
        <v xml:space="preserve"> </v>
      </c>
      <c r="N229" s="15" t="str">
        <f>IF(E229="Avião",IF($G229&lt;=VLOOKUP($F229,Base_Dados!$K$1:$O$7,3,FALSE)," ","Limite "&amp;VLOOKUP($F229,Base_Dados!$K$1:$O$11,3,FALSE)&amp;" "&amp;VLOOKUP($F229,Base_Dados!$K$1:$O$11,2,FALSE))," ")</f>
        <v xml:space="preserve"> </v>
      </c>
      <c r="O229" s="15" t="str">
        <f>IF(E229="Caminhão",IF($G229&lt;=VLOOKUP($F229,Base_Dados!$K$1:$O$7,4,FALSE)," ","Limite "&amp;VLOOKUP($F229,Base_Dados!$K$1:$O$11,4,FALSE)&amp;" "&amp;VLOOKUP($F229,Base_Dados!$K$1:$O$11,2,FALSE))," ")</f>
        <v xml:space="preserve"> </v>
      </c>
      <c r="P229" s="15" t="str">
        <f>IF(E229="Navio",IF($G229&lt;=VLOOKUP($F229,Base_Dados!$K$1:$O$7,5,FALSE)," ","Limite "&amp;VLOOKUP($F229,Base_Dados!$K$1:$O$11,5,FALSE)&amp;" "&amp;VLOOKUP($F229,Base_Dados!$K$1:$O$11,2,FALSE))," ")</f>
        <v xml:space="preserve"> </v>
      </c>
      <c r="Q229" s="15" t="str">
        <f t="shared" si="1"/>
        <v>Fluxo Impossível</v>
      </c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24" customHeight="1" x14ac:dyDescent="0.3">
      <c r="A230" s="10"/>
      <c r="B230" s="10"/>
      <c r="C230" s="11"/>
      <c r="D230" s="11"/>
      <c r="E230" s="11"/>
      <c r="F230" s="11"/>
      <c r="G230" s="12"/>
      <c r="H230" s="11"/>
      <c r="I230" s="11"/>
      <c r="J230" s="24" t="e">
        <f>VLOOKUP(C230&amp;I230&amp;E230,Orig_Dest!$A$2:$E$1876,5,FALSE)</f>
        <v>#N/A</v>
      </c>
      <c r="K230" s="14" t="e">
        <f t="shared" si="0"/>
        <v>#VALUE!</v>
      </c>
      <c r="L230" s="15" t="str">
        <f>IF(B230="Fornecedor",IF(VLOOKUP(C230,Base_Dados!$E$1:$F$7,2,FALSE)=F230," ","Fornecedor inválido!")," ")</f>
        <v xml:space="preserve"> </v>
      </c>
      <c r="M230" s="16" t="str">
        <f>IF(AND(LEFT(F230,2)="MP",H230&lt;&gt;Base_Dados!$A$1),"Impossível!!!"," ")</f>
        <v xml:space="preserve"> </v>
      </c>
      <c r="N230" s="15" t="str">
        <f>IF(E230="Avião",IF($G230&lt;=VLOOKUP($F230,Base_Dados!$K$1:$O$7,3,FALSE)," ","Limite "&amp;VLOOKUP($F230,Base_Dados!$K$1:$O$11,3,FALSE)&amp;" "&amp;VLOOKUP($F230,Base_Dados!$K$1:$O$11,2,FALSE))," ")</f>
        <v xml:space="preserve"> </v>
      </c>
      <c r="O230" s="15" t="str">
        <f>IF(E230="Caminhão",IF($G230&lt;=VLOOKUP($F230,Base_Dados!$K$1:$O$7,4,FALSE)," ","Limite "&amp;VLOOKUP($F230,Base_Dados!$K$1:$O$11,4,FALSE)&amp;" "&amp;VLOOKUP($F230,Base_Dados!$K$1:$O$11,2,FALSE))," ")</f>
        <v xml:space="preserve"> </v>
      </c>
      <c r="P230" s="15" t="str">
        <f>IF(E230="Navio",IF($G230&lt;=VLOOKUP($F230,Base_Dados!$K$1:$O$7,5,FALSE)," ","Limite "&amp;VLOOKUP($F230,Base_Dados!$K$1:$O$11,5,FALSE)&amp;" "&amp;VLOOKUP($F230,Base_Dados!$K$1:$O$11,2,FALSE))," ")</f>
        <v xml:space="preserve"> </v>
      </c>
      <c r="Q230" s="15" t="str">
        <f t="shared" si="1"/>
        <v>Fluxo Impossível</v>
      </c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24" customHeight="1" x14ac:dyDescent="0.3">
      <c r="A231" s="10"/>
      <c r="B231" s="10"/>
      <c r="C231" s="11"/>
      <c r="D231" s="11"/>
      <c r="E231" s="11"/>
      <c r="F231" s="11"/>
      <c r="G231" s="12"/>
      <c r="H231" s="11"/>
      <c r="I231" s="11"/>
      <c r="J231" s="24" t="e">
        <f>VLOOKUP(C231&amp;I231&amp;E231,Orig_Dest!$A$2:$E$1876,5,FALSE)</f>
        <v>#N/A</v>
      </c>
      <c r="K231" s="14" t="e">
        <f t="shared" si="0"/>
        <v>#VALUE!</v>
      </c>
      <c r="L231" s="15" t="str">
        <f>IF(B231="Fornecedor",IF(VLOOKUP(C231,Base_Dados!$E$1:$F$7,2,FALSE)=F231," ","Fornecedor inválido!")," ")</f>
        <v xml:space="preserve"> </v>
      </c>
      <c r="M231" s="16" t="str">
        <f>IF(AND(LEFT(F231,2)="MP",H231&lt;&gt;Base_Dados!$A$1),"Impossível!!!"," ")</f>
        <v xml:space="preserve"> </v>
      </c>
      <c r="N231" s="15" t="str">
        <f>IF(E231="Avião",IF($G231&lt;=VLOOKUP($F231,Base_Dados!$K$1:$O$7,3,FALSE)," ","Limite "&amp;VLOOKUP($F231,Base_Dados!$K$1:$O$11,3,FALSE)&amp;" "&amp;VLOOKUP($F231,Base_Dados!$K$1:$O$11,2,FALSE))," ")</f>
        <v xml:space="preserve"> </v>
      </c>
      <c r="O231" s="15" t="str">
        <f>IF(E231="Caminhão",IF($G231&lt;=VLOOKUP($F231,Base_Dados!$K$1:$O$7,4,FALSE)," ","Limite "&amp;VLOOKUP($F231,Base_Dados!$K$1:$O$11,4,FALSE)&amp;" "&amp;VLOOKUP($F231,Base_Dados!$K$1:$O$11,2,FALSE))," ")</f>
        <v xml:space="preserve"> </v>
      </c>
      <c r="P231" s="15" t="str">
        <f>IF(E231="Navio",IF($G231&lt;=VLOOKUP($F231,Base_Dados!$K$1:$O$7,5,FALSE)," ","Limite "&amp;VLOOKUP($F231,Base_Dados!$K$1:$O$11,5,FALSE)&amp;" "&amp;VLOOKUP($F231,Base_Dados!$K$1:$O$11,2,FALSE))," ")</f>
        <v xml:space="preserve"> </v>
      </c>
      <c r="Q231" s="15" t="str">
        <f t="shared" si="1"/>
        <v>Fluxo Impossível</v>
      </c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24" customHeight="1" x14ac:dyDescent="0.3">
      <c r="A232" s="10"/>
      <c r="B232" s="10"/>
      <c r="C232" s="11"/>
      <c r="D232" s="11"/>
      <c r="E232" s="11"/>
      <c r="F232" s="11"/>
      <c r="G232" s="12"/>
      <c r="H232" s="11"/>
      <c r="I232" s="11"/>
      <c r="J232" s="24" t="e">
        <f>VLOOKUP(C232&amp;I232&amp;E232,Orig_Dest!$A$2:$E$1876,5,FALSE)</f>
        <v>#N/A</v>
      </c>
      <c r="K232" s="14" t="e">
        <f t="shared" si="0"/>
        <v>#VALUE!</v>
      </c>
      <c r="L232" s="15" t="str">
        <f>IF(B232="Fornecedor",IF(VLOOKUP(C232,Base_Dados!$E$1:$F$7,2,FALSE)=F232," ","Fornecedor inválido!")," ")</f>
        <v xml:space="preserve"> </v>
      </c>
      <c r="M232" s="16" t="str">
        <f>IF(AND(LEFT(F232,2)="MP",H232&lt;&gt;Base_Dados!$A$1),"Impossível!!!"," ")</f>
        <v xml:space="preserve"> </v>
      </c>
      <c r="N232" s="15" t="str">
        <f>IF(E232="Avião",IF($G232&lt;=VLOOKUP($F232,Base_Dados!$K$1:$O$7,3,FALSE)," ","Limite "&amp;VLOOKUP($F232,Base_Dados!$K$1:$O$11,3,FALSE)&amp;" "&amp;VLOOKUP($F232,Base_Dados!$K$1:$O$11,2,FALSE))," ")</f>
        <v xml:space="preserve"> </v>
      </c>
      <c r="O232" s="15" t="str">
        <f>IF(E232="Caminhão",IF($G232&lt;=VLOOKUP($F232,Base_Dados!$K$1:$O$7,4,FALSE)," ","Limite "&amp;VLOOKUP($F232,Base_Dados!$K$1:$O$11,4,FALSE)&amp;" "&amp;VLOOKUP($F232,Base_Dados!$K$1:$O$11,2,FALSE))," ")</f>
        <v xml:space="preserve"> </v>
      </c>
      <c r="P232" s="15" t="str">
        <f>IF(E232="Navio",IF($G232&lt;=VLOOKUP($F232,Base_Dados!$K$1:$O$7,5,FALSE)," ","Limite "&amp;VLOOKUP($F232,Base_Dados!$K$1:$O$11,5,FALSE)&amp;" "&amp;VLOOKUP($F232,Base_Dados!$K$1:$O$11,2,FALSE))," ")</f>
        <v xml:space="preserve"> </v>
      </c>
      <c r="Q232" s="15" t="str">
        <f t="shared" si="1"/>
        <v>Fluxo Impossível</v>
      </c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24" customHeight="1" x14ac:dyDescent="0.3">
      <c r="A233" s="10"/>
      <c r="B233" s="10"/>
      <c r="C233" s="11"/>
      <c r="D233" s="11"/>
      <c r="E233" s="11"/>
      <c r="F233" s="11"/>
      <c r="G233" s="12"/>
      <c r="H233" s="11"/>
      <c r="I233" s="11"/>
      <c r="J233" s="24" t="e">
        <f>VLOOKUP(C233&amp;I233&amp;E233,Orig_Dest!$A$2:$E$1876,5,FALSE)</f>
        <v>#N/A</v>
      </c>
      <c r="K233" s="14" t="e">
        <f t="shared" si="0"/>
        <v>#VALUE!</v>
      </c>
      <c r="L233" s="15" t="str">
        <f>IF(B233="Fornecedor",IF(VLOOKUP(C233,Base_Dados!$E$1:$F$7,2,FALSE)=F233," ","Fornecedor inválido!")," ")</f>
        <v xml:space="preserve"> </v>
      </c>
      <c r="M233" s="16" t="str">
        <f>IF(AND(LEFT(F233,2)="MP",H233&lt;&gt;Base_Dados!$A$1),"Impossível!!!"," ")</f>
        <v xml:space="preserve"> </v>
      </c>
      <c r="N233" s="15" t="str">
        <f>IF(E233="Avião",IF($G233&lt;=VLOOKUP($F233,Base_Dados!$K$1:$O$7,3,FALSE)," ","Limite "&amp;VLOOKUP($F233,Base_Dados!$K$1:$O$11,3,FALSE)&amp;" "&amp;VLOOKUP($F233,Base_Dados!$K$1:$O$11,2,FALSE))," ")</f>
        <v xml:space="preserve"> </v>
      </c>
      <c r="O233" s="15" t="str">
        <f>IF(E233="Caminhão",IF($G233&lt;=VLOOKUP($F233,Base_Dados!$K$1:$O$7,4,FALSE)," ","Limite "&amp;VLOOKUP($F233,Base_Dados!$K$1:$O$11,4,FALSE)&amp;" "&amp;VLOOKUP($F233,Base_Dados!$K$1:$O$11,2,FALSE))," ")</f>
        <v xml:space="preserve"> </v>
      </c>
      <c r="P233" s="15" t="str">
        <f>IF(E233="Navio",IF($G233&lt;=VLOOKUP($F233,Base_Dados!$K$1:$O$7,5,FALSE)," ","Limite "&amp;VLOOKUP($F233,Base_Dados!$K$1:$O$11,5,FALSE)&amp;" "&amp;VLOOKUP($F233,Base_Dados!$K$1:$O$11,2,FALSE))," ")</f>
        <v xml:space="preserve"> </v>
      </c>
      <c r="Q233" s="15" t="str">
        <f t="shared" si="1"/>
        <v>Fluxo Impossível</v>
      </c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24" customHeight="1" x14ac:dyDescent="0.3">
      <c r="A234" s="10"/>
      <c r="B234" s="10"/>
      <c r="C234" s="11"/>
      <c r="D234" s="11"/>
      <c r="E234" s="11"/>
      <c r="F234" s="11"/>
      <c r="G234" s="12"/>
      <c r="H234" s="11"/>
      <c r="I234" s="11"/>
      <c r="J234" s="24" t="e">
        <f>VLOOKUP(C234&amp;I234&amp;E234,Orig_Dest!$A$2:$E$1876,5,FALSE)</f>
        <v>#N/A</v>
      </c>
      <c r="K234" s="14" t="e">
        <f t="shared" si="0"/>
        <v>#VALUE!</v>
      </c>
      <c r="L234" s="15" t="str">
        <f>IF(B234="Fornecedor",IF(VLOOKUP(C234,Base_Dados!$E$1:$F$7,2,FALSE)=F234," ","Fornecedor inválido!")," ")</f>
        <v xml:space="preserve"> </v>
      </c>
      <c r="M234" s="16" t="str">
        <f>IF(AND(LEFT(F234,2)="MP",H234&lt;&gt;Base_Dados!$A$1),"Impossível!!!"," ")</f>
        <v xml:space="preserve"> </v>
      </c>
      <c r="N234" s="15" t="str">
        <f>IF(E234="Avião",IF($G234&lt;=VLOOKUP($F234,Base_Dados!$K$1:$O$7,3,FALSE)," ","Limite "&amp;VLOOKUP($F234,Base_Dados!$K$1:$O$11,3,FALSE)&amp;" "&amp;VLOOKUP($F234,Base_Dados!$K$1:$O$11,2,FALSE))," ")</f>
        <v xml:space="preserve"> </v>
      </c>
      <c r="O234" s="15" t="str">
        <f>IF(E234="Caminhão",IF($G234&lt;=VLOOKUP($F234,Base_Dados!$K$1:$O$7,4,FALSE)," ","Limite "&amp;VLOOKUP($F234,Base_Dados!$K$1:$O$11,4,FALSE)&amp;" "&amp;VLOOKUP($F234,Base_Dados!$K$1:$O$11,2,FALSE))," ")</f>
        <v xml:space="preserve"> </v>
      </c>
      <c r="P234" s="15" t="str">
        <f>IF(E234="Navio",IF($G234&lt;=VLOOKUP($F234,Base_Dados!$K$1:$O$7,5,FALSE)," ","Limite "&amp;VLOOKUP($F234,Base_Dados!$K$1:$O$11,5,FALSE)&amp;" "&amp;VLOOKUP($F234,Base_Dados!$K$1:$O$11,2,FALSE))," ")</f>
        <v xml:space="preserve"> </v>
      </c>
      <c r="Q234" s="15" t="str">
        <f t="shared" si="1"/>
        <v>Fluxo Impossível</v>
      </c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24" customHeight="1" x14ac:dyDescent="0.3">
      <c r="A235" s="10"/>
      <c r="B235" s="10"/>
      <c r="C235" s="11"/>
      <c r="D235" s="11"/>
      <c r="E235" s="11"/>
      <c r="F235" s="11"/>
      <c r="G235" s="12"/>
      <c r="H235" s="11"/>
      <c r="I235" s="11"/>
      <c r="J235" s="24" t="e">
        <f>VLOOKUP(C235&amp;I235&amp;E235,Orig_Dest!$A$2:$E$1876,5,FALSE)</f>
        <v>#N/A</v>
      </c>
      <c r="K235" s="14" t="e">
        <f t="shared" si="0"/>
        <v>#VALUE!</v>
      </c>
      <c r="L235" s="15" t="str">
        <f>IF(B235="Fornecedor",IF(VLOOKUP(C235,Base_Dados!$E$1:$F$7,2,FALSE)=F235," ","Fornecedor inválido!")," ")</f>
        <v xml:space="preserve"> </v>
      </c>
      <c r="M235" s="16" t="str">
        <f>IF(AND(LEFT(F235,2)="MP",H235&lt;&gt;Base_Dados!$A$1),"Impossível!!!"," ")</f>
        <v xml:space="preserve"> </v>
      </c>
      <c r="N235" s="15" t="str">
        <f>IF(E235="Avião",IF($G235&lt;=VLOOKUP($F235,Base_Dados!$K$1:$O$7,3,FALSE)," ","Limite "&amp;VLOOKUP($F235,Base_Dados!$K$1:$O$11,3,FALSE)&amp;" "&amp;VLOOKUP($F235,Base_Dados!$K$1:$O$11,2,FALSE))," ")</f>
        <v xml:space="preserve"> </v>
      </c>
      <c r="O235" s="15" t="str">
        <f>IF(E235="Caminhão",IF($G235&lt;=VLOOKUP($F235,Base_Dados!$K$1:$O$7,4,FALSE)," ","Limite "&amp;VLOOKUP($F235,Base_Dados!$K$1:$O$11,4,FALSE)&amp;" "&amp;VLOOKUP($F235,Base_Dados!$K$1:$O$11,2,FALSE))," ")</f>
        <v xml:space="preserve"> </v>
      </c>
      <c r="P235" s="15" t="str">
        <f>IF(E235="Navio",IF($G235&lt;=VLOOKUP($F235,Base_Dados!$K$1:$O$7,5,FALSE)," ","Limite "&amp;VLOOKUP($F235,Base_Dados!$K$1:$O$11,5,FALSE)&amp;" "&amp;VLOOKUP($F235,Base_Dados!$K$1:$O$11,2,FALSE))," ")</f>
        <v xml:space="preserve"> </v>
      </c>
      <c r="Q235" s="15" t="str">
        <f t="shared" si="1"/>
        <v>Fluxo Impossível</v>
      </c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24" customHeight="1" x14ac:dyDescent="0.3">
      <c r="A236" s="10"/>
      <c r="B236" s="10"/>
      <c r="C236" s="11"/>
      <c r="D236" s="11"/>
      <c r="E236" s="11"/>
      <c r="F236" s="11"/>
      <c r="G236" s="12"/>
      <c r="H236" s="11"/>
      <c r="I236" s="11"/>
      <c r="J236" s="24" t="e">
        <f>VLOOKUP(C236&amp;I236&amp;E236,Orig_Dest!$A$2:$E$1876,5,FALSE)</f>
        <v>#N/A</v>
      </c>
      <c r="K236" s="14" t="e">
        <f t="shared" si="0"/>
        <v>#VALUE!</v>
      </c>
      <c r="L236" s="15" t="str">
        <f>IF(B236="Fornecedor",IF(VLOOKUP(C236,Base_Dados!$E$1:$F$7,2,FALSE)=F236," ","Fornecedor inválido!")," ")</f>
        <v xml:space="preserve"> </v>
      </c>
      <c r="M236" s="16" t="str">
        <f>IF(AND(LEFT(F236,2)="MP",H236&lt;&gt;Base_Dados!$A$1),"Impossível!!!"," ")</f>
        <v xml:space="preserve"> </v>
      </c>
      <c r="N236" s="15" t="str">
        <f>IF(E236="Avião",IF($G236&lt;=VLOOKUP($F236,Base_Dados!$K$1:$O$7,3,FALSE)," ","Limite "&amp;VLOOKUP($F236,Base_Dados!$K$1:$O$11,3,FALSE)&amp;" "&amp;VLOOKUP($F236,Base_Dados!$K$1:$O$11,2,FALSE))," ")</f>
        <v xml:space="preserve"> </v>
      </c>
      <c r="O236" s="15" t="str">
        <f>IF(E236="Caminhão",IF($G236&lt;=VLOOKUP($F236,Base_Dados!$K$1:$O$7,4,FALSE)," ","Limite "&amp;VLOOKUP($F236,Base_Dados!$K$1:$O$11,4,FALSE)&amp;" "&amp;VLOOKUP($F236,Base_Dados!$K$1:$O$11,2,FALSE))," ")</f>
        <v xml:space="preserve"> </v>
      </c>
      <c r="P236" s="15" t="str">
        <f>IF(E236="Navio",IF($G236&lt;=VLOOKUP($F236,Base_Dados!$K$1:$O$7,5,FALSE)," ","Limite "&amp;VLOOKUP($F236,Base_Dados!$K$1:$O$11,5,FALSE)&amp;" "&amp;VLOOKUP($F236,Base_Dados!$K$1:$O$11,2,FALSE))," ")</f>
        <v xml:space="preserve"> </v>
      </c>
      <c r="Q236" s="15" t="str">
        <f t="shared" si="1"/>
        <v>Fluxo Impossível</v>
      </c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24" customHeight="1" x14ac:dyDescent="0.3">
      <c r="A237" s="10"/>
      <c r="B237" s="10"/>
      <c r="C237" s="11"/>
      <c r="D237" s="11"/>
      <c r="E237" s="11"/>
      <c r="F237" s="11"/>
      <c r="G237" s="12"/>
      <c r="H237" s="11"/>
      <c r="I237" s="11"/>
      <c r="J237" s="24" t="e">
        <f>VLOOKUP(C237&amp;I237&amp;E237,Orig_Dest!$A$2:$E$1876,5,FALSE)</f>
        <v>#N/A</v>
      </c>
      <c r="K237" s="14" t="e">
        <f t="shared" si="0"/>
        <v>#VALUE!</v>
      </c>
      <c r="L237" s="15" t="str">
        <f>IF(B237="Fornecedor",IF(VLOOKUP(C237,Base_Dados!$E$1:$F$7,2,FALSE)=F237," ","Fornecedor inválido!")," ")</f>
        <v xml:space="preserve"> </v>
      </c>
      <c r="M237" s="16" t="str">
        <f>IF(AND(LEFT(F237,2)="MP",H237&lt;&gt;Base_Dados!$A$1),"Impossível!!!"," ")</f>
        <v xml:space="preserve"> </v>
      </c>
      <c r="N237" s="15" t="str">
        <f>IF(E237="Avião",IF($G237&lt;=VLOOKUP($F237,Base_Dados!$K$1:$O$7,3,FALSE)," ","Limite "&amp;VLOOKUP($F237,Base_Dados!$K$1:$O$11,3,FALSE)&amp;" "&amp;VLOOKUP($F237,Base_Dados!$K$1:$O$11,2,FALSE))," ")</f>
        <v xml:space="preserve"> </v>
      </c>
      <c r="O237" s="15" t="str">
        <f>IF(E237="Caminhão",IF($G237&lt;=VLOOKUP($F237,Base_Dados!$K$1:$O$7,4,FALSE)," ","Limite "&amp;VLOOKUP($F237,Base_Dados!$K$1:$O$11,4,FALSE)&amp;" "&amp;VLOOKUP($F237,Base_Dados!$K$1:$O$11,2,FALSE))," ")</f>
        <v xml:space="preserve"> </v>
      </c>
      <c r="P237" s="15" t="str">
        <f>IF(E237="Navio",IF($G237&lt;=VLOOKUP($F237,Base_Dados!$K$1:$O$7,5,FALSE)," ","Limite "&amp;VLOOKUP($F237,Base_Dados!$K$1:$O$11,5,FALSE)&amp;" "&amp;VLOOKUP($F237,Base_Dados!$K$1:$O$11,2,FALSE))," ")</f>
        <v xml:space="preserve"> </v>
      </c>
      <c r="Q237" s="15" t="str">
        <f t="shared" si="1"/>
        <v>Fluxo Impossível</v>
      </c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24" customHeight="1" x14ac:dyDescent="0.3">
      <c r="A238" s="10"/>
      <c r="B238" s="10"/>
      <c r="C238" s="11"/>
      <c r="D238" s="11"/>
      <c r="E238" s="11"/>
      <c r="F238" s="11"/>
      <c r="G238" s="12"/>
      <c r="H238" s="11"/>
      <c r="I238" s="11"/>
      <c r="J238" s="24" t="e">
        <f>VLOOKUP(C238&amp;I238&amp;E238,Orig_Dest!$A$2:$E$1876,5,FALSE)</f>
        <v>#N/A</v>
      </c>
      <c r="K238" s="14" t="e">
        <f t="shared" si="0"/>
        <v>#VALUE!</v>
      </c>
      <c r="L238" s="15" t="str">
        <f>IF(B238="Fornecedor",IF(VLOOKUP(C238,Base_Dados!$E$1:$F$7,2,FALSE)=F238," ","Fornecedor inválido!")," ")</f>
        <v xml:space="preserve"> </v>
      </c>
      <c r="M238" s="16" t="str">
        <f>IF(AND(LEFT(F238,2)="MP",H238&lt;&gt;Base_Dados!$A$1),"Impossível!!!"," ")</f>
        <v xml:space="preserve"> </v>
      </c>
      <c r="N238" s="15" t="str">
        <f>IF(E238="Avião",IF($G238&lt;=VLOOKUP($F238,Base_Dados!$K$1:$O$7,3,FALSE)," ","Limite "&amp;VLOOKUP($F238,Base_Dados!$K$1:$O$11,3,FALSE)&amp;" "&amp;VLOOKUP($F238,Base_Dados!$K$1:$O$11,2,FALSE))," ")</f>
        <v xml:space="preserve"> </v>
      </c>
      <c r="O238" s="15" t="str">
        <f>IF(E238="Caminhão",IF($G238&lt;=VLOOKUP($F238,Base_Dados!$K$1:$O$7,4,FALSE)," ","Limite "&amp;VLOOKUP($F238,Base_Dados!$K$1:$O$11,4,FALSE)&amp;" "&amp;VLOOKUP($F238,Base_Dados!$K$1:$O$11,2,FALSE))," ")</f>
        <v xml:space="preserve"> </v>
      </c>
      <c r="P238" s="15" t="str">
        <f>IF(E238="Navio",IF($G238&lt;=VLOOKUP($F238,Base_Dados!$K$1:$O$7,5,FALSE)," ","Limite "&amp;VLOOKUP($F238,Base_Dados!$K$1:$O$11,5,FALSE)&amp;" "&amp;VLOOKUP($F238,Base_Dados!$K$1:$O$11,2,FALSE))," ")</f>
        <v xml:space="preserve"> </v>
      </c>
      <c r="Q238" s="15" t="str">
        <f t="shared" si="1"/>
        <v>Fluxo Impossível</v>
      </c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24" customHeight="1" x14ac:dyDescent="0.3">
      <c r="A239" s="10"/>
      <c r="B239" s="10"/>
      <c r="C239" s="11"/>
      <c r="D239" s="11"/>
      <c r="E239" s="11"/>
      <c r="F239" s="11"/>
      <c r="G239" s="12"/>
      <c r="H239" s="11"/>
      <c r="I239" s="11"/>
      <c r="J239" s="24" t="e">
        <f>VLOOKUP(C239&amp;I239&amp;E239,Orig_Dest!$A$2:$E$1876,5,FALSE)</f>
        <v>#N/A</v>
      </c>
      <c r="K239" s="14" t="e">
        <f t="shared" si="0"/>
        <v>#VALUE!</v>
      </c>
      <c r="L239" s="15" t="str">
        <f>IF(B239="Fornecedor",IF(VLOOKUP(C239,Base_Dados!$E$1:$F$7,2,FALSE)=F239," ","Fornecedor inválido!")," ")</f>
        <v xml:space="preserve"> </v>
      </c>
      <c r="M239" s="16" t="str">
        <f>IF(AND(LEFT(F239,2)="MP",H239&lt;&gt;Base_Dados!$A$1),"Impossível!!!"," ")</f>
        <v xml:space="preserve"> </v>
      </c>
      <c r="N239" s="15" t="str">
        <f>IF(E239="Avião",IF($G239&lt;=VLOOKUP($F239,Base_Dados!$K$1:$O$7,3,FALSE)," ","Limite "&amp;VLOOKUP($F239,Base_Dados!$K$1:$O$11,3,FALSE)&amp;" "&amp;VLOOKUP($F239,Base_Dados!$K$1:$O$11,2,FALSE))," ")</f>
        <v xml:space="preserve"> </v>
      </c>
      <c r="O239" s="15" t="str">
        <f>IF(E239="Caminhão",IF($G239&lt;=VLOOKUP($F239,Base_Dados!$K$1:$O$7,4,FALSE)," ","Limite "&amp;VLOOKUP($F239,Base_Dados!$K$1:$O$11,4,FALSE)&amp;" "&amp;VLOOKUP($F239,Base_Dados!$K$1:$O$11,2,FALSE))," ")</f>
        <v xml:space="preserve"> </v>
      </c>
      <c r="P239" s="15" t="str">
        <f>IF(E239="Navio",IF($G239&lt;=VLOOKUP($F239,Base_Dados!$K$1:$O$7,5,FALSE)," ","Limite "&amp;VLOOKUP($F239,Base_Dados!$K$1:$O$11,5,FALSE)&amp;" "&amp;VLOOKUP($F239,Base_Dados!$K$1:$O$11,2,FALSE))," ")</f>
        <v xml:space="preserve"> </v>
      </c>
      <c r="Q239" s="15" t="str">
        <f t="shared" si="1"/>
        <v>Fluxo Impossível</v>
      </c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24" customHeight="1" x14ac:dyDescent="0.3">
      <c r="A240" s="10"/>
      <c r="B240" s="10"/>
      <c r="C240" s="11"/>
      <c r="D240" s="11"/>
      <c r="E240" s="11"/>
      <c r="F240" s="11"/>
      <c r="G240" s="12"/>
      <c r="H240" s="11"/>
      <c r="I240" s="11"/>
      <c r="J240" s="24" t="e">
        <f>VLOOKUP(C240&amp;I240&amp;E240,Orig_Dest!$A$2:$E$1876,5,FALSE)</f>
        <v>#N/A</v>
      </c>
      <c r="K240" s="14" t="e">
        <f t="shared" si="0"/>
        <v>#VALUE!</v>
      </c>
      <c r="L240" s="15" t="str">
        <f>IF(B240="Fornecedor",IF(VLOOKUP(C240,Base_Dados!$E$1:$F$7,2,FALSE)=F240," ","Fornecedor inválido!")," ")</f>
        <v xml:space="preserve"> </v>
      </c>
      <c r="M240" s="16" t="str">
        <f>IF(AND(LEFT(F240,2)="MP",H240&lt;&gt;Base_Dados!$A$1),"Impossível!!!"," ")</f>
        <v xml:space="preserve"> </v>
      </c>
      <c r="N240" s="15" t="str">
        <f>IF(E240="Avião",IF($G240&lt;=VLOOKUP($F240,Base_Dados!$K$1:$O$7,3,FALSE)," ","Limite "&amp;VLOOKUP($F240,Base_Dados!$K$1:$O$11,3,FALSE)&amp;" "&amp;VLOOKUP($F240,Base_Dados!$K$1:$O$11,2,FALSE))," ")</f>
        <v xml:space="preserve"> </v>
      </c>
      <c r="O240" s="15" t="str">
        <f>IF(E240="Caminhão",IF($G240&lt;=VLOOKUP($F240,Base_Dados!$K$1:$O$7,4,FALSE)," ","Limite "&amp;VLOOKUP($F240,Base_Dados!$K$1:$O$11,4,FALSE)&amp;" "&amp;VLOOKUP($F240,Base_Dados!$K$1:$O$11,2,FALSE))," ")</f>
        <v xml:space="preserve"> </v>
      </c>
      <c r="P240" s="15" t="str">
        <f>IF(E240="Navio",IF($G240&lt;=VLOOKUP($F240,Base_Dados!$K$1:$O$7,5,FALSE)," ","Limite "&amp;VLOOKUP($F240,Base_Dados!$K$1:$O$11,5,FALSE)&amp;" "&amp;VLOOKUP($F240,Base_Dados!$K$1:$O$11,2,FALSE))," ")</f>
        <v xml:space="preserve"> </v>
      </c>
      <c r="Q240" s="15" t="str">
        <f t="shared" si="1"/>
        <v>Fluxo Impossível</v>
      </c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24" customHeight="1" x14ac:dyDescent="0.3">
      <c r="A241" s="10"/>
      <c r="B241" s="10"/>
      <c r="C241" s="11"/>
      <c r="D241" s="11"/>
      <c r="E241" s="11"/>
      <c r="F241" s="11"/>
      <c r="G241" s="12"/>
      <c r="H241" s="11"/>
      <c r="I241" s="11"/>
      <c r="J241" s="24" t="e">
        <f>VLOOKUP(C241&amp;I241&amp;E241,Orig_Dest!$A$2:$E$1876,5,FALSE)</f>
        <v>#N/A</v>
      </c>
      <c r="K241" s="14" t="e">
        <f t="shared" si="0"/>
        <v>#VALUE!</v>
      </c>
      <c r="L241" s="15" t="str">
        <f>IF(B241="Fornecedor",IF(VLOOKUP(C241,Base_Dados!$E$1:$F$7,2,FALSE)=F241," ","Fornecedor inválido!")," ")</f>
        <v xml:space="preserve"> </v>
      </c>
      <c r="M241" s="16" t="str">
        <f>IF(AND(LEFT(F241,2)="MP",H241&lt;&gt;Base_Dados!$A$1),"Impossível!!!"," ")</f>
        <v xml:space="preserve"> </v>
      </c>
      <c r="N241" s="15" t="str">
        <f>IF(E241="Avião",IF($G241&lt;=VLOOKUP($F241,Base_Dados!$K$1:$O$7,3,FALSE)," ","Limite "&amp;VLOOKUP($F241,Base_Dados!$K$1:$O$11,3,FALSE)&amp;" "&amp;VLOOKUP($F241,Base_Dados!$K$1:$O$11,2,FALSE))," ")</f>
        <v xml:space="preserve"> </v>
      </c>
      <c r="O241" s="15" t="str">
        <f>IF(E241="Caminhão",IF($G241&lt;=VLOOKUP($F241,Base_Dados!$K$1:$O$7,4,FALSE)," ","Limite "&amp;VLOOKUP($F241,Base_Dados!$K$1:$O$11,4,FALSE)&amp;" "&amp;VLOOKUP($F241,Base_Dados!$K$1:$O$11,2,FALSE))," ")</f>
        <v xml:space="preserve"> </v>
      </c>
      <c r="P241" s="15" t="str">
        <f>IF(E241="Navio",IF($G241&lt;=VLOOKUP($F241,Base_Dados!$K$1:$O$7,5,FALSE)," ","Limite "&amp;VLOOKUP($F241,Base_Dados!$K$1:$O$11,5,FALSE)&amp;" "&amp;VLOOKUP($F241,Base_Dados!$K$1:$O$11,2,FALSE))," ")</f>
        <v xml:space="preserve"> </v>
      </c>
      <c r="Q241" s="15" t="str">
        <f t="shared" si="1"/>
        <v>Fluxo Impossível</v>
      </c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24" customHeight="1" x14ac:dyDescent="0.3">
      <c r="A242" s="10"/>
      <c r="B242" s="10"/>
      <c r="C242" s="11"/>
      <c r="D242" s="11"/>
      <c r="E242" s="11"/>
      <c r="F242" s="11"/>
      <c r="G242" s="12"/>
      <c r="H242" s="11"/>
      <c r="I242" s="11"/>
      <c r="J242" s="24" t="e">
        <f>VLOOKUP(C242&amp;I242&amp;E242,Orig_Dest!$A$2:$E$1876,5,FALSE)</f>
        <v>#N/A</v>
      </c>
      <c r="K242" s="14" t="e">
        <f t="shared" si="0"/>
        <v>#VALUE!</v>
      </c>
      <c r="L242" s="15" t="str">
        <f>IF(B242="Fornecedor",IF(VLOOKUP(C242,Base_Dados!$E$1:$F$7,2,FALSE)=F242," ","Fornecedor inválido!")," ")</f>
        <v xml:space="preserve"> </v>
      </c>
      <c r="M242" s="16" t="str">
        <f>IF(AND(LEFT(F242,2)="MP",H242&lt;&gt;Base_Dados!$A$1),"Impossível!!!"," ")</f>
        <v xml:space="preserve"> </v>
      </c>
      <c r="N242" s="15" t="str">
        <f>IF(E242="Avião",IF($G242&lt;=VLOOKUP($F242,Base_Dados!$K$1:$O$7,3,FALSE)," ","Limite "&amp;VLOOKUP($F242,Base_Dados!$K$1:$O$11,3,FALSE)&amp;" "&amp;VLOOKUP($F242,Base_Dados!$K$1:$O$11,2,FALSE))," ")</f>
        <v xml:space="preserve"> </v>
      </c>
      <c r="O242" s="15" t="str">
        <f>IF(E242="Caminhão",IF($G242&lt;=VLOOKUP($F242,Base_Dados!$K$1:$O$7,4,FALSE)," ","Limite "&amp;VLOOKUP($F242,Base_Dados!$K$1:$O$11,4,FALSE)&amp;" "&amp;VLOOKUP($F242,Base_Dados!$K$1:$O$11,2,FALSE))," ")</f>
        <v xml:space="preserve"> </v>
      </c>
      <c r="P242" s="15" t="str">
        <f>IF(E242="Navio",IF($G242&lt;=VLOOKUP($F242,Base_Dados!$K$1:$O$7,5,FALSE)," ","Limite "&amp;VLOOKUP($F242,Base_Dados!$K$1:$O$11,5,FALSE)&amp;" "&amp;VLOOKUP($F242,Base_Dados!$K$1:$O$11,2,FALSE))," ")</f>
        <v xml:space="preserve"> </v>
      </c>
      <c r="Q242" s="15" t="str">
        <f t="shared" si="1"/>
        <v>Fluxo Impossível</v>
      </c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24" customHeight="1" x14ac:dyDescent="0.3">
      <c r="A243" s="10"/>
      <c r="B243" s="10"/>
      <c r="C243" s="11"/>
      <c r="D243" s="11"/>
      <c r="E243" s="11"/>
      <c r="F243" s="11"/>
      <c r="G243" s="12"/>
      <c r="H243" s="11"/>
      <c r="I243" s="11"/>
      <c r="J243" s="24" t="e">
        <f>VLOOKUP(C243&amp;I243&amp;E243,Orig_Dest!$A$2:$E$1876,5,FALSE)</f>
        <v>#N/A</v>
      </c>
      <c r="K243" s="14" t="e">
        <f t="shared" si="0"/>
        <v>#VALUE!</v>
      </c>
      <c r="L243" s="15" t="str">
        <f>IF(B243="Fornecedor",IF(VLOOKUP(C243,Base_Dados!$E$1:$F$7,2,FALSE)=F243," ","Fornecedor inválido!")," ")</f>
        <v xml:space="preserve"> </v>
      </c>
      <c r="M243" s="16" t="str">
        <f>IF(AND(LEFT(F243,2)="MP",H243&lt;&gt;Base_Dados!$A$1),"Impossível!!!"," ")</f>
        <v xml:space="preserve"> </v>
      </c>
      <c r="N243" s="15" t="str">
        <f>IF(E243="Avião",IF($G243&lt;=VLOOKUP($F243,Base_Dados!$K$1:$O$7,3,FALSE)," ","Limite "&amp;VLOOKUP($F243,Base_Dados!$K$1:$O$11,3,FALSE)&amp;" "&amp;VLOOKUP($F243,Base_Dados!$K$1:$O$11,2,FALSE))," ")</f>
        <v xml:space="preserve"> </v>
      </c>
      <c r="O243" s="15" t="str">
        <f>IF(E243="Caminhão",IF($G243&lt;=VLOOKUP($F243,Base_Dados!$K$1:$O$7,4,FALSE)," ","Limite "&amp;VLOOKUP($F243,Base_Dados!$K$1:$O$11,4,FALSE)&amp;" "&amp;VLOOKUP($F243,Base_Dados!$K$1:$O$11,2,FALSE))," ")</f>
        <v xml:space="preserve"> </v>
      </c>
      <c r="P243" s="15" t="str">
        <f>IF(E243="Navio",IF($G243&lt;=VLOOKUP($F243,Base_Dados!$K$1:$O$7,5,FALSE)," ","Limite "&amp;VLOOKUP($F243,Base_Dados!$K$1:$O$11,5,FALSE)&amp;" "&amp;VLOOKUP($F243,Base_Dados!$K$1:$O$11,2,FALSE))," ")</f>
        <v xml:space="preserve"> </v>
      </c>
      <c r="Q243" s="15" t="str">
        <f t="shared" si="1"/>
        <v>Fluxo Impossível</v>
      </c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24" customHeight="1" x14ac:dyDescent="0.3">
      <c r="A244" s="10"/>
      <c r="B244" s="10"/>
      <c r="C244" s="11"/>
      <c r="D244" s="11"/>
      <c r="E244" s="11"/>
      <c r="F244" s="11"/>
      <c r="G244" s="12"/>
      <c r="H244" s="11"/>
      <c r="I244" s="11"/>
      <c r="J244" s="24" t="e">
        <f>VLOOKUP(C244&amp;I244&amp;E244,Orig_Dest!$A$2:$E$1876,5,FALSE)</f>
        <v>#N/A</v>
      </c>
      <c r="K244" s="14" t="e">
        <f t="shared" si="0"/>
        <v>#VALUE!</v>
      </c>
      <c r="L244" s="15" t="str">
        <f>IF(B244="Fornecedor",IF(VLOOKUP(C244,Base_Dados!$E$1:$F$7,2,FALSE)=F244," ","Fornecedor inválido!")," ")</f>
        <v xml:space="preserve"> </v>
      </c>
      <c r="M244" s="16" t="str">
        <f>IF(AND(LEFT(F244,2)="MP",H244&lt;&gt;Base_Dados!$A$1),"Impossível!!!"," ")</f>
        <v xml:space="preserve"> </v>
      </c>
      <c r="N244" s="15" t="str">
        <f>IF(E244="Avião",IF($G244&lt;=VLOOKUP($F244,Base_Dados!$K$1:$O$7,3,FALSE)," ","Limite "&amp;VLOOKUP($F244,Base_Dados!$K$1:$O$11,3,FALSE)&amp;" "&amp;VLOOKUP($F244,Base_Dados!$K$1:$O$11,2,FALSE))," ")</f>
        <v xml:space="preserve"> </v>
      </c>
      <c r="O244" s="15" t="str">
        <f>IF(E244="Caminhão",IF($G244&lt;=VLOOKUP($F244,Base_Dados!$K$1:$O$7,4,FALSE)," ","Limite "&amp;VLOOKUP($F244,Base_Dados!$K$1:$O$11,4,FALSE)&amp;" "&amp;VLOOKUP($F244,Base_Dados!$K$1:$O$11,2,FALSE))," ")</f>
        <v xml:space="preserve"> </v>
      </c>
      <c r="P244" s="15" t="str">
        <f>IF(E244="Navio",IF($G244&lt;=VLOOKUP($F244,Base_Dados!$K$1:$O$7,5,FALSE)," ","Limite "&amp;VLOOKUP($F244,Base_Dados!$K$1:$O$11,5,FALSE)&amp;" "&amp;VLOOKUP($F244,Base_Dados!$K$1:$O$11,2,FALSE))," ")</f>
        <v xml:space="preserve"> </v>
      </c>
      <c r="Q244" s="15" t="str">
        <f t="shared" si="1"/>
        <v>Fluxo Impossível</v>
      </c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24" customHeight="1" x14ac:dyDescent="0.3">
      <c r="A245" s="10"/>
      <c r="B245" s="10"/>
      <c r="C245" s="11"/>
      <c r="D245" s="11"/>
      <c r="E245" s="11"/>
      <c r="F245" s="11"/>
      <c r="G245" s="12"/>
      <c r="H245" s="11"/>
      <c r="I245" s="11"/>
      <c r="J245" s="24" t="e">
        <f>VLOOKUP(C245&amp;I245&amp;E245,Orig_Dest!$A$2:$E$1876,5,FALSE)</f>
        <v>#N/A</v>
      </c>
      <c r="K245" s="14" t="e">
        <f t="shared" si="0"/>
        <v>#VALUE!</v>
      </c>
      <c r="L245" s="15" t="str">
        <f>IF(B245="Fornecedor",IF(VLOOKUP(C245,Base_Dados!$E$1:$F$7,2,FALSE)=F245," ","Fornecedor inválido!")," ")</f>
        <v xml:space="preserve"> </v>
      </c>
      <c r="M245" s="16" t="str">
        <f>IF(AND(LEFT(F245,2)="MP",H245&lt;&gt;Base_Dados!$A$1),"Impossível!!!"," ")</f>
        <v xml:space="preserve"> </v>
      </c>
      <c r="N245" s="15" t="str">
        <f>IF(E245="Avião",IF($G245&lt;=VLOOKUP($F245,Base_Dados!$K$1:$O$7,3,FALSE)," ","Limite "&amp;VLOOKUP($F245,Base_Dados!$K$1:$O$11,3,FALSE)&amp;" "&amp;VLOOKUP($F245,Base_Dados!$K$1:$O$11,2,FALSE))," ")</f>
        <v xml:space="preserve"> </v>
      </c>
      <c r="O245" s="15" t="str">
        <f>IF(E245="Caminhão",IF($G245&lt;=VLOOKUP($F245,Base_Dados!$K$1:$O$7,4,FALSE)," ","Limite "&amp;VLOOKUP($F245,Base_Dados!$K$1:$O$11,4,FALSE)&amp;" "&amp;VLOOKUP($F245,Base_Dados!$K$1:$O$11,2,FALSE))," ")</f>
        <v xml:space="preserve"> </v>
      </c>
      <c r="P245" s="15" t="str">
        <f>IF(E245="Navio",IF($G245&lt;=VLOOKUP($F245,Base_Dados!$K$1:$O$7,5,FALSE)," ","Limite "&amp;VLOOKUP($F245,Base_Dados!$K$1:$O$11,5,FALSE)&amp;" "&amp;VLOOKUP($F245,Base_Dados!$K$1:$O$11,2,FALSE))," ")</f>
        <v xml:space="preserve"> </v>
      </c>
      <c r="Q245" s="15" t="str">
        <f t="shared" si="1"/>
        <v>Fluxo Impossível</v>
      </c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24" customHeight="1" x14ac:dyDescent="0.3">
      <c r="A246" s="10"/>
      <c r="B246" s="10"/>
      <c r="C246" s="11"/>
      <c r="D246" s="11"/>
      <c r="E246" s="11"/>
      <c r="F246" s="11"/>
      <c r="G246" s="12"/>
      <c r="H246" s="11"/>
      <c r="I246" s="11"/>
      <c r="J246" s="24" t="e">
        <f>VLOOKUP(C246&amp;I246&amp;E246,Orig_Dest!$A$2:$E$1876,5,FALSE)</f>
        <v>#N/A</v>
      </c>
      <c r="K246" s="14" t="e">
        <f t="shared" si="0"/>
        <v>#VALUE!</v>
      </c>
      <c r="L246" s="15" t="str">
        <f>IF(B246="Fornecedor",IF(VLOOKUP(C246,Base_Dados!$E$1:$F$7,2,FALSE)=F246," ","Fornecedor inválido!")," ")</f>
        <v xml:space="preserve"> </v>
      </c>
      <c r="M246" s="16" t="str">
        <f>IF(AND(LEFT(F246,2)="MP",H246&lt;&gt;Base_Dados!$A$1),"Impossível!!!"," ")</f>
        <v xml:space="preserve"> </v>
      </c>
      <c r="N246" s="15" t="str">
        <f>IF(E246="Avião",IF($G246&lt;=VLOOKUP($F246,Base_Dados!$K$1:$O$7,3,FALSE)," ","Limite "&amp;VLOOKUP($F246,Base_Dados!$K$1:$O$11,3,FALSE)&amp;" "&amp;VLOOKUP($F246,Base_Dados!$K$1:$O$11,2,FALSE))," ")</f>
        <v xml:space="preserve"> </v>
      </c>
      <c r="O246" s="15" t="str">
        <f>IF(E246="Caminhão",IF($G246&lt;=VLOOKUP($F246,Base_Dados!$K$1:$O$7,4,FALSE)," ","Limite "&amp;VLOOKUP($F246,Base_Dados!$K$1:$O$11,4,FALSE)&amp;" "&amp;VLOOKUP($F246,Base_Dados!$K$1:$O$11,2,FALSE))," ")</f>
        <v xml:space="preserve"> </v>
      </c>
      <c r="P246" s="15" t="str">
        <f>IF(E246="Navio",IF($G246&lt;=VLOOKUP($F246,Base_Dados!$K$1:$O$7,5,FALSE)," ","Limite "&amp;VLOOKUP($F246,Base_Dados!$K$1:$O$11,5,FALSE)&amp;" "&amp;VLOOKUP($F246,Base_Dados!$K$1:$O$11,2,FALSE))," ")</f>
        <v xml:space="preserve"> </v>
      </c>
      <c r="Q246" s="15" t="str">
        <f t="shared" si="1"/>
        <v>Fluxo Impossível</v>
      </c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24" customHeight="1" x14ac:dyDescent="0.3">
      <c r="A247" s="10"/>
      <c r="B247" s="10"/>
      <c r="C247" s="11"/>
      <c r="D247" s="11"/>
      <c r="E247" s="11"/>
      <c r="F247" s="11"/>
      <c r="G247" s="12"/>
      <c r="H247" s="11"/>
      <c r="I247" s="11"/>
      <c r="J247" s="24" t="e">
        <f>VLOOKUP(C247&amp;I247&amp;E247,Orig_Dest!$A$2:$E$1876,5,FALSE)</f>
        <v>#N/A</v>
      </c>
      <c r="K247" s="14" t="e">
        <f t="shared" si="0"/>
        <v>#VALUE!</v>
      </c>
      <c r="L247" s="15" t="str">
        <f>IF(B247="Fornecedor",IF(VLOOKUP(C247,Base_Dados!$E$1:$F$7,2,FALSE)=F247," ","Fornecedor inválido!")," ")</f>
        <v xml:space="preserve"> </v>
      </c>
      <c r="M247" s="16" t="str">
        <f>IF(AND(LEFT(F247,2)="MP",H247&lt;&gt;Base_Dados!$A$1),"Impossível!!!"," ")</f>
        <v xml:space="preserve"> </v>
      </c>
      <c r="N247" s="15" t="str">
        <f>IF(E247="Avião",IF($G247&lt;=VLOOKUP($F247,Base_Dados!$K$1:$O$7,3,FALSE)," ","Limite "&amp;VLOOKUP($F247,Base_Dados!$K$1:$O$11,3,FALSE)&amp;" "&amp;VLOOKUP($F247,Base_Dados!$K$1:$O$11,2,FALSE))," ")</f>
        <v xml:space="preserve"> </v>
      </c>
      <c r="O247" s="15" t="str">
        <f>IF(E247="Caminhão",IF($G247&lt;=VLOOKUP($F247,Base_Dados!$K$1:$O$7,4,FALSE)," ","Limite "&amp;VLOOKUP($F247,Base_Dados!$K$1:$O$11,4,FALSE)&amp;" "&amp;VLOOKUP($F247,Base_Dados!$K$1:$O$11,2,FALSE))," ")</f>
        <v xml:space="preserve"> </v>
      </c>
      <c r="P247" s="15" t="str">
        <f>IF(E247="Navio",IF($G247&lt;=VLOOKUP($F247,Base_Dados!$K$1:$O$7,5,FALSE)," ","Limite "&amp;VLOOKUP($F247,Base_Dados!$K$1:$O$11,5,FALSE)&amp;" "&amp;VLOOKUP($F247,Base_Dados!$K$1:$O$11,2,FALSE))," ")</f>
        <v xml:space="preserve"> </v>
      </c>
      <c r="Q247" s="15" t="str">
        <f t="shared" si="1"/>
        <v>Fluxo Impossível</v>
      </c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24" customHeight="1" x14ac:dyDescent="0.3">
      <c r="A248" s="10"/>
      <c r="B248" s="10"/>
      <c r="C248" s="11"/>
      <c r="D248" s="11"/>
      <c r="E248" s="11"/>
      <c r="F248" s="11"/>
      <c r="G248" s="12"/>
      <c r="H248" s="11"/>
      <c r="I248" s="11"/>
      <c r="J248" s="24" t="e">
        <f>VLOOKUP(C248&amp;I248&amp;E248,Orig_Dest!$A$2:$E$1876,5,FALSE)</f>
        <v>#N/A</v>
      </c>
      <c r="K248" s="14" t="e">
        <f t="shared" si="0"/>
        <v>#VALUE!</v>
      </c>
      <c r="L248" s="15" t="str">
        <f>IF(B248="Fornecedor",IF(VLOOKUP(C248,Base_Dados!$E$1:$F$7,2,FALSE)=F248," ","Fornecedor inválido!")," ")</f>
        <v xml:space="preserve"> </v>
      </c>
      <c r="M248" s="16" t="str">
        <f>IF(AND(LEFT(F248,2)="MP",H248&lt;&gt;Base_Dados!$A$1),"Impossível!!!"," ")</f>
        <v xml:space="preserve"> </v>
      </c>
      <c r="N248" s="15" t="str">
        <f>IF(E248="Avião",IF($G248&lt;=VLOOKUP($F248,Base_Dados!$K$1:$O$7,3,FALSE)," ","Limite "&amp;VLOOKUP($F248,Base_Dados!$K$1:$O$11,3,FALSE)&amp;" "&amp;VLOOKUP($F248,Base_Dados!$K$1:$O$11,2,FALSE))," ")</f>
        <v xml:space="preserve"> </v>
      </c>
      <c r="O248" s="15" t="str">
        <f>IF(E248="Caminhão",IF($G248&lt;=VLOOKUP($F248,Base_Dados!$K$1:$O$7,4,FALSE)," ","Limite "&amp;VLOOKUP($F248,Base_Dados!$K$1:$O$11,4,FALSE)&amp;" "&amp;VLOOKUP($F248,Base_Dados!$K$1:$O$11,2,FALSE))," ")</f>
        <v xml:space="preserve"> </v>
      </c>
      <c r="P248" s="15" t="str">
        <f>IF(E248="Navio",IF($G248&lt;=VLOOKUP($F248,Base_Dados!$K$1:$O$7,5,FALSE)," ","Limite "&amp;VLOOKUP($F248,Base_Dados!$K$1:$O$11,5,FALSE)&amp;" "&amp;VLOOKUP($F248,Base_Dados!$K$1:$O$11,2,FALSE))," ")</f>
        <v xml:space="preserve"> </v>
      </c>
      <c r="Q248" s="15" t="str">
        <f t="shared" si="1"/>
        <v>Fluxo Impossível</v>
      </c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24" customHeight="1" x14ac:dyDescent="0.3">
      <c r="A249" s="10"/>
      <c r="B249" s="10"/>
      <c r="C249" s="11"/>
      <c r="D249" s="11"/>
      <c r="E249" s="11"/>
      <c r="F249" s="11"/>
      <c r="G249" s="12"/>
      <c r="H249" s="11"/>
      <c r="I249" s="11"/>
      <c r="J249" s="24" t="e">
        <f>VLOOKUP(C249&amp;I249&amp;E249,Orig_Dest!$A$2:$E$1876,5,FALSE)</f>
        <v>#N/A</v>
      </c>
      <c r="K249" s="14" t="e">
        <f t="shared" si="0"/>
        <v>#VALUE!</v>
      </c>
      <c r="L249" s="15" t="str">
        <f>IF(B249="Fornecedor",IF(VLOOKUP(C249,Base_Dados!$E$1:$F$7,2,FALSE)=F249," ","Fornecedor inválido!")," ")</f>
        <v xml:space="preserve"> </v>
      </c>
      <c r="M249" s="16" t="str">
        <f>IF(AND(LEFT(F249,2)="MP",H249&lt;&gt;Base_Dados!$A$1),"Impossível!!!"," ")</f>
        <v xml:space="preserve"> </v>
      </c>
      <c r="N249" s="15" t="str">
        <f>IF(E249="Avião",IF($G249&lt;=VLOOKUP($F249,Base_Dados!$K$1:$O$7,3,FALSE)," ","Limite "&amp;VLOOKUP($F249,Base_Dados!$K$1:$O$11,3,FALSE)&amp;" "&amp;VLOOKUP($F249,Base_Dados!$K$1:$O$11,2,FALSE))," ")</f>
        <v xml:space="preserve"> </v>
      </c>
      <c r="O249" s="15" t="str">
        <f>IF(E249="Caminhão",IF($G249&lt;=VLOOKUP($F249,Base_Dados!$K$1:$O$7,4,FALSE)," ","Limite "&amp;VLOOKUP($F249,Base_Dados!$K$1:$O$11,4,FALSE)&amp;" "&amp;VLOOKUP($F249,Base_Dados!$K$1:$O$11,2,FALSE))," ")</f>
        <v xml:space="preserve"> </v>
      </c>
      <c r="P249" s="15" t="str">
        <f>IF(E249="Navio",IF($G249&lt;=VLOOKUP($F249,Base_Dados!$K$1:$O$7,5,FALSE)," ","Limite "&amp;VLOOKUP($F249,Base_Dados!$K$1:$O$11,5,FALSE)&amp;" "&amp;VLOOKUP($F249,Base_Dados!$K$1:$O$11,2,FALSE))," ")</f>
        <v xml:space="preserve"> </v>
      </c>
      <c r="Q249" s="15" t="str">
        <f t="shared" si="1"/>
        <v>Fluxo Impossível</v>
      </c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24" customHeight="1" x14ac:dyDescent="0.3">
      <c r="A250" s="10"/>
      <c r="B250" s="10"/>
      <c r="C250" s="11"/>
      <c r="D250" s="11"/>
      <c r="E250" s="11"/>
      <c r="F250" s="11"/>
      <c r="G250" s="12"/>
      <c r="H250" s="11"/>
      <c r="I250" s="11"/>
      <c r="J250" s="24" t="e">
        <f>VLOOKUP(C250&amp;I250&amp;E250,Orig_Dest!$A$2:$E$1876,5,FALSE)</f>
        <v>#N/A</v>
      </c>
      <c r="K250" s="14" t="e">
        <f t="shared" si="0"/>
        <v>#VALUE!</v>
      </c>
      <c r="L250" s="15" t="str">
        <f>IF(B250="Fornecedor",IF(VLOOKUP(C250,Base_Dados!$E$1:$F$7,2,FALSE)=F250," ","Fornecedor inválido!")," ")</f>
        <v xml:space="preserve"> </v>
      </c>
      <c r="M250" s="16" t="str">
        <f>IF(AND(LEFT(F250,2)="MP",H250&lt;&gt;Base_Dados!$A$1),"Impossível!!!"," ")</f>
        <v xml:space="preserve"> </v>
      </c>
      <c r="N250" s="15" t="str">
        <f>IF(E250="Avião",IF($G250&lt;=VLOOKUP($F250,Base_Dados!$K$1:$O$7,3,FALSE)," ","Limite "&amp;VLOOKUP($F250,Base_Dados!$K$1:$O$11,3,FALSE)&amp;" "&amp;VLOOKUP($F250,Base_Dados!$K$1:$O$11,2,FALSE))," ")</f>
        <v xml:space="preserve"> </v>
      </c>
      <c r="O250" s="15" t="str">
        <f>IF(E250="Caminhão",IF($G250&lt;=VLOOKUP($F250,Base_Dados!$K$1:$O$7,4,FALSE)," ","Limite "&amp;VLOOKUP($F250,Base_Dados!$K$1:$O$11,4,FALSE)&amp;" "&amp;VLOOKUP($F250,Base_Dados!$K$1:$O$11,2,FALSE))," ")</f>
        <v xml:space="preserve"> </v>
      </c>
      <c r="P250" s="15" t="str">
        <f>IF(E250="Navio",IF($G250&lt;=VLOOKUP($F250,Base_Dados!$K$1:$O$7,5,FALSE)," ","Limite "&amp;VLOOKUP($F250,Base_Dados!$K$1:$O$11,5,FALSE)&amp;" "&amp;VLOOKUP($F250,Base_Dados!$K$1:$O$11,2,FALSE))," ")</f>
        <v xml:space="preserve"> </v>
      </c>
      <c r="Q250" s="15" t="str">
        <f t="shared" si="1"/>
        <v>Fluxo Impossível</v>
      </c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24" customHeight="1" x14ac:dyDescent="0.3">
      <c r="A251" s="10"/>
      <c r="B251" s="10"/>
      <c r="C251" s="11"/>
      <c r="D251" s="11"/>
      <c r="E251" s="11"/>
      <c r="F251" s="11"/>
      <c r="G251" s="12"/>
      <c r="H251" s="11"/>
      <c r="I251" s="11"/>
      <c r="J251" s="24" t="e">
        <f>VLOOKUP(C251&amp;I251&amp;E251,Orig_Dest!$A$2:$E$1876,5,FALSE)</f>
        <v>#N/A</v>
      </c>
      <c r="K251" s="14" t="e">
        <f t="shared" si="0"/>
        <v>#VALUE!</v>
      </c>
      <c r="L251" s="15" t="str">
        <f>IF(B251="Fornecedor",IF(VLOOKUP(C251,Base_Dados!$E$1:$F$7,2,FALSE)=F251," ","Fornecedor inválido!")," ")</f>
        <v xml:space="preserve"> </v>
      </c>
      <c r="M251" s="16" t="str">
        <f>IF(AND(LEFT(F251,2)="MP",H251&lt;&gt;Base_Dados!$A$1),"Impossível!!!"," ")</f>
        <v xml:space="preserve"> </v>
      </c>
      <c r="N251" s="15" t="str">
        <f>IF(E251="Avião",IF($G251&lt;=VLOOKUP($F251,Base_Dados!$K$1:$O$7,3,FALSE)," ","Limite "&amp;VLOOKUP($F251,Base_Dados!$K$1:$O$11,3,FALSE)&amp;" "&amp;VLOOKUP($F251,Base_Dados!$K$1:$O$11,2,FALSE))," ")</f>
        <v xml:space="preserve"> </v>
      </c>
      <c r="O251" s="15" t="str">
        <f>IF(E251="Caminhão",IF($G251&lt;=VLOOKUP($F251,Base_Dados!$K$1:$O$7,4,FALSE)," ","Limite "&amp;VLOOKUP($F251,Base_Dados!$K$1:$O$11,4,FALSE)&amp;" "&amp;VLOOKUP($F251,Base_Dados!$K$1:$O$11,2,FALSE))," ")</f>
        <v xml:space="preserve"> </v>
      </c>
      <c r="P251" s="15" t="str">
        <f>IF(E251="Navio",IF($G251&lt;=VLOOKUP($F251,Base_Dados!$K$1:$O$7,5,FALSE)," ","Limite "&amp;VLOOKUP($F251,Base_Dados!$K$1:$O$11,5,FALSE)&amp;" "&amp;VLOOKUP($F251,Base_Dados!$K$1:$O$11,2,FALSE))," ")</f>
        <v xml:space="preserve"> </v>
      </c>
      <c r="Q251" s="15" t="str">
        <f t="shared" si="1"/>
        <v>Fluxo Impossível</v>
      </c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24" customHeight="1" x14ac:dyDescent="0.3">
      <c r="A252" s="10"/>
      <c r="B252" s="10"/>
      <c r="C252" s="11"/>
      <c r="D252" s="11"/>
      <c r="E252" s="11"/>
      <c r="F252" s="11"/>
      <c r="G252" s="12"/>
      <c r="H252" s="11"/>
      <c r="I252" s="11"/>
      <c r="J252" s="24" t="e">
        <f>VLOOKUP(C252&amp;I252&amp;E252,Orig_Dest!$A$2:$E$1876,5,FALSE)</f>
        <v>#N/A</v>
      </c>
      <c r="K252" s="14" t="e">
        <f t="shared" si="0"/>
        <v>#VALUE!</v>
      </c>
      <c r="L252" s="15" t="str">
        <f>IF(B252="Fornecedor",IF(VLOOKUP(C252,Base_Dados!$E$1:$F$7,2,FALSE)=F252," ","Fornecedor inválido!")," ")</f>
        <v xml:space="preserve"> </v>
      </c>
      <c r="M252" s="16" t="str">
        <f>IF(AND(LEFT(F252,2)="MP",H252&lt;&gt;Base_Dados!$A$1),"Impossível!!!"," ")</f>
        <v xml:space="preserve"> </v>
      </c>
      <c r="N252" s="15" t="str">
        <f>IF(E252="Avião",IF($G252&lt;=VLOOKUP($F252,Base_Dados!$K$1:$O$7,3,FALSE)," ","Limite "&amp;VLOOKUP($F252,Base_Dados!$K$1:$O$11,3,FALSE)&amp;" "&amp;VLOOKUP($F252,Base_Dados!$K$1:$O$11,2,FALSE))," ")</f>
        <v xml:space="preserve"> </v>
      </c>
      <c r="O252" s="15" t="str">
        <f>IF(E252="Caminhão",IF($G252&lt;=VLOOKUP($F252,Base_Dados!$K$1:$O$7,4,FALSE)," ","Limite "&amp;VLOOKUP($F252,Base_Dados!$K$1:$O$11,4,FALSE)&amp;" "&amp;VLOOKUP($F252,Base_Dados!$K$1:$O$11,2,FALSE))," ")</f>
        <v xml:space="preserve"> </v>
      </c>
      <c r="P252" s="15" t="str">
        <f>IF(E252="Navio",IF($G252&lt;=VLOOKUP($F252,Base_Dados!$K$1:$O$7,5,FALSE)," ","Limite "&amp;VLOOKUP($F252,Base_Dados!$K$1:$O$11,5,FALSE)&amp;" "&amp;VLOOKUP($F252,Base_Dados!$K$1:$O$11,2,FALSE))," ")</f>
        <v xml:space="preserve"> </v>
      </c>
      <c r="Q252" s="15" t="str">
        <f t="shared" si="1"/>
        <v>Fluxo Impossível</v>
      </c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24" customHeight="1" x14ac:dyDescent="0.3">
      <c r="A253" s="10"/>
      <c r="B253" s="10"/>
      <c r="C253" s="11"/>
      <c r="D253" s="11"/>
      <c r="E253" s="11"/>
      <c r="F253" s="11"/>
      <c r="G253" s="12"/>
      <c r="H253" s="11"/>
      <c r="I253" s="11"/>
      <c r="J253" s="24" t="e">
        <f>VLOOKUP(C253&amp;I253&amp;E253,Orig_Dest!$A$2:$E$1876,5,FALSE)</f>
        <v>#N/A</v>
      </c>
      <c r="K253" s="14" t="e">
        <f t="shared" si="0"/>
        <v>#VALUE!</v>
      </c>
      <c r="L253" s="15" t="str">
        <f>IF(B253="Fornecedor",IF(VLOOKUP(C253,Base_Dados!$E$1:$F$7,2,FALSE)=F253," ","Fornecedor inválido!")," ")</f>
        <v xml:space="preserve"> </v>
      </c>
      <c r="M253" s="16" t="str">
        <f>IF(AND(LEFT(F253,2)="MP",H253&lt;&gt;Base_Dados!$A$1),"Impossível!!!"," ")</f>
        <v xml:space="preserve"> </v>
      </c>
      <c r="N253" s="15" t="str">
        <f>IF(E253="Avião",IF($G253&lt;=VLOOKUP($F253,Base_Dados!$K$1:$O$7,3,FALSE)," ","Limite "&amp;VLOOKUP($F253,Base_Dados!$K$1:$O$11,3,FALSE)&amp;" "&amp;VLOOKUP($F253,Base_Dados!$K$1:$O$11,2,FALSE))," ")</f>
        <v xml:space="preserve"> </v>
      </c>
      <c r="O253" s="15" t="str">
        <f>IF(E253="Caminhão",IF($G253&lt;=VLOOKUP($F253,Base_Dados!$K$1:$O$7,4,FALSE)," ","Limite "&amp;VLOOKUP($F253,Base_Dados!$K$1:$O$11,4,FALSE)&amp;" "&amp;VLOOKUP($F253,Base_Dados!$K$1:$O$11,2,FALSE))," ")</f>
        <v xml:space="preserve"> </v>
      </c>
      <c r="P253" s="15" t="str">
        <f>IF(E253="Navio",IF($G253&lt;=VLOOKUP($F253,Base_Dados!$K$1:$O$7,5,FALSE)," ","Limite "&amp;VLOOKUP($F253,Base_Dados!$K$1:$O$11,5,FALSE)&amp;" "&amp;VLOOKUP($F253,Base_Dados!$K$1:$O$11,2,FALSE))," ")</f>
        <v xml:space="preserve"> </v>
      </c>
      <c r="Q253" s="15" t="str">
        <f t="shared" si="1"/>
        <v>Fluxo Impossível</v>
      </c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24" customHeight="1" x14ac:dyDescent="0.3">
      <c r="A254" s="10"/>
      <c r="B254" s="10"/>
      <c r="C254" s="11"/>
      <c r="D254" s="11"/>
      <c r="E254" s="11"/>
      <c r="F254" s="11"/>
      <c r="G254" s="12"/>
      <c r="H254" s="11"/>
      <c r="I254" s="11"/>
      <c r="J254" s="24" t="e">
        <f>VLOOKUP(C254&amp;I254&amp;E254,Orig_Dest!$A$2:$E$1876,5,FALSE)</f>
        <v>#N/A</v>
      </c>
      <c r="K254" s="14" t="e">
        <f t="shared" si="0"/>
        <v>#VALUE!</v>
      </c>
      <c r="L254" s="15" t="str">
        <f>IF(B254="Fornecedor",IF(VLOOKUP(C254,Base_Dados!$E$1:$F$7,2,FALSE)=F254," ","Fornecedor inválido!")," ")</f>
        <v xml:space="preserve"> </v>
      </c>
      <c r="M254" s="16" t="str">
        <f>IF(AND(LEFT(F254,2)="MP",H254&lt;&gt;Base_Dados!$A$1),"Impossível!!!"," ")</f>
        <v xml:space="preserve"> </v>
      </c>
      <c r="N254" s="15" t="str">
        <f>IF(E254="Avião",IF($G254&lt;=VLOOKUP($F254,Base_Dados!$K$1:$O$7,3,FALSE)," ","Limite "&amp;VLOOKUP($F254,Base_Dados!$K$1:$O$11,3,FALSE)&amp;" "&amp;VLOOKUP($F254,Base_Dados!$K$1:$O$11,2,FALSE))," ")</f>
        <v xml:space="preserve"> </v>
      </c>
      <c r="O254" s="15" t="str">
        <f>IF(E254="Caminhão",IF($G254&lt;=VLOOKUP($F254,Base_Dados!$K$1:$O$7,4,FALSE)," ","Limite "&amp;VLOOKUP($F254,Base_Dados!$K$1:$O$11,4,FALSE)&amp;" "&amp;VLOOKUP($F254,Base_Dados!$K$1:$O$11,2,FALSE))," ")</f>
        <v xml:space="preserve"> </v>
      </c>
      <c r="P254" s="15" t="str">
        <f>IF(E254="Navio",IF($G254&lt;=VLOOKUP($F254,Base_Dados!$K$1:$O$7,5,FALSE)," ","Limite "&amp;VLOOKUP($F254,Base_Dados!$K$1:$O$11,5,FALSE)&amp;" "&amp;VLOOKUP($F254,Base_Dados!$K$1:$O$11,2,FALSE))," ")</f>
        <v xml:space="preserve"> </v>
      </c>
      <c r="Q254" s="15" t="str">
        <f t="shared" si="1"/>
        <v>Fluxo Impossível</v>
      </c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24" customHeight="1" x14ac:dyDescent="0.3">
      <c r="A255" s="10"/>
      <c r="B255" s="10"/>
      <c r="C255" s="11"/>
      <c r="D255" s="11"/>
      <c r="E255" s="11"/>
      <c r="F255" s="11"/>
      <c r="G255" s="12"/>
      <c r="H255" s="11"/>
      <c r="I255" s="11"/>
      <c r="J255" s="24" t="e">
        <f>VLOOKUP(C255&amp;I255&amp;E255,Orig_Dest!$A$2:$E$1876,5,FALSE)</f>
        <v>#N/A</v>
      </c>
      <c r="K255" s="14" t="e">
        <f t="shared" si="0"/>
        <v>#VALUE!</v>
      </c>
      <c r="L255" s="15" t="str">
        <f>IF(B255="Fornecedor",IF(VLOOKUP(C255,Base_Dados!$E$1:$F$7,2,FALSE)=F255," ","Fornecedor inválido!")," ")</f>
        <v xml:space="preserve"> </v>
      </c>
      <c r="M255" s="16" t="str">
        <f>IF(AND(LEFT(F255,2)="MP",H255&lt;&gt;Base_Dados!$A$1),"Impossível!!!"," ")</f>
        <v xml:space="preserve"> </v>
      </c>
      <c r="N255" s="15" t="str">
        <f>IF(E255="Avião",IF($G255&lt;=VLOOKUP($F255,Base_Dados!$K$1:$O$7,3,FALSE)," ","Limite "&amp;VLOOKUP($F255,Base_Dados!$K$1:$O$11,3,FALSE)&amp;" "&amp;VLOOKUP($F255,Base_Dados!$K$1:$O$11,2,FALSE))," ")</f>
        <v xml:space="preserve"> </v>
      </c>
      <c r="O255" s="15" t="str">
        <f>IF(E255="Caminhão",IF($G255&lt;=VLOOKUP($F255,Base_Dados!$K$1:$O$7,4,FALSE)," ","Limite "&amp;VLOOKUP($F255,Base_Dados!$K$1:$O$11,4,FALSE)&amp;" "&amp;VLOOKUP($F255,Base_Dados!$K$1:$O$11,2,FALSE))," ")</f>
        <v xml:space="preserve"> </v>
      </c>
      <c r="P255" s="15" t="str">
        <f>IF(E255="Navio",IF($G255&lt;=VLOOKUP($F255,Base_Dados!$K$1:$O$7,5,FALSE)," ","Limite "&amp;VLOOKUP($F255,Base_Dados!$K$1:$O$11,5,FALSE)&amp;" "&amp;VLOOKUP($F255,Base_Dados!$K$1:$O$11,2,FALSE))," ")</f>
        <v xml:space="preserve"> </v>
      </c>
      <c r="Q255" s="15" t="str">
        <f t="shared" si="1"/>
        <v>Fluxo Impossível</v>
      </c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24" customHeight="1" x14ac:dyDescent="0.3">
      <c r="A256" s="10"/>
      <c r="B256" s="10"/>
      <c r="C256" s="11"/>
      <c r="D256" s="11"/>
      <c r="E256" s="11"/>
      <c r="F256" s="11"/>
      <c r="G256" s="12"/>
      <c r="H256" s="11"/>
      <c r="I256" s="11"/>
      <c r="J256" s="24" t="e">
        <f>VLOOKUP(C256&amp;I256&amp;E256,Orig_Dest!$A$2:$E$1876,5,FALSE)</f>
        <v>#N/A</v>
      </c>
      <c r="K256" s="14" t="e">
        <f t="shared" si="0"/>
        <v>#VALUE!</v>
      </c>
      <c r="L256" s="15" t="str">
        <f>IF(B256="Fornecedor",IF(VLOOKUP(C256,Base_Dados!$E$1:$F$7,2,FALSE)=F256," ","Fornecedor inválido!")," ")</f>
        <v xml:space="preserve"> </v>
      </c>
      <c r="M256" s="16" t="str">
        <f>IF(AND(LEFT(F256,2)="MP",H256&lt;&gt;Base_Dados!$A$1),"Impossível!!!"," ")</f>
        <v xml:space="preserve"> </v>
      </c>
      <c r="N256" s="15" t="str">
        <f>IF(E256="Avião",IF($G256&lt;=VLOOKUP($F256,Base_Dados!$K$1:$O$7,3,FALSE)," ","Limite "&amp;VLOOKUP($F256,Base_Dados!$K$1:$O$11,3,FALSE)&amp;" "&amp;VLOOKUP($F256,Base_Dados!$K$1:$O$11,2,FALSE))," ")</f>
        <v xml:space="preserve"> </v>
      </c>
      <c r="O256" s="15" t="str">
        <f>IF(E256="Caminhão",IF($G256&lt;=VLOOKUP($F256,Base_Dados!$K$1:$O$7,4,FALSE)," ","Limite "&amp;VLOOKUP($F256,Base_Dados!$K$1:$O$11,4,FALSE)&amp;" "&amp;VLOOKUP($F256,Base_Dados!$K$1:$O$11,2,FALSE))," ")</f>
        <v xml:space="preserve"> </v>
      </c>
      <c r="P256" s="15" t="str">
        <f>IF(E256="Navio",IF($G256&lt;=VLOOKUP($F256,Base_Dados!$K$1:$O$7,5,FALSE)," ","Limite "&amp;VLOOKUP($F256,Base_Dados!$K$1:$O$11,5,FALSE)&amp;" "&amp;VLOOKUP($F256,Base_Dados!$K$1:$O$11,2,FALSE))," ")</f>
        <v xml:space="preserve"> </v>
      </c>
      <c r="Q256" s="15" t="str">
        <f t="shared" si="1"/>
        <v>Fluxo Impossível</v>
      </c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24" customHeight="1" x14ac:dyDescent="0.3">
      <c r="A257" s="10"/>
      <c r="B257" s="10"/>
      <c r="C257" s="11"/>
      <c r="D257" s="11"/>
      <c r="E257" s="11"/>
      <c r="F257" s="11"/>
      <c r="G257" s="12"/>
      <c r="H257" s="11"/>
      <c r="I257" s="11"/>
      <c r="J257" s="24" t="e">
        <f>VLOOKUP(C257&amp;I257&amp;E257,Orig_Dest!$A$2:$E$1876,5,FALSE)</f>
        <v>#N/A</v>
      </c>
      <c r="K257" s="14" t="e">
        <f t="shared" si="0"/>
        <v>#VALUE!</v>
      </c>
      <c r="L257" s="15" t="str">
        <f>IF(B257="Fornecedor",IF(VLOOKUP(C257,Base_Dados!$E$1:$F$7,2,FALSE)=F257," ","Fornecedor inválido!")," ")</f>
        <v xml:space="preserve"> </v>
      </c>
      <c r="M257" s="16" t="str">
        <f>IF(AND(LEFT(F257,2)="MP",H257&lt;&gt;Base_Dados!$A$1),"Impossível!!!"," ")</f>
        <v xml:space="preserve"> </v>
      </c>
      <c r="N257" s="15" t="str">
        <f>IF(E257="Avião",IF($G257&lt;=VLOOKUP($F257,Base_Dados!$K$1:$O$7,3,FALSE)," ","Limite "&amp;VLOOKUP($F257,Base_Dados!$K$1:$O$11,3,FALSE)&amp;" "&amp;VLOOKUP($F257,Base_Dados!$K$1:$O$11,2,FALSE))," ")</f>
        <v xml:space="preserve"> </v>
      </c>
      <c r="O257" s="15" t="str">
        <f>IF(E257="Caminhão",IF($G257&lt;=VLOOKUP($F257,Base_Dados!$K$1:$O$7,4,FALSE)," ","Limite "&amp;VLOOKUP($F257,Base_Dados!$K$1:$O$11,4,FALSE)&amp;" "&amp;VLOOKUP($F257,Base_Dados!$K$1:$O$11,2,FALSE))," ")</f>
        <v xml:space="preserve"> </v>
      </c>
      <c r="P257" s="15" t="str">
        <f>IF(E257="Navio",IF($G257&lt;=VLOOKUP($F257,Base_Dados!$K$1:$O$7,5,FALSE)," ","Limite "&amp;VLOOKUP($F257,Base_Dados!$K$1:$O$11,5,FALSE)&amp;" "&amp;VLOOKUP($F257,Base_Dados!$K$1:$O$11,2,FALSE))," ")</f>
        <v xml:space="preserve"> </v>
      </c>
      <c r="Q257" s="15" t="str">
        <f t="shared" si="1"/>
        <v>Fluxo Impossível</v>
      </c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24" customHeight="1" x14ac:dyDescent="0.3">
      <c r="A258" s="10"/>
      <c r="B258" s="10"/>
      <c r="C258" s="11"/>
      <c r="D258" s="11"/>
      <c r="E258" s="11"/>
      <c r="F258" s="11"/>
      <c r="G258" s="12"/>
      <c r="H258" s="11"/>
      <c r="I258" s="11"/>
      <c r="J258" s="24" t="e">
        <f>VLOOKUP(C258&amp;I258&amp;E258,Orig_Dest!$A$2:$E$1876,5,FALSE)</f>
        <v>#N/A</v>
      </c>
      <c r="K258" s="14" t="e">
        <f t="shared" si="0"/>
        <v>#VALUE!</v>
      </c>
      <c r="L258" s="15" t="str">
        <f>IF(B258="Fornecedor",IF(VLOOKUP(C258,Base_Dados!$E$1:$F$7,2,FALSE)=F258," ","Fornecedor inválido!")," ")</f>
        <v xml:space="preserve"> </v>
      </c>
      <c r="M258" s="16" t="str">
        <f>IF(AND(LEFT(F258,2)="MP",H258&lt;&gt;Base_Dados!$A$1),"Impossível!!!"," ")</f>
        <v xml:space="preserve"> </v>
      </c>
      <c r="N258" s="15" t="str">
        <f>IF(E258="Avião",IF($G258&lt;=VLOOKUP($F258,Base_Dados!$K$1:$O$7,3,FALSE)," ","Limite "&amp;VLOOKUP($F258,Base_Dados!$K$1:$O$11,3,FALSE)&amp;" "&amp;VLOOKUP($F258,Base_Dados!$K$1:$O$11,2,FALSE))," ")</f>
        <v xml:space="preserve"> </v>
      </c>
      <c r="O258" s="15" t="str">
        <f>IF(E258="Caminhão",IF($G258&lt;=VLOOKUP($F258,Base_Dados!$K$1:$O$7,4,FALSE)," ","Limite "&amp;VLOOKUP($F258,Base_Dados!$K$1:$O$11,4,FALSE)&amp;" "&amp;VLOOKUP($F258,Base_Dados!$K$1:$O$11,2,FALSE))," ")</f>
        <v xml:space="preserve"> </v>
      </c>
      <c r="P258" s="15" t="str">
        <f>IF(E258="Navio",IF($G258&lt;=VLOOKUP($F258,Base_Dados!$K$1:$O$7,5,FALSE)," ","Limite "&amp;VLOOKUP($F258,Base_Dados!$K$1:$O$11,5,FALSE)&amp;" "&amp;VLOOKUP($F258,Base_Dados!$K$1:$O$11,2,FALSE))," ")</f>
        <v xml:space="preserve"> </v>
      </c>
      <c r="Q258" s="15" t="str">
        <f t="shared" si="1"/>
        <v>Fluxo Impossível</v>
      </c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24" customHeight="1" x14ac:dyDescent="0.3">
      <c r="A259" s="10"/>
      <c r="B259" s="10"/>
      <c r="C259" s="11"/>
      <c r="D259" s="11"/>
      <c r="E259" s="11"/>
      <c r="F259" s="11"/>
      <c r="G259" s="12"/>
      <c r="H259" s="11"/>
      <c r="I259" s="11"/>
      <c r="J259" s="24" t="e">
        <f>VLOOKUP(C259&amp;I259&amp;E259,Orig_Dest!$A$2:$E$1876,5,FALSE)</f>
        <v>#N/A</v>
      </c>
      <c r="K259" s="14" t="e">
        <f t="shared" si="0"/>
        <v>#VALUE!</v>
      </c>
      <c r="L259" s="15" t="str">
        <f>IF(B259="Fornecedor",IF(VLOOKUP(C259,Base_Dados!$E$1:$F$7,2,FALSE)=F259," ","Fornecedor inválido!")," ")</f>
        <v xml:space="preserve"> </v>
      </c>
      <c r="M259" s="16" t="str">
        <f>IF(AND(LEFT(F259,2)="MP",H259&lt;&gt;Base_Dados!$A$1),"Impossível!!!"," ")</f>
        <v xml:space="preserve"> </v>
      </c>
      <c r="N259" s="15" t="str">
        <f>IF(E259="Avião",IF($G259&lt;=VLOOKUP($F259,Base_Dados!$K$1:$O$7,3,FALSE)," ","Limite "&amp;VLOOKUP($F259,Base_Dados!$K$1:$O$11,3,FALSE)&amp;" "&amp;VLOOKUP($F259,Base_Dados!$K$1:$O$11,2,FALSE))," ")</f>
        <v xml:space="preserve"> </v>
      </c>
      <c r="O259" s="15" t="str">
        <f>IF(E259="Caminhão",IF($G259&lt;=VLOOKUP($F259,Base_Dados!$K$1:$O$7,4,FALSE)," ","Limite "&amp;VLOOKUP($F259,Base_Dados!$K$1:$O$11,4,FALSE)&amp;" "&amp;VLOOKUP($F259,Base_Dados!$K$1:$O$11,2,FALSE))," ")</f>
        <v xml:space="preserve"> </v>
      </c>
      <c r="P259" s="15" t="str">
        <f>IF(E259="Navio",IF($G259&lt;=VLOOKUP($F259,Base_Dados!$K$1:$O$7,5,FALSE)," ","Limite "&amp;VLOOKUP($F259,Base_Dados!$K$1:$O$11,5,FALSE)&amp;" "&amp;VLOOKUP($F259,Base_Dados!$K$1:$O$11,2,FALSE))," ")</f>
        <v xml:space="preserve"> </v>
      </c>
      <c r="Q259" s="15" t="str">
        <f t="shared" si="1"/>
        <v>Fluxo Impossível</v>
      </c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24" customHeight="1" x14ac:dyDescent="0.3">
      <c r="A260" s="10"/>
      <c r="B260" s="10"/>
      <c r="C260" s="11"/>
      <c r="D260" s="11"/>
      <c r="E260" s="11"/>
      <c r="F260" s="11"/>
      <c r="G260" s="12"/>
      <c r="H260" s="11"/>
      <c r="I260" s="11"/>
      <c r="J260" s="24" t="e">
        <f>VLOOKUP(C260&amp;I260&amp;E260,Orig_Dest!$A$2:$E$1876,5,FALSE)</f>
        <v>#N/A</v>
      </c>
      <c r="K260" s="14" t="e">
        <f t="shared" ref="K260:K400" si="2">"Dia "&amp;(IF(LEN(D260)=7,RIGHT(D260,SEARCH(" ",D260)-1)+J260,IF(LEN(D260)&lt;6,RIGHT(D260,SEARCH(" ",D260)-3),RIGHT(D260,SEARCH(" ",D260)-2))+J260))</f>
        <v>#VALUE!</v>
      </c>
      <c r="L260" s="15" t="str">
        <f>IF(B260="Fornecedor",IF(VLOOKUP(C260,Base_Dados!$E$1:$F$7,2,FALSE)=F260," ","Fornecedor inválido!")," ")</f>
        <v xml:space="preserve"> </v>
      </c>
      <c r="M260" s="16" t="str">
        <f>IF(AND(LEFT(F260,2)="MP",H260&lt;&gt;Base_Dados!$A$1),"Impossível!!!"," ")</f>
        <v xml:space="preserve"> </v>
      </c>
      <c r="N260" s="15" t="str">
        <f>IF(E260="Avião",IF($G260&lt;=VLOOKUP($F260,Base_Dados!$K$1:$O$7,3,FALSE)," ","Limite "&amp;VLOOKUP($F260,Base_Dados!$K$1:$O$11,3,FALSE)&amp;" "&amp;VLOOKUP($F260,Base_Dados!$K$1:$O$11,2,FALSE))," ")</f>
        <v xml:space="preserve"> </v>
      </c>
      <c r="O260" s="15" t="str">
        <f>IF(E260="Caminhão",IF($G260&lt;=VLOOKUP($F260,Base_Dados!$K$1:$O$7,4,FALSE)," ","Limite "&amp;VLOOKUP($F260,Base_Dados!$K$1:$O$11,4,FALSE)&amp;" "&amp;VLOOKUP($F260,Base_Dados!$K$1:$O$11,2,FALSE))," ")</f>
        <v xml:space="preserve"> </v>
      </c>
      <c r="P260" s="15" t="str">
        <f>IF(E260="Navio",IF($G260&lt;=VLOOKUP($F260,Base_Dados!$K$1:$O$7,5,FALSE)," ","Limite "&amp;VLOOKUP($F260,Base_Dados!$K$1:$O$11,5,FALSE)&amp;" "&amp;VLOOKUP($F260,Base_Dados!$K$1:$O$11,2,FALSE))," ")</f>
        <v xml:space="preserve"> </v>
      </c>
      <c r="Q260" s="15" t="str">
        <f t="shared" ref="Q260:Q400" si="3">IF(AND(B260="Fornecedor",H260="Fábrica"),"",IF(AND(B260="Fábrica",H260="CD"),"",IF(AND(B260="CD",H260="Varejista"),"","Fluxo Impossível")))</f>
        <v>Fluxo Impossível</v>
      </c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24" customHeight="1" x14ac:dyDescent="0.3">
      <c r="A261" s="10"/>
      <c r="B261" s="10"/>
      <c r="C261" s="11"/>
      <c r="D261" s="11"/>
      <c r="E261" s="11"/>
      <c r="F261" s="11"/>
      <c r="G261" s="12"/>
      <c r="H261" s="11"/>
      <c r="I261" s="11"/>
      <c r="J261" s="24" t="e">
        <f>VLOOKUP(C261&amp;I261&amp;E261,Orig_Dest!$A$2:$E$1876,5,FALSE)</f>
        <v>#N/A</v>
      </c>
      <c r="K261" s="14" t="e">
        <f t="shared" si="2"/>
        <v>#VALUE!</v>
      </c>
      <c r="L261" s="15" t="str">
        <f>IF(B261="Fornecedor",IF(VLOOKUP(C261,Base_Dados!$E$1:$F$7,2,FALSE)=F261," ","Fornecedor inválido!")," ")</f>
        <v xml:space="preserve"> </v>
      </c>
      <c r="M261" s="16" t="str">
        <f>IF(AND(LEFT(F261,2)="MP",H261&lt;&gt;Base_Dados!$A$1),"Impossível!!!"," ")</f>
        <v xml:space="preserve"> </v>
      </c>
      <c r="N261" s="15" t="str">
        <f>IF(E261="Avião",IF($G261&lt;=VLOOKUP($F261,Base_Dados!$K$1:$O$7,3,FALSE)," ","Limite "&amp;VLOOKUP($F261,Base_Dados!$K$1:$O$11,3,FALSE)&amp;" "&amp;VLOOKUP($F261,Base_Dados!$K$1:$O$11,2,FALSE))," ")</f>
        <v xml:space="preserve"> </v>
      </c>
      <c r="O261" s="15" t="str">
        <f>IF(E261="Caminhão",IF($G261&lt;=VLOOKUP($F261,Base_Dados!$K$1:$O$7,4,FALSE)," ","Limite "&amp;VLOOKUP($F261,Base_Dados!$K$1:$O$11,4,FALSE)&amp;" "&amp;VLOOKUP($F261,Base_Dados!$K$1:$O$11,2,FALSE))," ")</f>
        <v xml:space="preserve"> </v>
      </c>
      <c r="P261" s="15" t="str">
        <f>IF(E261="Navio",IF($G261&lt;=VLOOKUP($F261,Base_Dados!$K$1:$O$7,5,FALSE)," ","Limite "&amp;VLOOKUP($F261,Base_Dados!$K$1:$O$11,5,FALSE)&amp;" "&amp;VLOOKUP($F261,Base_Dados!$K$1:$O$11,2,FALSE))," ")</f>
        <v xml:space="preserve"> </v>
      </c>
      <c r="Q261" s="15" t="str">
        <f t="shared" si="3"/>
        <v>Fluxo Impossível</v>
      </c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24" customHeight="1" x14ac:dyDescent="0.3">
      <c r="A262" s="10"/>
      <c r="B262" s="10"/>
      <c r="C262" s="11"/>
      <c r="D262" s="11"/>
      <c r="E262" s="11"/>
      <c r="F262" s="11"/>
      <c r="G262" s="12"/>
      <c r="H262" s="11"/>
      <c r="I262" s="11"/>
      <c r="J262" s="24" t="e">
        <f>VLOOKUP(C262&amp;I262&amp;E262,Orig_Dest!$A$2:$E$1876,5,FALSE)</f>
        <v>#N/A</v>
      </c>
      <c r="K262" s="14" t="e">
        <f t="shared" si="2"/>
        <v>#VALUE!</v>
      </c>
      <c r="L262" s="15" t="str">
        <f>IF(B262="Fornecedor",IF(VLOOKUP(C262,Base_Dados!$E$1:$F$7,2,FALSE)=F262," ","Fornecedor inválido!")," ")</f>
        <v xml:space="preserve"> </v>
      </c>
      <c r="M262" s="16" t="str">
        <f>IF(AND(LEFT(F262,2)="MP",H262&lt;&gt;Base_Dados!$A$1),"Impossível!!!"," ")</f>
        <v xml:space="preserve"> </v>
      </c>
      <c r="N262" s="15" t="str">
        <f>IF(E262="Avião",IF($G262&lt;=VLOOKUP($F262,Base_Dados!$K$1:$O$7,3,FALSE)," ","Limite "&amp;VLOOKUP($F262,Base_Dados!$K$1:$O$11,3,FALSE)&amp;" "&amp;VLOOKUP($F262,Base_Dados!$K$1:$O$11,2,FALSE))," ")</f>
        <v xml:space="preserve"> </v>
      </c>
      <c r="O262" s="15" t="str">
        <f>IF(E262="Caminhão",IF($G262&lt;=VLOOKUP($F262,Base_Dados!$K$1:$O$7,4,FALSE)," ","Limite "&amp;VLOOKUP($F262,Base_Dados!$K$1:$O$11,4,FALSE)&amp;" "&amp;VLOOKUP($F262,Base_Dados!$K$1:$O$11,2,FALSE))," ")</f>
        <v xml:space="preserve"> </v>
      </c>
      <c r="P262" s="15" t="str">
        <f>IF(E262="Navio",IF($G262&lt;=VLOOKUP($F262,Base_Dados!$K$1:$O$7,5,FALSE)," ","Limite "&amp;VLOOKUP($F262,Base_Dados!$K$1:$O$11,5,FALSE)&amp;" "&amp;VLOOKUP($F262,Base_Dados!$K$1:$O$11,2,FALSE))," ")</f>
        <v xml:space="preserve"> </v>
      </c>
      <c r="Q262" s="15" t="str">
        <f t="shared" si="3"/>
        <v>Fluxo Impossível</v>
      </c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24" customHeight="1" x14ac:dyDescent="0.3">
      <c r="A263" s="10"/>
      <c r="B263" s="10"/>
      <c r="C263" s="11"/>
      <c r="D263" s="11"/>
      <c r="E263" s="11"/>
      <c r="F263" s="11"/>
      <c r="G263" s="12"/>
      <c r="H263" s="11"/>
      <c r="I263" s="11"/>
      <c r="J263" s="24" t="e">
        <f>VLOOKUP(C263&amp;I263&amp;E263,Orig_Dest!$A$2:$E$1876,5,FALSE)</f>
        <v>#N/A</v>
      </c>
      <c r="K263" s="14" t="e">
        <f t="shared" si="2"/>
        <v>#VALUE!</v>
      </c>
      <c r="L263" s="15" t="str">
        <f>IF(B263="Fornecedor",IF(VLOOKUP(C263,Base_Dados!$E$1:$F$7,2,FALSE)=F263," ","Fornecedor inválido!")," ")</f>
        <v xml:space="preserve"> </v>
      </c>
      <c r="M263" s="16" t="str">
        <f>IF(AND(LEFT(F263,2)="MP",H263&lt;&gt;Base_Dados!$A$1),"Impossível!!!"," ")</f>
        <v xml:space="preserve"> </v>
      </c>
      <c r="N263" s="15" t="str">
        <f>IF(E263="Avião",IF($G263&lt;=VLOOKUP($F263,Base_Dados!$K$1:$O$7,3,FALSE)," ","Limite "&amp;VLOOKUP($F263,Base_Dados!$K$1:$O$11,3,FALSE)&amp;" "&amp;VLOOKUP($F263,Base_Dados!$K$1:$O$11,2,FALSE))," ")</f>
        <v xml:space="preserve"> </v>
      </c>
      <c r="O263" s="15" t="str">
        <f>IF(E263="Caminhão",IF($G263&lt;=VLOOKUP($F263,Base_Dados!$K$1:$O$7,4,FALSE)," ","Limite "&amp;VLOOKUP($F263,Base_Dados!$K$1:$O$11,4,FALSE)&amp;" "&amp;VLOOKUP($F263,Base_Dados!$K$1:$O$11,2,FALSE))," ")</f>
        <v xml:space="preserve"> </v>
      </c>
      <c r="P263" s="15" t="str">
        <f>IF(E263="Navio",IF($G263&lt;=VLOOKUP($F263,Base_Dados!$K$1:$O$7,5,FALSE)," ","Limite "&amp;VLOOKUP($F263,Base_Dados!$K$1:$O$11,5,FALSE)&amp;" "&amp;VLOOKUP($F263,Base_Dados!$K$1:$O$11,2,FALSE))," ")</f>
        <v xml:space="preserve"> </v>
      </c>
      <c r="Q263" s="15" t="str">
        <f t="shared" si="3"/>
        <v>Fluxo Impossível</v>
      </c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24" customHeight="1" x14ac:dyDescent="0.3">
      <c r="A264" s="10"/>
      <c r="B264" s="10"/>
      <c r="C264" s="11"/>
      <c r="D264" s="11"/>
      <c r="E264" s="11"/>
      <c r="F264" s="11"/>
      <c r="G264" s="12"/>
      <c r="H264" s="11"/>
      <c r="I264" s="11"/>
      <c r="J264" s="24" t="e">
        <f>VLOOKUP(C264&amp;I264&amp;E264,Orig_Dest!$A$2:$E$1876,5,FALSE)</f>
        <v>#N/A</v>
      </c>
      <c r="K264" s="14" t="e">
        <f t="shared" si="2"/>
        <v>#VALUE!</v>
      </c>
      <c r="L264" s="15" t="str">
        <f>IF(B264="Fornecedor",IF(VLOOKUP(C264,Base_Dados!$E$1:$F$7,2,FALSE)=F264," ","Fornecedor inválido!")," ")</f>
        <v xml:space="preserve"> </v>
      </c>
      <c r="M264" s="16" t="str">
        <f>IF(AND(LEFT(F264,2)="MP",H264&lt;&gt;Base_Dados!$A$1),"Impossível!!!"," ")</f>
        <v xml:space="preserve"> </v>
      </c>
      <c r="N264" s="15" t="str">
        <f>IF(E264="Avião",IF($G264&lt;=VLOOKUP($F264,Base_Dados!$K$1:$O$7,3,FALSE)," ","Limite "&amp;VLOOKUP($F264,Base_Dados!$K$1:$O$11,3,FALSE)&amp;" "&amp;VLOOKUP($F264,Base_Dados!$K$1:$O$11,2,FALSE))," ")</f>
        <v xml:space="preserve"> </v>
      </c>
      <c r="O264" s="15" t="str">
        <f>IF(E264="Caminhão",IF($G264&lt;=VLOOKUP($F264,Base_Dados!$K$1:$O$7,4,FALSE)," ","Limite "&amp;VLOOKUP($F264,Base_Dados!$K$1:$O$11,4,FALSE)&amp;" "&amp;VLOOKUP($F264,Base_Dados!$K$1:$O$11,2,FALSE))," ")</f>
        <v xml:space="preserve"> </v>
      </c>
      <c r="P264" s="15" t="str">
        <f>IF(E264="Navio",IF($G264&lt;=VLOOKUP($F264,Base_Dados!$K$1:$O$7,5,FALSE)," ","Limite "&amp;VLOOKUP($F264,Base_Dados!$K$1:$O$11,5,FALSE)&amp;" "&amp;VLOOKUP($F264,Base_Dados!$K$1:$O$11,2,FALSE))," ")</f>
        <v xml:space="preserve"> </v>
      </c>
      <c r="Q264" s="15" t="str">
        <f t="shared" si="3"/>
        <v>Fluxo Impossível</v>
      </c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24" customHeight="1" x14ac:dyDescent="0.3">
      <c r="A265" s="10"/>
      <c r="B265" s="10"/>
      <c r="C265" s="11"/>
      <c r="D265" s="11"/>
      <c r="E265" s="11"/>
      <c r="F265" s="11"/>
      <c r="G265" s="12"/>
      <c r="H265" s="11"/>
      <c r="I265" s="11"/>
      <c r="J265" s="24" t="e">
        <f>VLOOKUP(C265&amp;I265&amp;E265,Orig_Dest!$A$2:$E$1876,5,FALSE)</f>
        <v>#N/A</v>
      </c>
      <c r="K265" s="14" t="e">
        <f t="shared" si="2"/>
        <v>#VALUE!</v>
      </c>
      <c r="L265" s="15" t="str">
        <f>IF(B265="Fornecedor",IF(VLOOKUP(C265,Base_Dados!$E$1:$F$7,2,FALSE)=F265," ","Fornecedor inválido!")," ")</f>
        <v xml:space="preserve"> </v>
      </c>
      <c r="M265" s="16" t="str">
        <f>IF(AND(LEFT(F265,2)="MP",H265&lt;&gt;Base_Dados!$A$1),"Impossível!!!"," ")</f>
        <v xml:space="preserve"> </v>
      </c>
      <c r="N265" s="15" t="str">
        <f>IF(E265="Avião",IF($G265&lt;=VLOOKUP($F265,Base_Dados!$K$1:$O$7,3,FALSE)," ","Limite "&amp;VLOOKUP($F265,Base_Dados!$K$1:$O$11,3,FALSE)&amp;" "&amp;VLOOKUP($F265,Base_Dados!$K$1:$O$11,2,FALSE))," ")</f>
        <v xml:space="preserve"> </v>
      </c>
      <c r="O265" s="15" t="str">
        <f>IF(E265="Caminhão",IF($G265&lt;=VLOOKUP($F265,Base_Dados!$K$1:$O$7,4,FALSE)," ","Limite "&amp;VLOOKUP($F265,Base_Dados!$K$1:$O$11,4,FALSE)&amp;" "&amp;VLOOKUP($F265,Base_Dados!$K$1:$O$11,2,FALSE))," ")</f>
        <v xml:space="preserve"> </v>
      </c>
      <c r="P265" s="15" t="str">
        <f>IF(E265="Navio",IF($G265&lt;=VLOOKUP($F265,Base_Dados!$K$1:$O$7,5,FALSE)," ","Limite "&amp;VLOOKUP($F265,Base_Dados!$K$1:$O$11,5,FALSE)&amp;" "&amp;VLOOKUP($F265,Base_Dados!$K$1:$O$11,2,FALSE))," ")</f>
        <v xml:space="preserve"> </v>
      </c>
      <c r="Q265" s="15" t="str">
        <f t="shared" si="3"/>
        <v>Fluxo Impossível</v>
      </c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24" customHeight="1" x14ac:dyDescent="0.3">
      <c r="A266" s="10"/>
      <c r="B266" s="10"/>
      <c r="C266" s="11"/>
      <c r="D266" s="11"/>
      <c r="E266" s="11"/>
      <c r="F266" s="11"/>
      <c r="G266" s="12"/>
      <c r="H266" s="11"/>
      <c r="I266" s="11"/>
      <c r="J266" s="24" t="e">
        <f>VLOOKUP(C266&amp;I266&amp;E266,Orig_Dest!$A$2:$E$1876,5,FALSE)</f>
        <v>#N/A</v>
      </c>
      <c r="K266" s="14" t="e">
        <f t="shared" si="2"/>
        <v>#VALUE!</v>
      </c>
      <c r="L266" s="15" t="str">
        <f>IF(B266="Fornecedor",IF(VLOOKUP(C266,Base_Dados!$E$1:$F$7,2,FALSE)=F266," ","Fornecedor inválido!")," ")</f>
        <v xml:space="preserve"> </v>
      </c>
      <c r="M266" s="16" t="str">
        <f>IF(AND(LEFT(F266,2)="MP",H266&lt;&gt;Base_Dados!$A$1),"Impossível!!!"," ")</f>
        <v xml:space="preserve"> </v>
      </c>
      <c r="N266" s="15" t="str">
        <f>IF(E266="Avião",IF($G266&lt;=VLOOKUP($F266,Base_Dados!$K$1:$O$7,3,FALSE)," ","Limite "&amp;VLOOKUP($F266,Base_Dados!$K$1:$O$11,3,FALSE)&amp;" "&amp;VLOOKUP($F266,Base_Dados!$K$1:$O$11,2,FALSE))," ")</f>
        <v xml:space="preserve"> </v>
      </c>
      <c r="O266" s="15" t="str">
        <f>IF(E266="Caminhão",IF($G266&lt;=VLOOKUP($F266,Base_Dados!$K$1:$O$7,4,FALSE)," ","Limite "&amp;VLOOKUP($F266,Base_Dados!$K$1:$O$11,4,FALSE)&amp;" "&amp;VLOOKUP($F266,Base_Dados!$K$1:$O$11,2,FALSE))," ")</f>
        <v xml:space="preserve"> </v>
      </c>
      <c r="P266" s="15" t="str">
        <f>IF(E266="Navio",IF($G266&lt;=VLOOKUP($F266,Base_Dados!$K$1:$O$7,5,FALSE)," ","Limite "&amp;VLOOKUP($F266,Base_Dados!$K$1:$O$11,5,FALSE)&amp;" "&amp;VLOOKUP($F266,Base_Dados!$K$1:$O$11,2,FALSE))," ")</f>
        <v xml:space="preserve"> </v>
      </c>
      <c r="Q266" s="15" t="str">
        <f t="shared" si="3"/>
        <v>Fluxo Impossível</v>
      </c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24" customHeight="1" x14ac:dyDescent="0.3">
      <c r="A267" s="10"/>
      <c r="B267" s="10"/>
      <c r="C267" s="11"/>
      <c r="D267" s="11"/>
      <c r="E267" s="11"/>
      <c r="F267" s="11"/>
      <c r="G267" s="12"/>
      <c r="H267" s="11"/>
      <c r="I267" s="11"/>
      <c r="J267" s="24" t="e">
        <f>VLOOKUP(C267&amp;I267&amp;E267,Orig_Dest!$A$2:$E$1876,5,FALSE)</f>
        <v>#N/A</v>
      </c>
      <c r="K267" s="14" t="e">
        <f t="shared" si="2"/>
        <v>#VALUE!</v>
      </c>
      <c r="L267" s="15" t="str">
        <f>IF(B267="Fornecedor",IF(VLOOKUP(C267,Base_Dados!$E$1:$F$7,2,FALSE)=F267," ","Fornecedor inválido!")," ")</f>
        <v xml:space="preserve"> </v>
      </c>
      <c r="M267" s="16" t="str">
        <f>IF(AND(LEFT(F267,2)="MP",H267&lt;&gt;Base_Dados!$A$1),"Impossível!!!"," ")</f>
        <v xml:space="preserve"> </v>
      </c>
      <c r="N267" s="15" t="str">
        <f>IF(E267="Avião",IF($G267&lt;=VLOOKUP($F267,Base_Dados!$K$1:$O$7,3,FALSE)," ","Limite "&amp;VLOOKUP($F267,Base_Dados!$K$1:$O$11,3,FALSE)&amp;" "&amp;VLOOKUP($F267,Base_Dados!$K$1:$O$11,2,FALSE))," ")</f>
        <v xml:space="preserve"> </v>
      </c>
      <c r="O267" s="15" t="str">
        <f>IF(E267="Caminhão",IF($G267&lt;=VLOOKUP($F267,Base_Dados!$K$1:$O$7,4,FALSE)," ","Limite "&amp;VLOOKUP($F267,Base_Dados!$K$1:$O$11,4,FALSE)&amp;" "&amp;VLOOKUP($F267,Base_Dados!$K$1:$O$11,2,FALSE))," ")</f>
        <v xml:space="preserve"> </v>
      </c>
      <c r="P267" s="15" t="str">
        <f>IF(E267="Navio",IF($G267&lt;=VLOOKUP($F267,Base_Dados!$K$1:$O$7,5,FALSE)," ","Limite "&amp;VLOOKUP($F267,Base_Dados!$K$1:$O$11,5,FALSE)&amp;" "&amp;VLOOKUP($F267,Base_Dados!$K$1:$O$11,2,FALSE))," ")</f>
        <v xml:space="preserve"> </v>
      </c>
      <c r="Q267" s="15" t="str">
        <f t="shared" si="3"/>
        <v>Fluxo Impossível</v>
      </c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24" customHeight="1" x14ac:dyDescent="0.3">
      <c r="A268" s="10"/>
      <c r="B268" s="10"/>
      <c r="C268" s="11"/>
      <c r="D268" s="11"/>
      <c r="E268" s="11"/>
      <c r="F268" s="11"/>
      <c r="G268" s="12"/>
      <c r="H268" s="11"/>
      <c r="I268" s="11"/>
      <c r="J268" s="24" t="e">
        <f>VLOOKUP(C268&amp;I268&amp;E268,Orig_Dest!$A$2:$E$1876,5,FALSE)</f>
        <v>#N/A</v>
      </c>
      <c r="K268" s="14" t="e">
        <f t="shared" si="2"/>
        <v>#VALUE!</v>
      </c>
      <c r="L268" s="15" t="str">
        <f>IF(B268="Fornecedor",IF(VLOOKUP(C268,Base_Dados!$E$1:$F$7,2,FALSE)=F268," ","Fornecedor inválido!")," ")</f>
        <v xml:space="preserve"> </v>
      </c>
      <c r="M268" s="16" t="str">
        <f>IF(AND(LEFT(F268,2)="MP",H268&lt;&gt;Base_Dados!$A$1),"Impossível!!!"," ")</f>
        <v xml:space="preserve"> </v>
      </c>
      <c r="N268" s="15" t="str">
        <f>IF(E268="Avião",IF($G268&lt;=VLOOKUP($F268,Base_Dados!$K$1:$O$7,3,FALSE)," ","Limite "&amp;VLOOKUP($F268,Base_Dados!$K$1:$O$11,3,FALSE)&amp;" "&amp;VLOOKUP($F268,Base_Dados!$K$1:$O$11,2,FALSE))," ")</f>
        <v xml:space="preserve"> </v>
      </c>
      <c r="O268" s="15" t="str">
        <f>IF(E268="Caminhão",IF($G268&lt;=VLOOKUP($F268,Base_Dados!$K$1:$O$7,4,FALSE)," ","Limite "&amp;VLOOKUP($F268,Base_Dados!$K$1:$O$11,4,FALSE)&amp;" "&amp;VLOOKUP($F268,Base_Dados!$K$1:$O$11,2,FALSE))," ")</f>
        <v xml:space="preserve"> </v>
      </c>
      <c r="P268" s="15" t="str">
        <f>IF(E268="Navio",IF($G268&lt;=VLOOKUP($F268,Base_Dados!$K$1:$O$7,5,FALSE)," ","Limite "&amp;VLOOKUP($F268,Base_Dados!$K$1:$O$11,5,FALSE)&amp;" "&amp;VLOOKUP($F268,Base_Dados!$K$1:$O$11,2,FALSE))," ")</f>
        <v xml:space="preserve"> </v>
      </c>
      <c r="Q268" s="15" t="str">
        <f t="shared" si="3"/>
        <v>Fluxo Impossível</v>
      </c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24" customHeight="1" x14ac:dyDescent="0.3">
      <c r="A269" s="10"/>
      <c r="B269" s="10"/>
      <c r="C269" s="11"/>
      <c r="D269" s="11"/>
      <c r="E269" s="11"/>
      <c r="F269" s="11"/>
      <c r="G269" s="12"/>
      <c r="H269" s="11"/>
      <c r="I269" s="11"/>
      <c r="J269" s="24" t="e">
        <f>VLOOKUP(C269&amp;I269&amp;E269,Orig_Dest!$A$2:$E$1876,5,FALSE)</f>
        <v>#N/A</v>
      </c>
      <c r="K269" s="14" t="e">
        <f t="shared" si="2"/>
        <v>#VALUE!</v>
      </c>
      <c r="L269" s="15" t="str">
        <f>IF(B269="Fornecedor",IF(VLOOKUP(C269,Base_Dados!$E$1:$F$7,2,FALSE)=F269," ","Fornecedor inválido!")," ")</f>
        <v xml:space="preserve"> </v>
      </c>
      <c r="M269" s="16" t="str">
        <f>IF(AND(LEFT(F269,2)="MP",H269&lt;&gt;Base_Dados!$A$1),"Impossível!!!"," ")</f>
        <v xml:space="preserve"> </v>
      </c>
      <c r="N269" s="15" t="str">
        <f>IF(E269="Avião",IF($G269&lt;=VLOOKUP($F269,Base_Dados!$K$1:$O$7,3,FALSE)," ","Limite "&amp;VLOOKUP($F269,Base_Dados!$K$1:$O$11,3,FALSE)&amp;" "&amp;VLOOKUP($F269,Base_Dados!$K$1:$O$11,2,FALSE))," ")</f>
        <v xml:space="preserve"> </v>
      </c>
      <c r="O269" s="15" t="str">
        <f>IF(E269="Caminhão",IF($G269&lt;=VLOOKUP($F269,Base_Dados!$K$1:$O$7,4,FALSE)," ","Limite "&amp;VLOOKUP($F269,Base_Dados!$K$1:$O$11,4,FALSE)&amp;" "&amp;VLOOKUP($F269,Base_Dados!$K$1:$O$11,2,FALSE))," ")</f>
        <v xml:space="preserve"> </v>
      </c>
      <c r="P269" s="15" t="str">
        <f>IF(E269="Navio",IF($G269&lt;=VLOOKUP($F269,Base_Dados!$K$1:$O$7,5,FALSE)," ","Limite "&amp;VLOOKUP($F269,Base_Dados!$K$1:$O$11,5,FALSE)&amp;" "&amp;VLOOKUP($F269,Base_Dados!$K$1:$O$11,2,FALSE))," ")</f>
        <v xml:space="preserve"> </v>
      </c>
      <c r="Q269" s="15" t="str">
        <f t="shared" si="3"/>
        <v>Fluxo Impossível</v>
      </c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24" customHeight="1" x14ac:dyDescent="0.3">
      <c r="A270" s="10"/>
      <c r="B270" s="10"/>
      <c r="C270" s="11"/>
      <c r="D270" s="11"/>
      <c r="E270" s="11"/>
      <c r="F270" s="11"/>
      <c r="G270" s="12"/>
      <c r="H270" s="11"/>
      <c r="I270" s="11"/>
      <c r="J270" s="24" t="e">
        <f>VLOOKUP(C270&amp;I270&amp;E270,Orig_Dest!$A$2:$E$1876,5,FALSE)</f>
        <v>#N/A</v>
      </c>
      <c r="K270" s="14" t="e">
        <f t="shared" si="2"/>
        <v>#VALUE!</v>
      </c>
      <c r="L270" s="15" t="str">
        <f>IF(B270="Fornecedor",IF(VLOOKUP(C270,Base_Dados!$E$1:$F$7,2,FALSE)=F270," ","Fornecedor inválido!")," ")</f>
        <v xml:space="preserve"> </v>
      </c>
      <c r="M270" s="16" t="str">
        <f>IF(AND(LEFT(F270,2)="MP",H270&lt;&gt;Base_Dados!$A$1),"Impossível!!!"," ")</f>
        <v xml:space="preserve"> </v>
      </c>
      <c r="N270" s="15" t="str">
        <f>IF(E270="Avião",IF($G270&lt;=VLOOKUP($F270,Base_Dados!$K$1:$O$7,3,FALSE)," ","Limite "&amp;VLOOKUP($F270,Base_Dados!$K$1:$O$11,3,FALSE)&amp;" "&amp;VLOOKUP($F270,Base_Dados!$K$1:$O$11,2,FALSE))," ")</f>
        <v xml:space="preserve"> </v>
      </c>
      <c r="O270" s="15" t="str">
        <f>IF(E270="Caminhão",IF($G270&lt;=VLOOKUP($F270,Base_Dados!$K$1:$O$7,4,FALSE)," ","Limite "&amp;VLOOKUP($F270,Base_Dados!$K$1:$O$11,4,FALSE)&amp;" "&amp;VLOOKUP($F270,Base_Dados!$K$1:$O$11,2,FALSE))," ")</f>
        <v xml:space="preserve"> </v>
      </c>
      <c r="P270" s="15" t="str">
        <f>IF(E270="Navio",IF($G270&lt;=VLOOKUP($F270,Base_Dados!$K$1:$O$7,5,FALSE)," ","Limite "&amp;VLOOKUP($F270,Base_Dados!$K$1:$O$11,5,FALSE)&amp;" "&amp;VLOOKUP($F270,Base_Dados!$K$1:$O$11,2,FALSE))," ")</f>
        <v xml:space="preserve"> </v>
      </c>
      <c r="Q270" s="15" t="str">
        <f t="shared" si="3"/>
        <v>Fluxo Impossível</v>
      </c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24" customHeight="1" x14ac:dyDescent="0.3">
      <c r="A271" s="10"/>
      <c r="B271" s="10"/>
      <c r="C271" s="11"/>
      <c r="D271" s="11"/>
      <c r="E271" s="11"/>
      <c r="F271" s="11"/>
      <c r="G271" s="12"/>
      <c r="H271" s="11"/>
      <c r="I271" s="11"/>
      <c r="J271" s="24" t="e">
        <f>VLOOKUP(C271&amp;I271&amp;E271,Orig_Dest!$A$2:$E$1876,5,FALSE)</f>
        <v>#N/A</v>
      </c>
      <c r="K271" s="14" t="e">
        <f t="shared" si="2"/>
        <v>#VALUE!</v>
      </c>
      <c r="L271" s="15" t="str">
        <f>IF(B271="Fornecedor",IF(VLOOKUP(C271,Base_Dados!$E$1:$F$7,2,FALSE)=F271," ","Fornecedor inválido!")," ")</f>
        <v xml:space="preserve"> </v>
      </c>
      <c r="M271" s="16" t="str">
        <f>IF(AND(LEFT(F271,2)="MP",H271&lt;&gt;Base_Dados!$A$1),"Impossível!!!"," ")</f>
        <v xml:space="preserve"> </v>
      </c>
      <c r="N271" s="15" t="str">
        <f>IF(E271="Avião",IF($G271&lt;=VLOOKUP($F271,Base_Dados!$K$1:$O$7,3,FALSE)," ","Limite "&amp;VLOOKUP($F271,Base_Dados!$K$1:$O$11,3,FALSE)&amp;" "&amp;VLOOKUP($F271,Base_Dados!$K$1:$O$11,2,FALSE))," ")</f>
        <v xml:space="preserve"> </v>
      </c>
      <c r="O271" s="15" t="str">
        <f>IF(E271="Caminhão",IF($G271&lt;=VLOOKUP($F271,Base_Dados!$K$1:$O$7,4,FALSE)," ","Limite "&amp;VLOOKUP($F271,Base_Dados!$K$1:$O$11,4,FALSE)&amp;" "&amp;VLOOKUP($F271,Base_Dados!$K$1:$O$11,2,FALSE))," ")</f>
        <v xml:space="preserve"> </v>
      </c>
      <c r="P271" s="15" t="str">
        <f>IF(E271="Navio",IF($G271&lt;=VLOOKUP($F271,Base_Dados!$K$1:$O$7,5,FALSE)," ","Limite "&amp;VLOOKUP($F271,Base_Dados!$K$1:$O$11,5,FALSE)&amp;" "&amp;VLOOKUP($F271,Base_Dados!$K$1:$O$11,2,FALSE))," ")</f>
        <v xml:space="preserve"> </v>
      </c>
      <c r="Q271" s="15" t="str">
        <f t="shared" si="3"/>
        <v>Fluxo Impossível</v>
      </c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24" customHeight="1" x14ac:dyDescent="0.3">
      <c r="A272" s="10"/>
      <c r="B272" s="10"/>
      <c r="C272" s="11"/>
      <c r="D272" s="11"/>
      <c r="E272" s="11"/>
      <c r="F272" s="11"/>
      <c r="G272" s="12"/>
      <c r="H272" s="11"/>
      <c r="I272" s="11"/>
      <c r="J272" s="24" t="e">
        <f>VLOOKUP(C272&amp;I272&amp;E272,Orig_Dest!$A$2:$E$1876,5,FALSE)</f>
        <v>#N/A</v>
      </c>
      <c r="K272" s="14" t="e">
        <f t="shared" si="2"/>
        <v>#VALUE!</v>
      </c>
      <c r="L272" s="15" t="str">
        <f>IF(B272="Fornecedor",IF(VLOOKUP(C272,Base_Dados!$E$1:$F$7,2,FALSE)=F272," ","Fornecedor inválido!")," ")</f>
        <v xml:space="preserve"> </v>
      </c>
      <c r="M272" s="16" t="str">
        <f>IF(AND(LEFT(F272,2)="MP",H272&lt;&gt;Base_Dados!$A$1),"Impossível!!!"," ")</f>
        <v xml:space="preserve"> </v>
      </c>
      <c r="N272" s="15" t="str">
        <f>IF(E272="Avião",IF($G272&lt;=VLOOKUP($F272,Base_Dados!$K$1:$O$7,3,FALSE)," ","Limite "&amp;VLOOKUP($F272,Base_Dados!$K$1:$O$11,3,FALSE)&amp;" "&amp;VLOOKUP($F272,Base_Dados!$K$1:$O$11,2,FALSE))," ")</f>
        <v xml:space="preserve"> </v>
      </c>
      <c r="O272" s="15" t="str">
        <f>IF(E272="Caminhão",IF($G272&lt;=VLOOKUP($F272,Base_Dados!$K$1:$O$7,4,FALSE)," ","Limite "&amp;VLOOKUP($F272,Base_Dados!$K$1:$O$11,4,FALSE)&amp;" "&amp;VLOOKUP($F272,Base_Dados!$K$1:$O$11,2,FALSE))," ")</f>
        <v xml:space="preserve"> </v>
      </c>
      <c r="P272" s="15" t="str">
        <f>IF(E272="Navio",IF($G272&lt;=VLOOKUP($F272,Base_Dados!$K$1:$O$7,5,FALSE)," ","Limite "&amp;VLOOKUP($F272,Base_Dados!$K$1:$O$11,5,FALSE)&amp;" "&amp;VLOOKUP($F272,Base_Dados!$K$1:$O$11,2,FALSE))," ")</f>
        <v xml:space="preserve"> </v>
      </c>
      <c r="Q272" s="15" t="str">
        <f t="shared" si="3"/>
        <v>Fluxo Impossível</v>
      </c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24" customHeight="1" x14ac:dyDescent="0.3">
      <c r="A273" s="10"/>
      <c r="B273" s="10"/>
      <c r="C273" s="11"/>
      <c r="D273" s="11"/>
      <c r="E273" s="11"/>
      <c r="F273" s="11"/>
      <c r="G273" s="12"/>
      <c r="H273" s="11"/>
      <c r="I273" s="11"/>
      <c r="J273" s="24" t="e">
        <f>VLOOKUP(C273&amp;I273&amp;E273,Orig_Dest!$A$2:$E$1876,5,FALSE)</f>
        <v>#N/A</v>
      </c>
      <c r="K273" s="14" t="e">
        <f t="shared" si="2"/>
        <v>#VALUE!</v>
      </c>
      <c r="L273" s="15" t="str">
        <f>IF(B273="Fornecedor",IF(VLOOKUP(C273,Base_Dados!$E$1:$F$7,2,FALSE)=F273," ","Fornecedor inválido!")," ")</f>
        <v xml:space="preserve"> </v>
      </c>
      <c r="M273" s="16" t="str">
        <f>IF(AND(LEFT(F273,2)="MP",H273&lt;&gt;Base_Dados!$A$1),"Impossível!!!"," ")</f>
        <v xml:space="preserve"> </v>
      </c>
      <c r="N273" s="15" t="str">
        <f>IF(E273="Avião",IF($G273&lt;=VLOOKUP($F273,Base_Dados!$K$1:$O$7,3,FALSE)," ","Limite "&amp;VLOOKUP($F273,Base_Dados!$K$1:$O$11,3,FALSE)&amp;" "&amp;VLOOKUP($F273,Base_Dados!$K$1:$O$11,2,FALSE))," ")</f>
        <v xml:space="preserve"> </v>
      </c>
      <c r="O273" s="15" t="str">
        <f>IF(E273="Caminhão",IF($G273&lt;=VLOOKUP($F273,Base_Dados!$K$1:$O$7,4,FALSE)," ","Limite "&amp;VLOOKUP($F273,Base_Dados!$K$1:$O$11,4,FALSE)&amp;" "&amp;VLOOKUP($F273,Base_Dados!$K$1:$O$11,2,FALSE))," ")</f>
        <v xml:space="preserve"> </v>
      </c>
      <c r="P273" s="15" t="str">
        <f>IF(E273="Navio",IF($G273&lt;=VLOOKUP($F273,Base_Dados!$K$1:$O$7,5,FALSE)," ","Limite "&amp;VLOOKUP($F273,Base_Dados!$K$1:$O$11,5,FALSE)&amp;" "&amp;VLOOKUP($F273,Base_Dados!$K$1:$O$11,2,FALSE))," ")</f>
        <v xml:space="preserve"> </v>
      </c>
      <c r="Q273" s="15" t="str">
        <f t="shared" si="3"/>
        <v>Fluxo Impossível</v>
      </c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24" customHeight="1" x14ac:dyDescent="0.3">
      <c r="A274" s="10"/>
      <c r="B274" s="10"/>
      <c r="C274" s="11"/>
      <c r="D274" s="11"/>
      <c r="E274" s="11"/>
      <c r="F274" s="11"/>
      <c r="G274" s="12"/>
      <c r="H274" s="11"/>
      <c r="I274" s="11"/>
      <c r="J274" s="24" t="e">
        <f>VLOOKUP(C274&amp;I274&amp;E274,Orig_Dest!$A$2:$E$1876,5,FALSE)</f>
        <v>#N/A</v>
      </c>
      <c r="K274" s="14" t="e">
        <f t="shared" si="2"/>
        <v>#VALUE!</v>
      </c>
      <c r="L274" s="15" t="str">
        <f>IF(B274="Fornecedor",IF(VLOOKUP(C274,Base_Dados!$E$1:$F$7,2,FALSE)=F274," ","Fornecedor inválido!")," ")</f>
        <v xml:space="preserve"> </v>
      </c>
      <c r="M274" s="16" t="str">
        <f>IF(AND(LEFT(F274,2)="MP",H274&lt;&gt;Base_Dados!$A$1),"Impossível!!!"," ")</f>
        <v xml:space="preserve"> </v>
      </c>
      <c r="N274" s="15" t="str">
        <f>IF(E274="Avião",IF($G274&lt;=VLOOKUP($F274,Base_Dados!$K$1:$O$7,3,FALSE)," ","Limite "&amp;VLOOKUP($F274,Base_Dados!$K$1:$O$11,3,FALSE)&amp;" "&amp;VLOOKUP($F274,Base_Dados!$K$1:$O$11,2,FALSE))," ")</f>
        <v xml:space="preserve"> </v>
      </c>
      <c r="O274" s="15" t="str">
        <f>IF(E274="Caminhão",IF($G274&lt;=VLOOKUP($F274,Base_Dados!$K$1:$O$7,4,FALSE)," ","Limite "&amp;VLOOKUP($F274,Base_Dados!$K$1:$O$11,4,FALSE)&amp;" "&amp;VLOOKUP($F274,Base_Dados!$K$1:$O$11,2,FALSE))," ")</f>
        <v xml:space="preserve"> </v>
      </c>
      <c r="P274" s="15" t="str">
        <f>IF(E274="Navio",IF($G274&lt;=VLOOKUP($F274,Base_Dados!$K$1:$O$7,5,FALSE)," ","Limite "&amp;VLOOKUP($F274,Base_Dados!$K$1:$O$11,5,FALSE)&amp;" "&amp;VLOOKUP($F274,Base_Dados!$K$1:$O$11,2,FALSE))," ")</f>
        <v xml:space="preserve"> </v>
      </c>
      <c r="Q274" s="15" t="str">
        <f t="shared" si="3"/>
        <v>Fluxo Impossível</v>
      </c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24" customHeight="1" x14ac:dyDescent="0.3">
      <c r="A275" s="10"/>
      <c r="B275" s="10"/>
      <c r="C275" s="11"/>
      <c r="D275" s="11"/>
      <c r="E275" s="11"/>
      <c r="F275" s="11"/>
      <c r="G275" s="12"/>
      <c r="H275" s="11"/>
      <c r="I275" s="11"/>
      <c r="J275" s="24" t="e">
        <f>VLOOKUP(C275&amp;I275&amp;E275,Orig_Dest!$A$2:$E$1876,5,FALSE)</f>
        <v>#N/A</v>
      </c>
      <c r="K275" s="14" t="e">
        <f t="shared" si="2"/>
        <v>#VALUE!</v>
      </c>
      <c r="L275" s="15" t="str">
        <f>IF(B275="Fornecedor",IF(VLOOKUP(C275,Base_Dados!$E$1:$F$7,2,FALSE)=F275," ","Fornecedor inválido!")," ")</f>
        <v xml:space="preserve"> </v>
      </c>
      <c r="M275" s="16" t="str">
        <f>IF(AND(LEFT(F275,2)="MP",H275&lt;&gt;Base_Dados!$A$1),"Impossível!!!"," ")</f>
        <v xml:space="preserve"> </v>
      </c>
      <c r="N275" s="15" t="str">
        <f>IF(E275="Avião",IF($G275&lt;=VLOOKUP($F275,Base_Dados!$K$1:$O$7,3,FALSE)," ","Limite "&amp;VLOOKUP($F275,Base_Dados!$K$1:$O$11,3,FALSE)&amp;" "&amp;VLOOKUP($F275,Base_Dados!$K$1:$O$11,2,FALSE))," ")</f>
        <v xml:space="preserve"> </v>
      </c>
      <c r="O275" s="15" t="str">
        <f>IF(E275="Caminhão",IF($G275&lt;=VLOOKUP($F275,Base_Dados!$K$1:$O$7,4,FALSE)," ","Limite "&amp;VLOOKUP($F275,Base_Dados!$K$1:$O$11,4,FALSE)&amp;" "&amp;VLOOKUP($F275,Base_Dados!$K$1:$O$11,2,FALSE))," ")</f>
        <v xml:space="preserve"> </v>
      </c>
      <c r="P275" s="15" t="str">
        <f>IF(E275="Navio",IF($G275&lt;=VLOOKUP($F275,Base_Dados!$K$1:$O$7,5,FALSE)," ","Limite "&amp;VLOOKUP($F275,Base_Dados!$K$1:$O$11,5,FALSE)&amp;" "&amp;VLOOKUP($F275,Base_Dados!$K$1:$O$11,2,FALSE))," ")</f>
        <v xml:space="preserve"> </v>
      </c>
      <c r="Q275" s="15" t="str">
        <f t="shared" si="3"/>
        <v>Fluxo Impossível</v>
      </c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24" customHeight="1" x14ac:dyDescent="0.3">
      <c r="A276" s="10"/>
      <c r="B276" s="10"/>
      <c r="C276" s="11"/>
      <c r="D276" s="11"/>
      <c r="E276" s="11"/>
      <c r="F276" s="11"/>
      <c r="G276" s="12"/>
      <c r="H276" s="11"/>
      <c r="I276" s="11"/>
      <c r="J276" s="24" t="e">
        <f>VLOOKUP(C276&amp;I276&amp;E276,Orig_Dest!$A$2:$E$1876,5,FALSE)</f>
        <v>#N/A</v>
      </c>
      <c r="K276" s="14" t="e">
        <f t="shared" si="2"/>
        <v>#VALUE!</v>
      </c>
      <c r="L276" s="15" t="str">
        <f>IF(B276="Fornecedor",IF(VLOOKUP(C276,Base_Dados!$E$1:$F$7,2,FALSE)=F276," ","Fornecedor inválido!")," ")</f>
        <v xml:space="preserve"> </v>
      </c>
      <c r="M276" s="16" t="str">
        <f>IF(AND(LEFT(F276,2)="MP",H276&lt;&gt;Base_Dados!$A$1),"Impossível!!!"," ")</f>
        <v xml:space="preserve"> </v>
      </c>
      <c r="N276" s="15" t="str">
        <f>IF(E276="Avião",IF($G276&lt;=VLOOKUP($F276,Base_Dados!$K$1:$O$7,3,FALSE)," ","Limite "&amp;VLOOKUP($F276,Base_Dados!$K$1:$O$11,3,FALSE)&amp;" "&amp;VLOOKUP($F276,Base_Dados!$K$1:$O$11,2,FALSE))," ")</f>
        <v xml:space="preserve"> </v>
      </c>
      <c r="O276" s="15" t="str">
        <f>IF(E276="Caminhão",IF($G276&lt;=VLOOKUP($F276,Base_Dados!$K$1:$O$7,4,FALSE)," ","Limite "&amp;VLOOKUP($F276,Base_Dados!$K$1:$O$11,4,FALSE)&amp;" "&amp;VLOOKUP($F276,Base_Dados!$K$1:$O$11,2,FALSE))," ")</f>
        <v xml:space="preserve"> </v>
      </c>
      <c r="P276" s="15" t="str">
        <f>IF(E276="Navio",IF($G276&lt;=VLOOKUP($F276,Base_Dados!$K$1:$O$7,5,FALSE)," ","Limite "&amp;VLOOKUP($F276,Base_Dados!$K$1:$O$11,5,FALSE)&amp;" "&amp;VLOOKUP($F276,Base_Dados!$K$1:$O$11,2,FALSE))," ")</f>
        <v xml:space="preserve"> </v>
      </c>
      <c r="Q276" s="15" t="str">
        <f t="shared" si="3"/>
        <v>Fluxo Impossível</v>
      </c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24" customHeight="1" x14ac:dyDescent="0.3">
      <c r="A277" s="10"/>
      <c r="B277" s="10"/>
      <c r="C277" s="11"/>
      <c r="D277" s="11"/>
      <c r="E277" s="11"/>
      <c r="F277" s="11"/>
      <c r="G277" s="12"/>
      <c r="H277" s="11"/>
      <c r="I277" s="11"/>
      <c r="J277" s="24" t="e">
        <f>VLOOKUP(C277&amp;I277&amp;E277,Orig_Dest!$A$2:$E$1876,5,FALSE)</f>
        <v>#N/A</v>
      </c>
      <c r="K277" s="14" t="e">
        <f t="shared" si="2"/>
        <v>#VALUE!</v>
      </c>
      <c r="L277" s="15" t="str">
        <f>IF(B277="Fornecedor",IF(VLOOKUP(C277,Base_Dados!$E$1:$F$7,2,FALSE)=F277," ","Fornecedor inválido!")," ")</f>
        <v xml:space="preserve"> </v>
      </c>
      <c r="M277" s="16" t="str">
        <f>IF(AND(LEFT(F277,2)="MP",H277&lt;&gt;Base_Dados!$A$1),"Impossível!!!"," ")</f>
        <v xml:space="preserve"> </v>
      </c>
      <c r="N277" s="15" t="str">
        <f>IF(E277="Avião",IF($G277&lt;=VLOOKUP($F277,Base_Dados!$K$1:$O$7,3,FALSE)," ","Limite "&amp;VLOOKUP($F277,Base_Dados!$K$1:$O$11,3,FALSE)&amp;" "&amp;VLOOKUP($F277,Base_Dados!$K$1:$O$11,2,FALSE))," ")</f>
        <v xml:space="preserve"> </v>
      </c>
      <c r="O277" s="15" t="str">
        <f>IF(E277="Caminhão",IF($G277&lt;=VLOOKUP($F277,Base_Dados!$K$1:$O$7,4,FALSE)," ","Limite "&amp;VLOOKUP($F277,Base_Dados!$K$1:$O$11,4,FALSE)&amp;" "&amp;VLOOKUP($F277,Base_Dados!$K$1:$O$11,2,FALSE))," ")</f>
        <v xml:space="preserve"> </v>
      </c>
      <c r="P277" s="15" t="str">
        <f>IF(E277="Navio",IF($G277&lt;=VLOOKUP($F277,Base_Dados!$K$1:$O$7,5,FALSE)," ","Limite "&amp;VLOOKUP($F277,Base_Dados!$K$1:$O$11,5,FALSE)&amp;" "&amp;VLOOKUP($F277,Base_Dados!$K$1:$O$11,2,FALSE))," ")</f>
        <v xml:space="preserve"> </v>
      </c>
      <c r="Q277" s="15" t="str">
        <f t="shared" si="3"/>
        <v>Fluxo Impossível</v>
      </c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24" customHeight="1" x14ac:dyDescent="0.3">
      <c r="A278" s="10"/>
      <c r="B278" s="10"/>
      <c r="C278" s="11"/>
      <c r="D278" s="11"/>
      <c r="E278" s="11"/>
      <c r="F278" s="11"/>
      <c r="G278" s="12"/>
      <c r="H278" s="11"/>
      <c r="I278" s="11"/>
      <c r="J278" s="24" t="e">
        <f>VLOOKUP(C278&amp;I278&amp;E278,Orig_Dest!$A$2:$E$1876,5,FALSE)</f>
        <v>#N/A</v>
      </c>
      <c r="K278" s="14" t="e">
        <f t="shared" si="2"/>
        <v>#VALUE!</v>
      </c>
      <c r="L278" s="15" t="str">
        <f>IF(B278="Fornecedor",IF(VLOOKUP(C278,Base_Dados!$E$1:$F$7,2,FALSE)=F278," ","Fornecedor inválido!")," ")</f>
        <v xml:space="preserve"> </v>
      </c>
      <c r="M278" s="16" t="str">
        <f>IF(AND(LEFT(F278,2)="MP",H278&lt;&gt;Base_Dados!$A$1),"Impossível!!!"," ")</f>
        <v xml:space="preserve"> </v>
      </c>
      <c r="N278" s="15" t="str">
        <f>IF(E278="Avião",IF($G278&lt;=VLOOKUP($F278,Base_Dados!$K$1:$O$7,3,FALSE)," ","Limite "&amp;VLOOKUP($F278,Base_Dados!$K$1:$O$11,3,FALSE)&amp;" "&amp;VLOOKUP($F278,Base_Dados!$K$1:$O$11,2,FALSE))," ")</f>
        <v xml:space="preserve"> </v>
      </c>
      <c r="O278" s="15" t="str">
        <f>IF(E278="Caminhão",IF($G278&lt;=VLOOKUP($F278,Base_Dados!$K$1:$O$7,4,FALSE)," ","Limite "&amp;VLOOKUP($F278,Base_Dados!$K$1:$O$11,4,FALSE)&amp;" "&amp;VLOOKUP($F278,Base_Dados!$K$1:$O$11,2,FALSE))," ")</f>
        <v xml:space="preserve"> </v>
      </c>
      <c r="P278" s="15" t="str">
        <f>IF(E278="Navio",IF($G278&lt;=VLOOKUP($F278,Base_Dados!$K$1:$O$7,5,FALSE)," ","Limite "&amp;VLOOKUP($F278,Base_Dados!$K$1:$O$11,5,FALSE)&amp;" "&amp;VLOOKUP($F278,Base_Dados!$K$1:$O$11,2,FALSE))," ")</f>
        <v xml:space="preserve"> </v>
      </c>
      <c r="Q278" s="15" t="str">
        <f t="shared" si="3"/>
        <v>Fluxo Impossível</v>
      </c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24" customHeight="1" x14ac:dyDescent="0.3">
      <c r="A279" s="10"/>
      <c r="B279" s="10"/>
      <c r="C279" s="11"/>
      <c r="D279" s="11"/>
      <c r="E279" s="11"/>
      <c r="F279" s="11"/>
      <c r="G279" s="12"/>
      <c r="H279" s="11"/>
      <c r="I279" s="11"/>
      <c r="J279" s="24" t="e">
        <f>VLOOKUP(C279&amp;I279&amp;E279,Orig_Dest!$A$2:$E$1876,5,FALSE)</f>
        <v>#N/A</v>
      </c>
      <c r="K279" s="14" t="e">
        <f t="shared" si="2"/>
        <v>#VALUE!</v>
      </c>
      <c r="L279" s="15" t="str">
        <f>IF(B279="Fornecedor",IF(VLOOKUP(C279,Base_Dados!$E$1:$F$7,2,FALSE)=F279," ","Fornecedor inválido!")," ")</f>
        <v xml:space="preserve"> </v>
      </c>
      <c r="M279" s="16" t="str">
        <f>IF(AND(LEFT(F279,2)="MP",H279&lt;&gt;Base_Dados!$A$1),"Impossível!!!"," ")</f>
        <v xml:space="preserve"> </v>
      </c>
      <c r="N279" s="15" t="str">
        <f>IF(E279="Avião",IF($G279&lt;=VLOOKUP($F279,Base_Dados!$K$1:$O$7,3,FALSE)," ","Limite "&amp;VLOOKUP($F279,Base_Dados!$K$1:$O$11,3,FALSE)&amp;" "&amp;VLOOKUP($F279,Base_Dados!$K$1:$O$11,2,FALSE))," ")</f>
        <v xml:space="preserve"> </v>
      </c>
      <c r="O279" s="15" t="str">
        <f>IF(E279="Caminhão",IF($G279&lt;=VLOOKUP($F279,Base_Dados!$K$1:$O$7,4,FALSE)," ","Limite "&amp;VLOOKUP($F279,Base_Dados!$K$1:$O$11,4,FALSE)&amp;" "&amp;VLOOKUP($F279,Base_Dados!$K$1:$O$11,2,FALSE))," ")</f>
        <v xml:space="preserve"> </v>
      </c>
      <c r="P279" s="15" t="str">
        <f>IF(E279="Navio",IF($G279&lt;=VLOOKUP($F279,Base_Dados!$K$1:$O$7,5,FALSE)," ","Limite "&amp;VLOOKUP($F279,Base_Dados!$K$1:$O$11,5,FALSE)&amp;" "&amp;VLOOKUP($F279,Base_Dados!$K$1:$O$11,2,FALSE))," ")</f>
        <v xml:space="preserve"> </v>
      </c>
      <c r="Q279" s="15" t="str">
        <f t="shared" si="3"/>
        <v>Fluxo Impossível</v>
      </c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24" customHeight="1" x14ac:dyDescent="0.3">
      <c r="A280" s="10"/>
      <c r="B280" s="10"/>
      <c r="C280" s="11"/>
      <c r="D280" s="11"/>
      <c r="E280" s="11"/>
      <c r="F280" s="11"/>
      <c r="G280" s="12"/>
      <c r="H280" s="11"/>
      <c r="I280" s="11"/>
      <c r="J280" s="24" t="e">
        <f>VLOOKUP(C280&amp;I280&amp;E280,Orig_Dest!$A$2:$E$1876,5,FALSE)</f>
        <v>#N/A</v>
      </c>
      <c r="K280" s="14" t="e">
        <f t="shared" si="2"/>
        <v>#VALUE!</v>
      </c>
      <c r="L280" s="15" t="str">
        <f>IF(B280="Fornecedor",IF(VLOOKUP(C280,Base_Dados!$E$1:$F$7,2,FALSE)=F280," ","Fornecedor inválido!")," ")</f>
        <v xml:space="preserve"> </v>
      </c>
      <c r="M280" s="16" t="str">
        <f>IF(AND(LEFT(F280,2)="MP",H280&lt;&gt;Base_Dados!$A$1),"Impossível!!!"," ")</f>
        <v xml:space="preserve"> </v>
      </c>
      <c r="N280" s="15" t="str">
        <f>IF(E280="Avião",IF($G280&lt;=VLOOKUP($F280,Base_Dados!$K$1:$O$7,3,FALSE)," ","Limite "&amp;VLOOKUP($F280,Base_Dados!$K$1:$O$11,3,FALSE)&amp;" "&amp;VLOOKUP($F280,Base_Dados!$K$1:$O$11,2,FALSE))," ")</f>
        <v xml:space="preserve"> </v>
      </c>
      <c r="O280" s="15" t="str">
        <f>IF(E280="Caminhão",IF($G280&lt;=VLOOKUP($F280,Base_Dados!$K$1:$O$7,4,FALSE)," ","Limite "&amp;VLOOKUP($F280,Base_Dados!$K$1:$O$11,4,FALSE)&amp;" "&amp;VLOOKUP($F280,Base_Dados!$K$1:$O$11,2,FALSE))," ")</f>
        <v xml:space="preserve"> </v>
      </c>
      <c r="P280" s="15" t="str">
        <f>IF(E280="Navio",IF($G280&lt;=VLOOKUP($F280,Base_Dados!$K$1:$O$7,5,FALSE)," ","Limite "&amp;VLOOKUP($F280,Base_Dados!$K$1:$O$11,5,FALSE)&amp;" "&amp;VLOOKUP($F280,Base_Dados!$K$1:$O$11,2,FALSE))," ")</f>
        <v xml:space="preserve"> </v>
      </c>
      <c r="Q280" s="15" t="str">
        <f t="shared" si="3"/>
        <v>Fluxo Impossível</v>
      </c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24" customHeight="1" x14ac:dyDescent="0.3">
      <c r="A281" s="10"/>
      <c r="B281" s="10"/>
      <c r="C281" s="11"/>
      <c r="D281" s="11"/>
      <c r="E281" s="11"/>
      <c r="F281" s="11"/>
      <c r="G281" s="12"/>
      <c r="H281" s="11"/>
      <c r="I281" s="11"/>
      <c r="J281" s="24" t="e">
        <f>VLOOKUP(C281&amp;I281&amp;E281,Orig_Dest!$A$2:$E$1876,5,FALSE)</f>
        <v>#N/A</v>
      </c>
      <c r="K281" s="14" t="e">
        <f t="shared" si="2"/>
        <v>#VALUE!</v>
      </c>
      <c r="L281" s="15" t="str">
        <f>IF(B281="Fornecedor",IF(VLOOKUP(C281,Base_Dados!$E$1:$F$7,2,FALSE)=F281," ","Fornecedor inválido!")," ")</f>
        <v xml:space="preserve"> </v>
      </c>
      <c r="M281" s="16" t="str">
        <f>IF(AND(LEFT(F281,2)="MP",H281&lt;&gt;Base_Dados!$A$1),"Impossível!!!"," ")</f>
        <v xml:space="preserve"> </v>
      </c>
      <c r="N281" s="15" t="str">
        <f>IF(E281="Avião",IF($G281&lt;=VLOOKUP($F281,Base_Dados!$K$1:$O$7,3,FALSE)," ","Limite "&amp;VLOOKUP($F281,Base_Dados!$K$1:$O$11,3,FALSE)&amp;" "&amp;VLOOKUP($F281,Base_Dados!$K$1:$O$11,2,FALSE))," ")</f>
        <v xml:space="preserve"> </v>
      </c>
      <c r="O281" s="15" t="str">
        <f>IF(E281="Caminhão",IF($G281&lt;=VLOOKUP($F281,Base_Dados!$K$1:$O$7,4,FALSE)," ","Limite "&amp;VLOOKUP($F281,Base_Dados!$K$1:$O$11,4,FALSE)&amp;" "&amp;VLOOKUP($F281,Base_Dados!$K$1:$O$11,2,FALSE))," ")</f>
        <v xml:space="preserve"> </v>
      </c>
      <c r="P281" s="15" t="str">
        <f>IF(E281="Navio",IF($G281&lt;=VLOOKUP($F281,Base_Dados!$K$1:$O$7,5,FALSE)," ","Limite "&amp;VLOOKUP($F281,Base_Dados!$K$1:$O$11,5,FALSE)&amp;" "&amp;VLOOKUP($F281,Base_Dados!$K$1:$O$11,2,FALSE))," ")</f>
        <v xml:space="preserve"> </v>
      </c>
      <c r="Q281" s="15" t="str">
        <f t="shared" si="3"/>
        <v>Fluxo Impossível</v>
      </c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24" customHeight="1" x14ac:dyDescent="0.3">
      <c r="A282" s="10"/>
      <c r="B282" s="10"/>
      <c r="C282" s="11"/>
      <c r="D282" s="11"/>
      <c r="E282" s="11"/>
      <c r="F282" s="11"/>
      <c r="G282" s="12"/>
      <c r="H282" s="11"/>
      <c r="I282" s="11"/>
      <c r="J282" s="24" t="e">
        <f>VLOOKUP(C282&amp;I282&amp;E282,Orig_Dest!$A$2:$E$1876,5,FALSE)</f>
        <v>#N/A</v>
      </c>
      <c r="K282" s="14" t="e">
        <f t="shared" si="2"/>
        <v>#VALUE!</v>
      </c>
      <c r="L282" s="15" t="str">
        <f>IF(B282="Fornecedor",IF(VLOOKUP(C282,Base_Dados!$E$1:$F$7,2,FALSE)=F282," ","Fornecedor inválido!")," ")</f>
        <v xml:space="preserve"> </v>
      </c>
      <c r="M282" s="16" t="str">
        <f>IF(AND(LEFT(F282,2)="MP",H282&lt;&gt;Base_Dados!$A$1),"Impossível!!!"," ")</f>
        <v xml:space="preserve"> </v>
      </c>
      <c r="N282" s="15" t="str">
        <f>IF(E282="Avião",IF($G282&lt;=VLOOKUP($F282,Base_Dados!$K$1:$O$7,3,FALSE)," ","Limite "&amp;VLOOKUP($F282,Base_Dados!$K$1:$O$11,3,FALSE)&amp;" "&amp;VLOOKUP($F282,Base_Dados!$K$1:$O$11,2,FALSE))," ")</f>
        <v xml:space="preserve"> </v>
      </c>
      <c r="O282" s="15" t="str">
        <f>IF(E282="Caminhão",IF($G282&lt;=VLOOKUP($F282,Base_Dados!$K$1:$O$7,4,FALSE)," ","Limite "&amp;VLOOKUP($F282,Base_Dados!$K$1:$O$11,4,FALSE)&amp;" "&amp;VLOOKUP($F282,Base_Dados!$K$1:$O$11,2,FALSE))," ")</f>
        <v xml:space="preserve"> </v>
      </c>
      <c r="P282" s="15" t="str">
        <f>IF(E282="Navio",IF($G282&lt;=VLOOKUP($F282,Base_Dados!$K$1:$O$7,5,FALSE)," ","Limite "&amp;VLOOKUP($F282,Base_Dados!$K$1:$O$11,5,FALSE)&amp;" "&amp;VLOOKUP($F282,Base_Dados!$K$1:$O$11,2,FALSE))," ")</f>
        <v xml:space="preserve"> </v>
      </c>
      <c r="Q282" s="15" t="str">
        <f t="shared" si="3"/>
        <v>Fluxo Impossível</v>
      </c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24" customHeight="1" x14ac:dyDescent="0.3">
      <c r="A283" s="10"/>
      <c r="B283" s="10"/>
      <c r="C283" s="11"/>
      <c r="D283" s="11"/>
      <c r="E283" s="11"/>
      <c r="F283" s="11"/>
      <c r="G283" s="12"/>
      <c r="H283" s="11"/>
      <c r="I283" s="11"/>
      <c r="J283" s="24" t="e">
        <f>VLOOKUP(C283&amp;I283&amp;E283,Orig_Dest!$A$2:$E$1876,5,FALSE)</f>
        <v>#N/A</v>
      </c>
      <c r="K283" s="14" t="e">
        <f t="shared" si="2"/>
        <v>#VALUE!</v>
      </c>
      <c r="L283" s="15" t="str">
        <f>IF(B283="Fornecedor",IF(VLOOKUP(C283,Base_Dados!$E$1:$F$7,2,FALSE)=F283," ","Fornecedor inválido!")," ")</f>
        <v xml:space="preserve"> </v>
      </c>
      <c r="M283" s="16" t="str">
        <f>IF(AND(LEFT(F283,2)="MP",H283&lt;&gt;Base_Dados!$A$1),"Impossível!!!"," ")</f>
        <v xml:space="preserve"> </v>
      </c>
      <c r="N283" s="15" t="str">
        <f>IF(E283="Avião",IF($G283&lt;=VLOOKUP($F283,Base_Dados!$K$1:$O$7,3,FALSE)," ","Limite "&amp;VLOOKUP($F283,Base_Dados!$K$1:$O$11,3,FALSE)&amp;" "&amp;VLOOKUP($F283,Base_Dados!$K$1:$O$11,2,FALSE))," ")</f>
        <v xml:space="preserve"> </v>
      </c>
      <c r="O283" s="15" t="str">
        <f>IF(E283="Caminhão",IF($G283&lt;=VLOOKUP($F283,Base_Dados!$K$1:$O$7,4,FALSE)," ","Limite "&amp;VLOOKUP($F283,Base_Dados!$K$1:$O$11,4,FALSE)&amp;" "&amp;VLOOKUP($F283,Base_Dados!$K$1:$O$11,2,FALSE))," ")</f>
        <v xml:space="preserve"> </v>
      </c>
      <c r="P283" s="15" t="str">
        <f>IF(E283="Navio",IF($G283&lt;=VLOOKUP($F283,Base_Dados!$K$1:$O$7,5,FALSE)," ","Limite "&amp;VLOOKUP($F283,Base_Dados!$K$1:$O$11,5,FALSE)&amp;" "&amp;VLOOKUP($F283,Base_Dados!$K$1:$O$11,2,FALSE))," ")</f>
        <v xml:space="preserve"> </v>
      </c>
      <c r="Q283" s="15" t="str">
        <f t="shared" si="3"/>
        <v>Fluxo Impossível</v>
      </c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24" customHeight="1" x14ac:dyDescent="0.3">
      <c r="A284" s="10"/>
      <c r="B284" s="10"/>
      <c r="C284" s="11"/>
      <c r="D284" s="11"/>
      <c r="E284" s="11"/>
      <c r="F284" s="11"/>
      <c r="G284" s="12"/>
      <c r="H284" s="11"/>
      <c r="I284" s="11"/>
      <c r="J284" s="24" t="e">
        <f>VLOOKUP(C284&amp;I284&amp;E284,Orig_Dest!$A$2:$E$1876,5,FALSE)</f>
        <v>#N/A</v>
      </c>
      <c r="K284" s="14" t="e">
        <f t="shared" si="2"/>
        <v>#VALUE!</v>
      </c>
      <c r="L284" s="15" t="str">
        <f>IF(B284="Fornecedor",IF(VLOOKUP(C284,Base_Dados!$E$1:$F$7,2,FALSE)=F284," ","Fornecedor inválido!")," ")</f>
        <v xml:space="preserve"> </v>
      </c>
      <c r="M284" s="16" t="str">
        <f>IF(AND(LEFT(F284,2)="MP",H284&lt;&gt;Base_Dados!$A$1),"Impossível!!!"," ")</f>
        <v xml:space="preserve"> </v>
      </c>
      <c r="N284" s="15" t="str">
        <f>IF(E284="Avião",IF($G284&lt;=VLOOKUP($F284,Base_Dados!$K$1:$O$7,3,FALSE)," ","Limite "&amp;VLOOKUP($F284,Base_Dados!$K$1:$O$11,3,FALSE)&amp;" "&amp;VLOOKUP($F284,Base_Dados!$K$1:$O$11,2,FALSE))," ")</f>
        <v xml:space="preserve"> </v>
      </c>
      <c r="O284" s="15" t="str">
        <f>IF(E284="Caminhão",IF($G284&lt;=VLOOKUP($F284,Base_Dados!$K$1:$O$7,4,FALSE)," ","Limite "&amp;VLOOKUP($F284,Base_Dados!$K$1:$O$11,4,FALSE)&amp;" "&amp;VLOOKUP($F284,Base_Dados!$K$1:$O$11,2,FALSE))," ")</f>
        <v xml:space="preserve"> </v>
      </c>
      <c r="P284" s="15" t="str">
        <f>IF(E284="Navio",IF($G284&lt;=VLOOKUP($F284,Base_Dados!$K$1:$O$7,5,FALSE)," ","Limite "&amp;VLOOKUP($F284,Base_Dados!$K$1:$O$11,5,FALSE)&amp;" "&amp;VLOOKUP($F284,Base_Dados!$K$1:$O$11,2,FALSE))," ")</f>
        <v xml:space="preserve"> </v>
      </c>
      <c r="Q284" s="15" t="str">
        <f t="shared" si="3"/>
        <v>Fluxo Impossível</v>
      </c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24" customHeight="1" x14ac:dyDescent="0.3">
      <c r="A285" s="10"/>
      <c r="B285" s="10"/>
      <c r="C285" s="11"/>
      <c r="D285" s="11"/>
      <c r="E285" s="11"/>
      <c r="F285" s="11"/>
      <c r="G285" s="12"/>
      <c r="H285" s="11"/>
      <c r="I285" s="11"/>
      <c r="J285" s="24" t="e">
        <f>VLOOKUP(C285&amp;I285&amp;E285,Orig_Dest!$A$2:$E$1876,5,FALSE)</f>
        <v>#N/A</v>
      </c>
      <c r="K285" s="14" t="e">
        <f t="shared" si="2"/>
        <v>#VALUE!</v>
      </c>
      <c r="L285" s="15" t="str">
        <f>IF(B285="Fornecedor",IF(VLOOKUP(C285,Base_Dados!$E$1:$F$7,2,FALSE)=F285," ","Fornecedor inválido!")," ")</f>
        <v xml:space="preserve"> </v>
      </c>
      <c r="M285" s="16" t="str">
        <f>IF(AND(LEFT(F285,2)="MP",H285&lt;&gt;Base_Dados!$A$1),"Impossível!!!"," ")</f>
        <v xml:space="preserve"> </v>
      </c>
      <c r="N285" s="15" t="str">
        <f>IF(E285="Avião",IF($G285&lt;=VLOOKUP($F285,Base_Dados!$K$1:$O$7,3,FALSE)," ","Limite "&amp;VLOOKUP($F285,Base_Dados!$K$1:$O$11,3,FALSE)&amp;" "&amp;VLOOKUP($F285,Base_Dados!$K$1:$O$11,2,FALSE))," ")</f>
        <v xml:space="preserve"> </v>
      </c>
      <c r="O285" s="15" t="str">
        <f>IF(E285="Caminhão",IF($G285&lt;=VLOOKUP($F285,Base_Dados!$K$1:$O$7,4,FALSE)," ","Limite "&amp;VLOOKUP($F285,Base_Dados!$K$1:$O$11,4,FALSE)&amp;" "&amp;VLOOKUP($F285,Base_Dados!$K$1:$O$11,2,FALSE))," ")</f>
        <v xml:space="preserve"> </v>
      </c>
      <c r="P285" s="15" t="str">
        <f>IF(E285="Navio",IF($G285&lt;=VLOOKUP($F285,Base_Dados!$K$1:$O$7,5,FALSE)," ","Limite "&amp;VLOOKUP($F285,Base_Dados!$K$1:$O$11,5,FALSE)&amp;" "&amp;VLOOKUP($F285,Base_Dados!$K$1:$O$11,2,FALSE))," ")</f>
        <v xml:space="preserve"> </v>
      </c>
      <c r="Q285" s="15" t="str">
        <f t="shared" si="3"/>
        <v>Fluxo Impossível</v>
      </c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24" customHeight="1" x14ac:dyDescent="0.3">
      <c r="A286" s="10"/>
      <c r="B286" s="10"/>
      <c r="C286" s="11"/>
      <c r="D286" s="11"/>
      <c r="E286" s="11"/>
      <c r="F286" s="11"/>
      <c r="G286" s="12"/>
      <c r="H286" s="11"/>
      <c r="I286" s="11"/>
      <c r="J286" s="24" t="e">
        <f>VLOOKUP(C286&amp;I286&amp;E286,Orig_Dest!$A$2:$E$1876,5,FALSE)</f>
        <v>#N/A</v>
      </c>
      <c r="K286" s="14" t="e">
        <f t="shared" si="2"/>
        <v>#VALUE!</v>
      </c>
      <c r="L286" s="15" t="str">
        <f>IF(B286="Fornecedor",IF(VLOOKUP(C286,Base_Dados!$E$1:$F$7,2,FALSE)=F286," ","Fornecedor inválido!")," ")</f>
        <v xml:space="preserve"> </v>
      </c>
      <c r="M286" s="16" t="str">
        <f>IF(AND(LEFT(F286,2)="MP",H286&lt;&gt;Base_Dados!$A$1),"Impossível!!!"," ")</f>
        <v xml:space="preserve"> </v>
      </c>
      <c r="N286" s="15" t="str">
        <f>IF(E286="Avião",IF($G286&lt;=VLOOKUP($F286,Base_Dados!$K$1:$O$7,3,FALSE)," ","Limite "&amp;VLOOKUP($F286,Base_Dados!$K$1:$O$11,3,FALSE)&amp;" "&amp;VLOOKUP($F286,Base_Dados!$K$1:$O$11,2,FALSE))," ")</f>
        <v xml:space="preserve"> </v>
      </c>
      <c r="O286" s="15" t="str">
        <f>IF(E286="Caminhão",IF($G286&lt;=VLOOKUP($F286,Base_Dados!$K$1:$O$7,4,FALSE)," ","Limite "&amp;VLOOKUP($F286,Base_Dados!$K$1:$O$11,4,FALSE)&amp;" "&amp;VLOOKUP($F286,Base_Dados!$K$1:$O$11,2,FALSE))," ")</f>
        <v xml:space="preserve"> </v>
      </c>
      <c r="P286" s="15" t="str">
        <f>IF(E286="Navio",IF($G286&lt;=VLOOKUP($F286,Base_Dados!$K$1:$O$7,5,FALSE)," ","Limite "&amp;VLOOKUP($F286,Base_Dados!$K$1:$O$11,5,FALSE)&amp;" "&amp;VLOOKUP($F286,Base_Dados!$K$1:$O$11,2,FALSE))," ")</f>
        <v xml:space="preserve"> </v>
      </c>
      <c r="Q286" s="15" t="str">
        <f t="shared" si="3"/>
        <v>Fluxo Impossível</v>
      </c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24" customHeight="1" x14ac:dyDescent="0.3">
      <c r="A287" s="10"/>
      <c r="B287" s="10"/>
      <c r="C287" s="11"/>
      <c r="D287" s="11"/>
      <c r="E287" s="11"/>
      <c r="F287" s="11"/>
      <c r="G287" s="12"/>
      <c r="H287" s="11"/>
      <c r="I287" s="11"/>
      <c r="J287" s="24" t="e">
        <f>VLOOKUP(C287&amp;I287&amp;E287,Orig_Dest!$A$2:$E$1876,5,FALSE)</f>
        <v>#N/A</v>
      </c>
      <c r="K287" s="14" t="e">
        <f t="shared" si="2"/>
        <v>#VALUE!</v>
      </c>
      <c r="L287" s="15" t="str">
        <f>IF(B287="Fornecedor",IF(VLOOKUP(C287,Base_Dados!$E$1:$F$7,2,FALSE)=F287," ","Fornecedor inválido!")," ")</f>
        <v xml:space="preserve"> </v>
      </c>
      <c r="M287" s="16" t="str">
        <f>IF(AND(LEFT(F287,2)="MP",H287&lt;&gt;Base_Dados!$A$1),"Impossível!!!"," ")</f>
        <v xml:space="preserve"> </v>
      </c>
      <c r="N287" s="15" t="str">
        <f>IF(E287="Avião",IF($G287&lt;=VLOOKUP($F287,Base_Dados!$K$1:$O$7,3,FALSE)," ","Limite "&amp;VLOOKUP($F287,Base_Dados!$K$1:$O$11,3,FALSE)&amp;" "&amp;VLOOKUP($F287,Base_Dados!$K$1:$O$11,2,FALSE))," ")</f>
        <v xml:space="preserve"> </v>
      </c>
      <c r="O287" s="15" t="str">
        <f>IF(E287="Caminhão",IF($G287&lt;=VLOOKUP($F287,Base_Dados!$K$1:$O$7,4,FALSE)," ","Limite "&amp;VLOOKUP($F287,Base_Dados!$K$1:$O$11,4,FALSE)&amp;" "&amp;VLOOKUP($F287,Base_Dados!$K$1:$O$11,2,FALSE))," ")</f>
        <v xml:space="preserve"> </v>
      </c>
      <c r="P287" s="15" t="str">
        <f>IF(E287="Navio",IF($G287&lt;=VLOOKUP($F287,Base_Dados!$K$1:$O$7,5,FALSE)," ","Limite "&amp;VLOOKUP($F287,Base_Dados!$K$1:$O$11,5,FALSE)&amp;" "&amp;VLOOKUP($F287,Base_Dados!$K$1:$O$11,2,FALSE))," ")</f>
        <v xml:space="preserve"> </v>
      </c>
      <c r="Q287" s="15" t="str">
        <f t="shared" si="3"/>
        <v>Fluxo Impossível</v>
      </c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24" customHeight="1" x14ac:dyDescent="0.3">
      <c r="A288" s="10"/>
      <c r="B288" s="10"/>
      <c r="C288" s="11"/>
      <c r="D288" s="11"/>
      <c r="E288" s="11"/>
      <c r="F288" s="11"/>
      <c r="G288" s="12"/>
      <c r="H288" s="11"/>
      <c r="I288" s="11"/>
      <c r="J288" s="24" t="e">
        <f>VLOOKUP(C288&amp;I288&amp;E288,Orig_Dest!$A$2:$E$1876,5,FALSE)</f>
        <v>#N/A</v>
      </c>
      <c r="K288" s="14" t="e">
        <f t="shared" si="2"/>
        <v>#VALUE!</v>
      </c>
      <c r="L288" s="15" t="str">
        <f>IF(B288="Fornecedor",IF(VLOOKUP(C288,Base_Dados!$E$1:$F$7,2,FALSE)=F288," ","Fornecedor inválido!")," ")</f>
        <v xml:space="preserve"> </v>
      </c>
      <c r="M288" s="16" t="str">
        <f>IF(AND(LEFT(F288,2)="MP",H288&lt;&gt;Base_Dados!$A$1),"Impossível!!!"," ")</f>
        <v xml:space="preserve"> </v>
      </c>
      <c r="N288" s="15" t="str">
        <f>IF(E288="Avião",IF($G288&lt;=VLOOKUP($F288,Base_Dados!$K$1:$O$7,3,FALSE)," ","Limite "&amp;VLOOKUP($F288,Base_Dados!$K$1:$O$11,3,FALSE)&amp;" "&amp;VLOOKUP($F288,Base_Dados!$K$1:$O$11,2,FALSE))," ")</f>
        <v xml:space="preserve"> </v>
      </c>
      <c r="O288" s="15" t="str">
        <f>IF(E288="Caminhão",IF($G288&lt;=VLOOKUP($F288,Base_Dados!$K$1:$O$7,4,FALSE)," ","Limite "&amp;VLOOKUP($F288,Base_Dados!$K$1:$O$11,4,FALSE)&amp;" "&amp;VLOOKUP($F288,Base_Dados!$K$1:$O$11,2,FALSE))," ")</f>
        <v xml:space="preserve"> </v>
      </c>
      <c r="P288" s="15" t="str">
        <f>IF(E288="Navio",IF($G288&lt;=VLOOKUP($F288,Base_Dados!$K$1:$O$7,5,FALSE)," ","Limite "&amp;VLOOKUP($F288,Base_Dados!$K$1:$O$11,5,FALSE)&amp;" "&amp;VLOOKUP($F288,Base_Dados!$K$1:$O$11,2,FALSE))," ")</f>
        <v xml:space="preserve"> </v>
      </c>
      <c r="Q288" s="15" t="str">
        <f t="shared" si="3"/>
        <v>Fluxo Impossível</v>
      </c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24" customHeight="1" x14ac:dyDescent="0.3">
      <c r="A289" s="10"/>
      <c r="B289" s="10"/>
      <c r="C289" s="11"/>
      <c r="D289" s="11"/>
      <c r="E289" s="11"/>
      <c r="F289" s="11"/>
      <c r="G289" s="12"/>
      <c r="H289" s="11"/>
      <c r="I289" s="11"/>
      <c r="J289" s="24" t="e">
        <f>VLOOKUP(C289&amp;I289&amp;E289,Orig_Dest!$A$2:$E$1876,5,FALSE)</f>
        <v>#N/A</v>
      </c>
      <c r="K289" s="14" t="e">
        <f t="shared" si="2"/>
        <v>#VALUE!</v>
      </c>
      <c r="L289" s="15" t="str">
        <f>IF(B289="Fornecedor",IF(VLOOKUP(C289,Base_Dados!$E$1:$F$7,2,FALSE)=F289," ","Fornecedor inválido!")," ")</f>
        <v xml:space="preserve"> </v>
      </c>
      <c r="M289" s="16" t="str">
        <f>IF(AND(LEFT(F289,2)="MP",H289&lt;&gt;Base_Dados!$A$1),"Impossível!!!"," ")</f>
        <v xml:space="preserve"> </v>
      </c>
      <c r="N289" s="15" t="str">
        <f>IF(E289="Avião",IF($G289&lt;=VLOOKUP($F289,Base_Dados!$K$1:$O$7,3,FALSE)," ","Limite "&amp;VLOOKUP($F289,Base_Dados!$K$1:$O$11,3,FALSE)&amp;" "&amp;VLOOKUP($F289,Base_Dados!$K$1:$O$11,2,FALSE))," ")</f>
        <v xml:space="preserve"> </v>
      </c>
      <c r="O289" s="15" t="str">
        <f>IF(E289="Caminhão",IF($G289&lt;=VLOOKUP($F289,Base_Dados!$K$1:$O$7,4,FALSE)," ","Limite "&amp;VLOOKUP($F289,Base_Dados!$K$1:$O$11,4,FALSE)&amp;" "&amp;VLOOKUP($F289,Base_Dados!$K$1:$O$11,2,FALSE))," ")</f>
        <v xml:space="preserve"> </v>
      </c>
      <c r="P289" s="15" t="str">
        <f>IF(E289="Navio",IF($G289&lt;=VLOOKUP($F289,Base_Dados!$K$1:$O$7,5,FALSE)," ","Limite "&amp;VLOOKUP($F289,Base_Dados!$K$1:$O$11,5,FALSE)&amp;" "&amp;VLOOKUP($F289,Base_Dados!$K$1:$O$11,2,FALSE))," ")</f>
        <v xml:space="preserve"> </v>
      </c>
      <c r="Q289" s="15" t="str">
        <f t="shared" si="3"/>
        <v>Fluxo Impossível</v>
      </c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24" customHeight="1" x14ac:dyDescent="0.3">
      <c r="A290" s="10"/>
      <c r="B290" s="10"/>
      <c r="C290" s="11"/>
      <c r="D290" s="11"/>
      <c r="E290" s="11"/>
      <c r="F290" s="11"/>
      <c r="G290" s="12"/>
      <c r="H290" s="11"/>
      <c r="I290" s="11"/>
      <c r="J290" s="24" t="e">
        <f>VLOOKUP(C290&amp;I290&amp;E290,Orig_Dest!$A$2:$E$1876,5,FALSE)</f>
        <v>#N/A</v>
      </c>
      <c r="K290" s="14" t="e">
        <f t="shared" si="2"/>
        <v>#VALUE!</v>
      </c>
      <c r="L290" s="15" t="str">
        <f>IF(B290="Fornecedor",IF(VLOOKUP(C290,Base_Dados!$E$1:$F$7,2,FALSE)=F290," ","Fornecedor inválido!")," ")</f>
        <v xml:space="preserve"> </v>
      </c>
      <c r="M290" s="16" t="str">
        <f>IF(AND(LEFT(F290,2)="MP",H290&lt;&gt;Base_Dados!$A$1),"Impossível!!!"," ")</f>
        <v xml:space="preserve"> </v>
      </c>
      <c r="N290" s="15" t="str">
        <f>IF(E290="Avião",IF($G290&lt;=VLOOKUP($F290,Base_Dados!$K$1:$O$7,3,FALSE)," ","Limite "&amp;VLOOKUP($F290,Base_Dados!$K$1:$O$11,3,FALSE)&amp;" "&amp;VLOOKUP($F290,Base_Dados!$K$1:$O$11,2,FALSE))," ")</f>
        <v xml:space="preserve"> </v>
      </c>
      <c r="O290" s="15" t="str">
        <f>IF(E290="Caminhão",IF($G290&lt;=VLOOKUP($F290,Base_Dados!$K$1:$O$7,4,FALSE)," ","Limite "&amp;VLOOKUP($F290,Base_Dados!$K$1:$O$11,4,FALSE)&amp;" "&amp;VLOOKUP($F290,Base_Dados!$K$1:$O$11,2,FALSE))," ")</f>
        <v xml:space="preserve"> </v>
      </c>
      <c r="P290" s="15" t="str">
        <f>IF(E290="Navio",IF($G290&lt;=VLOOKUP($F290,Base_Dados!$K$1:$O$7,5,FALSE)," ","Limite "&amp;VLOOKUP($F290,Base_Dados!$K$1:$O$11,5,FALSE)&amp;" "&amp;VLOOKUP($F290,Base_Dados!$K$1:$O$11,2,FALSE))," ")</f>
        <v xml:space="preserve"> </v>
      </c>
      <c r="Q290" s="15" t="str">
        <f t="shared" si="3"/>
        <v>Fluxo Impossível</v>
      </c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24" customHeight="1" x14ac:dyDescent="0.3">
      <c r="A291" s="10"/>
      <c r="B291" s="10"/>
      <c r="C291" s="11"/>
      <c r="D291" s="11"/>
      <c r="E291" s="11"/>
      <c r="F291" s="11"/>
      <c r="G291" s="12"/>
      <c r="H291" s="11"/>
      <c r="I291" s="11"/>
      <c r="J291" s="24" t="e">
        <f>VLOOKUP(C291&amp;I291&amp;E291,Orig_Dest!$A$2:$E$1876,5,FALSE)</f>
        <v>#N/A</v>
      </c>
      <c r="K291" s="14" t="e">
        <f t="shared" si="2"/>
        <v>#VALUE!</v>
      </c>
      <c r="L291" s="15" t="str">
        <f>IF(B291="Fornecedor",IF(VLOOKUP(C291,Base_Dados!$E$1:$F$7,2,FALSE)=F291," ","Fornecedor inválido!")," ")</f>
        <v xml:space="preserve"> </v>
      </c>
      <c r="M291" s="16" t="str">
        <f>IF(AND(LEFT(F291,2)="MP",H291&lt;&gt;Base_Dados!$A$1),"Impossível!!!"," ")</f>
        <v xml:space="preserve"> </v>
      </c>
      <c r="N291" s="15" t="str">
        <f>IF(E291="Avião",IF($G291&lt;=VLOOKUP($F291,Base_Dados!$K$1:$O$7,3,FALSE)," ","Limite "&amp;VLOOKUP($F291,Base_Dados!$K$1:$O$11,3,FALSE)&amp;" "&amp;VLOOKUP($F291,Base_Dados!$K$1:$O$11,2,FALSE))," ")</f>
        <v xml:space="preserve"> </v>
      </c>
      <c r="O291" s="15" t="str">
        <f>IF(E291="Caminhão",IF($G291&lt;=VLOOKUP($F291,Base_Dados!$K$1:$O$7,4,FALSE)," ","Limite "&amp;VLOOKUP($F291,Base_Dados!$K$1:$O$11,4,FALSE)&amp;" "&amp;VLOOKUP($F291,Base_Dados!$K$1:$O$11,2,FALSE))," ")</f>
        <v xml:space="preserve"> </v>
      </c>
      <c r="P291" s="15" t="str">
        <f>IF(E291="Navio",IF($G291&lt;=VLOOKUP($F291,Base_Dados!$K$1:$O$7,5,FALSE)," ","Limite "&amp;VLOOKUP($F291,Base_Dados!$K$1:$O$11,5,FALSE)&amp;" "&amp;VLOOKUP($F291,Base_Dados!$K$1:$O$11,2,FALSE))," ")</f>
        <v xml:space="preserve"> </v>
      </c>
      <c r="Q291" s="15" t="str">
        <f t="shared" si="3"/>
        <v>Fluxo Impossível</v>
      </c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24" customHeight="1" x14ac:dyDescent="0.3">
      <c r="A292" s="10"/>
      <c r="B292" s="10"/>
      <c r="C292" s="11"/>
      <c r="D292" s="11"/>
      <c r="E292" s="11"/>
      <c r="F292" s="11"/>
      <c r="G292" s="12"/>
      <c r="H292" s="11"/>
      <c r="I292" s="11"/>
      <c r="J292" s="24" t="e">
        <f>VLOOKUP(C292&amp;I292&amp;E292,Orig_Dest!$A$2:$E$1876,5,FALSE)</f>
        <v>#N/A</v>
      </c>
      <c r="K292" s="14" t="e">
        <f t="shared" si="2"/>
        <v>#VALUE!</v>
      </c>
      <c r="L292" s="15" t="str">
        <f>IF(B292="Fornecedor",IF(VLOOKUP(C292,Base_Dados!$E$1:$F$7,2,FALSE)=F292," ","Fornecedor inválido!")," ")</f>
        <v xml:space="preserve"> </v>
      </c>
      <c r="M292" s="16" t="str">
        <f>IF(AND(LEFT(F292,2)="MP",H292&lt;&gt;Base_Dados!$A$1),"Impossível!!!"," ")</f>
        <v xml:space="preserve"> </v>
      </c>
      <c r="N292" s="15" t="str">
        <f>IF(E292="Avião",IF($G292&lt;=VLOOKUP($F292,Base_Dados!$K$1:$O$7,3,FALSE)," ","Limite "&amp;VLOOKUP($F292,Base_Dados!$K$1:$O$11,3,FALSE)&amp;" "&amp;VLOOKUP($F292,Base_Dados!$K$1:$O$11,2,FALSE))," ")</f>
        <v xml:space="preserve"> </v>
      </c>
      <c r="O292" s="15" t="str">
        <f>IF(E292="Caminhão",IF($G292&lt;=VLOOKUP($F292,Base_Dados!$K$1:$O$7,4,FALSE)," ","Limite "&amp;VLOOKUP($F292,Base_Dados!$K$1:$O$11,4,FALSE)&amp;" "&amp;VLOOKUP($F292,Base_Dados!$K$1:$O$11,2,FALSE))," ")</f>
        <v xml:space="preserve"> </v>
      </c>
      <c r="P292" s="15" t="str">
        <f>IF(E292="Navio",IF($G292&lt;=VLOOKUP($F292,Base_Dados!$K$1:$O$7,5,FALSE)," ","Limite "&amp;VLOOKUP($F292,Base_Dados!$K$1:$O$11,5,FALSE)&amp;" "&amp;VLOOKUP($F292,Base_Dados!$K$1:$O$11,2,FALSE))," ")</f>
        <v xml:space="preserve"> </v>
      </c>
      <c r="Q292" s="15" t="str">
        <f t="shared" si="3"/>
        <v>Fluxo Impossível</v>
      </c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24" customHeight="1" x14ac:dyDescent="0.3">
      <c r="A293" s="10"/>
      <c r="B293" s="10"/>
      <c r="C293" s="11"/>
      <c r="D293" s="11"/>
      <c r="E293" s="11"/>
      <c r="F293" s="11"/>
      <c r="G293" s="12"/>
      <c r="H293" s="11"/>
      <c r="I293" s="11"/>
      <c r="J293" s="24" t="e">
        <f>VLOOKUP(C293&amp;I293&amp;E293,Orig_Dest!$A$2:$E$1876,5,FALSE)</f>
        <v>#N/A</v>
      </c>
      <c r="K293" s="14" t="e">
        <f t="shared" si="2"/>
        <v>#VALUE!</v>
      </c>
      <c r="L293" s="15" t="str">
        <f>IF(B293="Fornecedor",IF(VLOOKUP(C293,Base_Dados!$E$1:$F$7,2,FALSE)=F293," ","Fornecedor inválido!")," ")</f>
        <v xml:space="preserve"> </v>
      </c>
      <c r="M293" s="16" t="str">
        <f>IF(AND(LEFT(F293,2)="MP",H293&lt;&gt;Base_Dados!$A$1),"Impossível!!!"," ")</f>
        <v xml:space="preserve"> </v>
      </c>
      <c r="N293" s="15" t="str">
        <f>IF(E293="Avião",IF($G293&lt;=VLOOKUP($F293,Base_Dados!$K$1:$O$7,3,FALSE)," ","Limite "&amp;VLOOKUP($F293,Base_Dados!$K$1:$O$11,3,FALSE)&amp;" "&amp;VLOOKUP($F293,Base_Dados!$K$1:$O$11,2,FALSE))," ")</f>
        <v xml:space="preserve"> </v>
      </c>
      <c r="O293" s="15" t="str">
        <f>IF(E293="Caminhão",IF($G293&lt;=VLOOKUP($F293,Base_Dados!$K$1:$O$7,4,FALSE)," ","Limite "&amp;VLOOKUP($F293,Base_Dados!$K$1:$O$11,4,FALSE)&amp;" "&amp;VLOOKUP($F293,Base_Dados!$K$1:$O$11,2,FALSE))," ")</f>
        <v xml:space="preserve"> </v>
      </c>
      <c r="P293" s="15" t="str">
        <f>IF(E293="Navio",IF($G293&lt;=VLOOKUP($F293,Base_Dados!$K$1:$O$7,5,FALSE)," ","Limite "&amp;VLOOKUP($F293,Base_Dados!$K$1:$O$11,5,FALSE)&amp;" "&amp;VLOOKUP($F293,Base_Dados!$K$1:$O$11,2,FALSE))," ")</f>
        <v xml:space="preserve"> </v>
      </c>
      <c r="Q293" s="15" t="str">
        <f t="shared" si="3"/>
        <v>Fluxo Impossível</v>
      </c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24" customHeight="1" x14ac:dyDescent="0.3">
      <c r="A294" s="10"/>
      <c r="B294" s="10"/>
      <c r="C294" s="11"/>
      <c r="D294" s="11"/>
      <c r="E294" s="11"/>
      <c r="F294" s="11"/>
      <c r="G294" s="12"/>
      <c r="H294" s="11"/>
      <c r="I294" s="11"/>
      <c r="J294" s="24" t="e">
        <f>VLOOKUP(C294&amp;I294&amp;E294,Orig_Dest!$A$2:$E$1876,5,FALSE)</f>
        <v>#N/A</v>
      </c>
      <c r="K294" s="14" t="e">
        <f t="shared" si="2"/>
        <v>#VALUE!</v>
      </c>
      <c r="L294" s="15" t="str">
        <f>IF(B294="Fornecedor",IF(VLOOKUP(C294,Base_Dados!$E$1:$F$7,2,FALSE)=F294," ","Fornecedor inválido!")," ")</f>
        <v xml:space="preserve"> </v>
      </c>
      <c r="M294" s="16" t="str">
        <f>IF(AND(LEFT(F294,2)="MP",H294&lt;&gt;Base_Dados!$A$1),"Impossível!!!"," ")</f>
        <v xml:space="preserve"> </v>
      </c>
      <c r="N294" s="15" t="str">
        <f>IF(E294="Avião",IF($G294&lt;=VLOOKUP($F294,Base_Dados!$K$1:$O$7,3,FALSE)," ","Limite "&amp;VLOOKUP($F294,Base_Dados!$K$1:$O$11,3,FALSE)&amp;" "&amp;VLOOKUP($F294,Base_Dados!$K$1:$O$11,2,FALSE))," ")</f>
        <v xml:space="preserve"> </v>
      </c>
      <c r="O294" s="15" t="str">
        <f>IF(E294="Caminhão",IF($G294&lt;=VLOOKUP($F294,Base_Dados!$K$1:$O$7,4,FALSE)," ","Limite "&amp;VLOOKUP($F294,Base_Dados!$K$1:$O$11,4,FALSE)&amp;" "&amp;VLOOKUP($F294,Base_Dados!$K$1:$O$11,2,FALSE))," ")</f>
        <v xml:space="preserve"> </v>
      </c>
      <c r="P294" s="15" t="str">
        <f>IF(E294="Navio",IF($G294&lt;=VLOOKUP($F294,Base_Dados!$K$1:$O$7,5,FALSE)," ","Limite "&amp;VLOOKUP($F294,Base_Dados!$K$1:$O$11,5,FALSE)&amp;" "&amp;VLOOKUP($F294,Base_Dados!$K$1:$O$11,2,FALSE))," ")</f>
        <v xml:space="preserve"> </v>
      </c>
      <c r="Q294" s="15" t="str">
        <f t="shared" si="3"/>
        <v>Fluxo Impossível</v>
      </c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24" customHeight="1" x14ac:dyDescent="0.3">
      <c r="A295" s="10"/>
      <c r="B295" s="10"/>
      <c r="C295" s="11"/>
      <c r="D295" s="11"/>
      <c r="E295" s="11"/>
      <c r="F295" s="11"/>
      <c r="G295" s="12"/>
      <c r="H295" s="11"/>
      <c r="I295" s="11"/>
      <c r="J295" s="24" t="e">
        <f>VLOOKUP(C295&amp;I295&amp;E295,Orig_Dest!$A$2:$E$1876,5,FALSE)</f>
        <v>#N/A</v>
      </c>
      <c r="K295" s="14" t="e">
        <f t="shared" si="2"/>
        <v>#VALUE!</v>
      </c>
      <c r="L295" s="15" t="str">
        <f>IF(B295="Fornecedor",IF(VLOOKUP(C295,Base_Dados!$E$1:$F$7,2,FALSE)=F295," ","Fornecedor inválido!")," ")</f>
        <v xml:space="preserve"> </v>
      </c>
      <c r="M295" s="16" t="str">
        <f>IF(AND(LEFT(F295,2)="MP",H295&lt;&gt;Base_Dados!$A$1),"Impossível!!!"," ")</f>
        <v xml:space="preserve"> </v>
      </c>
      <c r="N295" s="15" t="str">
        <f>IF(E295="Avião",IF($G295&lt;=VLOOKUP($F295,Base_Dados!$K$1:$O$7,3,FALSE)," ","Limite "&amp;VLOOKUP($F295,Base_Dados!$K$1:$O$11,3,FALSE)&amp;" "&amp;VLOOKUP($F295,Base_Dados!$K$1:$O$11,2,FALSE))," ")</f>
        <v xml:space="preserve"> </v>
      </c>
      <c r="O295" s="15" t="str">
        <f>IF(E295="Caminhão",IF($G295&lt;=VLOOKUP($F295,Base_Dados!$K$1:$O$7,4,FALSE)," ","Limite "&amp;VLOOKUP($F295,Base_Dados!$K$1:$O$11,4,FALSE)&amp;" "&amp;VLOOKUP($F295,Base_Dados!$K$1:$O$11,2,FALSE))," ")</f>
        <v xml:space="preserve"> </v>
      </c>
      <c r="P295" s="15" t="str">
        <f>IF(E295="Navio",IF($G295&lt;=VLOOKUP($F295,Base_Dados!$K$1:$O$7,5,FALSE)," ","Limite "&amp;VLOOKUP($F295,Base_Dados!$K$1:$O$11,5,FALSE)&amp;" "&amp;VLOOKUP($F295,Base_Dados!$K$1:$O$11,2,FALSE))," ")</f>
        <v xml:space="preserve"> </v>
      </c>
      <c r="Q295" s="15" t="str">
        <f t="shared" si="3"/>
        <v>Fluxo Impossível</v>
      </c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24" customHeight="1" x14ac:dyDescent="0.3">
      <c r="A296" s="10"/>
      <c r="B296" s="10"/>
      <c r="C296" s="11"/>
      <c r="D296" s="11"/>
      <c r="E296" s="11"/>
      <c r="F296" s="11"/>
      <c r="G296" s="12"/>
      <c r="H296" s="11"/>
      <c r="I296" s="11"/>
      <c r="J296" s="24" t="e">
        <f>VLOOKUP(C296&amp;I296&amp;E296,Orig_Dest!$A$2:$E$1876,5,FALSE)</f>
        <v>#N/A</v>
      </c>
      <c r="K296" s="14" t="e">
        <f t="shared" si="2"/>
        <v>#VALUE!</v>
      </c>
      <c r="L296" s="15" t="str">
        <f>IF(B296="Fornecedor",IF(VLOOKUP(C296,Base_Dados!$E$1:$F$7,2,FALSE)=F296," ","Fornecedor inválido!")," ")</f>
        <v xml:space="preserve"> </v>
      </c>
      <c r="M296" s="16" t="str">
        <f>IF(AND(LEFT(F296,2)="MP",H296&lt;&gt;Base_Dados!$A$1),"Impossível!!!"," ")</f>
        <v xml:space="preserve"> </v>
      </c>
      <c r="N296" s="15" t="str">
        <f>IF(E296="Avião",IF($G296&lt;=VLOOKUP($F296,Base_Dados!$K$1:$O$7,3,FALSE)," ","Limite "&amp;VLOOKUP($F296,Base_Dados!$K$1:$O$11,3,FALSE)&amp;" "&amp;VLOOKUP($F296,Base_Dados!$K$1:$O$11,2,FALSE))," ")</f>
        <v xml:space="preserve"> </v>
      </c>
      <c r="O296" s="15" t="str">
        <f>IF(E296="Caminhão",IF($G296&lt;=VLOOKUP($F296,Base_Dados!$K$1:$O$7,4,FALSE)," ","Limite "&amp;VLOOKUP($F296,Base_Dados!$K$1:$O$11,4,FALSE)&amp;" "&amp;VLOOKUP($F296,Base_Dados!$K$1:$O$11,2,FALSE))," ")</f>
        <v xml:space="preserve"> </v>
      </c>
      <c r="P296" s="15" t="str">
        <f>IF(E296="Navio",IF($G296&lt;=VLOOKUP($F296,Base_Dados!$K$1:$O$7,5,FALSE)," ","Limite "&amp;VLOOKUP($F296,Base_Dados!$K$1:$O$11,5,FALSE)&amp;" "&amp;VLOOKUP($F296,Base_Dados!$K$1:$O$11,2,FALSE))," ")</f>
        <v xml:space="preserve"> </v>
      </c>
      <c r="Q296" s="15" t="str">
        <f t="shared" si="3"/>
        <v>Fluxo Impossível</v>
      </c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24" customHeight="1" x14ac:dyDescent="0.3">
      <c r="A297" s="10"/>
      <c r="B297" s="10"/>
      <c r="C297" s="11"/>
      <c r="D297" s="11"/>
      <c r="E297" s="11"/>
      <c r="F297" s="11"/>
      <c r="G297" s="12"/>
      <c r="H297" s="11"/>
      <c r="I297" s="11"/>
      <c r="J297" s="24" t="e">
        <f>VLOOKUP(C297&amp;I297&amp;E297,Orig_Dest!$A$2:$E$1876,5,FALSE)</f>
        <v>#N/A</v>
      </c>
      <c r="K297" s="14" t="e">
        <f t="shared" si="2"/>
        <v>#VALUE!</v>
      </c>
      <c r="L297" s="15" t="str">
        <f>IF(B297="Fornecedor",IF(VLOOKUP(C297,Base_Dados!$E$1:$F$7,2,FALSE)=F297," ","Fornecedor inválido!")," ")</f>
        <v xml:space="preserve"> </v>
      </c>
      <c r="M297" s="16" t="str">
        <f>IF(AND(LEFT(F297,2)="MP",H297&lt;&gt;Base_Dados!$A$1),"Impossível!!!"," ")</f>
        <v xml:space="preserve"> </v>
      </c>
      <c r="N297" s="15" t="str">
        <f>IF(E297="Avião",IF($G297&lt;=VLOOKUP($F297,Base_Dados!$K$1:$O$7,3,FALSE)," ","Limite "&amp;VLOOKUP($F297,Base_Dados!$K$1:$O$11,3,FALSE)&amp;" "&amp;VLOOKUP($F297,Base_Dados!$K$1:$O$11,2,FALSE))," ")</f>
        <v xml:space="preserve"> </v>
      </c>
      <c r="O297" s="15" t="str">
        <f>IF(E297="Caminhão",IF($G297&lt;=VLOOKUP($F297,Base_Dados!$K$1:$O$7,4,FALSE)," ","Limite "&amp;VLOOKUP($F297,Base_Dados!$K$1:$O$11,4,FALSE)&amp;" "&amp;VLOOKUP($F297,Base_Dados!$K$1:$O$11,2,FALSE))," ")</f>
        <v xml:space="preserve"> </v>
      </c>
      <c r="P297" s="15" t="str">
        <f>IF(E297="Navio",IF($G297&lt;=VLOOKUP($F297,Base_Dados!$K$1:$O$7,5,FALSE)," ","Limite "&amp;VLOOKUP($F297,Base_Dados!$K$1:$O$11,5,FALSE)&amp;" "&amp;VLOOKUP($F297,Base_Dados!$K$1:$O$11,2,FALSE))," ")</f>
        <v xml:space="preserve"> </v>
      </c>
      <c r="Q297" s="15" t="str">
        <f t="shared" si="3"/>
        <v>Fluxo Impossível</v>
      </c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24" customHeight="1" x14ac:dyDescent="0.3">
      <c r="A298" s="10"/>
      <c r="B298" s="10"/>
      <c r="C298" s="11"/>
      <c r="D298" s="11"/>
      <c r="E298" s="11"/>
      <c r="F298" s="11"/>
      <c r="G298" s="12"/>
      <c r="H298" s="11"/>
      <c r="I298" s="11"/>
      <c r="J298" s="24" t="e">
        <f>VLOOKUP(C298&amp;I298&amp;E298,Orig_Dest!$A$2:$E$1876,5,FALSE)</f>
        <v>#N/A</v>
      </c>
      <c r="K298" s="14" t="e">
        <f t="shared" si="2"/>
        <v>#VALUE!</v>
      </c>
      <c r="L298" s="15" t="str">
        <f>IF(B298="Fornecedor",IF(VLOOKUP(C298,Base_Dados!$E$1:$F$7,2,FALSE)=F298," ","Fornecedor inválido!")," ")</f>
        <v xml:space="preserve"> </v>
      </c>
      <c r="M298" s="16" t="str">
        <f>IF(AND(LEFT(F298,2)="MP",H298&lt;&gt;Base_Dados!$A$1),"Impossível!!!"," ")</f>
        <v xml:space="preserve"> </v>
      </c>
      <c r="N298" s="15" t="str">
        <f>IF(E298="Avião",IF($G298&lt;=VLOOKUP($F298,Base_Dados!$K$1:$O$7,3,FALSE)," ","Limite "&amp;VLOOKUP($F298,Base_Dados!$K$1:$O$11,3,FALSE)&amp;" "&amp;VLOOKUP($F298,Base_Dados!$K$1:$O$11,2,FALSE))," ")</f>
        <v xml:space="preserve"> </v>
      </c>
      <c r="O298" s="15" t="str">
        <f>IF(E298="Caminhão",IF($G298&lt;=VLOOKUP($F298,Base_Dados!$K$1:$O$7,4,FALSE)," ","Limite "&amp;VLOOKUP($F298,Base_Dados!$K$1:$O$11,4,FALSE)&amp;" "&amp;VLOOKUP($F298,Base_Dados!$K$1:$O$11,2,FALSE))," ")</f>
        <v xml:space="preserve"> </v>
      </c>
      <c r="P298" s="15" t="str">
        <f>IF(E298="Navio",IF($G298&lt;=VLOOKUP($F298,Base_Dados!$K$1:$O$7,5,FALSE)," ","Limite "&amp;VLOOKUP($F298,Base_Dados!$K$1:$O$11,5,FALSE)&amp;" "&amp;VLOOKUP($F298,Base_Dados!$K$1:$O$11,2,FALSE))," ")</f>
        <v xml:space="preserve"> </v>
      </c>
      <c r="Q298" s="15" t="str">
        <f t="shared" si="3"/>
        <v>Fluxo Impossível</v>
      </c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24" customHeight="1" x14ac:dyDescent="0.3">
      <c r="A299" s="10"/>
      <c r="B299" s="10"/>
      <c r="C299" s="11"/>
      <c r="D299" s="11"/>
      <c r="E299" s="11"/>
      <c r="F299" s="11"/>
      <c r="G299" s="12"/>
      <c r="H299" s="11"/>
      <c r="I299" s="11"/>
      <c r="J299" s="24" t="e">
        <f>VLOOKUP(C299&amp;I299&amp;E299,Orig_Dest!$A$2:$E$1876,5,FALSE)</f>
        <v>#N/A</v>
      </c>
      <c r="K299" s="14" t="e">
        <f t="shared" si="2"/>
        <v>#VALUE!</v>
      </c>
      <c r="L299" s="15" t="str">
        <f>IF(B299="Fornecedor",IF(VLOOKUP(C299,Base_Dados!$E$1:$F$7,2,FALSE)=F299," ","Fornecedor inválido!")," ")</f>
        <v xml:space="preserve"> </v>
      </c>
      <c r="M299" s="16" t="str">
        <f>IF(AND(LEFT(F299,2)="MP",H299&lt;&gt;Base_Dados!$A$1),"Impossível!!!"," ")</f>
        <v xml:space="preserve"> </v>
      </c>
      <c r="N299" s="15" t="str">
        <f>IF(E299="Avião",IF($G299&lt;=VLOOKUP($F299,Base_Dados!$K$1:$O$7,3,FALSE)," ","Limite "&amp;VLOOKUP($F299,Base_Dados!$K$1:$O$11,3,FALSE)&amp;" "&amp;VLOOKUP($F299,Base_Dados!$K$1:$O$11,2,FALSE))," ")</f>
        <v xml:space="preserve"> </v>
      </c>
      <c r="O299" s="15" t="str">
        <f>IF(E299="Caminhão",IF($G299&lt;=VLOOKUP($F299,Base_Dados!$K$1:$O$7,4,FALSE)," ","Limite "&amp;VLOOKUP($F299,Base_Dados!$K$1:$O$11,4,FALSE)&amp;" "&amp;VLOOKUP($F299,Base_Dados!$K$1:$O$11,2,FALSE))," ")</f>
        <v xml:space="preserve"> </v>
      </c>
      <c r="P299" s="15" t="str">
        <f>IF(E299="Navio",IF($G299&lt;=VLOOKUP($F299,Base_Dados!$K$1:$O$7,5,FALSE)," ","Limite "&amp;VLOOKUP($F299,Base_Dados!$K$1:$O$11,5,FALSE)&amp;" "&amp;VLOOKUP($F299,Base_Dados!$K$1:$O$11,2,FALSE))," ")</f>
        <v xml:space="preserve"> </v>
      </c>
      <c r="Q299" s="15" t="str">
        <f t="shared" si="3"/>
        <v>Fluxo Impossível</v>
      </c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24" customHeight="1" x14ac:dyDescent="0.3">
      <c r="A300" s="10"/>
      <c r="B300" s="10"/>
      <c r="C300" s="11"/>
      <c r="D300" s="11"/>
      <c r="E300" s="11"/>
      <c r="F300" s="11"/>
      <c r="G300" s="12"/>
      <c r="H300" s="11"/>
      <c r="I300" s="11"/>
      <c r="J300" s="24" t="e">
        <f>VLOOKUP(C300&amp;I300&amp;E300,Orig_Dest!$A$2:$E$1876,5,FALSE)</f>
        <v>#N/A</v>
      </c>
      <c r="K300" s="14" t="e">
        <f t="shared" si="2"/>
        <v>#VALUE!</v>
      </c>
      <c r="L300" s="15" t="str">
        <f>IF(B300="Fornecedor",IF(VLOOKUP(C300,Base_Dados!$E$1:$F$7,2,FALSE)=F300," ","Fornecedor inválido!")," ")</f>
        <v xml:space="preserve"> </v>
      </c>
      <c r="M300" s="16" t="str">
        <f>IF(AND(LEFT(F300,2)="MP",H300&lt;&gt;Base_Dados!$A$1),"Impossível!!!"," ")</f>
        <v xml:space="preserve"> </v>
      </c>
      <c r="N300" s="15" t="str">
        <f>IF(E300="Avião",IF($G300&lt;=VLOOKUP($F300,Base_Dados!$K$1:$O$7,3,FALSE)," ","Limite "&amp;VLOOKUP($F300,Base_Dados!$K$1:$O$11,3,FALSE)&amp;" "&amp;VLOOKUP($F300,Base_Dados!$K$1:$O$11,2,FALSE))," ")</f>
        <v xml:space="preserve"> </v>
      </c>
      <c r="O300" s="15" t="str">
        <f>IF(E300="Caminhão",IF($G300&lt;=VLOOKUP($F300,Base_Dados!$K$1:$O$7,4,FALSE)," ","Limite "&amp;VLOOKUP($F300,Base_Dados!$K$1:$O$11,4,FALSE)&amp;" "&amp;VLOOKUP($F300,Base_Dados!$K$1:$O$11,2,FALSE))," ")</f>
        <v xml:space="preserve"> </v>
      </c>
      <c r="P300" s="15" t="str">
        <f>IF(E300="Navio",IF($G300&lt;=VLOOKUP($F300,Base_Dados!$K$1:$O$7,5,FALSE)," ","Limite "&amp;VLOOKUP($F300,Base_Dados!$K$1:$O$11,5,FALSE)&amp;" "&amp;VLOOKUP($F300,Base_Dados!$K$1:$O$11,2,FALSE))," ")</f>
        <v xml:space="preserve"> </v>
      </c>
      <c r="Q300" s="15" t="str">
        <f t="shared" si="3"/>
        <v>Fluxo Impossível</v>
      </c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24" customHeight="1" x14ac:dyDescent="0.3">
      <c r="A301" s="10"/>
      <c r="B301" s="10"/>
      <c r="C301" s="11"/>
      <c r="D301" s="11"/>
      <c r="E301" s="11"/>
      <c r="F301" s="11"/>
      <c r="G301" s="12"/>
      <c r="H301" s="11"/>
      <c r="I301" s="11"/>
      <c r="J301" s="24" t="e">
        <f>VLOOKUP(C301&amp;I301&amp;E301,Orig_Dest!$A$2:$E$1876,5,FALSE)</f>
        <v>#N/A</v>
      </c>
      <c r="K301" s="14" t="e">
        <f t="shared" si="2"/>
        <v>#VALUE!</v>
      </c>
      <c r="L301" s="15" t="str">
        <f>IF(B301="Fornecedor",IF(VLOOKUP(C301,Base_Dados!$E$1:$F$7,2,FALSE)=F301," ","Fornecedor inválido!")," ")</f>
        <v xml:space="preserve"> </v>
      </c>
      <c r="M301" s="16" t="str">
        <f>IF(AND(LEFT(F301,2)="MP",H301&lt;&gt;Base_Dados!$A$1),"Impossível!!!"," ")</f>
        <v xml:space="preserve"> </v>
      </c>
      <c r="N301" s="15" t="str">
        <f>IF(E301="Avião",IF($G301&lt;=VLOOKUP($F301,Base_Dados!$K$1:$O$7,3,FALSE)," ","Limite "&amp;VLOOKUP($F301,Base_Dados!$K$1:$O$11,3,FALSE)&amp;" "&amp;VLOOKUP($F301,Base_Dados!$K$1:$O$11,2,FALSE))," ")</f>
        <v xml:space="preserve"> </v>
      </c>
      <c r="O301" s="15" t="str">
        <f>IF(E301="Caminhão",IF($G301&lt;=VLOOKUP($F301,Base_Dados!$K$1:$O$7,4,FALSE)," ","Limite "&amp;VLOOKUP($F301,Base_Dados!$K$1:$O$11,4,FALSE)&amp;" "&amp;VLOOKUP($F301,Base_Dados!$K$1:$O$11,2,FALSE))," ")</f>
        <v xml:space="preserve"> </v>
      </c>
      <c r="P301" s="15" t="str">
        <f>IF(E301="Navio",IF($G301&lt;=VLOOKUP($F301,Base_Dados!$K$1:$O$7,5,FALSE)," ","Limite "&amp;VLOOKUP($F301,Base_Dados!$K$1:$O$11,5,FALSE)&amp;" "&amp;VLOOKUP($F301,Base_Dados!$K$1:$O$11,2,FALSE))," ")</f>
        <v xml:space="preserve"> </v>
      </c>
      <c r="Q301" s="15" t="str">
        <f t="shared" si="3"/>
        <v>Fluxo Impossível</v>
      </c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24" customHeight="1" x14ac:dyDescent="0.3">
      <c r="A302" s="10"/>
      <c r="B302" s="10"/>
      <c r="C302" s="11"/>
      <c r="D302" s="11"/>
      <c r="E302" s="11"/>
      <c r="F302" s="11"/>
      <c r="G302" s="12"/>
      <c r="H302" s="11"/>
      <c r="I302" s="11"/>
      <c r="J302" s="24" t="e">
        <f>VLOOKUP(C302&amp;I302&amp;E302,Orig_Dest!$A$2:$E$1876,5,FALSE)</f>
        <v>#N/A</v>
      </c>
      <c r="K302" s="14" t="e">
        <f t="shared" si="2"/>
        <v>#VALUE!</v>
      </c>
      <c r="L302" s="15" t="str">
        <f>IF(B302="Fornecedor",IF(VLOOKUP(C302,Base_Dados!$E$1:$F$7,2,FALSE)=F302," ","Fornecedor inválido!")," ")</f>
        <v xml:space="preserve"> </v>
      </c>
      <c r="M302" s="16" t="str">
        <f>IF(AND(LEFT(F302,2)="MP",H302&lt;&gt;Base_Dados!$A$1),"Impossível!!!"," ")</f>
        <v xml:space="preserve"> </v>
      </c>
      <c r="N302" s="15" t="str">
        <f>IF(E302="Avião",IF($G302&lt;=VLOOKUP($F302,Base_Dados!$K$1:$O$7,3,FALSE)," ","Limite "&amp;VLOOKUP($F302,Base_Dados!$K$1:$O$11,3,FALSE)&amp;" "&amp;VLOOKUP($F302,Base_Dados!$K$1:$O$11,2,FALSE))," ")</f>
        <v xml:space="preserve"> </v>
      </c>
      <c r="O302" s="15" t="str">
        <f>IF(E302="Caminhão",IF($G302&lt;=VLOOKUP($F302,Base_Dados!$K$1:$O$7,4,FALSE)," ","Limite "&amp;VLOOKUP($F302,Base_Dados!$K$1:$O$11,4,FALSE)&amp;" "&amp;VLOOKUP($F302,Base_Dados!$K$1:$O$11,2,FALSE))," ")</f>
        <v xml:space="preserve"> </v>
      </c>
      <c r="P302" s="15" t="str">
        <f>IF(E302="Navio",IF($G302&lt;=VLOOKUP($F302,Base_Dados!$K$1:$O$7,5,FALSE)," ","Limite "&amp;VLOOKUP($F302,Base_Dados!$K$1:$O$11,5,FALSE)&amp;" "&amp;VLOOKUP($F302,Base_Dados!$K$1:$O$11,2,FALSE))," ")</f>
        <v xml:space="preserve"> </v>
      </c>
      <c r="Q302" s="15" t="str">
        <f t="shared" si="3"/>
        <v>Fluxo Impossível</v>
      </c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24" customHeight="1" x14ac:dyDescent="0.3">
      <c r="A303" s="10"/>
      <c r="B303" s="10"/>
      <c r="C303" s="11"/>
      <c r="D303" s="11"/>
      <c r="E303" s="11"/>
      <c r="F303" s="11"/>
      <c r="G303" s="12"/>
      <c r="H303" s="11"/>
      <c r="I303" s="11"/>
      <c r="J303" s="24" t="e">
        <f>VLOOKUP(C303&amp;I303&amp;E303,Orig_Dest!$A$2:$E$1876,5,FALSE)</f>
        <v>#N/A</v>
      </c>
      <c r="K303" s="14" t="e">
        <f t="shared" si="2"/>
        <v>#VALUE!</v>
      </c>
      <c r="L303" s="15" t="str">
        <f>IF(B303="Fornecedor",IF(VLOOKUP(C303,Base_Dados!$E$1:$F$7,2,FALSE)=F303," ","Fornecedor inválido!")," ")</f>
        <v xml:space="preserve"> </v>
      </c>
      <c r="M303" s="16" t="str">
        <f>IF(AND(LEFT(F303,2)="MP",H303&lt;&gt;Base_Dados!$A$1),"Impossível!!!"," ")</f>
        <v xml:space="preserve"> </v>
      </c>
      <c r="N303" s="15" t="str">
        <f>IF(E303="Avião",IF($G303&lt;=VLOOKUP($F303,Base_Dados!$K$1:$O$7,3,FALSE)," ","Limite "&amp;VLOOKUP($F303,Base_Dados!$K$1:$O$11,3,FALSE)&amp;" "&amp;VLOOKUP($F303,Base_Dados!$K$1:$O$11,2,FALSE))," ")</f>
        <v xml:space="preserve"> </v>
      </c>
      <c r="O303" s="15" t="str">
        <f>IF(E303="Caminhão",IF($G303&lt;=VLOOKUP($F303,Base_Dados!$K$1:$O$7,4,FALSE)," ","Limite "&amp;VLOOKUP($F303,Base_Dados!$K$1:$O$11,4,FALSE)&amp;" "&amp;VLOOKUP($F303,Base_Dados!$K$1:$O$11,2,FALSE))," ")</f>
        <v xml:space="preserve"> </v>
      </c>
      <c r="P303" s="15" t="str">
        <f>IF(E303="Navio",IF($G303&lt;=VLOOKUP($F303,Base_Dados!$K$1:$O$7,5,FALSE)," ","Limite "&amp;VLOOKUP($F303,Base_Dados!$K$1:$O$11,5,FALSE)&amp;" "&amp;VLOOKUP($F303,Base_Dados!$K$1:$O$11,2,FALSE))," ")</f>
        <v xml:space="preserve"> </v>
      </c>
      <c r="Q303" s="15" t="str">
        <f t="shared" si="3"/>
        <v>Fluxo Impossível</v>
      </c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24" customHeight="1" x14ac:dyDescent="0.3">
      <c r="A304" s="10"/>
      <c r="B304" s="10"/>
      <c r="C304" s="11"/>
      <c r="D304" s="11"/>
      <c r="E304" s="11"/>
      <c r="F304" s="11"/>
      <c r="G304" s="12"/>
      <c r="H304" s="11"/>
      <c r="I304" s="11"/>
      <c r="J304" s="24" t="e">
        <f>VLOOKUP(C304&amp;I304&amp;E304,Orig_Dest!$A$2:$E$1876,5,FALSE)</f>
        <v>#N/A</v>
      </c>
      <c r="K304" s="14" t="e">
        <f t="shared" si="2"/>
        <v>#VALUE!</v>
      </c>
      <c r="L304" s="15" t="str">
        <f>IF(B304="Fornecedor",IF(VLOOKUP(C304,Base_Dados!$E$1:$F$7,2,FALSE)=F304," ","Fornecedor inválido!")," ")</f>
        <v xml:space="preserve"> </v>
      </c>
      <c r="M304" s="16" t="str">
        <f>IF(AND(LEFT(F304,2)="MP",H304&lt;&gt;Base_Dados!$A$1),"Impossível!!!"," ")</f>
        <v xml:space="preserve"> </v>
      </c>
      <c r="N304" s="15" t="str">
        <f>IF(E304="Avião",IF($G304&lt;=VLOOKUP($F304,Base_Dados!$K$1:$O$7,3,FALSE)," ","Limite "&amp;VLOOKUP($F304,Base_Dados!$K$1:$O$11,3,FALSE)&amp;" "&amp;VLOOKUP($F304,Base_Dados!$K$1:$O$11,2,FALSE))," ")</f>
        <v xml:space="preserve"> </v>
      </c>
      <c r="O304" s="15" t="str">
        <f>IF(E304="Caminhão",IF($G304&lt;=VLOOKUP($F304,Base_Dados!$K$1:$O$7,4,FALSE)," ","Limite "&amp;VLOOKUP($F304,Base_Dados!$K$1:$O$11,4,FALSE)&amp;" "&amp;VLOOKUP($F304,Base_Dados!$K$1:$O$11,2,FALSE))," ")</f>
        <v xml:space="preserve"> </v>
      </c>
      <c r="P304" s="15" t="str">
        <f>IF(E304="Navio",IF($G304&lt;=VLOOKUP($F304,Base_Dados!$K$1:$O$7,5,FALSE)," ","Limite "&amp;VLOOKUP($F304,Base_Dados!$K$1:$O$11,5,FALSE)&amp;" "&amp;VLOOKUP($F304,Base_Dados!$K$1:$O$11,2,FALSE))," ")</f>
        <v xml:space="preserve"> </v>
      </c>
      <c r="Q304" s="15" t="str">
        <f t="shared" si="3"/>
        <v>Fluxo Impossível</v>
      </c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24" customHeight="1" x14ac:dyDescent="0.3">
      <c r="A305" s="10"/>
      <c r="B305" s="10"/>
      <c r="C305" s="11"/>
      <c r="D305" s="11"/>
      <c r="E305" s="11"/>
      <c r="F305" s="11"/>
      <c r="G305" s="12"/>
      <c r="H305" s="11"/>
      <c r="I305" s="11"/>
      <c r="J305" s="24" t="e">
        <f>VLOOKUP(C305&amp;I305&amp;E305,Orig_Dest!$A$2:$E$1876,5,FALSE)</f>
        <v>#N/A</v>
      </c>
      <c r="K305" s="14" t="e">
        <f t="shared" si="2"/>
        <v>#VALUE!</v>
      </c>
      <c r="L305" s="15" t="str">
        <f>IF(B305="Fornecedor",IF(VLOOKUP(C305,Base_Dados!$E$1:$F$7,2,FALSE)=F305," ","Fornecedor inválido!")," ")</f>
        <v xml:space="preserve"> </v>
      </c>
      <c r="M305" s="16" t="str">
        <f>IF(AND(LEFT(F305,2)="MP",H305&lt;&gt;Base_Dados!$A$1),"Impossível!!!"," ")</f>
        <v xml:space="preserve"> </v>
      </c>
      <c r="N305" s="15" t="str">
        <f>IF(E305="Avião",IF($G305&lt;=VLOOKUP($F305,Base_Dados!$K$1:$O$7,3,FALSE)," ","Limite "&amp;VLOOKUP($F305,Base_Dados!$K$1:$O$11,3,FALSE)&amp;" "&amp;VLOOKUP($F305,Base_Dados!$K$1:$O$11,2,FALSE))," ")</f>
        <v xml:space="preserve"> </v>
      </c>
      <c r="O305" s="15" t="str">
        <f>IF(E305="Caminhão",IF($G305&lt;=VLOOKUP($F305,Base_Dados!$K$1:$O$7,4,FALSE)," ","Limite "&amp;VLOOKUP($F305,Base_Dados!$K$1:$O$11,4,FALSE)&amp;" "&amp;VLOOKUP($F305,Base_Dados!$K$1:$O$11,2,FALSE))," ")</f>
        <v xml:space="preserve"> </v>
      </c>
      <c r="P305" s="15" t="str">
        <f>IF(E305="Navio",IF($G305&lt;=VLOOKUP($F305,Base_Dados!$K$1:$O$7,5,FALSE)," ","Limite "&amp;VLOOKUP($F305,Base_Dados!$K$1:$O$11,5,FALSE)&amp;" "&amp;VLOOKUP($F305,Base_Dados!$K$1:$O$11,2,FALSE))," ")</f>
        <v xml:space="preserve"> </v>
      </c>
      <c r="Q305" s="15" t="str">
        <f t="shared" si="3"/>
        <v>Fluxo Impossível</v>
      </c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24" customHeight="1" x14ac:dyDescent="0.3">
      <c r="A306" s="10"/>
      <c r="B306" s="10"/>
      <c r="C306" s="11"/>
      <c r="D306" s="11"/>
      <c r="E306" s="11"/>
      <c r="F306" s="11"/>
      <c r="G306" s="12"/>
      <c r="H306" s="11"/>
      <c r="I306" s="11"/>
      <c r="J306" s="24" t="e">
        <f>VLOOKUP(C306&amp;I306&amp;E306,Orig_Dest!$A$2:$E$1876,5,FALSE)</f>
        <v>#N/A</v>
      </c>
      <c r="K306" s="14" t="e">
        <f t="shared" si="2"/>
        <v>#VALUE!</v>
      </c>
      <c r="L306" s="15" t="str">
        <f>IF(B306="Fornecedor",IF(VLOOKUP(C306,Base_Dados!$E$1:$F$7,2,FALSE)=F306," ","Fornecedor inválido!")," ")</f>
        <v xml:space="preserve"> </v>
      </c>
      <c r="M306" s="16" t="str">
        <f>IF(AND(LEFT(F306,2)="MP",H306&lt;&gt;Base_Dados!$A$1),"Impossível!!!"," ")</f>
        <v xml:space="preserve"> </v>
      </c>
      <c r="N306" s="15" t="str">
        <f>IF(E306="Avião",IF($G306&lt;=VLOOKUP($F306,Base_Dados!$K$1:$O$7,3,FALSE)," ","Limite "&amp;VLOOKUP($F306,Base_Dados!$K$1:$O$11,3,FALSE)&amp;" "&amp;VLOOKUP($F306,Base_Dados!$K$1:$O$11,2,FALSE))," ")</f>
        <v xml:space="preserve"> </v>
      </c>
      <c r="O306" s="15" t="str">
        <f>IF(E306="Caminhão",IF($G306&lt;=VLOOKUP($F306,Base_Dados!$K$1:$O$7,4,FALSE)," ","Limite "&amp;VLOOKUP($F306,Base_Dados!$K$1:$O$11,4,FALSE)&amp;" "&amp;VLOOKUP($F306,Base_Dados!$K$1:$O$11,2,FALSE))," ")</f>
        <v xml:space="preserve"> </v>
      </c>
      <c r="P306" s="15" t="str">
        <f>IF(E306="Navio",IF($G306&lt;=VLOOKUP($F306,Base_Dados!$K$1:$O$7,5,FALSE)," ","Limite "&amp;VLOOKUP($F306,Base_Dados!$K$1:$O$11,5,FALSE)&amp;" "&amp;VLOOKUP($F306,Base_Dados!$K$1:$O$11,2,FALSE))," ")</f>
        <v xml:space="preserve"> </v>
      </c>
      <c r="Q306" s="15" t="str">
        <f t="shared" si="3"/>
        <v>Fluxo Impossível</v>
      </c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24" customHeight="1" x14ac:dyDescent="0.3">
      <c r="A307" s="10"/>
      <c r="B307" s="10"/>
      <c r="C307" s="11"/>
      <c r="D307" s="11"/>
      <c r="E307" s="11"/>
      <c r="F307" s="11"/>
      <c r="G307" s="12"/>
      <c r="H307" s="11"/>
      <c r="I307" s="11"/>
      <c r="J307" s="24" t="e">
        <f>VLOOKUP(C307&amp;I307&amp;E307,Orig_Dest!$A$2:$E$1876,5,FALSE)</f>
        <v>#N/A</v>
      </c>
      <c r="K307" s="14" t="e">
        <f t="shared" si="2"/>
        <v>#VALUE!</v>
      </c>
      <c r="L307" s="15" t="str">
        <f>IF(B307="Fornecedor",IF(VLOOKUP(C307,Base_Dados!$E$1:$F$7,2,FALSE)=F307," ","Fornecedor inválido!")," ")</f>
        <v xml:space="preserve"> </v>
      </c>
      <c r="M307" s="16" t="str">
        <f>IF(AND(LEFT(F307,2)="MP",H307&lt;&gt;Base_Dados!$A$1),"Impossível!!!"," ")</f>
        <v xml:space="preserve"> </v>
      </c>
      <c r="N307" s="15" t="str">
        <f>IF(E307="Avião",IF($G307&lt;=VLOOKUP($F307,Base_Dados!$K$1:$O$7,3,FALSE)," ","Limite "&amp;VLOOKUP($F307,Base_Dados!$K$1:$O$11,3,FALSE)&amp;" "&amp;VLOOKUP($F307,Base_Dados!$K$1:$O$11,2,FALSE))," ")</f>
        <v xml:space="preserve"> </v>
      </c>
      <c r="O307" s="15" t="str">
        <f>IF(E307="Caminhão",IF($G307&lt;=VLOOKUP($F307,Base_Dados!$K$1:$O$7,4,FALSE)," ","Limite "&amp;VLOOKUP($F307,Base_Dados!$K$1:$O$11,4,FALSE)&amp;" "&amp;VLOOKUP($F307,Base_Dados!$K$1:$O$11,2,FALSE))," ")</f>
        <v xml:space="preserve"> </v>
      </c>
      <c r="P307" s="15" t="str">
        <f>IF(E307="Navio",IF($G307&lt;=VLOOKUP($F307,Base_Dados!$K$1:$O$7,5,FALSE)," ","Limite "&amp;VLOOKUP($F307,Base_Dados!$K$1:$O$11,5,FALSE)&amp;" "&amp;VLOOKUP($F307,Base_Dados!$K$1:$O$11,2,FALSE))," ")</f>
        <v xml:space="preserve"> </v>
      </c>
      <c r="Q307" s="15" t="str">
        <f t="shared" si="3"/>
        <v>Fluxo Impossível</v>
      </c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24" customHeight="1" x14ac:dyDescent="0.3">
      <c r="A308" s="10"/>
      <c r="B308" s="10"/>
      <c r="C308" s="11"/>
      <c r="D308" s="11"/>
      <c r="E308" s="11"/>
      <c r="F308" s="11"/>
      <c r="G308" s="12"/>
      <c r="H308" s="11"/>
      <c r="I308" s="11"/>
      <c r="J308" s="24" t="e">
        <f>VLOOKUP(C308&amp;I308&amp;E308,Orig_Dest!$A$2:$E$1876,5,FALSE)</f>
        <v>#N/A</v>
      </c>
      <c r="K308" s="14" t="e">
        <f t="shared" si="2"/>
        <v>#VALUE!</v>
      </c>
      <c r="L308" s="15" t="str">
        <f>IF(B308="Fornecedor",IF(VLOOKUP(C308,Base_Dados!$E$1:$F$7,2,FALSE)=F308," ","Fornecedor inválido!")," ")</f>
        <v xml:space="preserve"> </v>
      </c>
      <c r="M308" s="16" t="str">
        <f>IF(AND(LEFT(F308,2)="MP",H308&lt;&gt;Base_Dados!$A$1),"Impossível!!!"," ")</f>
        <v xml:space="preserve"> </v>
      </c>
      <c r="N308" s="15" t="str">
        <f>IF(E308="Avião",IF($G308&lt;=VLOOKUP($F308,Base_Dados!$K$1:$O$7,3,FALSE)," ","Limite "&amp;VLOOKUP($F308,Base_Dados!$K$1:$O$11,3,FALSE)&amp;" "&amp;VLOOKUP($F308,Base_Dados!$K$1:$O$11,2,FALSE))," ")</f>
        <v xml:space="preserve"> </v>
      </c>
      <c r="O308" s="15" t="str">
        <f>IF(E308="Caminhão",IF($G308&lt;=VLOOKUP($F308,Base_Dados!$K$1:$O$7,4,FALSE)," ","Limite "&amp;VLOOKUP($F308,Base_Dados!$K$1:$O$11,4,FALSE)&amp;" "&amp;VLOOKUP($F308,Base_Dados!$K$1:$O$11,2,FALSE))," ")</f>
        <v xml:space="preserve"> </v>
      </c>
      <c r="P308" s="15" t="str">
        <f>IF(E308="Navio",IF($G308&lt;=VLOOKUP($F308,Base_Dados!$K$1:$O$7,5,FALSE)," ","Limite "&amp;VLOOKUP($F308,Base_Dados!$K$1:$O$11,5,FALSE)&amp;" "&amp;VLOOKUP($F308,Base_Dados!$K$1:$O$11,2,FALSE))," ")</f>
        <v xml:space="preserve"> </v>
      </c>
      <c r="Q308" s="15" t="str">
        <f t="shared" si="3"/>
        <v>Fluxo Impossível</v>
      </c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24" customHeight="1" x14ac:dyDescent="0.3">
      <c r="A309" s="10"/>
      <c r="B309" s="10"/>
      <c r="C309" s="11"/>
      <c r="D309" s="11"/>
      <c r="E309" s="11"/>
      <c r="F309" s="11"/>
      <c r="G309" s="12"/>
      <c r="H309" s="11"/>
      <c r="I309" s="11"/>
      <c r="J309" s="24" t="e">
        <f>VLOOKUP(C309&amp;I309&amp;E309,Orig_Dest!$A$2:$E$1876,5,FALSE)</f>
        <v>#N/A</v>
      </c>
      <c r="K309" s="14" t="e">
        <f t="shared" si="2"/>
        <v>#VALUE!</v>
      </c>
      <c r="L309" s="15" t="str">
        <f>IF(B309="Fornecedor",IF(VLOOKUP(C309,Base_Dados!$E$1:$F$7,2,FALSE)=F309," ","Fornecedor inválido!")," ")</f>
        <v xml:space="preserve"> </v>
      </c>
      <c r="M309" s="16" t="str">
        <f>IF(AND(LEFT(F309,2)="MP",H309&lt;&gt;Base_Dados!$A$1),"Impossível!!!"," ")</f>
        <v xml:space="preserve"> </v>
      </c>
      <c r="N309" s="15" t="str">
        <f>IF(E309="Avião",IF($G309&lt;=VLOOKUP($F309,Base_Dados!$K$1:$O$7,3,FALSE)," ","Limite "&amp;VLOOKUP($F309,Base_Dados!$K$1:$O$11,3,FALSE)&amp;" "&amp;VLOOKUP($F309,Base_Dados!$K$1:$O$11,2,FALSE))," ")</f>
        <v xml:space="preserve"> </v>
      </c>
      <c r="O309" s="15" t="str">
        <f>IF(E309="Caminhão",IF($G309&lt;=VLOOKUP($F309,Base_Dados!$K$1:$O$7,4,FALSE)," ","Limite "&amp;VLOOKUP($F309,Base_Dados!$K$1:$O$11,4,FALSE)&amp;" "&amp;VLOOKUP($F309,Base_Dados!$K$1:$O$11,2,FALSE))," ")</f>
        <v xml:space="preserve"> </v>
      </c>
      <c r="P309" s="15" t="str">
        <f>IF(E309="Navio",IF($G309&lt;=VLOOKUP($F309,Base_Dados!$K$1:$O$7,5,FALSE)," ","Limite "&amp;VLOOKUP($F309,Base_Dados!$K$1:$O$11,5,FALSE)&amp;" "&amp;VLOOKUP($F309,Base_Dados!$K$1:$O$11,2,FALSE))," ")</f>
        <v xml:space="preserve"> </v>
      </c>
      <c r="Q309" s="15" t="str">
        <f t="shared" si="3"/>
        <v>Fluxo Impossível</v>
      </c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24" customHeight="1" x14ac:dyDescent="0.3">
      <c r="A310" s="10"/>
      <c r="B310" s="10"/>
      <c r="C310" s="11"/>
      <c r="D310" s="11"/>
      <c r="E310" s="11"/>
      <c r="F310" s="11"/>
      <c r="G310" s="12"/>
      <c r="H310" s="11"/>
      <c r="I310" s="11"/>
      <c r="J310" s="24" t="e">
        <f>VLOOKUP(C310&amp;I310&amp;E310,Orig_Dest!$A$2:$E$1876,5,FALSE)</f>
        <v>#N/A</v>
      </c>
      <c r="K310" s="14" t="e">
        <f t="shared" si="2"/>
        <v>#VALUE!</v>
      </c>
      <c r="L310" s="15" t="str">
        <f>IF(B310="Fornecedor",IF(VLOOKUP(C310,Base_Dados!$E$1:$F$7,2,FALSE)=F310," ","Fornecedor inválido!")," ")</f>
        <v xml:space="preserve"> </v>
      </c>
      <c r="M310" s="16" t="str">
        <f>IF(AND(LEFT(F310,2)="MP",H310&lt;&gt;Base_Dados!$A$1),"Impossível!!!"," ")</f>
        <v xml:space="preserve"> </v>
      </c>
      <c r="N310" s="15" t="str">
        <f>IF(E310="Avião",IF($G310&lt;=VLOOKUP($F310,Base_Dados!$K$1:$O$7,3,FALSE)," ","Limite "&amp;VLOOKUP($F310,Base_Dados!$K$1:$O$11,3,FALSE)&amp;" "&amp;VLOOKUP($F310,Base_Dados!$K$1:$O$11,2,FALSE))," ")</f>
        <v xml:space="preserve"> </v>
      </c>
      <c r="O310" s="15" t="str">
        <f>IF(E310="Caminhão",IF($G310&lt;=VLOOKUP($F310,Base_Dados!$K$1:$O$7,4,FALSE)," ","Limite "&amp;VLOOKUP($F310,Base_Dados!$K$1:$O$11,4,FALSE)&amp;" "&amp;VLOOKUP($F310,Base_Dados!$K$1:$O$11,2,FALSE))," ")</f>
        <v xml:space="preserve"> </v>
      </c>
      <c r="P310" s="15" t="str">
        <f>IF(E310="Navio",IF($G310&lt;=VLOOKUP($F310,Base_Dados!$K$1:$O$7,5,FALSE)," ","Limite "&amp;VLOOKUP($F310,Base_Dados!$K$1:$O$11,5,FALSE)&amp;" "&amp;VLOOKUP($F310,Base_Dados!$K$1:$O$11,2,FALSE))," ")</f>
        <v xml:space="preserve"> </v>
      </c>
      <c r="Q310" s="15" t="str">
        <f t="shared" si="3"/>
        <v>Fluxo Impossível</v>
      </c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24" customHeight="1" x14ac:dyDescent="0.3">
      <c r="A311" s="10"/>
      <c r="B311" s="10"/>
      <c r="C311" s="11"/>
      <c r="D311" s="11"/>
      <c r="E311" s="11"/>
      <c r="F311" s="11"/>
      <c r="G311" s="12"/>
      <c r="H311" s="11"/>
      <c r="I311" s="11"/>
      <c r="J311" s="24" t="e">
        <f>VLOOKUP(C311&amp;I311&amp;E311,Orig_Dest!$A$2:$E$1876,5,FALSE)</f>
        <v>#N/A</v>
      </c>
      <c r="K311" s="14" t="e">
        <f t="shared" si="2"/>
        <v>#VALUE!</v>
      </c>
      <c r="L311" s="15" t="str">
        <f>IF(B311="Fornecedor",IF(VLOOKUP(C311,Base_Dados!$E$1:$F$7,2,FALSE)=F311," ","Fornecedor inválido!")," ")</f>
        <v xml:space="preserve"> </v>
      </c>
      <c r="M311" s="16" t="str">
        <f>IF(AND(LEFT(F311,2)="MP",H311&lt;&gt;Base_Dados!$A$1),"Impossível!!!"," ")</f>
        <v xml:space="preserve"> </v>
      </c>
      <c r="N311" s="15" t="str">
        <f>IF(E311="Avião",IF($G311&lt;=VLOOKUP($F311,Base_Dados!$K$1:$O$7,3,FALSE)," ","Limite "&amp;VLOOKUP($F311,Base_Dados!$K$1:$O$11,3,FALSE)&amp;" "&amp;VLOOKUP($F311,Base_Dados!$K$1:$O$11,2,FALSE))," ")</f>
        <v xml:space="preserve"> </v>
      </c>
      <c r="O311" s="15" t="str">
        <f>IF(E311="Caminhão",IF($G311&lt;=VLOOKUP($F311,Base_Dados!$K$1:$O$7,4,FALSE)," ","Limite "&amp;VLOOKUP($F311,Base_Dados!$K$1:$O$11,4,FALSE)&amp;" "&amp;VLOOKUP($F311,Base_Dados!$K$1:$O$11,2,FALSE))," ")</f>
        <v xml:space="preserve"> </v>
      </c>
      <c r="P311" s="15" t="str">
        <f>IF(E311="Navio",IF($G311&lt;=VLOOKUP($F311,Base_Dados!$K$1:$O$7,5,FALSE)," ","Limite "&amp;VLOOKUP($F311,Base_Dados!$K$1:$O$11,5,FALSE)&amp;" "&amp;VLOOKUP($F311,Base_Dados!$K$1:$O$11,2,FALSE))," ")</f>
        <v xml:space="preserve"> </v>
      </c>
      <c r="Q311" s="15" t="str">
        <f t="shared" si="3"/>
        <v>Fluxo Impossível</v>
      </c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24" customHeight="1" x14ac:dyDescent="0.3">
      <c r="A312" s="10"/>
      <c r="B312" s="10"/>
      <c r="C312" s="11"/>
      <c r="D312" s="11"/>
      <c r="E312" s="11"/>
      <c r="F312" s="11"/>
      <c r="G312" s="12"/>
      <c r="H312" s="11"/>
      <c r="I312" s="11"/>
      <c r="J312" s="24" t="e">
        <f>VLOOKUP(C312&amp;I312&amp;E312,Orig_Dest!$A$2:$E$1876,5,FALSE)</f>
        <v>#N/A</v>
      </c>
      <c r="K312" s="14" t="e">
        <f t="shared" si="2"/>
        <v>#VALUE!</v>
      </c>
      <c r="L312" s="15" t="str">
        <f>IF(B312="Fornecedor",IF(VLOOKUP(C312,Base_Dados!$E$1:$F$7,2,FALSE)=F312," ","Fornecedor inválido!")," ")</f>
        <v xml:space="preserve"> </v>
      </c>
      <c r="M312" s="16" t="str">
        <f>IF(AND(LEFT(F312,2)="MP",H312&lt;&gt;Base_Dados!$A$1),"Impossível!!!"," ")</f>
        <v xml:space="preserve"> </v>
      </c>
      <c r="N312" s="15" t="str">
        <f>IF(E312="Avião",IF($G312&lt;=VLOOKUP($F312,Base_Dados!$K$1:$O$7,3,FALSE)," ","Limite "&amp;VLOOKUP($F312,Base_Dados!$K$1:$O$11,3,FALSE)&amp;" "&amp;VLOOKUP($F312,Base_Dados!$K$1:$O$11,2,FALSE))," ")</f>
        <v xml:space="preserve"> </v>
      </c>
      <c r="O312" s="15" t="str">
        <f>IF(E312="Caminhão",IF($G312&lt;=VLOOKUP($F312,Base_Dados!$K$1:$O$7,4,FALSE)," ","Limite "&amp;VLOOKUP($F312,Base_Dados!$K$1:$O$11,4,FALSE)&amp;" "&amp;VLOOKUP($F312,Base_Dados!$K$1:$O$11,2,FALSE))," ")</f>
        <v xml:space="preserve"> </v>
      </c>
      <c r="P312" s="15" t="str">
        <f>IF(E312="Navio",IF($G312&lt;=VLOOKUP($F312,Base_Dados!$K$1:$O$7,5,FALSE)," ","Limite "&amp;VLOOKUP($F312,Base_Dados!$K$1:$O$11,5,FALSE)&amp;" "&amp;VLOOKUP($F312,Base_Dados!$K$1:$O$11,2,FALSE))," ")</f>
        <v xml:space="preserve"> </v>
      </c>
      <c r="Q312" s="15" t="str">
        <f t="shared" si="3"/>
        <v>Fluxo Impossível</v>
      </c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24" customHeight="1" x14ac:dyDescent="0.3">
      <c r="A313" s="10"/>
      <c r="B313" s="10"/>
      <c r="C313" s="11"/>
      <c r="D313" s="11"/>
      <c r="E313" s="11"/>
      <c r="F313" s="11"/>
      <c r="G313" s="12"/>
      <c r="H313" s="11"/>
      <c r="I313" s="11"/>
      <c r="J313" s="24" t="e">
        <f>VLOOKUP(C313&amp;I313&amp;E313,Orig_Dest!$A$2:$E$1876,5,FALSE)</f>
        <v>#N/A</v>
      </c>
      <c r="K313" s="14" t="e">
        <f t="shared" si="2"/>
        <v>#VALUE!</v>
      </c>
      <c r="L313" s="15" t="str">
        <f>IF(B313="Fornecedor",IF(VLOOKUP(C313,Base_Dados!$E$1:$F$7,2,FALSE)=F313," ","Fornecedor inválido!")," ")</f>
        <v xml:space="preserve"> </v>
      </c>
      <c r="M313" s="16" t="str">
        <f>IF(AND(LEFT(F313,2)="MP",H313&lt;&gt;Base_Dados!$A$1),"Impossível!!!"," ")</f>
        <v xml:space="preserve"> </v>
      </c>
      <c r="N313" s="15" t="str">
        <f>IF(E313="Avião",IF($G313&lt;=VLOOKUP($F313,Base_Dados!$K$1:$O$7,3,FALSE)," ","Limite "&amp;VLOOKUP($F313,Base_Dados!$K$1:$O$11,3,FALSE)&amp;" "&amp;VLOOKUP($F313,Base_Dados!$K$1:$O$11,2,FALSE))," ")</f>
        <v xml:space="preserve"> </v>
      </c>
      <c r="O313" s="15" t="str">
        <f>IF(E313="Caminhão",IF($G313&lt;=VLOOKUP($F313,Base_Dados!$K$1:$O$7,4,FALSE)," ","Limite "&amp;VLOOKUP($F313,Base_Dados!$K$1:$O$11,4,FALSE)&amp;" "&amp;VLOOKUP($F313,Base_Dados!$K$1:$O$11,2,FALSE))," ")</f>
        <v xml:space="preserve"> </v>
      </c>
      <c r="P313" s="15" t="str">
        <f>IF(E313="Navio",IF($G313&lt;=VLOOKUP($F313,Base_Dados!$K$1:$O$7,5,FALSE)," ","Limite "&amp;VLOOKUP($F313,Base_Dados!$K$1:$O$11,5,FALSE)&amp;" "&amp;VLOOKUP($F313,Base_Dados!$K$1:$O$11,2,FALSE))," ")</f>
        <v xml:space="preserve"> </v>
      </c>
      <c r="Q313" s="15" t="str">
        <f t="shared" si="3"/>
        <v>Fluxo Impossível</v>
      </c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24" customHeight="1" x14ac:dyDescent="0.3">
      <c r="A314" s="10"/>
      <c r="B314" s="10"/>
      <c r="C314" s="11"/>
      <c r="D314" s="11"/>
      <c r="E314" s="11"/>
      <c r="F314" s="11"/>
      <c r="G314" s="12"/>
      <c r="H314" s="11"/>
      <c r="I314" s="11"/>
      <c r="J314" s="24" t="e">
        <f>VLOOKUP(C314&amp;I314&amp;E314,Orig_Dest!$A$2:$E$1876,5,FALSE)</f>
        <v>#N/A</v>
      </c>
      <c r="K314" s="14" t="e">
        <f t="shared" si="2"/>
        <v>#VALUE!</v>
      </c>
      <c r="L314" s="15" t="str">
        <f>IF(B314="Fornecedor",IF(VLOOKUP(C314,Base_Dados!$E$1:$F$7,2,FALSE)=F314," ","Fornecedor inválido!")," ")</f>
        <v xml:space="preserve"> </v>
      </c>
      <c r="M314" s="16" t="str">
        <f>IF(AND(LEFT(F314,2)="MP",H314&lt;&gt;Base_Dados!$A$1),"Impossível!!!"," ")</f>
        <v xml:space="preserve"> </v>
      </c>
      <c r="N314" s="15" t="str">
        <f>IF(E314="Avião",IF($G314&lt;=VLOOKUP($F314,Base_Dados!$K$1:$O$7,3,FALSE)," ","Limite "&amp;VLOOKUP($F314,Base_Dados!$K$1:$O$11,3,FALSE)&amp;" "&amp;VLOOKUP($F314,Base_Dados!$K$1:$O$11,2,FALSE))," ")</f>
        <v xml:space="preserve"> </v>
      </c>
      <c r="O314" s="15" t="str">
        <f>IF(E314="Caminhão",IF($G314&lt;=VLOOKUP($F314,Base_Dados!$K$1:$O$7,4,FALSE)," ","Limite "&amp;VLOOKUP($F314,Base_Dados!$K$1:$O$11,4,FALSE)&amp;" "&amp;VLOOKUP($F314,Base_Dados!$K$1:$O$11,2,FALSE))," ")</f>
        <v xml:space="preserve"> </v>
      </c>
      <c r="P314" s="15" t="str">
        <f>IF(E314="Navio",IF($G314&lt;=VLOOKUP($F314,Base_Dados!$K$1:$O$7,5,FALSE)," ","Limite "&amp;VLOOKUP($F314,Base_Dados!$K$1:$O$11,5,FALSE)&amp;" "&amp;VLOOKUP($F314,Base_Dados!$K$1:$O$11,2,FALSE))," ")</f>
        <v xml:space="preserve"> </v>
      </c>
      <c r="Q314" s="15" t="str">
        <f t="shared" si="3"/>
        <v>Fluxo Impossível</v>
      </c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24" customHeight="1" x14ac:dyDescent="0.3">
      <c r="A315" s="10"/>
      <c r="B315" s="10"/>
      <c r="C315" s="11"/>
      <c r="D315" s="11"/>
      <c r="E315" s="11"/>
      <c r="F315" s="11"/>
      <c r="G315" s="12"/>
      <c r="H315" s="11"/>
      <c r="I315" s="11"/>
      <c r="J315" s="24" t="e">
        <f>VLOOKUP(C315&amp;I315&amp;E315,Orig_Dest!$A$2:$E$1876,5,FALSE)</f>
        <v>#N/A</v>
      </c>
      <c r="K315" s="14" t="e">
        <f t="shared" si="2"/>
        <v>#VALUE!</v>
      </c>
      <c r="L315" s="15" t="str">
        <f>IF(B315="Fornecedor",IF(VLOOKUP(C315,Base_Dados!$E$1:$F$7,2,FALSE)=F315," ","Fornecedor inválido!")," ")</f>
        <v xml:space="preserve"> </v>
      </c>
      <c r="M315" s="16" t="str">
        <f>IF(AND(LEFT(F315,2)="MP",H315&lt;&gt;Base_Dados!$A$1),"Impossível!!!"," ")</f>
        <v xml:space="preserve"> </v>
      </c>
      <c r="N315" s="15" t="str">
        <f>IF(E315="Avião",IF($G315&lt;=VLOOKUP($F315,Base_Dados!$K$1:$O$7,3,FALSE)," ","Limite "&amp;VLOOKUP($F315,Base_Dados!$K$1:$O$11,3,FALSE)&amp;" "&amp;VLOOKUP($F315,Base_Dados!$K$1:$O$11,2,FALSE))," ")</f>
        <v xml:space="preserve"> </v>
      </c>
      <c r="O315" s="15" t="str">
        <f>IF(E315="Caminhão",IF($G315&lt;=VLOOKUP($F315,Base_Dados!$K$1:$O$7,4,FALSE)," ","Limite "&amp;VLOOKUP($F315,Base_Dados!$K$1:$O$11,4,FALSE)&amp;" "&amp;VLOOKUP($F315,Base_Dados!$K$1:$O$11,2,FALSE))," ")</f>
        <v xml:space="preserve"> </v>
      </c>
      <c r="P315" s="15" t="str">
        <f>IF(E315="Navio",IF($G315&lt;=VLOOKUP($F315,Base_Dados!$K$1:$O$7,5,FALSE)," ","Limite "&amp;VLOOKUP($F315,Base_Dados!$K$1:$O$11,5,FALSE)&amp;" "&amp;VLOOKUP($F315,Base_Dados!$K$1:$O$11,2,FALSE))," ")</f>
        <v xml:space="preserve"> </v>
      </c>
      <c r="Q315" s="15" t="str">
        <f t="shared" si="3"/>
        <v>Fluxo Impossível</v>
      </c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24" customHeight="1" x14ac:dyDescent="0.3">
      <c r="A316" s="10"/>
      <c r="B316" s="10"/>
      <c r="C316" s="11"/>
      <c r="D316" s="11"/>
      <c r="E316" s="11"/>
      <c r="F316" s="11"/>
      <c r="G316" s="12"/>
      <c r="H316" s="11"/>
      <c r="I316" s="11"/>
      <c r="J316" s="24" t="e">
        <f>VLOOKUP(C316&amp;I316&amp;E316,Orig_Dest!$A$2:$E$1876,5,FALSE)</f>
        <v>#N/A</v>
      </c>
      <c r="K316" s="14" t="e">
        <f t="shared" si="2"/>
        <v>#VALUE!</v>
      </c>
      <c r="L316" s="15" t="str">
        <f>IF(B316="Fornecedor",IF(VLOOKUP(C316,Base_Dados!$E$1:$F$7,2,FALSE)=F316," ","Fornecedor inválido!")," ")</f>
        <v xml:space="preserve"> </v>
      </c>
      <c r="M316" s="16" t="str">
        <f>IF(AND(LEFT(F316,2)="MP",H316&lt;&gt;Base_Dados!$A$1),"Impossível!!!"," ")</f>
        <v xml:space="preserve"> </v>
      </c>
      <c r="N316" s="15" t="str">
        <f>IF(E316="Avião",IF($G316&lt;=VLOOKUP($F316,Base_Dados!$K$1:$O$7,3,FALSE)," ","Limite "&amp;VLOOKUP($F316,Base_Dados!$K$1:$O$11,3,FALSE)&amp;" "&amp;VLOOKUP($F316,Base_Dados!$K$1:$O$11,2,FALSE))," ")</f>
        <v xml:space="preserve"> </v>
      </c>
      <c r="O316" s="15" t="str">
        <f>IF(E316="Caminhão",IF($G316&lt;=VLOOKUP($F316,Base_Dados!$K$1:$O$7,4,FALSE)," ","Limite "&amp;VLOOKUP($F316,Base_Dados!$K$1:$O$11,4,FALSE)&amp;" "&amp;VLOOKUP($F316,Base_Dados!$K$1:$O$11,2,FALSE))," ")</f>
        <v xml:space="preserve"> </v>
      </c>
      <c r="P316" s="15" t="str">
        <f>IF(E316="Navio",IF($G316&lt;=VLOOKUP($F316,Base_Dados!$K$1:$O$7,5,FALSE)," ","Limite "&amp;VLOOKUP($F316,Base_Dados!$K$1:$O$11,5,FALSE)&amp;" "&amp;VLOOKUP($F316,Base_Dados!$K$1:$O$11,2,FALSE))," ")</f>
        <v xml:space="preserve"> </v>
      </c>
      <c r="Q316" s="15" t="str">
        <f t="shared" si="3"/>
        <v>Fluxo Impossível</v>
      </c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24" customHeight="1" x14ac:dyDescent="0.3">
      <c r="A317" s="10"/>
      <c r="B317" s="10"/>
      <c r="C317" s="11"/>
      <c r="D317" s="11"/>
      <c r="E317" s="11"/>
      <c r="F317" s="11"/>
      <c r="G317" s="12"/>
      <c r="H317" s="11"/>
      <c r="I317" s="11"/>
      <c r="J317" s="24" t="e">
        <f>VLOOKUP(C317&amp;I317&amp;E317,Orig_Dest!$A$2:$E$1876,5,FALSE)</f>
        <v>#N/A</v>
      </c>
      <c r="K317" s="14" t="e">
        <f t="shared" si="2"/>
        <v>#VALUE!</v>
      </c>
      <c r="L317" s="15" t="str">
        <f>IF(B317="Fornecedor",IF(VLOOKUP(C317,Base_Dados!$E$1:$F$7,2,FALSE)=F317," ","Fornecedor inválido!")," ")</f>
        <v xml:space="preserve"> </v>
      </c>
      <c r="M317" s="16" t="str">
        <f>IF(AND(LEFT(F317,2)="MP",H317&lt;&gt;Base_Dados!$A$1),"Impossível!!!"," ")</f>
        <v xml:space="preserve"> </v>
      </c>
      <c r="N317" s="15" t="str">
        <f>IF(E317="Avião",IF($G317&lt;=VLOOKUP($F317,Base_Dados!$K$1:$O$7,3,FALSE)," ","Limite "&amp;VLOOKUP($F317,Base_Dados!$K$1:$O$11,3,FALSE)&amp;" "&amp;VLOOKUP($F317,Base_Dados!$K$1:$O$11,2,FALSE))," ")</f>
        <v xml:space="preserve"> </v>
      </c>
      <c r="O317" s="15" t="str">
        <f>IF(E317="Caminhão",IF($G317&lt;=VLOOKUP($F317,Base_Dados!$K$1:$O$7,4,FALSE)," ","Limite "&amp;VLOOKUP($F317,Base_Dados!$K$1:$O$11,4,FALSE)&amp;" "&amp;VLOOKUP($F317,Base_Dados!$K$1:$O$11,2,FALSE))," ")</f>
        <v xml:space="preserve"> </v>
      </c>
      <c r="P317" s="15" t="str">
        <f>IF(E317="Navio",IF($G317&lt;=VLOOKUP($F317,Base_Dados!$K$1:$O$7,5,FALSE)," ","Limite "&amp;VLOOKUP($F317,Base_Dados!$K$1:$O$11,5,FALSE)&amp;" "&amp;VLOOKUP($F317,Base_Dados!$K$1:$O$11,2,FALSE))," ")</f>
        <v xml:space="preserve"> </v>
      </c>
      <c r="Q317" s="15" t="str">
        <f t="shared" si="3"/>
        <v>Fluxo Impossível</v>
      </c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24" customHeight="1" x14ac:dyDescent="0.3">
      <c r="A318" s="10"/>
      <c r="B318" s="10"/>
      <c r="C318" s="11"/>
      <c r="D318" s="11"/>
      <c r="E318" s="11"/>
      <c r="F318" s="11"/>
      <c r="G318" s="12"/>
      <c r="H318" s="11"/>
      <c r="I318" s="11"/>
      <c r="J318" s="24" t="e">
        <f>VLOOKUP(C318&amp;I318&amp;E318,Orig_Dest!$A$2:$E$1876,5,FALSE)</f>
        <v>#N/A</v>
      </c>
      <c r="K318" s="14" t="e">
        <f t="shared" si="2"/>
        <v>#VALUE!</v>
      </c>
      <c r="L318" s="15" t="str">
        <f>IF(B318="Fornecedor",IF(VLOOKUP(C318,Base_Dados!$E$1:$F$7,2,FALSE)=F318," ","Fornecedor inválido!")," ")</f>
        <v xml:space="preserve"> </v>
      </c>
      <c r="M318" s="16" t="str">
        <f>IF(AND(LEFT(F318,2)="MP",H318&lt;&gt;Base_Dados!$A$1),"Impossível!!!"," ")</f>
        <v xml:space="preserve"> </v>
      </c>
      <c r="N318" s="15" t="str">
        <f>IF(E318="Avião",IF($G318&lt;=VLOOKUP($F318,Base_Dados!$K$1:$O$7,3,FALSE)," ","Limite "&amp;VLOOKUP($F318,Base_Dados!$K$1:$O$11,3,FALSE)&amp;" "&amp;VLOOKUP($F318,Base_Dados!$K$1:$O$11,2,FALSE))," ")</f>
        <v xml:space="preserve"> </v>
      </c>
      <c r="O318" s="15" t="str">
        <f>IF(E318="Caminhão",IF($G318&lt;=VLOOKUP($F318,Base_Dados!$K$1:$O$7,4,FALSE)," ","Limite "&amp;VLOOKUP($F318,Base_Dados!$K$1:$O$11,4,FALSE)&amp;" "&amp;VLOOKUP($F318,Base_Dados!$K$1:$O$11,2,FALSE))," ")</f>
        <v xml:space="preserve"> </v>
      </c>
      <c r="P318" s="15" t="str">
        <f>IF(E318="Navio",IF($G318&lt;=VLOOKUP($F318,Base_Dados!$K$1:$O$7,5,FALSE)," ","Limite "&amp;VLOOKUP($F318,Base_Dados!$K$1:$O$11,5,FALSE)&amp;" "&amp;VLOOKUP($F318,Base_Dados!$K$1:$O$11,2,FALSE))," ")</f>
        <v xml:space="preserve"> </v>
      </c>
      <c r="Q318" s="15" t="str">
        <f t="shared" si="3"/>
        <v>Fluxo Impossível</v>
      </c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24" customHeight="1" x14ac:dyDescent="0.3">
      <c r="A319" s="10"/>
      <c r="B319" s="10"/>
      <c r="C319" s="11"/>
      <c r="D319" s="11"/>
      <c r="E319" s="11"/>
      <c r="F319" s="11"/>
      <c r="G319" s="12"/>
      <c r="H319" s="11"/>
      <c r="I319" s="11"/>
      <c r="J319" s="24" t="e">
        <f>VLOOKUP(C319&amp;I319&amp;E319,Orig_Dest!$A$2:$E$1876,5,FALSE)</f>
        <v>#N/A</v>
      </c>
      <c r="K319" s="14" t="e">
        <f t="shared" si="2"/>
        <v>#VALUE!</v>
      </c>
      <c r="L319" s="15" t="str">
        <f>IF(B319="Fornecedor",IF(VLOOKUP(C319,Base_Dados!$E$1:$F$7,2,FALSE)=F319," ","Fornecedor inválido!")," ")</f>
        <v xml:space="preserve"> </v>
      </c>
      <c r="M319" s="16" t="str">
        <f>IF(AND(LEFT(F319,2)="MP",H319&lt;&gt;Base_Dados!$A$1),"Impossível!!!"," ")</f>
        <v xml:space="preserve"> </v>
      </c>
      <c r="N319" s="15" t="str">
        <f>IF(E319="Avião",IF($G319&lt;=VLOOKUP($F319,Base_Dados!$K$1:$O$7,3,FALSE)," ","Limite "&amp;VLOOKUP($F319,Base_Dados!$K$1:$O$11,3,FALSE)&amp;" "&amp;VLOOKUP($F319,Base_Dados!$K$1:$O$11,2,FALSE))," ")</f>
        <v xml:space="preserve"> </v>
      </c>
      <c r="O319" s="15" t="str">
        <f>IF(E319="Caminhão",IF($G319&lt;=VLOOKUP($F319,Base_Dados!$K$1:$O$7,4,FALSE)," ","Limite "&amp;VLOOKUP($F319,Base_Dados!$K$1:$O$11,4,FALSE)&amp;" "&amp;VLOOKUP($F319,Base_Dados!$K$1:$O$11,2,FALSE))," ")</f>
        <v xml:space="preserve"> </v>
      </c>
      <c r="P319" s="15" t="str">
        <f>IF(E319="Navio",IF($G319&lt;=VLOOKUP($F319,Base_Dados!$K$1:$O$7,5,FALSE)," ","Limite "&amp;VLOOKUP($F319,Base_Dados!$K$1:$O$11,5,FALSE)&amp;" "&amp;VLOOKUP($F319,Base_Dados!$K$1:$O$11,2,FALSE))," ")</f>
        <v xml:space="preserve"> </v>
      </c>
      <c r="Q319" s="15" t="str">
        <f t="shared" si="3"/>
        <v>Fluxo Impossível</v>
      </c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24" customHeight="1" x14ac:dyDescent="0.3">
      <c r="A320" s="10"/>
      <c r="B320" s="10"/>
      <c r="C320" s="11"/>
      <c r="D320" s="11"/>
      <c r="E320" s="11"/>
      <c r="F320" s="11"/>
      <c r="G320" s="12"/>
      <c r="H320" s="11"/>
      <c r="I320" s="11"/>
      <c r="J320" s="24" t="e">
        <f>VLOOKUP(C320&amp;I320&amp;E320,Orig_Dest!$A$2:$E$1876,5,FALSE)</f>
        <v>#N/A</v>
      </c>
      <c r="K320" s="14" t="e">
        <f t="shared" si="2"/>
        <v>#VALUE!</v>
      </c>
      <c r="L320" s="15" t="str">
        <f>IF(B320="Fornecedor",IF(VLOOKUP(C320,Base_Dados!$E$1:$F$7,2,FALSE)=F320," ","Fornecedor inválido!")," ")</f>
        <v xml:space="preserve"> </v>
      </c>
      <c r="M320" s="16" t="str">
        <f>IF(AND(LEFT(F320,2)="MP",H320&lt;&gt;Base_Dados!$A$1),"Impossível!!!"," ")</f>
        <v xml:space="preserve"> </v>
      </c>
      <c r="N320" s="15" t="str">
        <f>IF(E320="Avião",IF($G320&lt;=VLOOKUP($F320,Base_Dados!$K$1:$O$7,3,FALSE)," ","Limite "&amp;VLOOKUP($F320,Base_Dados!$K$1:$O$11,3,FALSE)&amp;" "&amp;VLOOKUP($F320,Base_Dados!$K$1:$O$11,2,FALSE))," ")</f>
        <v xml:space="preserve"> </v>
      </c>
      <c r="O320" s="15" t="str">
        <f>IF(E320="Caminhão",IF($G320&lt;=VLOOKUP($F320,Base_Dados!$K$1:$O$7,4,FALSE)," ","Limite "&amp;VLOOKUP($F320,Base_Dados!$K$1:$O$11,4,FALSE)&amp;" "&amp;VLOOKUP($F320,Base_Dados!$K$1:$O$11,2,FALSE))," ")</f>
        <v xml:space="preserve"> </v>
      </c>
      <c r="P320" s="15" t="str">
        <f>IF(E320="Navio",IF($G320&lt;=VLOOKUP($F320,Base_Dados!$K$1:$O$7,5,FALSE)," ","Limite "&amp;VLOOKUP($F320,Base_Dados!$K$1:$O$11,5,FALSE)&amp;" "&amp;VLOOKUP($F320,Base_Dados!$K$1:$O$11,2,FALSE))," ")</f>
        <v xml:space="preserve"> </v>
      </c>
      <c r="Q320" s="15" t="str">
        <f t="shared" si="3"/>
        <v>Fluxo Impossível</v>
      </c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24" customHeight="1" x14ac:dyDescent="0.3">
      <c r="A321" s="10"/>
      <c r="B321" s="10"/>
      <c r="C321" s="11"/>
      <c r="D321" s="11"/>
      <c r="E321" s="11"/>
      <c r="F321" s="11"/>
      <c r="G321" s="12"/>
      <c r="H321" s="11"/>
      <c r="I321" s="11"/>
      <c r="J321" s="24" t="e">
        <f>VLOOKUP(C321&amp;I321&amp;E321,Orig_Dest!$A$2:$E$1876,5,FALSE)</f>
        <v>#N/A</v>
      </c>
      <c r="K321" s="14" t="e">
        <f t="shared" si="2"/>
        <v>#VALUE!</v>
      </c>
      <c r="L321" s="15" t="str">
        <f>IF(B321="Fornecedor",IF(VLOOKUP(C321,Base_Dados!$E$1:$F$7,2,FALSE)=F321," ","Fornecedor inválido!")," ")</f>
        <v xml:space="preserve"> </v>
      </c>
      <c r="M321" s="16" t="str">
        <f>IF(AND(LEFT(F321,2)="MP",H321&lt;&gt;Base_Dados!$A$1),"Impossível!!!"," ")</f>
        <v xml:space="preserve"> </v>
      </c>
      <c r="N321" s="15" t="str">
        <f>IF(E321="Avião",IF($G321&lt;=VLOOKUP($F321,Base_Dados!$K$1:$O$7,3,FALSE)," ","Limite "&amp;VLOOKUP($F321,Base_Dados!$K$1:$O$11,3,FALSE)&amp;" "&amp;VLOOKUP($F321,Base_Dados!$K$1:$O$11,2,FALSE))," ")</f>
        <v xml:space="preserve"> </v>
      </c>
      <c r="O321" s="15" t="str">
        <f>IF(E321="Caminhão",IF($G321&lt;=VLOOKUP($F321,Base_Dados!$K$1:$O$7,4,FALSE)," ","Limite "&amp;VLOOKUP($F321,Base_Dados!$K$1:$O$11,4,FALSE)&amp;" "&amp;VLOOKUP($F321,Base_Dados!$K$1:$O$11,2,FALSE))," ")</f>
        <v xml:space="preserve"> </v>
      </c>
      <c r="P321" s="15" t="str">
        <f>IF(E321="Navio",IF($G321&lt;=VLOOKUP($F321,Base_Dados!$K$1:$O$7,5,FALSE)," ","Limite "&amp;VLOOKUP($F321,Base_Dados!$K$1:$O$11,5,FALSE)&amp;" "&amp;VLOOKUP($F321,Base_Dados!$K$1:$O$11,2,FALSE))," ")</f>
        <v xml:space="preserve"> </v>
      </c>
      <c r="Q321" s="15" t="str">
        <f t="shared" si="3"/>
        <v>Fluxo Impossível</v>
      </c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24" customHeight="1" x14ac:dyDescent="0.3">
      <c r="A322" s="10"/>
      <c r="B322" s="10"/>
      <c r="C322" s="11"/>
      <c r="D322" s="11"/>
      <c r="E322" s="11"/>
      <c r="F322" s="11"/>
      <c r="G322" s="12"/>
      <c r="H322" s="11"/>
      <c r="I322" s="11"/>
      <c r="J322" s="24" t="e">
        <f>VLOOKUP(C322&amp;I322&amp;E322,Orig_Dest!$A$2:$E$1876,5,FALSE)</f>
        <v>#N/A</v>
      </c>
      <c r="K322" s="14" t="e">
        <f t="shared" si="2"/>
        <v>#VALUE!</v>
      </c>
      <c r="L322" s="15" t="str">
        <f>IF(B322="Fornecedor",IF(VLOOKUP(C322,Base_Dados!$E$1:$F$7,2,FALSE)=F322," ","Fornecedor inválido!")," ")</f>
        <v xml:space="preserve"> </v>
      </c>
      <c r="M322" s="16" t="str">
        <f>IF(AND(LEFT(F322,2)="MP",H322&lt;&gt;Base_Dados!$A$1),"Impossível!!!"," ")</f>
        <v xml:space="preserve"> </v>
      </c>
      <c r="N322" s="15" t="str">
        <f>IF(E322="Avião",IF($G322&lt;=VLOOKUP($F322,Base_Dados!$K$1:$O$7,3,FALSE)," ","Limite "&amp;VLOOKUP($F322,Base_Dados!$K$1:$O$11,3,FALSE)&amp;" "&amp;VLOOKUP($F322,Base_Dados!$K$1:$O$11,2,FALSE))," ")</f>
        <v xml:space="preserve"> </v>
      </c>
      <c r="O322" s="15" t="str">
        <f>IF(E322="Caminhão",IF($G322&lt;=VLOOKUP($F322,Base_Dados!$K$1:$O$7,4,FALSE)," ","Limite "&amp;VLOOKUP($F322,Base_Dados!$K$1:$O$11,4,FALSE)&amp;" "&amp;VLOOKUP($F322,Base_Dados!$K$1:$O$11,2,FALSE))," ")</f>
        <v xml:space="preserve"> </v>
      </c>
      <c r="P322" s="15" t="str">
        <f>IF(E322="Navio",IF($G322&lt;=VLOOKUP($F322,Base_Dados!$K$1:$O$7,5,FALSE)," ","Limite "&amp;VLOOKUP($F322,Base_Dados!$K$1:$O$11,5,FALSE)&amp;" "&amp;VLOOKUP($F322,Base_Dados!$K$1:$O$11,2,FALSE))," ")</f>
        <v xml:space="preserve"> </v>
      </c>
      <c r="Q322" s="15" t="str">
        <f t="shared" si="3"/>
        <v>Fluxo Impossível</v>
      </c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24" customHeight="1" x14ac:dyDescent="0.3">
      <c r="A323" s="10"/>
      <c r="B323" s="10"/>
      <c r="C323" s="11"/>
      <c r="D323" s="11"/>
      <c r="E323" s="11"/>
      <c r="F323" s="11"/>
      <c r="G323" s="12"/>
      <c r="H323" s="11"/>
      <c r="I323" s="11"/>
      <c r="J323" s="24" t="e">
        <f>VLOOKUP(C323&amp;I323&amp;E323,Orig_Dest!$A$2:$E$1876,5,FALSE)</f>
        <v>#N/A</v>
      </c>
      <c r="K323" s="14" t="e">
        <f t="shared" si="2"/>
        <v>#VALUE!</v>
      </c>
      <c r="L323" s="15" t="str">
        <f>IF(B323="Fornecedor",IF(VLOOKUP(C323,Base_Dados!$E$1:$F$7,2,FALSE)=F323," ","Fornecedor inválido!")," ")</f>
        <v xml:space="preserve"> </v>
      </c>
      <c r="M323" s="16" t="str">
        <f>IF(AND(LEFT(F323,2)="MP",H323&lt;&gt;Base_Dados!$A$1),"Impossível!!!"," ")</f>
        <v xml:space="preserve"> </v>
      </c>
      <c r="N323" s="15" t="str">
        <f>IF(E323="Avião",IF($G323&lt;=VLOOKUP($F323,Base_Dados!$K$1:$O$7,3,FALSE)," ","Limite "&amp;VLOOKUP($F323,Base_Dados!$K$1:$O$11,3,FALSE)&amp;" "&amp;VLOOKUP($F323,Base_Dados!$K$1:$O$11,2,FALSE))," ")</f>
        <v xml:space="preserve"> </v>
      </c>
      <c r="O323" s="15" t="str">
        <f>IF(E323="Caminhão",IF($G323&lt;=VLOOKUP($F323,Base_Dados!$K$1:$O$7,4,FALSE)," ","Limite "&amp;VLOOKUP($F323,Base_Dados!$K$1:$O$11,4,FALSE)&amp;" "&amp;VLOOKUP($F323,Base_Dados!$K$1:$O$11,2,FALSE))," ")</f>
        <v xml:space="preserve"> </v>
      </c>
      <c r="P323" s="15" t="str">
        <f>IF(E323="Navio",IF($G323&lt;=VLOOKUP($F323,Base_Dados!$K$1:$O$7,5,FALSE)," ","Limite "&amp;VLOOKUP($F323,Base_Dados!$K$1:$O$11,5,FALSE)&amp;" "&amp;VLOOKUP($F323,Base_Dados!$K$1:$O$11,2,FALSE))," ")</f>
        <v xml:space="preserve"> </v>
      </c>
      <c r="Q323" s="15" t="str">
        <f t="shared" si="3"/>
        <v>Fluxo Impossível</v>
      </c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24" customHeight="1" x14ac:dyDescent="0.3">
      <c r="A324" s="10"/>
      <c r="B324" s="10"/>
      <c r="C324" s="11"/>
      <c r="D324" s="11"/>
      <c r="E324" s="11"/>
      <c r="F324" s="11"/>
      <c r="G324" s="12"/>
      <c r="H324" s="11"/>
      <c r="I324" s="11"/>
      <c r="J324" s="24" t="e">
        <f>VLOOKUP(C324&amp;I324&amp;E324,Orig_Dest!$A$2:$E$1876,5,FALSE)</f>
        <v>#N/A</v>
      </c>
      <c r="K324" s="14" t="e">
        <f t="shared" si="2"/>
        <v>#VALUE!</v>
      </c>
      <c r="L324" s="15" t="str">
        <f>IF(B324="Fornecedor",IF(VLOOKUP(C324,Base_Dados!$E$1:$F$7,2,FALSE)=F324," ","Fornecedor inválido!")," ")</f>
        <v xml:space="preserve"> </v>
      </c>
      <c r="M324" s="16" t="str">
        <f>IF(AND(LEFT(F324,2)="MP",H324&lt;&gt;Base_Dados!$A$1),"Impossível!!!"," ")</f>
        <v xml:space="preserve"> </v>
      </c>
      <c r="N324" s="15" t="str">
        <f>IF(E324="Avião",IF($G324&lt;=VLOOKUP($F324,Base_Dados!$K$1:$O$7,3,FALSE)," ","Limite "&amp;VLOOKUP($F324,Base_Dados!$K$1:$O$11,3,FALSE)&amp;" "&amp;VLOOKUP($F324,Base_Dados!$K$1:$O$11,2,FALSE))," ")</f>
        <v xml:space="preserve"> </v>
      </c>
      <c r="O324" s="15" t="str">
        <f>IF(E324="Caminhão",IF($G324&lt;=VLOOKUP($F324,Base_Dados!$K$1:$O$7,4,FALSE)," ","Limite "&amp;VLOOKUP($F324,Base_Dados!$K$1:$O$11,4,FALSE)&amp;" "&amp;VLOOKUP($F324,Base_Dados!$K$1:$O$11,2,FALSE))," ")</f>
        <v xml:space="preserve"> </v>
      </c>
      <c r="P324" s="15" t="str">
        <f>IF(E324="Navio",IF($G324&lt;=VLOOKUP($F324,Base_Dados!$K$1:$O$7,5,FALSE)," ","Limite "&amp;VLOOKUP($F324,Base_Dados!$K$1:$O$11,5,FALSE)&amp;" "&amp;VLOOKUP($F324,Base_Dados!$K$1:$O$11,2,FALSE))," ")</f>
        <v xml:space="preserve"> </v>
      </c>
      <c r="Q324" s="15" t="str">
        <f t="shared" si="3"/>
        <v>Fluxo Impossível</v>
      </c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24" customHeight="1" x14ac:dyDescent="0.3">
      <c r="A325" s="10"/>
      <c r="B325" s="10"/>
      <c r="C325" s="11"/>
      <c r="D325" s="11"/>
      <c r="E325" s="11"/>
      <c r="F325" s="11"/>
      <c r="G325" s="12"/>
      <c r="H325" s="11"/>
      <c r="I325" s="11"/>
      <c r="J325" s="24" t="e">
        <f>VLOOKUP(C325&amp;I325&amp;E325,Orig_Dest!$A$2:$E$1876,5,FALSE)</f>
        <v>#N/A</v>
      </c>
      <c r="K325" s="14" t="e">
        <f t="shared" si="2"/>
        <v>#VALUE!</v>
      </c>
      <c r="L325" s="15" t="str">
        <f>IF(B325="Fornecedor",IF(VLOOKUP(C325,Base_Dados!$E$1:$F$7,2,FALSE)=F325," ","Fornecedor inválido!")," ")</f>
        <v xml:space="preserve"> </v>
      </c>
      <c r="M325" s="16" t="str">
        <f>IF(AND(LEFT(F325,2)="MP",H325&lt;&gt;Base_Dados!$A$1),"Impossível!!!"," ")</f>
        <v xml:space="preserve"> </v>
      </c>
      <c r="N325" s="15" t="str">
        <f>IF(E325="Avião",IF($G325&lt;=VLOOKUP($F325,Base_Dados!$K$1:$O$7,3,FALSE)," ","Limite "&amp;VLOOKUP($F325,Base_Dados!$K$1:$O$11,3,FALSE)&amp;" "&amp;VLOOKUP($F325,Base_Dados!$K$1:$O$11,2,FALSE))," ")</f>
        <v xml:space="preserve"> </v>
      </c>
      <c r="O325" s="15" t="str">
        <f>IF(E325="Caminhão",IF($G325&lt;=VLOOKUP($F325,Base_Dados!$K$1:$O$7,4,FALSE)," ","Limite "&amp;VLOOKUP($F325,Base_Dados!$K$1:$O$11,4,FALSE)&amp;" "&amp;VLOOKUP($F325,Base_Dados!$K$1:$O$11,2,FALSE))," ")</f>
        <v xml:space="preserve"> </v>
      </c>
      <c r="P325" s="15" t="str">
        <f>IF(E325="Navio",IF($G325&lt;=VLOOKUP($F325,Base_Dados!$K$1:$O$7,5,FALSE)," ","Limite "&amp;VLOOKUP($F325,Base_Dados!$K$1:$O$11,5,FALSE)&amp;" "&amp;VLOOKUP($F325,Base_Dados!$K$1:$O$11,2,FALSE))," ")</f>
        <v xml:space="preserve"> </v>
      </c>
      <c r="Q325" s="15" t="str">
        <f t="shared" si="3"/>
        <v>Fluxo Impossível</v>
      </c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24" customHeight="1" x14ac:dyDescent="0.3">
      <c r="A326" s="10"/>
      <c r="B326" s="10"/>
      <c r="C326" s="11"/>
      <c r="D326" s="11"/>
      <c r="E326" s="11"/>
      <c r="F326" s="11"/>
      <c r="G326" s="12"/>
      <c r="H326" s="11"/>
      <c r="I326" s="11"/>
      <c r="J326" s="24" t="e">
        <f>VLOOKUP(C326&amp;I326&amp;E326,Orig_Dest!$A$2:$E$1876,5,FALSE)</f>
        <v>#N/A</v>
      </c>
      <c r="K326" s="14" t="e">
        <f t="shared" si="2"/>
        <v>#VALUE!</v>
      </c>
      <c r="L326" s="15" t="str">
        <f>IF(B326="Fornecedor",IF(VLOOKUP(C326,Base_Dados!$E$1:$F$7,2,FALSE)=F326," ","Fornecedor inválido!")," ")</f>
        <v xml:space="preserve"> </v>
      </c>
      <c r="M326" s="16" t="str">
        <f>IF(AND(LEFT(F326,2)="MP",H326&lt;&gt;Base_Dados!$A$1),"Impossível!!!"," ")</f>
        <v xml:space="preserve"> </v>
      </c>
      <c r="N326" s="15" t="str">
        <f>IF(E326="Avião",IF($G326&lt;=VLOOKUP($F326,Base_Dados!$K$1:$O$7,3,FALSE)," ","Limite "&amp;VLOOKUP($F326,Base_Dados!$K$1:$O$11,3,FALSE)&amp;" "&amp;VLOOKUP($F326,Base_Dados!$K$1:$O$11,2,FALSE))," ")</f>
        <v xml:space="preserve"> </v>
      </c>
      <c r="O326" s="15" t="str">
        <f>IF(E326="Caminhão",IF($G326&lt;=VLOOKUP($F326,Base_Dados!$K$1:$O$7,4,FALSE)," ","Limite "&amp;VLOOKUP($F326,Base_Dados!$K$1:$O$11,4,FALSE)&amp;" "&amp;VLOOKUP($F326,Base_Dados!$K$1:$O$11,2,FALSE))," ")</f>
        <v xml:space="preserve"> </v>
      </c>
      <c r="P326" s="15" t="str">
        <f>IF(E326="Navio",IF($G326&lt;=VLOOKUP($F326,Base_Dados!$K$1:$O$7,5,FALSE)," ","Limite "&amp;VLOOKUP($F326,Base_Dados!$K$1:$O$11,5,FALSE)&amp;" "&amp;VLOOKUP($F326,Base_Dados!$K$1:$O$11,2,FALSE))," ")</f>
        <v xml:space="preserve"> </v>
      </c>
      <c r="Q326" s="15" t="str">
        <f t="shared" si="3"/>
        <v>Fluxo Impossível</v>
      </c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24" customHeight="1" x14ac:dyDescent="0.3">
      <c r="A327" s="10"/>
      <c r="B327" s="10"/>
      <c r="C327" s="11"/>
      <c r="D327" s="11"/>
      <c r="E327" s="11"/>
      <c r="F327" s="11"/>
      <c r="G327" s="12"/>
      <c r="H327" s="11"/>
      <c r="I327" s="11"/>
      <c r="J327" s="24" t="e">
        <f>VLOOKUP(C327&amp;I327&amp;E327,Orig_Dest!$A$2:$E$1876,5,FALSE)</f>
        <v>#N/A</v>
      </c>
      <c r="K327" s="14" t="e">
        <f t="shared" si="2"/>
        <v>#VALUE!</v>
      </c>
      <c r="L327" s="15" t="str">
        <f>IF(B327="Fornecedor",IF(VLOOKUP(C327,Base_Dados!$E$1:$F$7,2,FALSE)=F327," ","Fornecedor inválido!")," ")</f>
        <v xml:space="preserve"> </v>
      </c>
      <c r="M327" s="16" t="str">
        <f>IF(AND(LEFT(F327,2)="MP",H327&lt;&gt;Base_Dados!$A$1),"Impossível!!!"," ")</f>
        <v xml:space="preserve"> </v>
      </c>
      <c r="N327" s="15" t="str">
        <f>IF(E327="Avião",IF($G327&lt;=VLOOKUP($F327,Base_Dados!$K$1:$O$7,3,FALSE)," ","Limite "&amp;VLOOKUP($F327,Base_Dados!$K$1:$O$11,3,FALSE)&amp;" "&amp;VLOOKUP($F327,Base_Dados!$K$1:$O$11,2,FALSE))," ")</f>
        <v xml:space="preserve"> </v>
      </c>
      <c r="O327" s="15" t="str">
        <f>IF(E327="Caminhão",IF($G327&lt;=VLOOKUP($F327,Base_Dados!$K$1:$O$7,4,FALSE)," ","Limite "&amp;VLOOKUP($F327,Base_Dados!$K$1:$O$11,4,FALSE)&amp;" "&amp;VLOOKUP($F327,Base_Dados!$K$1:$O$11,2,FALSE))," ")</f>
        <v xml:space="preserve"> </v>
      </c>
      <c r="P327" s="15" t="str">
        <f>IF(E327="Navio",IF($G327&lt;=VLOOKUP($F327,Base_Dados!$K$1:$O$7,5,FALSE)," ","Limite "&amp;VLOOKUP($F327,Base_Dados!$K$1:$O$11,5,FALSE)&amp;" "&amp;VLOOKUP($F327,Base_Dados!$K$1:$O$11,2,FALSE))," ")</f>
        <v xml:space="preserve"> </v>
      </c>
      <c r="Q327" s="15" t="str">
        <f t="shared" si="3"/>
        <v>Fluxo Impossível</v>
      </c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24" customHeight="1" x14ac:dyDescent="0.3">
      <c r="A328" s="10"/>
      <c r="B328" s="10"/>
      <c r="C328" s="11"/>
      <c r="D328" s="11"/>
      <c r="E328" s="11"/>
      <c r="F328" s="11"/>
      <c r="G328" s="12"/>
      <c r="H328" s="11"/>
      <c r="I328" s="11"/>
      <c r="J328" s="24" t="e">
        <f>VLOOKUP(C328&amp;I328&amp;E328,Orig_Dest!$A$2:$E$1876,5,FALSE)</f>
        <v>#N/A</v>
      </c>
      <c r="K328" s="14" t="e">
        <f t="shared" si="2"/>
        <v>#VALUE!</v>
      </c>
      <c r="L328" s="15" t="str">
        <f>IF(B328="Fornecedor",IF(VLOOKUP(C328,Base_Dados!$E$1:$F$7,2,FALSE)=F328," ","Fornecedor inválido!")," ")</f>
        <v xml:space="preserve"> </v>
      </c>
      <c r="M328" s="16" t="str">
        <f>IF(AND(LEFT(F328,2)="MP",H328&lt;&gt;Base_Dados!$A$1),"Impossível!!!"," ")</f>
        <v xml:space="preserve"> </v>
      </c>
      <c r="N328" s="15" t="str">
        <f>IF(E328="Avião",IF($G328&lt;=VLOOKUP($F328,Base_Dados!$K$1:$O$7,3,FALSE)," ","Limite "&amp;VLOOKUP($F328,Base_Dados!$K$1:$O$11,3,FALSE)&amp;" "&amp;VLOOKUP($F328,Base_Dados!$K$1:$O$11,2,FALSE))," ")</f>
        <v xml:space="preserve"> </v>
      </c>
      <c r="O328" s="15" t="str">
        <f>IF(E328="Caminhão",IF($G328&lt;=VLOOKUP($F328,Base_Dados!$K$1:$O$7,4,FALSE)," ","Limite "&amp;VLOOKUP($F328,Base_Dados!$K$1:$O$11,4,FALSE)&amp;" "&amp;VLOOKUP($F328,Base_Dados!$K$1:$O$11,2,FALSE))," ")</f>
        <v xml:space="preserve"> </v>
      </c>
      <c r="P328" s="15" t="str">
        <f>IF(E328="Navio",IF($G328&lt;=VLOOKUP($F328,Base_Dados!$K$1:$O$7,5,FALSE)," ","Limite "&amp;VLOOKUP($F328,Base_Dados!$K$1:$O$11,5,FALSE)&amp;" "&amp;VLOOKUP($F328,Base_Dados!$K$1:$O$11,2,FALSE))," ")</f>
        <v xml:space="preserve"> </v>
      </c>
      <c r="Q328" s="15" t="str">
        <f t="shared" si="3"/>
        <v>Fluxo Impossível</v>
      </c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24" customHeight="1" x14ac:dyDescent="0.3">
      <c r="A329" s="10"/>
      <c r="B329" s="10"/>
      <c r="C329" s="11"/>
      <c r="D329" s="11"/>
      <c r="E329" s="11"/>
      <c r="F329" s="11"/>
      <c r="G329" s="12"/>
      <c r="H329" s="11"/>
      <c r="I329" s="11"/>
      <c r="J329" s="24" t="e">
        <f>VLOOKUP(C329&amp;I329&amp;E329,Orig_Dest!$A$2:$E$1876,5,FALSE)</f>
        <v>#N/A</v>
      </c>
      <c r="K329" s="14" t="e">
        <f t="shared" si="2"/>
        <v>#VALUE!</v>
      </c>
      <c r="L329" s="15" t="str">
        <f>IF(B329="Fornecedor",IF(VLOOKUP(C329,Base_Dados!$E$1:$F$7,2,FALSE)=F329," ","Fornecedor inválido!")," ")</f>
        <v xml:space="preserve"> </v>
      </c>
      <c r="M329" s="16" t="str">
        <f>IF(AND(LEFT(F329,2)="MP",H329&lt;&gt;Base_Dados!$A$1),"Impossível!!!"," ")</f>
        <v xml:space="preserve"> </v>
      </c>
      <c r="N329" s="15" t="str">
        <f>IF(E329="Avião",IF($G329&lt;=VLOOKUP($F329,Base_Dados!$K$1:$O$7,3,FALSE)," ","Limite "&amp;VLOOKUP($F329,Base_Dados!$K$1:$O$11,3,FALSE)&amp;" "&amp;VLOOKUP($F329,Base_Dados!$K$1:$O$11,2,FALSE))," ")</f>
        <v xml:space="preserve"> </v>
      </c>
      <c r="O329" s="15" t="str">
        <f>IF(E329="Caminhão",IF($G329&lt;=VLOOKUP($F329,Base_Dados!$K$1:$O$7,4,FALSE)," ","Limite "&amp;VLOOKUP($F329,Base_Dados!$K$1:$O$11,4,FALSE)&amp;" "&amp;VLOOKUP($F329,Base_Dados!$K$1:$O$11,2,FALSE))," ")</f>
        <v xml:space="preserve"> </v>
      </c>
      <c r="P329" s="15" t="str">
        <f>IF(E329="Navio",IF($G329&lt;=VLOOKUP($F329,Base_Dados!$K$1:$O$7,5,FALSE)," ","Limite "&amp;VLOOKUP($F329,Base_Dados!$K$1:$O$11,5,FALSE)&amp;" "&amp;VLOOKUP($F329,Base_Dados!$K$1:$O$11,2,FALSE))," ")</f>
        <v xml:space="preserve"> </v>
      </c>
      <c r="Q329" s="15" t="str">
        <f t="shared" si="3"/>
        <v>Fluxo Impossível</v>
      </c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24" customHeight="1" x14ac:dyDescent="0.3">
      <c r="A330" s="10"/>
      <c r="B330" s="10"/>
      <c r="C330" s="11"/>
      <c r="D330" s="11"/>
      <c r="E330" s="11"/>
      <c r="F330" s="11"/>
      <c r="G330" s="12"/>
      <c r="H330" s="11"/>
      <c r="I330" s="11"/>
      <c r="J330" s="24" t="e">
        <f>VLOOKUP(C330&amp;I330&amp;E330,Orig_Dest!$A$2:$E$1876,5,FALSE)</f>
        <v>#N/A</v>
      </c>
      <c r="K330" s="14" t="e">
        <f t="shared" si="2"/>
        <v>#VALUE!</v>
      </c>
      <c r="L330" s="15" t="str">
        <f>IF(B330="Fornecedor",IF(VLOOKUP(C330,Base_Dados!$E$1:$F$7,2,FALSE)=F330," ","Fornecedor inválido!")," ")</f>
        <v xml:space="preserve"> </v>
      </c>
      <c r="M330" s="16" t="str">
        <f>IF(AND(LEFT(F330,2)="MP",H330&lt;&gt;Base_Dados!$A$1),"Impossível!!!"," ")</f>
        <v xml:space="preserve"> </v>
      </c>
      <c r="N330" s="15" t="str">
        <f>IF(E330="Avião",IF($G330&lt;=VLOOKUP($F330,Base_Dados!$K$1:$O$7,3,FALSE)," ","Limite "&amp;VLOOKUP($F330,Base_Dados!$K$1:$O$11,3,FALSE)&amp;" "&amp;VLOOKUP($F330,Base_Dados!$K$1:$O$11,2,FALSE))," ")</f>
        <v xml:space="preserve"> </v>
      </c>
      <c r="O330" s="15" t="str">
        <f>IF(E330="Caminhão",IF($G330&lt;=VLOOKUP($F330,Base_Dados!$K$1:$O$7,4,FALSE)," ","Limite "&amp;VLOOKUP($F330,Base_Dados!$K$1:$O$11,4,FALSE)&amp;" "&amp;VLOOKUP($F330,Base_Dados!$K$1:$O$11,2,FALSE))," ")</f>
        <v xml:space="preserve"> </v>
      </c>
      <c r="P330" s="15" t="str">
        <f>IF(E330="Navio",IF($G330&lt;=VLOOKUP($F330,Base_Dados!$K$1:$O$7,5,FALSE)," ","Limite "&amp;VLOOKUP($F330,Base_Dados!$K$1:$O$11,5,FALSE)&amp;" "&amp;VLOOKUP($F330,Base_Dados!$K$1:$O$11,2,FALSE))," ")</f>
        <v xml:space="preserve"> </v>
      </c>
      <c r="Q330" s="15" t="str">
        <f t="shared" si="3"/>
        <v>Fluxo Impossível</v>
      </c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24" customHeight="1" x14ac:dyDescent="0.3">
      <c r="A331" s="10"/>
      <c r="B331" s="10"/>
      <c r="C331" s="11"/>
      <c r="D331" s="11"/>
      <c r="E331" s="11"/>
      <c r="F331" s="11"/>
      <c r="G331" s="12"/>
      <c r="H331" s="11"/>
      <c r="I331" s="11"/>
      <c r="J331" s="24" t="e">
        <f>VLOOKUP(C331&amp;I331&amp;E331,Orig_Dest!$A$2:$E$1876,5,FALSE)</f>
        <v>#N/A</v>
      </c>
      <c r="K331" s="14" t="e">
        <f t="shared" si="2"/>
        <v>#VALUE!</v>
      </c>
      <c r="L331" s="15" t="str">
        <f>IF(B331="Fornecedor",IF(VLOOKUP(C331,Base_Dados!$E$1:$F$7,2,FALSE)=F331," ","Fornecedor inválido!")," ")</f>
        <v xml:space="preserve"> </v>
      </c>
      <c r="M331" s="16" t="str">
        <f>IF(AND(LEFT(F331,2)="MP",H331&lt;&gt;Base_Dados!$A$1),"Impossível!!!"," ")</f>
        <v xml:space="preserve"> </v>
      </c>
      <c r="N331" s="15" t="str">
        <f>IF(E331="Avião",IF($G331&lt;=VLOOKUP($F331,Base_Dados!$K$1:$O$7,3,FALSE)," ","Limite "&amp;VLOOKUP($F331,Base_Dados!$K$1:$O$11,3,FALSE)&amp;" "&amp;VLOOKUP($F331,Base_Dados!$K$1:$O$11,2,FALSE))," ")</f>
        <v xml:space="preserve"> </v>
      </c>
      <c r="O331" s="15" t="str">
        <f>IF(E331="Caminhão",IF($G331&lt;=VLOOKUP($F331,Base_Dados!$K$1:$O$7,4,FALSE)," ","Limite "&amp;VLOOKUP($F331,Base_Dados!$K$1:$O$11,4,FALSE)&amp;" "&amp;VLOOKUP($F331,Base_Dados!$K$1:$O$11,2,FALSE))," ")</f>
        <v xml:space="preserve"> </v>
      </c>
      <c r="P331" s="15" t="str">
        <f>IF(E331="Navio",IF($G331&lt;=VLOOKUP($F331,Base_Dados!$K$1:$O$7,5,FALSE)," ","Limite "&amp;VLOOKUP($F331,Base_Dados!$K$1:$O$11,5,FALSE)&amp;" "&amp;VLOOKUP($F331,Base_Dados!$K$1:$O$11,2,FALSE))," ")</f>
        <v xml:space="preserve"> </v>
      </c>
      <c r="Q331" s="15" t="str">
        <f t="shared" si="3"/>
        <v>Fluxo Impossível</v>
      </c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24" customHeight="1" x14ac:dyDescent="0.3">
      <c r="A332" s="10"/>
      <c r="B332" s="10"/>
      <c r="C332" s="11"/>
      <c r="D332" s="11"/>
      <c r="E332" s="11"/>
      <c r="F332" s="11"/>
      <c r="G332" s="12"/>
      <c r="H332" s="11"/>
      <c r="I332" s="11"/>
      <c r="J332" s="24" t="e">
        <f>VLOOKUP(C332&amp;I332&amp;E332,Orig_Dest!$A$2:$E$1876,5,FALSE)</f>
        <v>#N/A</v>
      </c>
      <c r="K332" s="14" t="e">
        <f t="shared" si="2"/>
        <v>#VALUE!</v>
      </c>
      <c r="L332" s="15" t="str">
        <f>IF(B332="Fornecedor",IF(VLOOKUP(C332,Base_Dados!$E$1:$F$7,2,FALSE)=F332," ","Fornecedor inválido!")," ")</f>
        <v xml:space="preserve"> </v>
      </c>
      <c r="M332" s="16" t="str">
        <f>IF(AND(LEFT(F332,2)="MP",H332&lt;&gt;Base_Dados!$A$1),"Impossível!!!"," ")</f>
        <v xml:space="preserve"> </v>
      </c>
      <c r="N332" s="15" t="str">
        <f>IF(E332="Avião",IF($G332&lt;=VLOOKUP($F332,Base_Dados!$K$1:$O$7,3,FALSE)," ","Limite "&amp;VLOOKUP($F332,Base_Dados!$K$1:$O$11,3,FALSE)&amp;" "&amp;VLOOKUP($F332,Base_Dados!$K$1:$O$11,2,FALSE))," ")</f>
        <v xml:space="preserve"> </v>
      </c>
      <c r="O332" s="15" t="str">
        <f>IF(E332="Caminhão",IF($G332&lt;=VLOOKUP($F332,Base_Dados!$K$1:$O$7,4,FALSE)," ","Limite "&amp;VLOOKUP($F332,Base_Dados!$K$1:$O$11,4,FALSE)&amp;" "&amp;VLOOKUP($F332,Base_Dados!$K$1:$O$11,2,FALSE))," ")</f>
        <v xml:space="preserve"> </v>
      </c>
      <c r="P332" s="15" t="str">
        <f>IF(E332="Navio",IF($G332&lt;=VLOOKUP($F332,Base_Dados!$K$1:$O$7,5,FALSE)," ","Limite "&amp;VLOOKUP($F332,Base_Dados!$K$1:$O$11,5,FALSE)&amp;" "&amp;VLOOKUP($F332,Base_Dados!$K$1:$O$11,2,FALSE))," ")</f>
        <v xml:space="preserve"> </v>
      </c>
      <c r="Q332" s="15" t="str">
        <f t="shared" si="3"/>
        <v>Fluxo Impossível</v>
      </c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24" customHeight="1" x14ac:dyDescent="0.3">
      <c r="A333" s="10"/>
      <c r="B333" s="10"/>
      <c r="C333" s="11"/>
      <c r="D333" s="11"/>
      <c r="E333" s="11"/>
      <c r="F333" s="11"/>
      <c r="G333" s="12"/>
      <c r="H333" s="11"/>
      <c r="I333" s="11"/>
      <c r="J333" s="24" t="e">
        <f>VLOOKUP(C333&amp;I333&amp;E333,Orig_Dest!$A$2:$E$1876,5,FALSE)</f>
        <v>#N/A</v>
      </c>
      <c r="K333" s="14" t="e">
        <f t="shared" si="2"/>
        <v>#VALUE!</v>
      </c>
      <c r="L333" s="15" t="str">
        <f>IF(B333="Fornecedor",IF(VLOOKUP(C333,Base_Dados!$E$1:$F$7,2,FALSE)=F333," ","Fornecedor inválido!")," ")</f>
        <v xml:space="preserve"> </v>
      </c>
      <c r="M333" s="16" t="str">
        <f>IF(AND(LEFT(F333,2)="MP",H333&lt;&gt;Base_Dados!$A$1),"Impossível!!!"," ")</f>
        <v xml:space="preserve"> </v>
      </c>
      <c r="N333" s="15" t="str">
        <f>IF(E333="Avião",IF($G333&lt;=VLOOKUP($F333,Base_Dados!$K$1:$O$7,3,FALSE)," ","Limite "&amp;VLOOKUP($F333,Base_Dados!$K$1:$O$11,3,FALSE)&amp;" "&amp;VLOOKUP($F333,Base_Dados!$K$1:$O$11,2,FALSE))," ")</f>
        <v xml:space="preserve"> </v>
      </c>
      <c r="O333" s="15" t="str">
        <f>IF(E333="Caminhão",IF($G333&lt;=VLOOKUP($F333,Base_Dados!$K$1:$O$7,4,FALSE)," ","Limite "&amp;VLOOKUP($F333,Base_Dados!$K$1:$O$11,4,FALSE)&amp;" "&amp;VLOOKUP($F333,Base_Dados!$K$1:$O$11,2,FALSE))," ")</f>
        <v xml:space="preserve"> </v>
      </c>
      <c r="P333" s="15" t="str">
        <f>IF(E333="Navio",IF($G333&lt;=VLOOKUP($F333,Base_Dados!$K$1:$O$7,5,FALSE)," ","Limite "&amp;VLOOKUP($F333,Base_Dados!$K$1:$O$11,5,FALSE)&amp;" "&amp;VLOOKUP($F333,Base_Dados!$K$1:$O$11,2,FALSE))," ")</f>
        <v xml:space="preserve"> </v>
      </c>
      <c r="Q333" s="15" t="str">
        <f t="shared" si="3"/>
        <v>Fluxo Impossível</v>
      </c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24" customHeight="1" x14ac:dyDescent="0.3">
      <c r="A334" s="10"/>
      <c r="B334" s="10"/>
      <c r="C334" s="11"/>
      <c r="D334" s="11"/>
      <c r="E334" s="11"/>
      <c r="F334" s="11"/>
      <c r="G334" s="12"/>
      <c r="H334" s="11"/>
      <c r="I334" s="11"/>
      <c r="J334" s="24" t="e">
        <f>VLOOKUP(C334&amp;I334&amp;E334,Orig_Dest!$A$2:$E$1876,5,FALSE)</f>
        <v>#N/A</v>
      </c>
      <c r="K334" s="14" t="e">
        <f t="shared" si="2"/>
        <v>#VALUE!</v>
      </c>
      <c r="L334" s="15" t="str">
        <f>IF(B334="Fornecedor",IF(VLOOKUP(C334,Base_Dados!$E$1:$F$7,2,FALSE)=F334," ","Fornecedor inválido!")," ")</f>
        <v xml:space="preserve"> </v>
      </c>
      <c r="M334" s="16" t="str">
        <f>IF(AND(LEFT(F334,2)="MP",H334&lt;&gt;Base_Dados!$A$1),"Impossível!!!"," ")</f>
        <v xml:space="preserve"> </v>
      </c>
      <c r="N334" s="15" t="str">
        <f>IF(E334="Avião",IF($G334&lt;=VLOOKUP($F334,Base_Dados!$K$1:$O$7,3,FALSE)," ","Limite "&amp;VLOOKUP($F334,Base_Dados!$K$1:$O$11,3,FALSE)&amp;" "&amp;VLOOKUP($F334,Base_Dados!$K$1:$O$11,2,FALSE))," ")</f>
        <v xml:space="preserve"> </v>
      </c>
      <c r="O334" s="15" t="str">
        <f>IF(E334="Caminhão",IF($G334&lt;=VLOOKUP($F334,Base_Dados!$K$1:$O$7,4,FALSE)," ","Limite "&amp;VLOOKUP($F334,Base_Dados!$K$1:$O$11,4,FALSE)&amp;" "&amp;VLOOKUP($F334,Base_Dados!$K$1:$O$11,2,FALSE))," ")</f>
        <v xml:space="preserve"> </v>
      </c>
      <c r="P334" s="15" t="str">
        <f>IF(E334="Navio",IF($G334&lt;=VLOOKUP($F334,Base_Dados!$K$1:$O$7,5,FALSE)," ","Limite "&amp;VLOOKUP($F334,Base_Dados!$K$1:$O$11,5,FALSE)&amp;" "&amp;VLOOKUP($F334,Base_Dados!$K$1:$O$11,2,FALSE))," ")</f>
        <v xml:space="preserve"> </v>
      </c>
      <c r="Q334" s="15" t="str">
        <f t="shared" si="3"/>
        <v>Fluxo Impossível</v>
      </c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24" customHeight="1" x14ac:dyDescent="0.3">
      <c r="A335" s="10"/>
      <c r="B335" s="10"/>
      <c r="C335" s="11"/>
      <c r="D335" s="11"/>
      <c r="E335" s="11"/>
      <c r="F335" s="11"/>
      <c r="G335" s="12"/>
      <c r="H335" s="11"/>
      <c r="I335" s="11"/>
      <c r="J335" s="24" t="e">
        <f>VLOOKUP(C335&amp;I335&amp;E335,Orig_Dest!$A$2:$E$1876,5,FALSE)</f>
        <v>#N/A</v>
      </c>
      <c r="K335" s="14" t="e">
        <f t="shared" si="2"/>
        <v>#VALUE!</v>
      </c>
      <c r="L335" s="15" t="str">
        <f>IF(B335="Fornecedor",IF(VLOOKUP(C335,Base_Dados!$E$1:$F$7,2,FALSE)=F335," ","Fornecedor inválido!")," ")</f>
        <v xml:space="preserve"> </v>
      </c>
      <c r="M335" s="16" t="str">
        <f>IF(AND(LEFT(F335,2)="MP",H335&lt;&gt;Base_Dados!$A$1),"Impossível!!!"," ")</f>
        <v xml:space="preserve"> </v>
      </c>
      <c r="N335" s="15" t="str">
        <f>IF(E335="Avião",IF($G335&lt;=VLOOKUP($F335,Base_Dados!$K$1:$O$7,3,FALSE)," ","Limite "&amp;VLOOKUP($F335,Base_Dados!$K$1:$O$11,3,FALSE)&amp;" "&amp;VLOOKUP($F335,Base_Dados!$K$1:$O$11,2,FALSE))," ")</f>
        <v xml:space="preserve"> </v>
      </c>
      <c r="O335" s="15" t="str">
        <f>IF(E335="Caminhão",IF($G335&lt;=VLOOKUP($F335,Base_Dados!$K$1:$O$7,4,FALSE)," ","Limite "&amp;VLOOKUP($F335,Base_Dados!$K$1:$O$11,4,FALSE)&amp;" "&amp;VLOOKUP($F335,Base_Dados!$K$1:$O$11,2,FALSE))," ")</f>
        <v xml:space="preserve"> </v>
      </c>
      <c r="P335" s="15" t="str">
        <f>IF(E335="Navio",IF($G335&lt;=VLOOKUP($F335,Base_Dados!$K$1:$O$7,5,FALSE)," ","Limite "&amp;VLOOKUP($F335,Base_Dados!$K$1:$O$11,5,FALSE)&amp;" "&amp;VLOOKUP($F335,Base_Dados!$K$1:$O$11,2,FALSE))," ")</f>
        <v xml:space="preserve"> </v>
      </c>
      <c r="Q335" s="15" t="str">
        <f t="shared" si="3"/>
        <v>Fluxo Impossível</v>
      </c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24" customHeight="1" x14ac:dyDescent="0.3">
      <c r="A336" s="10"/>
      <c r="B336" s="10"/>
      <c r="C336" s="11"/>
      <c r="D336" s="11"/>
      <c r="E336" s="11"/>
      <c r="F336" s="11"/>
      <c r="G336" s="12"/>
      <c r="H336" s="11"/>
      <c r="I336" s="11"/>
      <c r="J336" s="24" t="e">
        <f>VLOOKUP(C336&amp;I336&amp;E336,Orig_Dest!$A$2:$E$1876,5,FALSE)</f>
        <v>#N/A</v>
      </c>
      <c r="K336" s="14" t="e">
        <f t="shared" si="2"/>
        <v>#VALUE!</v>
      </c>
      <c r="L336" s="15" t="str">
        <f>IF(B336="Fornecedor",IF(VLOOKUP(C336,Base_Dados!$E$1:$F$7,2,FALSE)=F336," ","Fornecedor inválido!")," ")</f>
        <v xml:space="preserve"> </v>
      </c>
      <c r="M336" s="16" t="str">
        <f>IF(AND(LEFT(F336,2)="MP",H336&lt;&gt;Base_Dados!$A$1),"Impossível!!!"," ")</f>
        <v xml:space="preserve"> </v>
      </c>
      <c r="N336" s="15" t="str">
        <f>IF(E336="Avião",IF($G336&lt;=VLOOKUP($F336,Base_Dados!$K$1:$O$7,3,FALSE)," ","Limite "&amp;VLOOKUP($F336,Base_Dados!$K$1:$O$11,3,FALSE)&amp;" "&amp;VLOOKUP($F336,Base_Dados!$K$1:$O$11,2,FALSE))," ")</f>
        <v xml:space="preserve"> </v>
      </c>
      <c r="O336" s="15" t="str">
        <f>IF(E336="Caminhão",IF($G336&lt;=VLOOKUP($F336,Base_Dados!$K$1:$O$7,4,FALSE)," ","Limite "&amp;VLOOKUP($F336,Base_Dados!$K$1:$O$11,4,FALSE)&amp;" "&amp;VLOOKUP($F336,Base_Dados!$K$1:$O$11,2,FALSE))," ")</f>
        <v xml:space="preserve"> </v>
      </c>
      <c r="P336" s="15" t="str">
        <f>IF(E336="Navio",IF($G336&lt;=VLOOKUP($F336,Base_Dados!$K$1:$O$7,5,FALSE)," ","Limite "&amp;VLOOKUP($F336,Base_Dados!$K$1:$O$11,5,FALSE)&amp;" "&amp;VLOOKUP($F336,Base_Dados!$K$1:$O$11,2,FALSE))," ")</f>
        <v xml:space="preserve"> </v>
      </c>
      <c r="Q336" s="15" t="str">
        <f t="shared" si="3"/>
        <v>Fluxo Impossível</v>
      </c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24" customHeight="1" x14ac:dyDescent="0.3">
      <c r="A337" s="10"/>
      <c r="B337" s="10"/>
      <c r="C337" s="11"/>
      <c r="D337" s="11"/>
      <c r="E337" s="11"/>
      <c r="F337" s="11"/>
      <c r="G337" s="12"/>
      <c r="H337" s="11"/>
      <c r="I337" s="11"/>
      <c r="J337" s="24" t="e">
        <f>VLOOKUP(C337&amp;I337&amp;E337,Orig_Dest!$A$2:$E$1876,5,FALSE)</f>
        <v>#N/A</v>
      </c>
      <c r="K337" s="14" t="e">
        <f t="shared" si="2"/>
        <v>#VALUE!</v>
      </c>
      <c r="L337" s="15" t="str">
        <f>IF(B337="Fornecedor",IF(VLOOKUP(C337,Base_Dados!$E$1:$F$7,2,FALSE)=F337," ","Fornecedor inválido!")," ")</f>
        <v xml:space="preserve"> </v>
      </c>
      <c r="M337" s="16" t="str">
        <f>IF(AND(LEFT(F337,2)="MP",H337&lt;&gt;Base_Dados!$A$1),"Impossível!!!"," ")</f>
        <v xml:space="preserve"> </v>
      </c>
      <c r="N337" s="15" t="str">
        <f>IF(E337="Avião",IF($G337&lt;=VLOOKUP($F337,Base_Dados!$K$1:$O$7,3,FALSE)," ","Limite "&amp;VLOOKUP($F337,Base_Dados!$K$1:$O$11,3,FALSE)&amp;" "&amp;VLOOKUP($F337,Base_Dados!$K$1:$O$11,2,FALSE))," ")</f>
        <v xml:space="preserve"> </v>
      </c>
      <c r="O337" s="15" t="str">
        <f>IF(E337="Caminhão",IF($G337&lt;=VLOOKUP($F337,Base_Dados!$K$1:$O$7,4,FALSE)," ","Limite "&amp;VLOOKUP($F337,Base_Dados!$K$1:$O$11,4,FALSE)&amp;" "&amp;VLOOKUP($F337,Base_Dados!$K$1:$O$11,2,FALSE))," ")</f>
        <v xml:space="preserve"> </v>
      </c>
      <c r="P337" s="15" t="str">
        <f>IF(E337="Navio",IF($G337&lt;=VLOOKUP($F337,Base_Dados!$K$1:$O$7,5,FALSE)," ","Limite "&amp;VLOOKUP($F337,Base_Dados!$K$1:$O$11,5,FALSE)&amp;" "&amp;VLOOKUP($F337,Base_Dados!$K$1:$O$11,2,FALSE))," ")</f>
        <v xml:space="preserve"> </v>
      </c>
      <c r="Q337" s="15" t="str">
        <f t="shared" si="3"/>
        <v>Fluxo Impossível</v>
      </c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24" customHeight="1" x14ac:dyDescent="0.3">
      <c r="A338" s="10"/>
      <c r="B338" s="10"/>
      <c r="C338" s="11"/>
      <c r="D338" s="11"/>
      <c r="E338" s="11"/>
      <c r="F338" s="11"/>
      <c r="G338" s="12"/>
      <c r="H338" s="11"/>
      <c r="I338" s="11"/>
      <c r="J338" s="24" t="e">
        <f>VLOOKUP(C338&amp;I338&amp;E338,Orig_Dest!$A$2:$E$1876,5,FALSE)</f>
        <v>#N/A</v>
      </c>
      <c r="K338" s="14" t="e">
        <f t="shared" si="2"/>
        <v>#VALUE!</v>
      </c>
      <c r="L338" s="15" t="str">
        <f>IF(B338="Fornecedor",IF(VLOOKUP(C338,Base_Dados!$E$1:$F$7,2,FALSE)=F338," ","Fornecedor inválido!")," ")</f>
        <v xml:space="preserve"> </v>
      </c>
      <c r="M338" s="16" t="str">
        <f>IF(AND(LEFT(F338,2)="MP",H338&lt;&gt;Base_Dados!$A$1),"Impossível!!!"," ")</f>
        <v xml:space="preserve"> </v>
      </c>
      <c r="N338" s="15" t="str">
        <f>IF(E338="Avião",IF($G338&lt;=VLOOKUP($F338,Base_Dados!$K$1:$O$7,3,FALSE)," ","Limite "&amp;VLOOKUP($F338,Base_Dados!$K$1:$O$11,3,FALSE)&amp;" "&amp;VLOOKUP($F338,Base_Dados!$K$1:$O$11,2,FALSE))," ")</f>
        <v xml:space="preserve"> </v>
      </c>
      <c r="O338" s="15" t="str">
        <f>IF(E338="Caminhão",IF($G338&lt;=VLOOKUP($F338,Base_Dados!$K$1:$O$7,4,FALSE)," ","Limite "&amp;VLOOKUP($F338,Base_Dados!$K$1:$O$11,4,FALSE)&amp;" "&amp;VLOOKUP($F338,Base_Dados!$K$1:$O$11,2,FALSE))," ")</f>
        <v xml:space="preserve"> </v>
      </c>
      <c r="P338" s="15" t="str">
        <f>IF(E338="Navio",IF($G338&lt;=VLOOKUP($F338,Base_Dados!$K$1:$O$7,5,FALSE)," ","Limite "&amp;VLOOKUP($F338,Base_Dados!$K$1:$O$11,5,FALSE)&amp;" "&amp;VLOOKUP($F338,Base_Dados!$K$1:$O$11,2,FALSE))," ")</f>
        <v xml:space="preserve"> </v>
      </c>
      <c r="Q338" s="15" t="str">
        <f t="shared" si="3"/>
        <v>Fluxo Impossível</v>
      </c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24" customHeight="1" x14ac:dyDescent="0.3">
      <c r="A339" s="10"/>
      <c r="B339" s="10"/>
      <c r="C339" s="11"/>
      <c r="D339" s="11"/>
      <c r="E339" s="11"/>
      <c r="F339" s="11"/>
      <c r="G339" s="12"/>
      <c r="H339" s="11"/>
      <c r="I339" s="11"/>
      <c r="J339" s="24" t="e">
        <f>VLOOKUP(C339&amp;I339&amp;E339,Orig_Dest!$A$2:$E$1876,5,FALSE)</f>
        <v>#N/A</v>
      </c>
      <c r="K339" s="14" t="e">
        <f t="shared" si="2"/>
        <v>#VALUE!</v>
      </c>
      <c r="L339" s="15" t="str">
        <f>IF(B339="Fornecedor",IF(VLOOKUP(C339,Base_Dados!$E$1:$F$7,2,FALSE)=F339," ","Fornecedor inválido!")," ")</f>
        <v xml:space="preserve"> </v>
      </c>
      <c r="M339" s="16" t="str">
        <f>IF(AND(LEFT(F339,2)="MP",H339&lt;&gt;Base_Dados!$A$1),"Impossível!!!"," ")</f>
        <v xml:space="preserve"> </v>
      </c>
      <c r="N339" s="15" t="str">
        <f>IF(E339="Avião",IF($G339&lt;=VLOOKUP($F339,Base_Dados!$K$1:$O$7,3,FALSE)," ","Limite "&amp;VLOOKUP($F339,Base_Dados!$K$1:$O$11,3,FALSE)&amp;" "&amp;VLOOKUP($F339,Base_Dados!$K$1:$O$11,2,FALSE))," ")</f>
        <v xml:space="preserve"> </v>
      </c>
      <c r="O339" s="15" t="str">
        <f>IF(E339="Caminhão",IF($G339&lt;=VLOOKUP($F339,Base_Dados!$K$1:$O$7,4,FALSE)," ","Limite "&amp;VLOOKUP($F339,Base_Dados!$K$1:$O$11,4,FALSE)&amp;" "&amp;VLOOKUP($F339,Base_Dados!$K$1:$O$11,2,FALSE))," ")</f>
        <v xml:space="preserve"> </v>
      </c>
      <c r="P339" s="15" t="str">
        <f>IF(E339="Navio",IF($G339&lt;=VLOOKUP($F339,Base_Dados!$K$1:$O$7,5,FALSE)," ","Limite "&amp;VLOOKUP($F339,Base_Dados!$K$1:$O$11,5,FALSE)&amp;" "&amp;VLOOKUP($F339,Base_Dados!$K$1:$O$11,2,FALSE))," ")</f>
        <v xml:space="preserve"> </v>
      </c>
      <c r="Q339" s="15" t="str">
        <f t="shared" si="3"/>
        <v>Fluxo Impossível</v>
      </c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24" customHeight="1" x14ac:dyDescent="0.3">
      <c r="A340" s="10"/>
      <c r="B340" s="10"/>
      <c r="C340" s="11"/>
      <c r="D340" s="11"/>
      <c r="E340" s="11"/>
      <c r="F340" s="11"/>
      <c r="G340" s="12"/>
      <c r="H340" s="11"/>
      <c r="I340" s="11"/>
      <c r="J340" s="24" t="e">
        <f>VLOOKUP(C340&amp;I340&amp;E340,Orig_Dest!$A$2:$E$1876,5,FALSE)</f>
        <v>#N/A</v>
      </c>
      <c r="K340" s="14" t="e">
        <f t="shared" si="2"/>
        <v>#VALUE!</v>
      </c>
      <c r="L340" s="15" t="str">
        <f>IF(B340="Fornecedor",IF(VLOOKUP(C340,Base_Dados!$E$1:$F$7,2,FALSE)=F340," ","Fornecedor inválido!")," ")</f>
        <v xml:space="preserve"> </v>
      </c>
      <c r="M340" s="16" t="str">
        <f>IF(AND(LEFT(F340,2)="MP",H340&lt;&gt;Base_Dados!$A$1),"Impossível!!!"," ")</f>
        <v xml:space="preserve"> </v>
      </c>
      <c r="N340" s="15" t="str">
        <f>IF(E340="Avião",IF($G340&lt;=VLOOKUP($F340,Base_Dados!$K$1:$O$7,3,FALSE)," ","Limite "&amp;VLOOKUP($F340,Base_Dados!$K$1:$O$11,3,FALSE)&amp;" "&amp;VLOOKUP($F340,Base_Dados!$K$1:$O$11,2,FALSE))," ")</f>
        <v xml:space="preserve"> </v>
      </c>
      <c r="O340" s="15" t="str">
        <f>IF(E340="Caminhão",IF($G340&lt;=VLOOKUP($F340,Base_Dados!$K$1:$O$7,4,FALSE)," ","Limite "&amp;VLOOKUP($F340,Base_Dados!$K$1:$O$11,4,FALSE)&amp;" "&amp;VLOOKUP($F340,Base_Dados!$K$1:$O$11,2,FALSE))," ")</f>
        <v xml:space="preserve"> </v>
      </c>
      <c r="P340" s="15" t="str">
        <f>IF(E340="Navio",IF($G340&lt;=VLOOKUP($F340,Base_Dados!$K$1:$O$7,5,FALSE)," ","Limite "&amp;VLOOKUP($F340,Base_Dados!$K$1:$O$11,5,FALSE)&amp;" "&amp;VLOOKUP($F340,Base_Dados!$K$1:$O$11,2,FALSE))," ")</f>
        <v xml:space="preserve"> </v>
      </c>
      <c r="Q340" s="15" t="str">
        <f t="shared" si="3"/>
        <v>Fluxo Impossível</v>
      </c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24" customHeight="1" x14ac:dyDescent="0.3">
      <c r="A341" s="10"/>
      <c r="B341" s="10"/>
      <c r="C341" s="11"/>
      <c r="D341" s="11"/>
      <c r="E341" s="11"/>
      <c r="F341" s="11"/>
      <c r="G341" s="12"/>
      <c r="H341" s="11"/>
      <c r="I341" s="11"/>
      <c r="J341" s="24" t="e">
        <f>VLOOKUP(C341&amp;I341&amp;E341,Orig_Dest!$A$2:$E$1876,5,FALSE)</f>
        <v>#N/A</v>
      </c>
      <c r="K341" s="14" t="e">
        <f t="shared" si="2"/>
        <v>#VALUE!</v>
      </c>
      <c r="L341" s="15" t="str">
        <f>IF(B341="Fornecedor",IF(VLOOKUP(C341,Base_Dados!$E$1:$F$7,2,FALSE)=F341," ","Fornecedor inválido!")," ")</f>
        <v xml:space="preserve"> </v>
      </c>
      <c r="M341" s="16" t="str">
        <f>IF(AND(LEFT(F341,2)="MP",H341&lt;&gt;Base_Dados!$A$1),"Impossível!!!"," ")</f>
        <v xml:space="preserve"> </v>
      </c>
      <c r="N341" s="15" t="str">
        <f>IF(E341="Avião",IF($G341&lt;=VLOOKUP($F341,Base_Dados!$K$1:$O$7,3,FALSE)," ","Limite "&amp;VLOOKUP($F341,Base_Dados!$K$1:$O$11,3,FALSE)&amp;" "&amp;VLOOKUP($F341,Base_Dados!$K$1:$O$11,2,FALSE))," ")</f>
        <v xml:space="preserve"> </v>
      </c>
      <c r="O341" s="15" t="str">
        <f>IF(E341="Caminhão",IF($G341&lt;=VLOOKUP($F341,Base_Dados!$K$1:$O$7,4,FALSE)," ","Limite "&amp;VLOOKUP($F341,Base_Dados!$K$1:$O$11,4,FALSE)&amp;" "&amp;VLOOKUP($F341,Base_Dados!$K$1:$O$11,2,FALSE))," ")</f>
        <v xml:space="preserve"> </v>
      </c>
      <c r="P341" s="15" t="str">
        <f>IF(E341="Navio",IF($G341&lt;=VLOOKUP($F341,Base_Dados!$K$1:$O$7,5,FALSE)," ","Limite "&amp;VLOOKUP($F341,Base_Dados!$K$1:$O$11,5,FALSE)&amp;" "&amp;VLOOKUP($F341,Base_Dados!$K$1:$O$11,2,FALSE))," ")</f>
        <v xml:space="preserve"> </v>
      </c>
      <c r="Q341" s="15" t="str">
        <f t="shared" si="3"/>
        <v>Fluxo Impossível</v>
      </c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24" customHeight="1" x14ac:dyDescent="0.3">
      <c r="A342" s="10"/>
      <c r="B342" s="10"/>
      <c r="C342" s="11"/>
      <c r="D342" s="11"/>
      <c r="E342" s="11"/>
      <c r="F342" s="11"/>
      <c r="G342" s="12"/>
      <c r="H342" s="11"/>
      <c r="I342" s="11"/>
      <c r="J342" s="24" t="e">
        <f>VLOOKUP(C342&amp;I342&amp;E342,Orig_Dest!$A$2:$E$1876,5,FALSE)</f>
        <v>#N/A</v>
      </c>
      <c r="K342" s="14" t="e">
        <f t="shared" si="2"/>
        <v>#VALUE!</v>
      </c>
      <c r="L342" s="15" t="str">
        <f>IF(B342="Fornecedor",IF(VLOOKUP(C342,Base_Dados!$E$1:$F$7,2,FALSE)=F342," ","Fornecedor inválido!")," ")</f>
        <v xml:space="preserve"> </v>
      </c>
      <c r="M342" s="16" t="str">
        <f>IF(AND(LEFT(F342,2)="MP",H342&lt;&gt;Base_Dados!$A$1),"Impossível!!!"," ")</f>
        <v xml:space="preserve"> </v>
      </c>
      <c r="N342" s="15" t="str">
        <f>IF(E342="Avião",IF($G342&lt;=VLOOKUP($F342,Base_Dados!$K$1:$O$7,3,FALSE)," ","Limite "&amp;VLOOKUP($F342,Base_Dados!$K$1:$O$11,3,FALSE)&amp;" "&amp;VLOOKUP($F342,Base_Dados!$K$1:$O$11,2,FALSE))," ")</f>
        <v xml:space="preserve"> </v>
      </c>
      <c r="O342" s="15" t="str">
        <f>IF(E342="Caminhão",IF($G342&lt;=VLOOKUP($F342,Base_Dados!$K$1:$O$7,4,FALSE)," ","Limite "&amp;VLOOKUP($F342,Base_Dados!$K$1:$O$11,4,FALSE)&amp;" "&amp;VLOOKUP($F342,Base_Dados!$K$1:$O$11,2,FALSE))," ")</f>
        <v xml:space="preserve"> </v>
      </c>
      <c r="P342" s="15" t="str">
        <f>IF(E342="Navio",IF($G342&lt;=VLOOKUP($F342,Base_Dados!$K$1:$O$7,5,FALSE)," ","Limite "&amp;VLOOKUP($F342,Base_Dados!$K$1:$O$11,5,FALSE)&amp;" "&amp;VLOOKUP($F342,Base_Dados!$K$1:$O$11,2,FALSE))," ")</f>
        <v xml:space="preserve"> </v>
      </c>
      <c r="Q342" s="15" t="str">
        <f t="shared" si="3"/>
        <v>Fluxo Impossível</v>
      </c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24" customHeight="1" x14ac:dyDescent="0.3">
      <c r="A343" s="10"/>
      <c r="B343" s="10"/>
      <c r="C343" s="11"/>
      <c r="D343" s="11"/>
      <c r="E343" s="11"/>
      <c r="F343" s="11"/>
      <c r="G343" s="12"/>
      <c r="H343" s="11"/>
      <c r="I343" s="11"/>
      <c r="J343" s="24" t="e">
        <f>VLOOKUP(C343&amp;I343&amp;E343,Orig_Dest!$A$2:$E$1876,5,FALSE)</f>
        <v>#N/A</v>
      </c>
      <c r="K343" s="14" t="e">
        <f t="shared" si="2"/>
        <v>#VALUE!</v>
      </c>
      <c r="L343" s="15" t="str">
        <f>IF(B343="Fornecedor",IF(VLOOKUP(C343,Base_Dados!$E$1:$F$7,2,FALSE)=F343," ","Fornecedor inválido!")," ")</f>
        <v xml:space="preserve"> </v>
      </c>
      <c r="M343" s="16" t="str">
        <f>IF(AND(LEFT(F343,2)="MP",H343&lt;&gt;Base_Dados!$A$1),"Impossível!!!"," ")</f>
        <v xml:space="preserve"> </v>
      </c>
      <c r="N343" s="15" t="str">
        <f>IF(E343="Avião",IF($G343&lt;=VLOOKUP($F343,Base_Dados!$K$1:$O$7,3,FALSE)," ","Limite "&amp;VLOOKUP($F343,Base_Dados!$K$1:$O$11,3,FALSE)&amp;" "&amp;VLOOKUP($F343,Base_Dados!$K$1:$O$11,2,FALSE))," ")</f>
        <v xml:space="preserve"> </v>
      </c>
      <c r="O343" s="15" t="str">
        <f>IF(E343="Caminhão",IF($G343&lt;=VLOOKUP($F343,Base_Dados!$K$1:$O$7,4,FALSE)," ","Limite "&amp;VLOOKUP($F343,Base_Dados!$K$1:$O$11,4,FALSE)&amp;" "&amp;VLOOKUP($F343,Base_Dados!$K$1:$O$11,2,FALSE))," ")</f>
        <v xml:space="preserve"> </v>
      </c>
      <c r="P343" s="15" t="str">
        <f>IF(E343="Navio",IF($G343&lt;=VLOOKUP($F343,Base_Dados!$K$1:$O$7,5,FALSE)," ","Limite "&amp;VLOOKUP($F343,Base_Dados!$K$1:$O$11,5,FALSE)&amp;" "&amp;VLOOKUP($F343,Base_Dados!$K$1:$O$11,2,FALSE))," ")</f>
        <v xml:space="preserve"> </v>
      </c>
      <c r="Q343" s="15" t="str">
        <f t="shared" si="3"/>
        <v>Fluxo Impossível</v>
      </c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24" customHeight="1" x14ac:dyDescent="0.3">
      <c r="A344" s="10"/>
      <c r="B344" s="10"/>
      <c r="C344" s="11"/>
      <c r="D344" s="11"/>
      <c r="E344" s="11"/>
      <c r="F344" s="11"/>
      <c r="G344" s="12"/>
      <c r="H344" s="11"/>
      <c r="I344" s="11"/>
      <c r="J344" s="24" t="e">
        <f>VLOOKUP(C344&amp;I344&amp;E344,Orig_Dest!$A$2:$E$1876,5,FALSE)</f>
        <v>#N/A</v>
      </c>
      <c r="K344" s="14" t="e">
        <f t="shared" si="2"/>
        <v>#VALUE!</v>
      </c>
      <c r="L344" s="15" t="str">
        <f>IF(B344="Fornecedor",IF(VLOOKUP(C344,Base_Dados!$E$1:$F$7,2,FALSE)=F344," ","Fornecedor inválido!")," ")</f>
        <v xml:space="preserve"> </v>
      </c>
      <c r="M344" s="16" t="str">
        <f>IF(AND(LEFT(F344,2)="MP",H344&lt;&gt;Base_Dados!$A$1),"Impossível!!!"," ")</f>
        <v xml:space="preserve"> </v>
      </c>
      <c r="N344" s="15" t="str">
        <f>IF(E344="Avião",IF($G344&lt;=VLOOKUP($F344,Base_Dados!$K$1:$O$7,3,FALSE)," ","Limite "&amp;VLOOKUP($F344,Base_Dados!$K$1:$O$11,3,FALSE)&amp;" "&amp;VLOOKUP($F344,Base_Dados!$K$1:$O$11,2,FALSE))," ")</f>
        <v xml:space="preserve"> </v>
      </c>
      <c r="O344" s="15" t="str">
        <f>IF(E344="Caminhão",IF($G344&lt;=VLOOKUP($F344,Base_Dados!$K$1:$O$7,4,FALSE)," ","Limite "&amp;VLOOKUP($F344,Base_Dados!$K$1:$O$11,4,FALSE)&amp;" "&amp;VLOOKUP($F344,Base_Dados!$K$1:$O$11,2,FALSE))," ")</f>
        <v xml:space="preserve"> </v>
      </c>
      <c r="P344" s="15" t="str">
        <f>IF(E344="Navio",IF($G344&lt;=VLOOKUP($F344,Base_Dados!$K$1:$O$7,5,FALSE)," ","Limite "&amp;VLOOKUP($F344,Base_Dados!$K$1:$O$11,5,FALSE)&amp;" "&amp;VLOOKUP($F344,Base_Dados!$K$1:$O$11,2,FALSE))," ")</f>
        <v xml:space="preserve"> </v>
      </c>
      <c r="Q344" s="15" t="str">
        <f t="shared" si="3"/>
        <v>Fluxo Impossível</v>
      </c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24" customHeight="1" x14ac:dyDescent="0.3">
      <c r="A345" s="10"/>
      <c r="B345" s="10"/>
      <c r="C345" s="11"/>
      <c r="D345" s="11"/>
      <c r="E345" s="11"/>
      <c r="F345" s="11"/>
      <c r="G345" s="12"/>
      <c r="H345" s="11"/>
      <c r="I345" s="11"/>
      <c r="J345" s="24" t="e">
        <f>VLOOKUP(C345&amp;I345&amp;E345,Orig_Dest!$A$2:$E$1876,5,FALSE)</f>
        <v>#N/A</v>
      </c>
      <c r="K345" s="14" t="e">
        <f t="shared" si="2"/>
        <v>#VALUE!</v>
      </c>
      <c r="L345" s="15" t="str">
        <f>IF(B345="Fornecedor",IF(VLOOKUP(C345,Base_Dados!$E$1:$F$7,2,FALSE)=F345," ","Fornecedor inválido!")," ")</f>
        <v xml:space="preserve"> </v>
      </c>
      <c r="M345" s="16" t="str">
        <f>IF(AND(LEFT(F345,2)="MP",H345&lt;&gt;Base_Dados!$A$1),"Impossível!!!"," ")</f>
        <v xml:space="preserve"> </v>
      </c>
      <c r="N345" s="15" t="str">
        <f>IF(E345="Avião",IF($G345&lt;=VLOOKUP($F345,Base_Dados!$K$1:$O$7,3,FALSE)," ","Limite "&amp;VLOOKUP($F345,Base_Dados!$K$1:$O$11,3,FALSE)&amp;" "&amp;VLOOKUP($F345,Base_Dados!$K$1:$O$11,2,FALSE))," ")</f>
        <v xml:space="preserve"> </v>
      </c>
      <c r="O345" s="15" t="str">
        <f>IF(E345="Caminhão",IF($G345&lt;=VLOOKUP($F345,Base_Dados!$K$1:$O$7,4,FALSE)," ","Limite "&amp;VLOOKUP($F345,Base_Dados!$K$1:$O$11,4,FALSE)&amp;" "&amp;VLOOKUP($F345,Base_Dados!$K$1:$O$11,2,FALSE))," ")</f>
        <v xml:space="preserve"> </v>
      </c>
      <c r="P345" s="15" t="str">
        <f>IF(E345="Navio",IF($G345&lt;=VLOOKUP($F345,Base_Dados!$K$1:$O$7,5,FALSE)," ","Limite "&amp;VLOOKUP($F345,Base_Dados!$K$1:$O$11,5,FALSE)&amp;" "&amp;VLOOKUP($F345,Base_Dados!$K$1:$O$11,2,FALSE))," ")</f>
        <v xml:space="preserve"> </v>
      </c>
      <c r="Q345" s="15" t="str">
        <f t="shared" si="3"/>
        <v>Fluxo Impossível</v>
      </c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24" customHeight="1" x14ac:dyDescent="0.3">
      <c r="A346" s="10"/>
      <c r="B346" s="10"/>
      <c r="C346" s="11"/>
      <c r="D346" s="11"/>
      <c r="E346" s="11"/>
      <c r="F346" s="11"/>
      <c r="G346" s="12"/>
      <c r="H346" s="11"/>
      <c r="I346" s="11"/>
      <c r="J346" s="24" t="e">
        <f>VLOOKUP(C346&amp;I346&amp;E346,Orig_Dest!$A$2:$E$1876,5,FALSE)</f>
        <v>#N/A</v>
      </c>
      <c r="K346" s="14" t="e">
        <f t="shared" si="2"/>
        <v>#VALUE!</v>
      </c>
      <c r="L346" s="15" t="str">
        <f>IF(B346="Fornecedor",IF(VLOOKUP(C346,Base_Dados!$E$1:$F$7,2,FALSE)=F346," ","Fornecedor inválido!")," ")</f>
        <v xml:space="preserve"> </v>
      </c>
      <c r="M346" s="16" t="str">
        <f>IF(AND(LEFT(F346,2)="MP",H346&lt;&gt;Base_Dados!$A$1),"Impossível!!!"," ")</f>
        <v xml:space="preserve"> </v>
      </c>
      <c r="N346" s="15" t="str">
        <f>IF(E346="Avião",IF($G346&lt;=VLOOKUP($F346,Base_Dados!$K$1:$O$7,3,FALSE)," ","Limite "&amp;VLOOKUP($F346,Base_Dados!$K$1:$O$11,3,FALSE)&amp;" "&amp;VLOOKUP($F346,Base_Dados!$K$1:$O$11,2,FALSE))," ")</f>
        <v xml:space="preserve"> </v>
      </c>
      <c r="O346" s="15" t="str">
        <f>IF(E346="Caminhão",IF($G346&lt;=VLOOKUP($F346,Base_Dados!$K$1:$O$7,4,FALSE)," ","Limite "&amp;VLOOKUP($F346,Base_Dados!$K$1:$O$11,4,FALSE)&amp;" "&amp;VLOOKUP($F346,Base_Dados!$K$1:$O$11,2,FALSE))," ")</f>
        <v xml:space="preserve"> </v>
      </c>
      <c r="P346" s="15" t="str">
        <f>IF(E346="Navio",IF($G346&lt;=VLOOKUP($F346,Base_Dados!$K$1:$O$7,5,FALSE)," ","Limite "&amp;VLOOKUP($F346,Base_Dados!$K$1:$O$11,5,FALSE)&amp;" "&amp;VLOOKUP($F346,Base_Dados!$K$1:$O$11,2,FALSE))," ")</f>
        <v xml:space="preserve"> </v>
      </c>
      <c r="Q346" s="15" t="str">
        <f t="shared" si="3"/>
        <v>Fluxo Impossível</v>
      </c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24" customHeight="1" x14ac:dyDescent="0.3">
      <c r="A347" s="10"/>
      <c r="B347" s="10"/>
      <c r="C347" s="11"/>
      <c r="D347" s="11"/>
      <c r="E347" s="11"/>
      <c r="F347" s="11"/>
      <c r="G347" s="12"/>
      <c r="H347" s="11"/>
      <c r="I347" s="11"/>
      <c r="J347" s="24" t="e">
        <f>VLOOKUP(C347&amp;I347&amp;E347,Orig_Dest!$A$2:$E$1876,5,FALSE)</f>
        <v>#N/A</v>
      </c>
      <c r="K347" s="14" t="e">
        <f t="shared" si="2"/>
        <v>#VALUE!</v>
      </c>
      <c r="L347" s="15" t="str">
        <f>IF(B347="Fornecedor",IF(VLOOKUP(C347,Base_Dados!$E$1:$F$7,2,FALSE)=F347," ","Fornecedor inválido!")," ")</f>
        <v xml:space="preserve"> </v>
      </c>
      <c r="M347" s="16" t="str">
        <f>IF(AND(LEFT(F347,2)="MP",H347&lt;&gt;Base_Dados!$A$1),"Impossível!!!"," ")</f>
        <v xml:space="preserve"> </v>
      </c>
      <c r="N347" s="15" t="str">
        <f>IF(E347="Avião",IF($G347&lt;=VLOOKUP($F347,Base_Dados!$K$1:$O$7,3,FALSE)," ","Limite "&amp;VLOOKUP($F347,Base_Dados!$K$1:$O$11,3,FALSE)&amp;" "&amp;VLOOKUP($F347,Base_Dados!$K$1:$O$11,2,FALSE))," ")</f>
        <v xml:space="preserve"> </v>
      </c>
      <c r="O347" s="15" t="str">
        <f>IF(E347="Caminhão",IF($G347&lt;=VLOOKUP($F347,Base_Dados!$K$1:$O$7,4,FALSE)," ","Limite "&amp;VLOOKUP($F347,Base_Dados!$K$1:$O$11,4,FALSE)&amp;" "&amp;VLOOKUP($F347,Base_Dados!$K$1:$O$11,2,FALSE))," ")</f>
        <v xml:space="preserve"> </v>
      </c>
      <c r="P347" s="15" t="str">
        <f>IF(E347="Navio",IF($G347&lt;=VLOOKUP($F347,Base_Dados!$K$1:$O$7,5,FALSE)," ","Limite "&amp;VLOOKUP($F347,Base_Dados!$K$1:$O$11,5,FALSE)&amp;" "&amp;VLOOKUP($F347,Base_Dados!$K$1:$O$11,2,FALSE))," ")</f>
        <v xml:space="preserve"> </v>
      </c>
      <c r="Q347" s="15" t="str">
        <f t="shared" si="3"/>
        <v>Fluxo Impossível</v>
      </c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24" customHeight="1" x14ac:dyDescent="0.3">
      <c r="A348" s="10"/>
      <c r="B348" s="10"/>
      <c r="C348" s="11"/>
      <c r="D348" s="11"/>
      <c r="E348" s="11"/>
      <c r="F348" s="11"/>
      <c r="G348" s="12"/>
      <c r="H348" s="11"/>
      <c r="I348" s="11"/>
      <c r="J348" s="24" t="e">
        <f>VLOOKUP(C348&amp;I348&amp;E348,Orig_Dest!$A$2:$E$1876,5,FALSE)</f>
        <v>#N/A</v>
      </c>
      <c r="K348" s="14" t="e">
        <f t="shared" si="2"/>
        <v>#VALUE!</v>
      </c>
      <c r="L348" s="15" t="str">
        <f>IF(B348="Fornecedor",IF(VLOOKUP(C348,Base_Dados!$E$1:$F$7,2,FALSE)=F348," ","Fornecedor inválido!")," ")</f>
        <v xml:space="preserve"> </v>
      </c>
      <c r="M348" s="16" t="str">
        <f>IF(AND(LEFT(F348,2)="MP",H348&lt;&gt;Base_Dados!$A$1),"Impossível!!!"," ")</f>
        <v xml:space="preserve"> </v>
      </c>
      <c r="N348" s="15" t="str">
        <f>IF(E348="Avião",IF($G348&lt;=VLOOKUP($F348,Base_Dados!$K$1:$O$7,3,FALSE)," ","Limite "&amp;VLOOKUP($F348,Base_Dados!$K$1:$O$11,3,FALSE)&amp;" "&amp;VLOOKUP($F348,Base_Dados!$K$1:$O$11,2,FALSE))," ")</f>
        <v xml:space="preserve"> </v>
      </c>
      <c r="O348" s="15" t="str">
        <f>IF(E348="Caminhão",IF($G348&lt;=VLOOKUP($F348,Base_Dados!$K$1:$O$7,4,FALSE)," ","Limite "&amp;VLOOKUP($F348,Base_Dados!$K$1:$O$11,4,FALSE)&amp;" "&amp;VLOOKUP($F348,Base_Dados!$K$1:$O$11,2,FALSE))," ")</f>
        <v xml:space="preserve"> </v>
      </c>
      <c r="P348" s="15" t="str">
        <f>IF(E348="Navio",IF($G348&lt;=VLOOKUP($F348,Base_Dados!$K$1:$O$7,5,FALSE)," ","Limite "&amp;VLOOKUP($F348,Base_Dados!$K$1:$O$11,5,FALSE)&amp;" "&amp;VLOOKUP($F348,Base_Dados!$K$1:$O$11,2,FALSE))," ")</f>
        <v xml:space="preserve"> </v>
      </c>
      <c r="Q348" s="15" t="str">
        <f t="shared" si="3"/>
        <v>Fluxo Impossível</v>
      </c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24" customHeight="1" x14ac:dyDescent="0.3">
      <c r="A349" s="10"/>
      <c r="B349" s="10"/>
      <c r="C349" s="11"/>
      <c r="D349" s="11"/>
      <c r="E349" s="11"/>
      <c r="F349" s="11"/>
      <c r="G349" s="12"/>
      <c r="H349" s="11"/>
      <c r="I349" s="11"/>
      <c r="J349" s="24" t="e">
        <f>VLOOKUP(C349&amp;I349&amp;E349,Orig_Dest!$A$2:$E$1876,5,FALSE)</f>
        <v>#N/A</v>
      </c>
      <c r="K349" s="14" t="e">
        <f t="shared" si="2"/>
        <v>#VALUE!</v>
      </c>
      <c r="L349" s="15" t="str">
        <f>IF(B349="Fornecedor",IF(VLOOKUP(C349,Base_Dados!$E$1:$F$7,2,FALSE)=F349," ","Fornecedor inválido!")," ")</f>
        <v xml:space="preserve"> </v>
      </c>
      <c r="M349" s="16" t="str">
        <f>IF(AND(LEFT(F349,2)="MP",H349&lt;&gt;Base_Dados!$A$1),"Impossível!!!"," ")</f>
        <v xml:space="preserve"> </v>
      </c>
      <c r="N349" s="15" t="str">
        <f>IF(E349="Avião",IF($G349&lt;=VLOOKUP($F349,Base_Dados!$K$1:$O$7,3,FALSE)," ","Limite "&amp;VLOOKUP($F349,Base_Dados!$K$1:$O$11,3,FALSE)&amp;" "&amp;VLOOKUP($F349,Base_Dados!$K$1:$O$11,2,FALSE))," ")</f>
        <v xml:space="preserve"> </v>
      </c>
      <c r="O349" s="15" t="str">
        <f>IF(E349="Caminhão",IF($G349&lt;=VLOOKUP($F349,Base_Dados!$K$1:$O$7,4,FALSE)," ","Limite "&amp;VLOOKUP($F349,Base_Dados!$K$1:$O$11,4,FALSE)&amp;" "&amp;VLOOKUP($F349,Base_Dados!$K$1:$O$11,2,FALSE))," ")</f>
        <v xml:space="preserve"> </v>
      </c>
      <c r="P349" s="15" t="str">
        <f>IF(E349="Navio",IF($G349&lt;=VLOOKUP($F349,Base_Dados!$K$1:$O$7,5,FALSE)," ","Limite "&amp;VLOOKUP($F349,Base_Dados!$K$1:$O$11,5,FALSE)&amp;" "&amp;VLOOKUP($F349,Base_Dados!$K$1:$O$11,2,FALSE))," ")</f>
        <v xml:space="preserve"> </v>
      </c>
      <c r="Q349" s="15" t="str">
        <f t="shared" si="3"/>
        <v>Fluxo Impossível</v>
      </c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24" customHeight="1" x14ac:dyDescent="0.3">
      <c r="A350" s="10"/>
      <c r="B350" s="10"/>
      <c r="C350" s="11"/>
      <c r="D350" s="11"/>
      <c r="E350" s="11"/>
      <c r="F350" s="11"/>
      <c r="G350" s="12"/>
      <c r="H350" s="11"/>
      <c r="I350" s="11"/>
      <c r="J350" s="24" t="e">
        <f>VLOOKUP(C350&amp;I350&amp;E350,Orig_Dest!$A$2:$E$1876,5,FALSE)</f>
        <v>#N/A</v>
      </c>
      <c r="K350" s="14" t="e">
        <f t="shared" si="2"/>
        <v>#VALUE!</v>
      </c>
      <c r="L350" s="15" t="str">
        <f>IF(B350="Fornecedor",IF(VLOOKUP(C350,Base_Dados!$E$1:$F$7,2,FALSE)=F350," ","Fornecedor inválido!")," ")</f>
        <v xml:space="preserve"> </v>
      </c>
      <c r="M350" s="16" t="str">
        <f>IF(AND(LEFT(F350,2)="MP",H350&lt;&gt;Base_Dados!$A$1),"Impossível!!!"," ")</f>
        <v xml:space="preserve"> </v>
      </c>
      <c r="N350" s="15" t="str">
        <f>IF(E350="Avião",IF($G350&lt;=VLOOKUP($F350,Base_Dados!$K$1:$O$7,3,FALSE)," ","Limite "&amp;VLOOKUP($F350,Base_Dados!$K$1:$O$11,3,FALSE)&amp;" "&amp;VLOOKUP($F350,Base_Dados!$K$1:$O$11,2,FALSE))," ")</f>
        <v xml:space="preserve"> </v>
      </c>
      <c r="O350" s="15" t="str">
        <f>IF(E350="Caminhão",IF($G350&lt;=VLOOKUP($F350,Base_Dados!$K$1:$O$7,4,FALSE)," ","Limite "&amp;VLOOKUP($F350,Base_Dados!$K$1:$O$11,4,FALSE)&amp;" "&amp;VLOOKUP($F350,Base_Dados!$K$1:$O$11,2,FALSE))," ")</f>
        <v xml:space="preserve"> </v>
      </c>
      <c r="P350" s="15" t="str">
        <f>IF(E350="Navio",IF($G350&lt;=VLOOKUP($F350,Base_Dados!$K$1:$O$7,5,FALSE)," ","Limite "&amp;VLOOKUP($F350,Base_Dados!$K$1:$O$11,5,FALSE)&amp;" "&amp;VLOOKUP($F350,Base_Dados!$K$1:$O$11,2,FALSE))," ")</f>
        <v xml:space="preserve"> </v>
      </c>
      <c r="Q350" s="15" t="str">
        <f t="shared" si="3"/>
        <v>Fluxo Impossível</v>
      </c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24" customHeight="1" x14ac:dyDescent="0.3">
      <c r="A351" s="10"/>
      <c r="B351" s="10"/>
      <c r="C351" s="11"/>
      <c r="D351" s="11"/>
      <c r="E351" s="11"/>
      <c r="F351" s="11"/>
      <c r="G351" s="12"/>
      <c r="H351" s="11"/>
      <c r="I351" s="11"/>
      <c r="J351" s="24" t="e">
        <f>VLOOKUP(C351&amp;I351&amp;E351,Orig_Dest!$A$2:$E$1876,5,FALSE)</f>
        <v>#N/A</v>
      </c>
      <c r="K351" s="14" t="e">
        <f t="shared" si="2"/>
        <v>#VALUE!</v>
      </c>
      <c r="L351" s="15" t="str">
        <f>IF(B351="Fornecedor",IF(VLOOKUP(C351,Base_Dados!$E$1:$F$7,2,FALSE)=F351," ","Fornecedor inválido!")," ")</f>
        <v xml:space="preserve"> </v>
      </c>
      <c r="M351" s="16" t="str">
        <f>IF(AND(LEFT(F351,2)="MP",H351&lt;&gt;Base_Dados!$A$1),"Impossível!!!"," ")</f>
        <v xml:space="preserve"> </v>
      </c>
      <c r="N351" s="15" t="str">
        <f>IF(E351="Avião",IF($G351&lt;=VLOOKUP($F351,Base_Dados!$K$1:$O$7,3,FALSE)," ","Limite "&amp;VLOOKUP($F351,Base_Dados!$K$1:$O$11,3,FALSE)&amp;" "&amp;VLOOKUP($F351,Base_Dados!$K$1:$O$11,2,FALSE))," ")</f>
        <v xml:space="preserve"> </v>
      </c>
      <c r="O351" s="15" t="str">
        <f>IF(E351="Caminhão",IF($G351&lt;=VLOOKUP($F351,Base_Dados!$K$1:$O$7,4,FALSE)," ","Limite "&amp;VLOOKUP($F351,Base_Dados!$K$1:$O$11,4,FALSE)&amp;" "&amp;VLOOKUP($F351,Base_Dados!$K$1:$O$11,2,FALSE))," ")</f>
        <v xml:space="preserve"> </v>
      </c>
      <c r="P351" s="15" t="str">
        <f>IF(E351="Navio",IF($G351&lt;=VLOOKUP($F351,Base_Dados!$K$1:$O$7,5,FALSE)," ","Limite "&amp;VLOOKUP($F351,Base_Dados!$K$1:$O$11,5,FALSE)&amp;" "&amp;VLOOKUP($F351,Base_Dados!$K$1:$O$11,2,FALSE))," ")</f>
        <v xml:space="preserve"> </v>
      </c>
      <c r="Q351" s="15" t="str">
        <f t="shared" si="3"/>
        <v>Fluxo Impossível</v>
      </c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24" customHeight="1" x14ac:dyDescent="0.3">
      <c r="A352" s="10"/>
      <c r="B352" s="10"/>
      <c r="C352" s="11"/>
      <c r="D352" s="11"/>
      <c r="E352" s="11"/>
      <c r="F352" s="11"/>
      <c r="G352" s="12"/>
      <c r="H352" s="11"/>
      <c r="I352" s="11"/>
      <c r="J352" s="24" t="e">
        <f>VLOOKUP(C352&amp;I352&amp;E352,Orig_Dest!$A$2:$E$1876,5,FALSE)</f>
        <v>#N/A</v>
      </c>
      <c r="K352" s="14" t="e">
        <f t="shared" si="2"/>
        <v>#VALUE!</v>
      </c>
      <c r="L352" s="15" t="str">
        <f>IF(B352="Fornecedor",IF(VLOOKUP(C352,Base_Dados!$E$1:$F$7,2,FALSE)=F352," ","Fornecedor inválido!")," ")</f>
        <v xml:space="preserve"> </v>
      </c>
      <c r="M352" s="16" t="str">
        <f>IF(AND(LEFT(F352,2)="MP",H352&lt;&gt;Base_Dados!$A$1),"Impossível!!!"," ")</f>
        <v xml:space="preserve"> </v>
      </c>
      <c r="N352" s="15" t="str">
        <f>IF(E352="Avião",IF($G352&lt;=VLOOKUP($F352,Base_Dados!$K$1:$O$7,3,FALSE)," ","Limite "&amp;VLOOKUP($F352,Base_Dados!$K$1:$O$11,3,FALSE)&amp;" "&amp;VLOOKUP($F352,Base_Dados!$K$1:$O$11,2,FALSE))," ")</f>
        <v xml:space="preserve"> </v>
      </c>
      <c r="O352" s="15" t="str">
        <f>IF(E352="Caminhão",IF($G352&lt;=VLOOKUP($F352,Base_Dados!$K$1:$O$7,4,FALSE)," ","Limite "&amp;VLOOKUP($F352,Base_Dados!$K$1:$O$11,4,FALSE)&amp;" "&amp;VLOOKUP($F352,Base_Dados!$K$1:$O$11,2,FALSE))," ")</f>
        <v xml:space="preserve"> </v>
      </c>
      <c r="P352" s="15" t="str">
        <f>IF(E352="Navio",IF($G352&lt;=VLOOKUP($F352,Base_Dados!$K$1:$O$7,5,FALSE)," ","Limite "&amp;VLOOKUP($F352,Base_Dados!$K$1:$O$11,5,FALSE)&amp;" "&amp;VLOOKUP($F352,Base_Dados!$K$1:$O$11,2,FALSE))," ")</f>
        <v xml:space="preserve"> </v>
      </c>
      <c r="Q352" s="15" t="str">
        <f t="shared" si="3"/>
        <v>Fluxo Impossível</v>
      </c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24" customHeight="1" x14ac:dyDescent="0.3">
      <c r="A353" s="10"/>
      <c r="B353" s="10"/>
      <c r="C353" s="11"/>
      <c r="D353" s="11"/>
      <c r="E353" s="11"/>
      <c r="F353" s="11"/>
      <c r="G353" s="12"/>
      <c r="H353" s="11"/>
      <c r="I353" s="11"/>
      <c r="J353" s="24" t="e">
        <f>VLOOKUP(C353&amp;I353&amp;E353,Orig_Dest!$A$2:$E$1876,5,FALSE)</f>
        <v>#N/A</v>
      </c>
      <c r="K353" s="14" t="e">
        <f t="shared" si="2"/>
        <v>#VALUE!</v>
      </c>
      <c r="L353" s="15" t="str">
        <f>IF(B353="Fornecedor",IF(VLOOKUP(C353,Base_Dados!$E$1:$F$7,2,FALSE)=F353," ","Fornecedor inválido!")," ")</f>
        <v xml:space="preserve"> </v>
      </c>
      <c r="M353" s="16" t="str">
        <f>IF(AND(LEFT(F353,2)="MP",H353&lt;&gt;Base_Dados!$A$1),"Impossível!!!"," ")</f>
        <v xml:space="preserve"> </v>
      </c>
      <c r="N353" s="15" t="str">
        <f>IF(E353="Avião",IF($G353&lt;=VLOOKUP($F353,Base_Dados!$K$1:$O$7,3,FALSE)," ","Limite "&amp;VLOOKUP($F353,Base_Dados!$K$1:$O$11,3,FALSE)&amp;" "&amp;VLOOKUP($F353,Base_Dados!$K$1:$O$11,2,FALSE))," ")</f>
        <v xml:space="preserve"> </v>
      </c>
      <c r="O353" s="15" t="str">
        <f>IF(E353="Caminhão",IF($G353&lt;=VLOOKUP($F353,Base_Dados!$K$1:$O$7,4,FALSE)," ","Limite "&amp;VLOOKUP($F353,Base_Dados!$K$1:$O$11,4,FALSE)&amp;" "&amp;VLOOKUP($F353,Base_Dados!$K$1:$O$11,2,FALSE))," ")</f>
        <v xml:space="preserve"> </v>
      </c>
      <c r="P353" s="15" t="str">
        <f>IF(E353="Navio",IF($G353&lt;=VLOOKUP($F353,Base_Dados!$K$1:$O$7,5,FALSE)," ","Limite "&amp;VLOOKUP($F353,Base_Dados!$K$1:$O$11,5,FALSE)&amp;" "&amp;VLOOKUP($F353,Base_Dados!$K$1:$O$11,2,FALSE))," ")</f>
        <v xml:space="preserve"> </v>
      </c>
      <c r="Q353" s="15" t="str">
        <f t="shared" si="3"/>
        <v>Fluxo Impossível</v>
      </c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24" customHeight="1" x14ac:dyDescent="0.3">
      <c r="A354" s="10"/>
      <c r="B354" s="10"/>
      <c r="C354" s="11"/>
      <c r="D354" s="11"/>
      <c r="E354" s="11"/>
      <c r="F354" s="11"/>
      <c r="G354" s="12"/>
      <c r="H354" s="11"/>
      <c r="I354" s="11"/>
      <c r="J354" s="24" t="e">
        <f>VLOOKUP(C354&amp;I354&amp;E354,Orig_Dest!$A$2:$E$1876,5,FALSE)</f>
        <v>#N/A</v>
      </c>
      <c r="K354" s="14" t="e">
        <f t="shared" si="2"/>
        <v>#VALUE!</v>
      </c>
      <c r="L354" s="15" t="str">
        <f>IF(B354="Fornecedor",IF(VLOOKUP(C354,Base_Dados!$E$1:$F$7,2,FALSE)=F354," ","Fornecedor inválido!")," ")</f>
        <v xml:space="preserve"> </v>
      </c>
      <c r="M354" s="16" t="str">
        <f>IF(AND(LEFT(F354,2)="MP",H354&lt;&gt;Base_Dados!$A$1),"Impossível!!!"," ")</f>
        <v xml:space="preserve"> </v>
      </c>
      <c r="N354" s="15" t="str">
        <f>IF(E354="Avião",IF($G354&lt;=VLOOKUP($F354,Base_Dados!$K$1:$O$7,3,FALSE)," ","Limite "&amp;VLOOKUP($F354,Base_Dados!$K$1:$O$11,3,FALSE)&amp;" "&amp;VLOOKUP($F354,Base_Dados!$K$1:$O$11,2,FALSE))," ")</f>
        <v xml:space="preserve"> </v>
      </c>
      <c r="O354" s="15" t="str">
        <f>IF(E354="Caminhão",IF($G354&lt;=VLOOKUP($F354,Base_Dados!$K$1:$O$7,4,FALSE)," ","Limite "&amp;VLOOKUP($F354,Base_Dados!$K$1:$O$11,4,FALSE)&amp;" "&amp;VLOOKUP($F354,Base_Dados!$K$1:$O$11,2,FALSE))," ")</f>
        <v xml:space="preserve"> </v>
      </c>
      <c r="P354" s="15" t="str">
        <f>IF(E354="Navio",IF($G354&lt;=VLOOKUP($F354,Base_Dados!$K$1:$O$7,5,FALSE)," ","Limite "&amp;VLOOKUP($F354,Base_Dados!$K$1:$O$11,5,FALSE)&amp;" "&amp;VLOOKUP($F354,Base_Dados!$K$1:$O$11,2,FALSE))," ")</f>
        <v xml:space="preserve"> </v>
      </c>
      <c r="Q354" s="15" t="str">
        <f t="shared" si="3"/>
        <v>Fluxo Impossível</v>
      </c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24" customHeight="1" x14ac:dyDescent="0.3">
      <c r="A355" s="10"/>
      <c r="B355" s="10"/>
      <c r="C355" s="11"/>
      <c r="D355" s="11"/>
      <c r="E355" s="11"/>
      <c r="F355" s="11"/>
      <c r="G355" s="12"/>
      <c r="H355" s="11"/>
      <c r="I355" s="11"/>
      <c r="J355" s="24" t="e">
        <f>VLOOKUP(C355&amp;I355&amp;E355,Orig_Dest!$A$2:$E$1876,5,FALSE)</f>
        <v>#N/A</v>
      </c>
      <c r="K355" s="14" t="e">
        <f t="shared" si="2"/>
        <v>#VALUE!</v>
      </c>
      <c r="L355" s="15" t="str">
        <f>IF(B355="Fornecedor",IF(VLOOKUP(C355,Base_Dados!$E$1:$F$7,2,FALSE)=F355," ","Fornecedor inválido!")," ")</f>
        <v xml:space="preserve"> </v>
      </c>
      <c r="M355" s="16" t="str">
        <f>IF(AND(LEFT(F355,2)="MP",H355&lt;&gt;Base_Dados!$A$1),"Impossível!!!"," ")</f>
        <v xml:space="preserve"> </v>
      </c>
      <c r="N355" s="15" t="str">
        <f>IF(E355="Avião",IF($G355&lt;=VLOOKUP($F355,Base_Dados!$K$1:$O$7,3,FALSE)," ","Limite "&amp;VLOOKUP($F355,Base_Dados!$K$1:$O$11,3,FALSE)&amp;" "&amp;VLOOKUP($F355,Base_Dados!$K$1:$O$11,2,FALSE))," ")</f>
        <v xml:space="preserve"> </v>
      </c>
      <c r="O355" s="15" t="str">
        <f>IF(E355="Caminhão",IF($G355&lt;=VLOOKUP($F355,Base_Dados!$K$1:$O$7,4,FALSE)," ","Limite "&amp;VLOOKUP($F355,Base_Dados!$K$1:$O$11,4,FALSE)&amp;" "&amp;VLOOKUP($F355,Base_Dados!$K$1:$O$11,2,FALSE))," ")</f>
        <v xml:space="preserve"> </v>
      </c>
      <c r="P355" s="15" t="str">
        <f>IF(E355="Navio",IF($G355&lt;=VLOOKUP($F355,Base_Dados!$K$1:$O$7,5,FALSE)," ","Limite "&amp;VLOOKUP($F355,Base_Dados!$K$1:$O$11,5,FALSE)&amp;" "&amp;VLOOKUP($F355,Base_Dados!$K$1:$O$11,2,FALSE))," ")</f>
        <v xml:space="preserve"> </v>
      </c>
      <c r="Q355" s="15" t="str">
        <f t="shared" si="3"/>
        <v>Fluxo Impossível</v>
      </c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24" customHeight="1" x14ac:dyDescent="0.3">
      <c r="A356" s="10"/>
      <c r="B356" s="10"/>
      <c r="C356" s="11"/>
      <c r="D356" s="11"/>
      <c r="E356" s="11"/>
      <c r="F356" s="11"/>
      <c r="G356" s="12"/>
      <c r="H356" s="11"/>
      <c r="I356" s="11"/>
      <c r="J356" s="24" t="e">
        <f>VLOOKUP(C356&amp;I356&amp;E356,Orig_Dest!$A$2:$E$1876,5,FALSE)</f>
        <v>#N/A</v>
      </c>
      <c r="K356" s="14" t="e">
        <f t="shared" si="2"/>
        <v>#VALUE!</v>
      </c>
      <c r="L356" s="15" t="str">
        <f>IF(B356="Fornecedor",IF(VLOOKUP(C356,Base_Dados!$E$1:$F$7,2,FALSE)=F356," ","Fornecedor inválido!")," ")</f>
        <v xml:space="preserve"> </v>
      </c>
      <c r="M356" s="16" t="str">
        <f>IF(AND(LEFT(F356,2)="MP",H356&lt;&gt;Base_Dados!$A$1),"Impossível!!!"," ")</f>
        <v xml:space="preserve"> </v>
      </c>
      <c r="N356" s="15" t="str">
        <f>IF(E356="Avião",IF($G356&lt;=VLOOKUP($F356,Base_Dados!$K$1:$O$7,3,FALSE)," ","Limite "&amp;VLOOKUP($F356,Base_Dados!$K$1:$O$11,3,FALSE)&amp;" "&amp;VLOOKUP($F356,Base_Dados!$K$1:$O$11,2,FALSE))," ")</f>
        <v xml:space="preserve"> </v>
      </c>
      <c r="O356" s="15" t="str">
        <f>IF(E356="Caminhão",IF($G356&lt;=VLOOKUP($F356,Base_Dados!$K$1:$O$7,4,FALSE)," ","Limite "&amp;VLOOKUP($F356,Base_Dados!$K$1:$O$11,4,FALSE)&amp;" "&amp;VLOOKUP($F356,Base_Dados!$K$1:$O$11,2,FALSE))," ")</f>
        <v xml:space="preserve"> </v>
      </c>
      <c r="P356" s="15" t="str">
        <f>IF(E356="Navio",IF($G356&lt;=VLOOKUP($F356,Base_Dados!$K$1:$O$7,5,FALSE)," ","Limite "&amp;VLOOKUP($F356,Base_Dados!$K$1:$O$11,5,FALSE)&amp;" "&amp;VLOOKUP($F356,Base_Dados!$K$1:$O$11,2,FALSE))," ")</f>
        <v xml:space="preserve"> </v>
      </c>
      <c r="Q356" s="15" t="str">
        <f t="shared" si="3"/>
        <v>Fluxo Impossível</v>
      </c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24" customHeight="1" x14ac:dyDescent="0.3">
      <c r="A357" s="10"/>
      <c r="B357" s="10"/>
      <c r="C357" s="11"/>
      <c r="D357" s="11"/>
      <c r="E357" s="11"/>
      <c r="F357" s="11"/>
      <c r="G357" s="12"/>
      <c r="H357" s="11"/>
      <c r="I357" s="11"/>
      <c r="J357" s="24" t="e">
        <f>VLOOKUP(C357&amp;I357&amp;E357,Orig_Dest!$A$2:$E$1876,5,FALSE)</f>
        <v>#N/A</v>
      </c>
      <c r="K357" s="14" t="e">
        <f t="shared" si="2"/>
        <v>#VALUE!</v>
      </c>
      <c r="L357" s="15" t="str">
        <f>IF(B357="Fornecedor",IF(VLOOKUP(C357,Base_Dados!$E$1:$F$7,2,FALSE)=F357," ","Fornecedor inválido!")," ")</f>
        <v xml:space="preserve"> </v>
      </c>
      <c r="M357" s="16" t="str">
        <f>IF(AND(LEFT(F357,2)="MP",H357&lt;&gt;Base_Dados!$A$1),"Impossível!!!"," ")</f>
        <v xml:space="preserve"> </v>
      </c>
      <c r="N357" s="15" t="str">
        <f>IF(E357="Avião",IF($G357&lt;=VLOOKUP($F357,Base_Dados!$K$1:$O$7,3,FALSE)," ","Limite "&amp;VLOOKUP($F357,Base_Dados!$K$1:$O$11,3,FALSE)&amp;" "&amp;VLOOKUP($F357,Base_Dados!$K$1:$O$11,2,FALSE))," ")</f>
        <v xml:space="preserve"> </v>
      </c>
      <c r="O357" s="15" t="str">
        <f>IF(E357="Caminhão",IF($G357&lt;=VLOOKUP($F357,Base_Dados!$K$1:$O$7,4,FALSE)," ","Limite "&amp;VLOOKUP($F357,Base_Dados!$K$1:$O$11,4,FALSE)&amp;" "&amp;VLOOKUP($F357,Base_Dados!$K$1:$O$11,2,FALSE))," ")</f>
        <v xml:space="preserve"> </v>
      </c>
      <c r="P357" s="15" t="str">
        <f>IF(E357="Navio",IF($G357&lt;=VLOOKUP($F357,Base_Dados!$K$1:$O$7,5,FALSE)," ","Limite "&amp;VLOOKUP($F357,Base_Dados!$K$1:$O$11,5,FALSE)&amp;" "&amp;VLOOKUP($F357,Base_Dados!$K$1:$O$11,2,FALSE))," ")</f>
        <v xml:space="preserve"> </v>
      </c>
      <c r="Q357" s="15" t="str">
        <f t="shared" si="3"/>
        <v>Fluxo Impossível</v>
      </c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24" customHeight="1" x14ac:dyDescent="0.3">
      <c r="A358" s="10"/>
      <c r="B358" s="10"/>
      <c r="C358" s="11"/>
      <c r="D358" s="11"/>
      <c r="E358" s="11"/>
      <c r="F358" s="11"/>
      <c r="G358" s="12"/>
      <c r="H358" s="11"/>
      <c r="I358" s="11"/>
      <c r="J358" s="24" t="e">
        <f>VLOOKUP(C358&amp;I358&amp;E358,Orig_Dest!$A$2:$E$1876,5,FALSE)</f>
        <v>#N/A</v>
      </c>
      <c r="K358" s="14" t="e">
        <f t="shared" si="2"/>
        <v>#VALUE!</v>
      </c>
      <c r="L358" s="15" t="str">
        <f>IF(B358="Fornecedor",IF(VLOOKUP(C358,Base_Dados!$E$1:$F$7,2,FALSE)=F358," ","Fornecedor inválido!")," ")</f>
        <v xml:space="preserve"> </v>
      </c>
      <c r="M358" s="16" t="str">
        <f>IF(AND(LEFT(F358,2)="MP",H358&lt;&gt;Base_Dados!$A$1),"Impossível!!!"," ")</f>
        <v xml:space="preserve"> </v>
      </c>
      <c r="N358" s="15" t="str">
        <f>IF(E358="Avião",IF($G358&lt;=VLOOKUP($F358,Base_Dados!$K$1:$O$7,3,FALSE)," ","Limite "&amp;VLOOKUP($F358,Base_Dados!$K$1:$O$11,3,FALSE)&amp;" "&amp;VLOOKUP($F358,Base_Dados!$K$1:$O$11,2,FALSE))," ")</f>
        <v xml:space="preserve"> </v>
      </c>
      <c r="O358" s="15" t="str">
        <f>IF(E358="Caminhão",IF($G358&lt;=VLOOKUP($F358,Base_Dados!$K$1:$O$7,4,FALSE)," ","Limite "&amp;VLOOKUP($F358,Base_Dados!$K$1:$O$11,4,FALSE)&amp;" "&amp;VLOOKUP($F358,Base_Dados!$K$1:$O$11,2,FALSE))," ")</f>
        <v xml:space="preserve"> </v>
      </c>
      <c r="P358" s="15" t="str">
        <f>IF(E358="Navio",IF($G358&lt;=VLOOKUP($F358,Base_Dados!$K$1:$O$7,5,FALSE)," ","Limite "&amp;VLOOKUP($F358,Base_Dados!$K$1:$O$11,5,FALSE)&amp;" "&amp;VLOOKUP($F358,Base_Dados!$K$1:$O$11,2,FALSE))," ")</f>
        <v xml:space="preserve"> </v>
      </c>
      <c r="Q358" s="15" t="str">
        <f t="shared" si="3"/>
        <v>Fluxo Impossível</v>
      </c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24" customHeight="1" x14ac:dyDescent="0.3">
      <c r="A359" s="10"/>
      <c r="B359" s="10"/>
      <c r="C359" s="11"/>
      <c r="D359" s="11"/>
      <c r="E359" s="11"/>
      <c r="F359" s="11"/>
      <c r="G359" s="12"/>
      <c r="H359" s="11"/>
      <c r="I359" s="11"/>
      <c r="J359" s="24" t="e">
        <f>VLOOKUP(C359&amp;I359&amp;E359,Orig_Dest!$A$2:$E$1876,5,FALSE)</f>
        <v>#N/A</v>
      </c>
      <c r="K359" s="14" t="e">
        <f t="shared" si="2"/>
        <v>#VALUE!</v>
      </c>
      <c r="L359" s="15" t="str">
        <f>IF(B359="Fornecedor",IF(VLOOKUP(C359,Base_Dados!$E$1:$F$7,2,FALSE)=F359," ","Fornecedor inválido!")," ")</f>
        <v xml:space="preserve"> </v>
      </c>
      <c r="M359" s="16" t="str">
        <f>IF(AND(LEFT(F359,2)="MP",H359&lt;&gt;Base_Dados!$A$1),"Impossível!!!"," ")</f>
        <v xml:space="preserve"> </v>
      </c>
      <c r="N359" s="15" t="str">
        <f>IF(E359="Avião",IF($G359&lt;=VLOOKUP($F359,Base_Dados!$K$1:$O$7,3,FALSE)," ","Limite "&amp;VLOOKUP($F359,Base_Dados!$K$1:$O$11,3,FALSE)&amp;" "&amp;VLOOKUP($F359,Base_Dados!$K$1:$O$11,2,FALSE))," ")</f>
        <v xml:space="preserve"> </v>
      </c>
      <c r="O359" s="15" t="str">
        <f>IF(E359="Caminhão",IF($G359&lt;=VLOOKUP($F359,Base_Dados!$K$1:$O$7,4,FALSE)," ","Limite "&amp;VLOOKUP($F359,Base_Dados!$K$1:$O$11,4,FALSE)&amp;" "&amp;VLOOKUP($F359,Base_Dados!$K$1:$O$11,2,FALSE))," ")</f>
        <v xml:space="preserve"> </v>
      </c>
      <c r="P359" s="15" t="str">
        <f>IF(E359="Navio",IF($G359&lt;=VLOOKUP($F359,Base_Dados!$K$1:$O$7,5,FALSE)," ","Limite "&amp;VLOOKUP($F359,Base_Dados!$K$1:$O$11,5,FALSE)&amp;" "&amp;VLOOKUP($F359,Base_Dados!$K$1:$O$11,2,FALSE))," ")</f>
        <v xml:space="preserve"> </v>
      </c>
      <c r="Q359" s="15" t="str">
        <f t="shared" si="3"/>
        <v>Fluxo Impossível</v>
      </c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24" customHeight="1" x14ac:dyDescent="0.3">
      <c r="A360" s="10"/>
      <c r="B360" s="10"/>
      <c r="C360" s="11"/>
      <c r="D360" s="11"/>
      <c r="E360" s="11"/>
      <c r="F360" s="11"/>
      <c r="G360" s="12"/>
      <c r="H360" s="11"/>
      <c r="I360" s="11"/>
      <c r="J360" s="24" t="e">
        <f>VLOOKUP(C360&amp;I360&amp;E360,Orig_Dest!$A$2:$E$1876,5,FALSE)</f>
        <v>#N/A</v>
      </c>
      <c r="K360" s="14" t="e">
        <f t="shared" si="2"/>
        <v>#VALUE!</v>
      </c>
      <c r="L360" s="15" t="str">
        <f>IF(B360="Fornecedor",IF(VLOOKUP(C360,Base_Dados!$E$1:$F$7,2,FALSE)=F360," ","Fornecedor inválido!")," ")</f>
        <v xml:space="preserve"> </v>
      </c>
      <c r="M360" s="16" t="str">
        <f>IF(AND(LEFT(F360,2)="MP",H360&lt;&gt;Base_Dados!$A$1),"Impossível!!!"," ")</f>
        <v xml:space="preserve"> </v>
      </c>
      <c r="N360" s="15" t="str">
        <f>IF(E360="Avião",IF($G360&lt;=VLOOKUP($F360,Base_Dados!$K$1:$O$7,3,FALSE)," ","Limite "&amp;VLOOKUP($F360,Base_Dados!$K$1:$O$11,3,FALSE)&amp;" "&amp;VLOOKUP($F360,Base_Dados!$K$1:$O$11,2,FALSE))," ")</f>
        <v xml:space="preserve"> </v>
      </c>
      <c r="O360" s="15" t="str">
        <f>IF(E360="Caminhão",IF($G360&lt;=VLOOKUP($F360,Base_Dados!$K$1:$O$7,4,FALSE)," ","Limite "&amp;VLOOKUP($F360,Base_Dados!$K$1:$O$11,4,FALSE)&amp;" "&amp;VLOOKUP($F360,Base_Dados!$K$1:$O$11,2,FALSE))," ")</f>
        <v xml:space="preserve"> </v>
      </c>
      <c r="P360" s="15" t="str">
        <f>IF(E360="Navio",IF($G360&lt;=VLOOKUP($F360,Base_Dados!$K$1:$O$7,5,FALSE)," ","Limite "&amp;VLOOKUP($F360,Base_Dados!$K$1:$O$11,5,FALSE)&amp;" "&amp;VLOOKUP($F360,Base_Dados!$K$1:$O$11,2,FALSE))," ")</f>
        <v xml:space="preserve"> </v>
      </c>
      <c r="Q360" s="15" t="str">
        <f t="shared" si="3"/>
        <v>Fluxo Impossível</v>
      </c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24" customHeight="1" x14ac:dyDescent="0.3">
      <c r="A361" s="10"/>
      <c r="B361" s="10"/>
      <c r="C361" s="11"/>
      <c r="D361" s="11"/>
      <c r="E361" s="11"/>
      <c r="F361" s="11"/>
      <c r="G361" s="12"/>
      <c r="H361" s="11"/>
      <c r="I361" s="11"/>
      <c r="J361" s="24" t="e">
        <f>VLOOKUP(C361&amp;I361&amp;E361,Orig_Dest!$A$2:$E$1876,5,FALSE)</f>
        <v>#N/A</v>
      </c>
      <c r="K361" s="14" t="e">
        <f t="shared" si="2"/>
        <v>#VALUE!</v>
      </c>
      <c r="L361" s="15" t="str">
        <f>IF(B361="Fornecedor",IF(VLOOKUP(C361,Base_Dados!$E$1:$F$7,2,FALSE)=F361," ","Fornecedor inválido!")," ")</f>
        <v xml:space="preserve"> </v>
      </c>
      <c r="M361" s="16" t="str">
        <f>IF(AND(LEFT(F361,2)="MP",H361&lt;&gt;Base_Dados!$A$1),"Impossível!!!"," ")</f>
        <v xml:space="preserve"> </v>
      </c>
      <c r="N361" s="15" t="str">
        <f>IF(E361="Avião",IF($G361&lt;=VLOOKUP($F361,Base_Dados!$K$1:$O$7,3,FALSE)," ","Limite "&amp;VLOOKUP($F361,Base_Dados!$K$1:$O$11,3,FALSE)&amp;" "&amp;VLOOKUP($F361,Base_Dados!$K$1:$O$11,2,FALSE))," ")</f>
        <v xml:space="preserve"> </v>
      </c>
      <c r="O361" s="15" t="str">
        <f>IF(E361="Caminhão",IF($G361&lt;=VLOOKUP($F361,Base_Dados!$K$1:$O$7,4,FALSE)," ","Limite "&amp;VLOOKUP($F361,Base_Dados!$K$1:$O$11,4,FALSE)&amp;" "&amp;VLOOKUP($F361,Base_Dados!$K$1:$O$11,2,FALSE))," ")</f>
        <v xml:space="preserve"> </v>
      </c>
      <c r="P361" s="15" t="str">
        <f>IF(E361="Navio",IF($G361&lt;=VLOOKUP($F361,Base_Dados!$K$1:$O$7,5,FALSE)," ","Limite "&amp;VLOOKUP($F361,Base_Dados!$K$1:$O$11,5,FALSE)&amp;" "&amp;VLOOKUP($F361,Base_Dados!$K$1:$O$11,2,FALSE))," ")</f>
        <v xml:space="preserve"> </v>
      </c>
      <c r="Q361" s="15" t="str">
        <f t="shared" si="3"/>
        <v>Fluxo Impossível</v>
      </c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24" customHeight="1" x14ac:dyDescent="0.3">
      <c r="A362" s="10"/>
      <c r="B362" s="10"/>
      <c r="C362" s="11"/>
      <c r="D362" s="11"/>
      <c r="E362" s="11"/>
      <c r="F362" s="11"/>
      <c r="G362" s="12"/>
      <c r="H362" s="11"/>
      <c r="I362" s="11"/>
      <c r="J362" s="24" t="e">
        <f>VLOOKUP(C362&amp;I362&amp;E362,Orig_Dest!$A$2:$E$1876,5,FALSE)</f>
        <v>#N/A</v>
      </c>
      <c r="K362" s="14" t="e">
        <f t="shared" si="2"/>
        <v>#VALUE!</v>
      </c>
      <c r="L362" s="15" t="str">
        <f>IF(B362="Fornecedor",IF(VLOOKUP(C362,Base_Dados!$E$1:$F$7,2,FALSE)=F362," ","Fornecedor inválido!")," ")</f>
        <v xml:space="preserve"> </v>
      </c>
      <c r="M362" s="16" t="str">
        <f>IF(AND(LEFT(F362,2)="MP",H362&lt;&gt;Base_Dados!$A$1),"Impossível!!!"," ")</f>
        <v xml:space="preserve"> </v>
      </c>
      <c r="N362" s="15" t="str">
        <f>IF(E362="Avião",IF($G362&lt;=VLOOKUP($F362,Base_Dados!$K$1:$O$7,3,FALSE)," ","Limite "&amp;VLOOKUP($F362,Base_Dados!$K$1:$O$11,3,FALSE)&amp;" "&amp;VLOOKUP($F362,Base_Dados!$K$1:$O$11,2,FALSE))," ")</f>
        <v xml:space="preserve"> </v>
      </c>
      <c r="O362" s="15" t="str">
        <f>IF(E362="Caminhão",IF($G362&lt;=VLOOKUP($F362,Base_Dados!$K$1:$O$7,4,FALSE)," ","Limite "&amp;VLOOKUP($F362,Base_Dados!$K$1:$O$11,4,FALSE)&amp;" "&amp;VLOOKUP($F362,Base_Dados!$K$1:$O$11,2,FALSE))," ")</f>
        <v xml:space="preserve"> </v>
      </c>
      <c r="P362" s="15" t="str">
        <f>IF(E362="Navio",IF($G362&lt;=VLOOKUP($F362,Base_Dados!$K$1:$O$7,5,FALSE)," ","Limite "&amp;VLOOKUP($F362,Base_Dados!$K$1:$O$11,5,FALSE)&amp;" "&amp;VLOOKUP($F362,Base_Dados!$K$1:$O$11,2,FALSE))," ")</f>
        <v xml:space="preserve"> </v>
      </c>
      <c r="Q362" s="15" t="str">
        <f t="shared" si="3"/>
        <v>Fluxo Impossível</v>
      </c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24" customHeight="1" x14ac:dyDescent="0.3">
      <c r="A363" s="10"/>
      <c r="B363" s="10"/>
      <c r="C363" s="11"/>
      <c r="D363" s="11"/>
      <c r="E363" s="11"/>
      <c r="F363" s="11"/>
      <c r="G363" s="12"/>
      <c r="H363" s="11"/>
      <c r="I363" s="11"/>
      <c r="J363" s="24" t="e">
        <f>VLOOKUP(C363&amp;I363&amp;E363,Orig_Dest!$A$2:$E$1876,5,FALSE)</f>
        <v>#N/A</v>
      </c>
      <c r="K363" s="14" t="e">
        <f t="shared" si="2"/>
        <v>#VALUE!</v>
      </c>
      <c r="L363" s="15" t="str">
        <f>IF(B363="Fornecedor",IF(VLOOKUP(C363,Base_Dados!$E$1:$F$7,2,FALSE)=F363," ","Fornecedor inválido!")," ")</f>
        <v xml:space="preserve"> </v>
      </c>
      <c r="M363" s="16" t="str">
        <f>IF(AND(LEFT(F363,2)="MP",H363&lt;&gt;Base_Dados!$A$1),"Impossível!!!"," ")</f>
        <v xml:space="preserve"> </v>
      </c>
      <c r="N363" s="15" t="str">
        <f>IF(E363="Avião",IF($G363&lt;=VLOOKUP($F363,Base_Dados!$K$1:$O$7,3,FALSE)," ","Limite "&amp;VLOOKUP($F363,Base_Dados!$K$1:$O$11,3,FALSE)&amp;" "&amp;VLOOKUP($F363,Base_Dados!$K$1:$O$11,2,FALSE))," ")</f>
        <v xml:space="preserve"> </v>
      </c>
      <c r="O363" s="15" t="str">
        <f>IF(E363="Caminhão",IF($G363&lt;=VLOOKUP($F363,Base_Dados!$K$1:$O$7,4,FALSE)," ","Limite "&amp;VLOOKUP($F363,Base_Dados!$K$1:$O$11,4,FALSE)&amp;" "&amp;VLOOKUP($F363,Base_Dados!$K$1:$O$11,2,FALSE))," ")</f>
        <v xml:space="preserve"> </v>
      </c>
      <c r="P363" s="15" t="str">
        <f>IF(E363="Navio",IF($G363&lt;=VLOOKUP($F363,Base_Dados!$K$1:$O$7,5,FALSE)," ","Limite "&amp;VLOOKUP($F363,Base_Dados!$K$1:$O$11,5,FALSE)&amp;" "&amp;VLOOKUP($F363,Base_Dados!$K$1:$O$11,2,FALSE))," ")</f>
        <v xml:space="preserve"> </v>
      </c>
      <c r="Q363" s="15" t="str">
        <f t="shared" si="3"/>
        <v>Fluxo Impossível</v>
      </c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24" customHeight="1" x14ac:dyDescent="0.3">
      <c r="A364" s="10"/>
      <c r="B364" s="10"/>
      <c r="C364" s="11"/>
      <c r="D364" s="11"/>
      <c r="E364" s="11"/>
      <c r="F364" s="11"/>
      <c r="G364" s="12"/>
      <c r="H364" s="11"/>
      <c r="I364" s="11"/>
      <c r="J364" s="24" t="e">
        <f>VLOOKUP(C364&amp;I364&amp;E364,Orig_Dest!$A$2:$E$1876,5,FALSE)</f>
        <v>#N/A</v>
      </c>
      <c r="K364" s="14" t="e">
        <f t="shared" si="2"/>
        <v>#VALUE!</v>
      </c>
      <c r="L364" s="15" t="str">
        <f>IF(B364="Fornecedor",IF(VLOOKUP(C364,Base_Dados!$E$1:$F$7,2,FALSE)=F364," ","Fornecedor inválido!")," ")</f>
        <v xml:space="preserve"> </v>
      </c>
      <c r="M364" s="16" t="str">
        <f>IF(AND(LEFT(F364,2)="MP",H364&lt;&gt;Base_Dados!$A$1),"Impossível!!!"," ")</f>
        <v xml:space="preserve"> </v>
      </c>
      <c r="N364" s="15" t="str">
        <f>IF(E364="Avião",IF($G364&lt;=VLOOKUP($F364,Base_Dados!$K$1:$O$7,3,FALSE)," ","Limite "&amp;VLOOKUP($F364,Base_Dados!$K$1:$O$11,3,FALSE)&amp;" "&amp;VLOOKUP($F364,Base_Dados!$K$1:$O$11,2,FALSE))," ")</f>
        <v xml:space="preserve"> </v>
      </c>
      <c r="O364" s="15" t="str">
        <f>IF(E364="Caminhão",IF($G364&lt;=VLOOKUP($F364,Base_Dados!$K$1:$O$7,4,FALSE)," ","Limite "&amp;VLOOKUP($F364,Base_Dados!$K$1:$O$11,4,FALSE)&amp;" "&amp;VLOOKUP($F364,Base_Dados!$K$1:$O$11,2,FALSE))," ")</f>
        <v xml:space="preserve"> </v>
      </c>
      <c r="P364" s="15" t="str">
        <f>IF(E364="Navio",IF($G364&lt;=VLOOKUP($F364,Base_Dados!$K$1:$O$7,5,FALSE)," ","Limite "&amp;VLOOKUP($F364,Base_Dados!$K$1:$O$11,5,FALSE)&amp;" "&amp;VLOOKUP($F364,Base_Dados!$K$1:$O$11,2,FALSE))," ")</f>
        <v xml:space="preserve"> </v>
      </c>
      <c r="Q364" s="15" t="str">
        <f t="shared" si="3"/>
        <v>Fluxo Impossível</v>
      </c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24" customHeight="1" x14ac:dyDescent="0.3">
      <c r="A365" s="10"/>
      <c r="B365" s="10"/>
      <c r="C365" s="11"/>
      <c r="D365" s="11"/>
      <c r="E365" s="11"/>
      <c r="F365" s="11"/>
      <c r="G365" s="12"/>
      <c r="H365" s="11"/>
      <c r="I365" s="11"/>
      <c r="J365" s="24" t="e">
        <f>VLOOKUP(C365&amp;I365&amp;E365,Orig_Dest!$A$2:$E$1876,5,FALSE)</f>
        <v>#N/A</v>
      </c>
      <c r="K365" s="14" t="e">
        <f t="shared" si="2"/>
        <v>#VALUE!</v>
      </c>
      <c r="L365" s="15" t="str">
        <f>IF(B365="Fornecedor",IF(VLOOKUP(C365,Base_Dados!$E$1:$F$7,2,FALSE)=F365," ","Fornecedor inválido!")," ")</f>
        <v xml:space="preserve"> </v>
      </c>
      <c r="M365" s="16" t="str">
        <f>IF(AND(LEFT(F365,2)="MP",H365&lt;&gt;Base_Dados!$A$1),"Impossível!!!"," ")</f>
        <v xml:space="preserve"> </v>
      </c>
      <c r="N365" s="15" t="str">
        <f>IF(E365="Avião",IF($G365&lt;=VLOOKUP($F365,Base_Dados!$K$1:$O$7,3,FALSE)," ","Limite "&amp;VLOOKUP($F365,Base_Dados!$K$1:$O$11,3,FALSE)&amp;" "&amp;VLOOKUP($F365,Base_Dados!$K$1:$O$11,2,FALSE))," ")</f>
        <v xml:space="preserve"> </v>
      </c>
      <c r="O365" s="15" t="str">
        <f>IF(E365="Caminhão",IF($G365&lt;=VLOOKUP($F365,Base_Dados!$K$1:$O$7,4,FALSE)," ","Limite "&amp;VLOOKUP($F365,Base_Dados!$K$1:$O$11,4,FALSE)&amp;" "&amp;VLOOKUP($F365,Base_Dados!$K$1:$O$11,2,FALSE))," ")</f>
        <v xml:space="preserve"> </v>
      </c>
      <c r="P365" s="15" t="str">
        <f>IF(E365="Navio",IF($G365&lt;=VLOOKUP($F365,Base_Dados!$K$1:$O$7,5,FALSE)," ","Limite "&amp;VLOOKUP($F365,Base_Dados!$K$1:$O$11,5,FALSE)&amp;" "&amp;VLOOKUP($F365,Base_Dados!$K$1:$O$11,2,FALSE))," ")</f>
        <v xml:space="preserve"> </v>
      </c>
      <c r="Q365" s="15" t="str">
        <f t="shared" si="3"/>
        <v>Fluxo Impossível</v>
      </c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24" customHeight="1" x14ac:dyDescent="0.3">
      <c r="A366" s="10"/>
      <c r="B366" s="10"/>
      <c r="C366" s="11"/>
      <c r="D366" s="11"/>
      <c r="E366" s="11"/>
      <c r="F366" s="11"/>
      <c r="G366" s="12"/>
      <c r="H366" s="11"/>
      <c r="I366" s="11"/>
      <c r="J366" s="24" t="e">
        <f>VLOOKUP(C366&amp;I366&amp;E366,Orig_Dest!$A$2:$E$1876,5,FALSE)</f>
        <v>#N/A</v>
      </c>
      <c r="K366" s="14" t="e">
        <f t="shared" si="2"/>
        <v>#VALUE!</v>
      </c>
      <c r="L366" s="15" t="str">
        <f>IF(B366="Fornecedor",IF(VLOOKUP(C366,Base_Dados!$E$1:$F$7,2,FALSE)=F366," ","Fornecedor inválido!")," ")</f>
        <v xml:space="preserve"> </v>
      </c>
      <c r="M366" s="16" t="str">
        <f>IF(AND(LEFT(F366,2)="MP",H366&lt;&gt;Base_Dados!$A$1),"Impossível!!!"," ")</f>
        <v xml:space="preserve"> </v>
      </c>
      <c r="N366" s="15" t="str">
        <f>IF(E366="Avião",IF($G366&lt;=VLOOKUP($F366,Base_Dados!$K$1:$O$7,3,FALSE)," ","Limite "&amp;VLOOKUP($F366,Base_Dados!$K$1:$O$11,3,FALSE)&amp;" "&amp;VLOOKUP($F366,Base_Dados!$K$1:$O$11,2,FALSE))," ")</f>
        <v xml:space="preserve"> </v>
      </c>
      <c r="O366" s="15" t="str">
        <f>IF(E366="Caminhão",IF($G366&lt;=VLOOKUP($F366,Base_Dados!$K$1:$O$7,4,FALSE)," ","Limite "&amp;VLOOKUP($F366,Base_Dados!$K$1:$O$11,4,FALSE)&amp;" "&amp;VLOOKUP($F366,Base_Dados!$K$1:$O$11,2,FALSE))," ")</f>
        <v xml:space="preserve"> </v>
      </c>
      <c r="P366" s="15" t="str">
        <f>IF(E366="Navio",IF($G366&lt;=VLOOKUP($F366,Base_Dados!$K$1:$O$7,5,FALSE)," ","Limite "&amp;VLOOKUP($F366,Base_Dados!$K$1:$O$11,5,FALSE)&amp;" "&amp;VLOOKUP($F366,Base_Dados!$K$1:$O$11,2,FALSE))," ")</f>
        <v xml:space="preserve"> </v>
      </c>
      <c r="Q366" s="15" t="str">
        <f t="shared" si="3"/>
        <v>Fluxo Impossível</v>
      </c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24" customHeight="1" x14ac:dyDescent="0.3">
      <c r="A367" s="10"/>
      <c r="B367" s="10"/>
      <c r="C367" s="11"/>
      <c r="D367" s="11"/>
      <c r="E367" s="11"/>
      <c r="F367" s="11"/>
      <c r="G367" s="12"/>
      <c r="H367" s="11"/>
      <c r="I367" s="11"/>
      <c r="J367" s="24" t="e">
        <f>VLOOKUP(C367&amp;I367&amp;E367,Orig_Dest!$A$2:$E$1876,5,FALSE)</f>
        <v>#N/A</v>
      </c>
      <c r="K367" s="14" t="e">
        <f t="shared" si="2"/>
        <v>#VALUE!</v>
      </c>
      <c r="L367" s="15" t="str">
        <f>IF(B367="Fornecedor",IF(VLOOKUP(C367,Base_Dados!$E$1:$F$7,2,FALSE)=F367," ","Fornecedor inválido!")," ")</f>
        <v xml:space="preserve"> </v>
      </c>
      <c r="M367" s="16" t="str">
        <f>IF(AND(LEFT(F367,2)="MP",H367&lt;&gt;Base_Dados!$A$1),"Impossível!!!"," ")</f>
        <v xml:space="preserve"> </v>
      </c>
      <c r="N367" s="15" t="str">
        <f>IF(E367="Avião",IF($G367&lt;=VLOOKUP($F367,Base_Dados!$K$1:$O$7,3,FALSE)," ","Limite "&amp;VLOOKUP($F367,Base_Dados!$K$1:$O$11,3,FALSE)&amp;" "&amp;VLOOKUP($F367,Base_Dados!$K$1:$O$11,2,FALSE))," ")</f>
        <v xml:space="preserve"> </v>
      </c>
      <c r="O367" s="15" t="str">
        <f>IF(E367="Caminhão",IF($G367&lt;=VLOOKUP($F367,Base_Dados!$K$1:$O$7,4,FALSE)," ","Limite "&amp;VLOOKUP($F367,Base_Dados!$K$1:$O$11,4,FALSE)&amp;" "&amp;VLOOKUP($F367,Base_Dados!$K$1:$O$11,2,FALSE))," ")</f>
        <v xml:space="preserve"> </v>
      </c>
      <c r="P367" s="15" t="str">
        <f>IF(E367="Navio",IF($G367&lt;=VLOOKUP($F367,Base_Dados!$K$1:$O$7,5,FALSE)," ","Limite "&amp;VLOOKUP($F367,Base_Dados!$K$1:$O$11,5,FALSE)&amp;" "&amp;VLOOKUP($F367,Base_Dados!$K$1:$O$11,2,FALSE))," ")</f>
        <v xml:space="preserve"> </v>
      </c>
      <c r="Q367" s="15" t="str">
        <f t="shared" si="3"/>
        <v>Fluxo Impossível</v>
      </c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24" customHeight="1" x14ac:dyDescent="0.3">
      <c r="A368" s="10"/>
      <c r="B368" s="10"/>
      <c r="C368" s="11"/>
      <c r="D368" s="11"/>
      <c r="E368" s="11"/>
      <c r="F368" s="11"/>
      <c r="G368" s="12"/>
      <c r="H368" s="11"/>
      <c r="I368" s="11"/>
      <c r="J368" s="24" t="e">
        <f>VLOOKUP(C368&amp;I368&amp;E368,Orig_Dest!$A$2:$E$1876,5,FALSE)</f>
        <v>#N/A</v>
      </c>
      <c r="K368" s="14" t="e">
        <f t="shared" si="2"/>
        <v>#VALUE!</v>
      </c>
      <c r="L368" s="15" t="str">
        <f>IF(B368="Fornecedor",IF(VLOOKUP(C368,Base_Dados!$E$1:$F$7,2,FALSE)=F368," ","Fornecedor inválido!")," ")</f>
        <v xml:space="preserve"> </v>
      </c>
      <c r="M368" s="16" t="str">
        <f>IF(AND(LEFT(F368,2)="MP",H368&lt;&gt;Base_Dados!$A$1),"Impossível!!!"," ")</f>
        <v xml:space="preserve"> </v>
      </c>
      <c r="N368" s="15" t="str">
        <f>IF(E368="Avião",IF($G368&lt;=VLOOKUP($F368,Base_Dados!$K$1:$O$7,3,FALSE)," ","Limite "&amp;VLOOKUP($F368,Base_Dados!$K$1:$O$11,3,FALSE)&amp;" "&amp;VLOOKUP($F368,Base_Dados!$K$1:$O$11,2,FALSE))," ")</f>
        <v xml:space="preserve"> </v>
      </c>
      <c r="O368" s="15" t="str">
        <f>IF(E368="Caminhão",IF($G368&lt;=VLOOKUP($F368,Base_Dados!$K$1:$O$7,4,FALSE)," ","Limite "&amp;VLOOKUP($F368,Base_Dados!$K$1:$O$11,4,FALSE)&amp;" "&amp;VLOOKUP($F368,Base_Dados!$K$1:$O$11,2,FALSE))," ")</f>
        <v xml:space="preserve"> </v>
      </c>
      <c r="P368" s="15" t="str">
        <f>IF(E368="Navio",IF($G368&lt;=VLOOKUP($F368,Base_Dados!$K$1:$O$7,5,FALSE)," ","Limite "&amp;VLOOKUP($F368,Base_Dados!$K$1:$O$11,5,FALSE)&amp;" "&amp;VLOOKUP($F368,Base_Dados!$K$1:$O$11,2,FALSE))," ")</f>
        <v xml:space="preserve"> </v>
      </c>
      <c r="Q368" s="15" t="str">
        <f t="shared" si="3"/>
        <v>Fluxo Impossível</v>
      </c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24" customHeight="1" x14ac:dyDescent="0.3">
      <c r="A369" s="10"/>
      <c r="B369" s="10"/>
      <c r="C369" s="11"/>
      <c r="D369" s="11"/>
      <c r="E369" s="11"/>
      <c r="F369" s="11"/>
      <c r="G369" s="12"/>
      <c r="H369" s="11"/>
      <c r="I369" s="11"/>
      <c r="J369" s="24" t="e">
        <f>VLOOKUP(C369&amp;I369&amp;E369,Orig_Dest!$A$2:$E$1876,5,FALSE)</f>
        <v>#N/A</v>
      </c>
      <c r="K369" s="14" t="e">
        <f t="shared" si="2"/>
        <v>#VALUE!</v>
      </c>
      <c r="L369" s="15" t="str">
        <f>IF(B369="Fornecedor",IF(VLOOKUP(C369,Base_Dados!$E$1:$F$7,2,FALSE)=F369," ","Fornecedor inválido!")," ")</f>
        <v xml:space="preserve"> </v>
      </c>
      <c r="M369" s="16" t="str">
        <f>IF(AND(LEFT(F369,2)="MP",H369&lt;&gt;Base_Dados!$A$1),"Impossível!!!"," ")</f>
        <v xml:space="preserve"> </v>
      </c>
      <c r="N369" s="15" t="str">
        <f>IF(E369="Avião",IF($G369&lt;=VLOOKUP($F369,Base_Dados!$K$1:$O$7,3,FALSE)," ","Limite "&amp;VLOOKUP($F369,Base_Dados!$K$1:$O$11,3,FALSE)&amp;" "&amp;VLOOKUP($F369,Base_Dados!$K$1:$O$11,2,FALSE))," ")</f>
        <v xml:space="preserve"> </v>
      </c>
      <c r="O369" s="15" t="str">
        <f>IF(E369="Caminhão",IF($G369&lt;=VLOOKUP($F369,Base_Dados!$K$1:$O$7,4,FALSE)," ","Limite "&amp;VLOOKUP($F369,Base_Dados!$K$1:$O$11,4,FALSE)&amp;" "&amp;VLOOKUP($F369,Base_Dados!$K$1:$O$11,2,FALSE))," ")</f>
        <v xml:space="preserve"> </v>
      </c>
      <c r="P369" s="15" t="str">
        <f>IF(E369="Navio",IF($G369&lt;=VLOOKUP($F369,Base_Dados!$K$1:$O$7,5,FALSE)," ","Limite "&amp;VLOOKUP($F369,Base_Dados!$K$1:$O$11,5,FALSE)&amp;" "&amp;VLOOKUP($F369,Base_Dados!$K$1:$O$11,2,FALSE))," ")</f>
        <v xml:space="preserve"> </v>
      </c>
      <c r="Q369" s="15" t="str">
        <f t="shared" si="3"/>
        <v>Fluxo Impossível</v>
      </c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24" customHeight="1" x14ac:dyDescent="0.3">
      <c r="A370" s="10"/>
      <c r="B370" s="10"/>
      <c r="C370" s="11"/>
      <c r="D370" s="11"/>
      <c r="E370" s="11"/>
      <c r="F370" s="11"/>
      <c r="G370" s="12"/>
      <c r="H370" s="11"/>
      <c r="I370" s="11"/>
      <c r="J370" s="24" t="e">
        <f>VLOOKUP(C370&amp;I370&amp;E370,Orig_Dest!$A$2:$E$1876,5,FALSE)</f>
        <v>#N/A</v>
      </c>
      <c r="K370" s="14" t="e">
        <f t="shared" si="2"/>
        <v>#VALUE!</v>
      </c>
      <c r="L370" s="15" t="str">
        <f>IF(B370="Fornecedor",IF(VLOOKUP(C370,Base_Dados!$E$1:$F$7,2,FALSE)=F370," ","Fornecedor inválido!")," ")</f>
        <v xml:space="preserve"> </v>
      </c>
      <c r="M370" s="16" t="str">
        <f>IF(AND(LEFT(F370,2)="MP",H370&lt;&gt;Base_Dados!$A$1),"Impossível!!!"," ")</f>
        <v xml:space="preserve"> </v>
      </c>
      <c r="N370" s="15" t="str">
        <f>IF(E370="Avião",IF($G370&lt;=VLOOKUP($F370,Base_Dados!$K$1:$O$7,3,FALSE)," ","Limite "&amp;VLOOKUP($F370,Base_Dados!$K$1:$O$11,3,FALSE)&amp;" "&amp;VLOOKUP($F370,Base_Dados!$K$1:$O$11,2,FALSE))," ")</f>
        <v xml:space="preserve"> </v>
      </c>
      <c r="O370" s="15" t="str">
        <f>IF(E370="Caminhão",IF($G370&lt;=VLOOKUP($F370,Base_Dados!$K$1:$O$7,4,FALSE)," ","Limite "&amp;VLOOKUP($F370,Base_Dados!$K$1:$O$11,4,FALSE)&amp;" "&amp;VLOOKUP($F370,Base_Dados!$K$1:$O$11,2,FALSE))," ")</f>
        <v xml:space="preserve"> </v>
      </c>
      <c r="P370" s="15" t="str">
        <f>IF(E370="Navio",IF($G370&lt;=VLOOKUP($F370,Base_Dados!$K$1:$O$7,5,FALSE)," ","Limite "&amp;VLOOKUP($F370,Base_Dados!$K$1:$O$11,5,FALSE)&amp;" "&amp;VLOOKUP($F370,Base_Dados!$K$1:$O$11,2,FALSE))," ")</f>
        <v xml:space="preserve"> </v>
      </c>
      <c r="Q370" s="15" t="str">
        <f t="shared" si="3"/>
        <v>Fluxo Impossível</v>
      </c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24" customHeight="1" x14ac:dyDescent="0.3">
      <c r="A371" s="10"/>
      <c r="B371" s="10"/>
      <c r="C371" s="11"/>
      <c r="D371" s="11"/>
      <c r="E371" s="11"/>
      <c r="F371" s="11"/>
      <c r="G371" s="12"/>
      <c r="H371" s="11"/>
      <c r="I371" s="11"/>
      <c r="J371" s="24" t="e">
        <f>VLOOKUP(C371&amp;I371&amp;E371,Orig_Dest!$A$2:$E$1876,5,FALSE)</f>
        <v>#N/A</v>
      </c>
      <c r="K371" s="14" t="e">
        <f t="shared" si="2"/>
        <v>#VALUE!</v>
      </c>
      <c r="L371" s="15" t="str">
        <f>IF(B371="Fornecedor",IF(VLOOKUP(C371,Base_Dados!$E$1:$F$7,2,FALSE)=F371," ","Fornecedor inválido!")," ")</f>
        <v xml:space="preserve"> </v>
      </c>
      <c r="M371" s="16" t="str">
        <f>IF(AND(LEFT(F371,2)="MP",H371&lt;&gt;Base_Dados!$A$1),"Impossível!!!"," ")</f>
        <v xml:space="preserve"> </v>
      </c>
      <c r="N371" s="15" t="str">
        <f>IF(E371="Avião",IF($G371&lt;=VLOOKUP($F371,Base_Dados!$K$1:$O$7,3,FALSE)," ","Limite "&amp;VLOOKUP($F371,Base_Dados!$K$1:$O$11,3,FALSE)&amp;" "&amp;VLOOKUP($F371,Base_Dados!$K$1:$O$11,2,FALSE))," ")</f>
        <v xml:space="preserve"> </v>
      </c>
      <c r="O371" s="15" t="str">
        <f>IF(E371="Caminhão",IF($G371&lt;=VLOOKUP($F371,Base_Dados!$K$1:$O$7,4,FALSE)," ","Limite "&amp;VLOOKUP($F371,Base_Dados!$K$1:$O$11,4,FALSE)&amp;" "&amp;VLOOKUP($F371,Base_Dados!$K$1:$O$11,2,FALSE))," ")</f>
        <v xml:space="preserve"> </v>
      </c>
      <c r="P371" s="15" t="str">
        <f>IF(E371="Navio",IF($G371&lt;=VLOOKUP($F371,Base_Dados!$K$1:$O$7,5,FALSE)," ","Limite "&amp;VLOOKUP($F371,Base_Dados!$K$1:$O$11,5,FALSE)&amp;" "&amp;VLOOKUP($F371,Base_Dados!$K$1:$O$11,2,FALSE))," ")</f>
        <v xml:space="preserve"> </v>
      </c>
      <c r="Q371" s="15" t="str">
        <f t="shared" si="3"/>
        <v>Fluxo Impossível</v>
      </c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24" customHeight="1" x14ac:dyDescent="0.3">
      <c r="A372" s="10"/>
      <c r="B372" s="10"/>
      <c r="C372" s="11"/>
      <c r="D372" s="11"/>
      <c r="E372" s="11"/>
      <c r="F372" s="11"/>
      <c r="G372" s="12"/>
      <c r="H372" s="11"/>
      <c r="I372" s="11"/>
      <c r="J372" s="24" t="e">
        <f>VLOOKUP(C372&amp;I372&amp;E372,Orig_Dest!$A$2:$E$1876,5,FALSE)</f>
        <v>#N/A</v>
      </c>
      <c r="K372" s="14" t="e">
        <f t="shared" si="2"/>
        <v>#VALUE!</v>
      </c>
      <c r="L372" s="15" t="str">
        <f>IF(B372="Fornecedor",IF(VLOOKUP(C372,Base_Dados!$E$1:$F$7,2,FALSE)=F372," ","Fornecedor inválido!")," ")</f>
        <v xml:space="preserve"> </v>
      </c>
      <c r="M372" s="16" t="str">
        <f>IF(AND(LEFT(F372,2)="MP",H372&lt;&gt;Base_Dados!$A$1),"Impossível!!!"," ")</f>
        <v xml:space="preserve"> </v>
      </c>
      <c r="N372" s="15" t="str">
        <f>IF(E372="Avião",IF($G372&lt;=VLOOKUP($F372,Base_Dados!$K$1:$O$7,3,FALSE)," ","Limite "&amp;VLOOKUP($F372,Base_Dados!$K$1:$O$11,3,FALSE)&amp;" "&amp;VLOOKUP($F372,Base_Dados!$K$1:$O$11,2,FALSE))," ")</f>
        <v xml:space="preserve"> </v>
      </c>
      <c r="O372" s="15" t="str">
        <f>IF(E372="Caminhão",IF($G372&lt;=VLOOKUP($F372,Base_Dados!$K$1:$O$7,4,FALSE)," ","Limite "&amp;VLOOKUP($F372,Base_Dados!$K$1:$O$11,4,FALSE)&amp;" "&amp;VLOOKUP($F372,Base_Dados!$K$1:$O$11,2,FALSE))," ")</f>
        <v xml:space="preserve"> </v>
      </c>
      <c r="P372" s="15" t="str">
        <f>IF(E372="Navio",IF($G372&lt;=VLOOKUP($F372,Base_Dados!$K$1:$O$7,5,FALSE)," ","Limite "&amp;VLOOKUP($F372,Base_Dados!$K$1:$O$11,5,FALSE)&amp;" "&amp;VLOOKUP($F372,Base_Dados!$K$1:$O$11,2,FALSE))," ")</f>
        <v xml:space="preserve"> </v>
      </c>
      <c r="Q372" s="15" t="str">
        <f t="shared" si="3"/>
        <v>Fluxo Impossível</v>
      </c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24" customHeight="1" x14ac:dyDescent="0.3">
      <c r="A373" s="10"/>
      <c r="B373" s="10"/>
      <c r="C373" s="11"/>
      <c r="D373" s="11"/>
      <c r="E373" s="11"/>
      <c r="F373" s="11"/>
      <c r="G373" s="12"/>
      <c r="H373" s="11"/>
      <c r="I373" s="11"/>
      <c r="J373" s="24" t="e">
        <f>VLOOKUP(C373&amp;I373&amp;E373,Orig_Dest!$A$2:$E$1876,5,FALSE)</f>
        <v>#N/A</v>
      </c>
      <c r="K373" s="14" t="e">
        <f t="shared" si="2"/>
        <v>#VALUE!</v>
      </c>
      <c r="L373" s="15" t="str">
        <f>IF(B373="Fornecedor",IF(VLOOKUP(C373,Base_Dados!$E$1:$F$7,2,FALSE)=F373," ","Fornecedor inválido!")," ")</f>
        <v xml:space="preserve"> </v>
      </c>
      <c r="M373" s="16" t="str">
        <f>IF(AND(LEFT(F373,2)="MP",H373&lt;&gt;Base_Dados!$A$1),"Impossível!!!"," ")</f>
        <v xml:space="preserve"> </v>
      </c>
      <c r="N373" s="15" t="str">
        <f>IF(E373="Avião",IF($G373&lt;=VLOOKUP($F373,Base_Dados!$K$1:$O$7,3,FALSE)," ","Limite "&amp;VLOOKUP($F373,Base_Dados!$K$1:$O$11,3,FALSE)&amp;" "&amp;VLOOKUP($F373,Base_Dados!$K$1:$O$11,2,FALSE))," ")</f>
        <v xml:space="preserve"> </v>
      </c>
      <c r="O373" s="15" t="str">
        <f>IF(E373="Caminhão",IF($G373&lt;=VLOOKUP($F373,Base_Dados!$K$1:$O$7,4,FALSE)," ","Limite "&amp;VLOOKUP($F373,Base_Dados!$K$1:$O$11,4,FALSE)&amp;" "&amp;VLOOKUP($F373,Base_Dados!$K$1:$O$11,2,FALSE))," ")</f>
        <v xml:space="preserve"> </v>
      </c>
      <c r="P373" s="15" t="str">
        <f>IF(E373="Navio",IF($G373&lt;=VLOOKUP($F373,Base_Dados!$K$1:$O$7,5,FALSE)," ","Limite "&amp;VLOOKUP($F373,Base_Dados!$K$1:$O$11,5,FALSE)&amp;" "&amp;VLOOKUP($F373,Base_Dados!$K$1:$O$11,2,FALSE))," ")</f>
        <v xml:space="preserve"> </v>
      </c>
      <c r="Q373" s="15" t="str">
        <f t="shared" si="3"/>
        <v>Fluxo Impossível</v>
      </c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24" customHeight="1" x14ac:dyDescent="0.3">
      <c r="A374" s="10"/>
      <c r="B374" s="10"/>
      <c r="C374" s="11"/>
      <c r="D374" s="11"/>
      <c r="E374" s="11"/>
      <c r="F374" s="11"/>
      <c r="G374" s="12"/>
      <c r="H374" s="11"/>
      <c r="I374" s="11"/>
      <c r="J374" s="24" t="e">
        <f>VLOOKUP(C374&amp;I374&amp;E374,Orig_Dest!$A$2:$E$1876,5,FALSE)</f>
        <v>#N/A</v>
      </c>
      <c r="K374" s="14" t="e">
        <f t="shared" si="2"/>
        <v>#VALUE!</v>
      </c>
      <c r="L374" s="15" t="str">
        <f>IF(B374="Fornecedor",IF(VLOOKUP(C374,Base_Dados!$E$1:$F$7,2,FALSE)=F374," ","Fornecedor inválido!")," ")</f>
        <v xml:space="preserve"> </v>
      </c>
      <c r="M374" s="16" t="str">
        <f>IF(AND(LEFT(F374,2)="MP",H374&lt;&gt;Base_Dados!$A$1),"Impossível!!!"," ")</f>
        <v xml:space="preserve"> </v>
      </c>
      <c r="N374" s="15" t="str">
        <f>IF(E374="Avião",IF($G374&lt;=VLOOKUP($F374,Base_Dados!$K$1:$O$7,3,FALSE)," ","Limite "&amp;VLOOKUP($F374,Base_Dados!$K$1:$O$11,3,FALSE)&amp;" "&amp;VLOOKUP($F374,Base_Dados!$K$1:$O$11,2,FALSE))," ")</f>
        <v xml:space="preserve"> </v>
      </c>
      <c r="O374" s="15" t="str">
        <f>IF(E374="Caminhão",IF($G374&lt;=VLOOKUP($F374,Base_Dados!$K$1:$O$7,4,FALSE)," ","Limite "&amp;VLOOKUP($F374,Base_Dados!$K$1:$O$11,4,FALSE)&amp;" "&amp;VLOOKUP($F374,Base_Dados!$K$1:$O$11,2,FALSE))," ")</f>
        <v xml:space="preserve"> </v>
      </c>
      <c r="P374" s="15" t="str">
        <f>IF(E374="Navio",IF($G374&lt;=VLOOKUP($F374,Base_Dados!$K$1:$O$7,5,FALSE)," ","Limite "&amp;VLOOKUP($F374,Base_Dados!$K$1:$O$11,5,FALSE)&amp;" "&amp;VLOOKUP($F374,Base_Dados!$K$1:$O$11,2,FALSE))," ")</f>
        <v xml:space="preserve"> </v>
      </c>
      <c r="Q374" s="15" t="str">
        <f t="shared" si="3"/>
        <v>Fluxo Impossível</v>
      </c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24" customHeight="1" x14ac:dyDescent="0.3">
      <c r="A375" s="10"/>
      <c r="B375" s="10"/>
      <c r="C375" s="11"/>
      <c r="D375" s="11"/>
      <c r="E375" s="11"/>
      <c r="F375" s="11"/>
      <c r="G375" s="12"/>
      <c r="H375" s="11"/>
      <c r="I375" s="11"/>
      <c r="J375" s="24" t="e">
        <f>VLOOKUP(C375&amp;I375&amp;E375,Orig_Dest!$A$2:$E$1876,5,FALSE)</f>
        <v>#N/A</v>
      </c>
      <c r="K375" s="14" t="e">
        <f t="shared" si="2"/>
        <v>#VALUE!</v>
      </c>
      <c r="L375" s="15" t="str">
        <f>IF(B375="Fornecedor",IF(VLOOKUP(C375,Base_Dados!$E$1:$F$7,2,FALSE)=F375," ","Fornecedor inválido!")," ")</f>
        <v xml:space="preserve"> </v>
      </c>
      <c r="M375" s="16" t="str">
        <f>IF(AND(LEFT(F375,2)="MP",H375&lt;&gt;Base_Dados!$A$1),"Impossível!!!"," ")</f>
        <v xml:space="preserve"> </v>
      </c>
      <c r="N375" s="15" t="str">
        <f>IF(E375="Avião",IF($G375&lt;=VLOOKUP($F375,Base_Dados!$K$1:$O$7,3,FALSE)," ","Limite "&amp;VLOOKUP($F375,Base_Dados!$K$1:$O$11,3,FALSE)&amp;" "&amp;VLOOKUP($F375,Base_Dados!$K$1:$O$11,2,FALSE))," ")</f>
        <v xml:space="preserve"> </v>
      </c>
      <c r="O375" s="15" t="str">
        <f>IF(E375="Caminhão",IF($G375&lt;=VLOOKUP($F375,Base_Dados!$K$1:$O$7,4,FALSE)," ","Limite "&amp;VLOOKUP($F375,Base_Dados!$K$1:$O$11,4,FALSE)&amp;" "&amp;VLOOKUP($F375,Base_Dados!$K$1:$O$11,2,FALSE))," ")</f>
        <v xml:space="preserve"> </v>
      </c>
      <c r="P375" s="15" t="str">
        <f>IF(E375="Navio",IF($G375&lt;=VLOOKUP($F375,Base_Dados!$K$1:$O$7,5,FALSE)," ","Limite "&amp;VLOOKUP($F375,Base_Dados!$K$1:$O$11,5,FALSE)&amp;" "&amp;VLOOKUP($F375,Base_Dados!$K$1:$O$11,2,FALSE))," ")</f>
        <v xml:space="preserve"> </v>
      </c>
      <c r="Q375" s="15" t="str">
        <f t="shared" si="3"/>
        <v>Fluxo Impossível</v>
      </c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24" customHeight="1" x14ac:dyDescent="0.3">
      <c r="A376" s="10"/>
      <c r="B376" s="10"/>
      <c r="C376" s="11"/>
      <c r="D376" s="11"/>
      <c r="E376" s="11"/>
      <c r="F376" s="11"/>
      <c r="G376" s="12"/>
      <c r="H376" s="11"/>
      <c r="I376" s="11"/>
      <c r="J376" s="24" t="e">
        <f>VLOOKUP(C376&amp;I376&amp;E376,Orig_Dest!$A$2:$E$1876,5,FALSE)</f>
        <v>#N/A</v>
      </c>
      <c r="K376" s="14" t="e">
        <f t="shared" si="2"/>
        <v>#VALUE!</v>
      </c>
      <c r="L376" s="15" t="str">
        <f>IF(B376="Fornecedor",IF(VLOOKUP(C376,Base_Dados!$E$1:$F$7,2,FALSE)=F376," ","Fornecedor inválido!")," ")</f>
        <v xml:space="preserve"> </v>
      </c>
      <c r="M376" s="16" t="str">
        <f>IF(AND(LEFT(F376,2)="MP",H376&lt;&gt;Base_Dados!$A$1),"Impossível!!!"," ")</f>
        <v xml:space="preserve"> </v>
      </c>
      <c r="N376" s="15" t="str">
        <f>IF(E376="Avião",IF($G376&lt;=VLOOKUP($F376,Base_Dados!$K$1:$O$7,3,FALSE)," ","Limite "&amp;VLOOKUP($F376,Base_Dados!$K$1:$O$11,3,FALSE)&amp;" "&amp;VLOOKUP($F376,Base_Dados!$K$1:$O$11,2,FALSE))," ")</f>
        <v xml:space="preserve"> </v>
      </c>
      <c r="O376" s="15" t="str">
        <f>IF(E376="Caminhão",IF($G376&lt;=VLOOKUP($F376,Base_Dados!$K$1:$O$7,4,FALSE)," ","Limite "&amp;VLOOKUP($F376,Base_Dados!$K$1:$O$11,4,FALSE)&amp;" "&amp;VLOOKUP($F376,Base_Dados!$K$1:$O$11,2,FALSE))," ")</f>
        <v xml:space="preserve"> </v>
      </c>
      <c r="P376" s="15" t="str">
        <f>IF(E376="Navio",IF($G376&lt;=VLOOKUP($F376,Base_Dados!$K$1:$O$7,5,FALSE)," ","Limite "&amp;VLOOKUP($F376,Base_Dados!$K$1:$O$11,5,FALSE)&amp;" "&amp;VLOOKUP($F376,Base_Dados!$K$1:$O$11,2,FALSE))," ")</f>
        <v xml:space="preserve"> </v>
      </c>
      <c r="Q376" s="15" t="str">
        <f t="shared" si="3"/>
        <v>Fluxo Impossível</v>
      </c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24" customHeight="1" x14ac:dyDescent="0.3">
      <c r="A377" s="10"/>
      <c r="B377" s="10"/>
      <c r="C377" s="11"/>
      <c r="D377" s="11"/>
      <c r="E377" s="11"/>
      <c r="F377" s="11"/>
      <c r="G377" s="12"/>
      <c r="H377" s="11"/>
      <c r="I377" s="11"/>
      <c r="J377" s="24" t="e">
        <f>VLOOKUP(C377&amp;I377&amp;E377,Orig_Dest!$A$2:$E$1876,5,FALSE)</f>
        <v>#N/A</v>
      </c>
      <c r="K377" s="14" t="e">
        <f t="shared" si="2"/>
        <v>#VALUE!</v>
      </c>
      <c r="L377" s="15" t="str">
        <f>IF(B377="Fornecedor",IF(VLOOKUP(C377,Base_Dados!$E$1:$F$7,2,FALSE)=F377," ","Fornecedor inválido!")," ")</f>
        <v xml:space="preserve"> </v>
      </c>
      <c r="M377" s="16" t="str">
        <f>IF(AND(LEFT(F377,2)="MP",H377&lt;&gt;Base_Dados!$A$1),"Impossível!!!"," ")</f>
        <v xml:space="preserve"> </v>
      </c>
      <c r="N377" s="15" t="str">
        <f>IF(E377="Avião",IF($G377&lt;=VLOOKUP($F377,Base_Dados!$K$1:$O$7,3,FALSE)," ","Limite "&amp;VLOOKUP($F377,Base_Dados!$K$1:$O$11,3,FALSE)&amp;" "&amp;VLOOKUP($F377,Base_Dados!$K$1:$O$11,2,FALSE))," ")</f>
        <v xml:space="preserve"> </v>
      </c>
      <c r="O377" s="15" t="str">
        <f>IF(E377="Caminhão",IF($G377&lt;=VLOOKUP($F377,Base_Dados!$K$1:$O$7,4,FALSE)," ","Limite "&amp;VLOOKUP($F377,Base_Dados!$K$1:$O$11,4,FALSE)&amp;" "&amp;VLOOKUP($F377,Base_Dados!$K$1:$O$11,2,FALSE))," ")</f>
        <v xml:space="preserve"> </v>
      </c>
      <c r="P377" s="15" t="str">
        <f>IF(E377="Navio",IF($G377&lt;=VLOOKUP($F377,Base_Dados!$K$1:$O$7,5,FALSE)," ","Limite "&amp;VLOOKUP($F377,Base_Dados!$K$1:$O$11,5,FALSE)&amp;" "&amp;VLOOKUP($F377,Base_Dados!$K$1:$O$11,2,FALSE))," ")</f>
        <v xml:space="preserve"> </v>
      </c>
      <c r="Q377" s="15" t="str">
        <f t="shared" si="3"/>
        <v>Fluxo Impossível</v>
      </c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24" customHeight="1" x14ac:dyDescent="0.3">
      <c r="A378" s="10"/>
      <c r="B378" s="10"/>
      <c r="C378" s="11"/>
      <c r="D378" s="11"/>
      <c r="E378" s="11"/>
      <c r="F378" s="11"/>
      <c r="G378" s="12"/>
      <c r="H378" s="11"/>
      <c r="I378" s="11"/>
      <c r="J378" s="24" t="e">
        <f>VLOOKUP(C378&amp;I378&amp;E378,Orig_Dest!$A$2:$E$1876,5,FALSE)</f>
        <v>#N/A</v>
      </c>
      <c r="K378" s="14" t="e">
        <f t="shared" si="2"/>
        <v>#VALUE!</v>
      </c>
      <c r="L378" s="15" t="str">
        <f>IF(B378="Fornecedor",IF(VLOOKUP(C378,Base_Dados!$E$1:$F$7,2,FALSE)=F378," ","Fornecedor inválido!")," ")</f>
        <v xml:space="preserve"> </v>
      </c>
      <c r="M378" s="16" t="str">
        <f>IF(AND(LEFT(F378,2)="MP",H378&lt;&gt;Base_Dados!$A$1),"Impossível!!!"," ")</f>
        <v xml:space="preserve"> </v>
      </c>
      <c r="N378" s="15" t="str">
        <f>IF(E378="Avião",IF($G378&lt;=VLOOKUP($F378,Base_Dados!$K$1:$O$7,3,FALSE)," ","Limite "&amp;VLOOKUP($F378,Base_Dados!$K$1:$O$11,3,FALSE)&amp;" "&amp;VLOOKUP($F378,Base_Dados!$K$1:$O$11,2,FALSE))," ")</f>
        <v xml:space="preserve"> </v>
      </c>
      <c r="O378" s="15" t="str">
        <f>IF(E378="Caminhão",IF($G378&lt;=VLOOKUP($F378,Base_Dados!$K$1:$O$7,4,FALSE)," ","Limite "&amp;VLOOKUP($F378,Base_Dados!$K$1:$O$11,4,FALSE)&amp;" "&amp;VLOOKUP($F378,Base_Dados!$K$1:$O$11,2,FALSE))," ")</f>
        <v xml:space="preserve"> </v>
      </c>
      <c r="P378" s="15" t="str">
        <f>IF(E378="Navio",IF($G378&lt;=VLOOKUP($F378,Base_Dados!$K$1:$O$7,5,FALSE)," ","Limite "&amp;VLOOKUP($F378,Base_Dados!$K$1:$O$11,5,FALSE)&amp;" "&amp;VLOOKUP($F378,Base_Dados!$K$1:$O$11,2,FALSE))," ")</f>
        <v xml:space="preserve"> </v>
      </c>
      <c r="Q378" s="15" t="str">
        <f t="shared" si="3"/>
        <v>Fluxo Impossível</v>
      </c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24" customHeight="1" x14ac:dyDescent="0.3">
      <c r="A379" s="10"/>
      <c r="B379" s="10"/>
      <c r="C379" s="11"/>
      <c r="D379" s="11"/>
      <c r="E379" s="11"/>
      <c r="F379" s="11"/>
      <c r="G379" s="12"/>
      <c r="H379" s="11"/>
      <c r="I379" s="11"/>
      <c r="J379" s="24" t="e">
        <f>VLOOKUP(C379&amp;I379&amp;E379,Orig_Dest!$A$2:$E$1876,5,FALSE)</f>
        <v>#N/A</v>
      </c>
      <c r="K379" s="14" t="e">
        <f t="shared" si="2"/>
        <v>#VALUE!</v>
      </c>
      <c r="L379" s="15" t="str">
        <f>IF(B379="Fornecedor",IF(VLOOKUP(C379,Base_Dados!$E$1:$F$7,2,FALSE)=F379," ","Fornecedor inválido!")," ")</f>
        <v xml:space="preserve"> </v>
      </c>
      <c r="M379" s="16" t="str">
        <f>IF(AND(LEFT(F379,2)="MP",H379&lt;&gt;Base_Dados!$A$1),"Impossível!!!"," ")</f>
        <v xml:space="preserve"> </v>
      </c>
      <c r="N379" s="15" t="str">
        <f>IF(E379="Avião",IF($G379&lt;=VLOOKUP($F379,Base_Dados!$K$1:$O$7,3,FALSE)," ","Limite "&amp;VLOOKUP($F379,Base_Dados!$K$1:$O$11,3,FALSE)&amp;" "&amp;VLOOKUP($F379,Base_Dados!$K$1:$O$11,2,FALSE))," ")</f>
        <v xml:space="preserve"> </v>
      </c>
      <c r="O379" s="15" t="str">
        <f>IF(E379="Caminhão",IF($G379&lt;=VLOOKUP($F379,Base_Dados!$K$1:$O$7,4,FALSE)," ","Limite "&amp;VLOOKUP($F379,Base_Dados!$K$1:$O$11,4,FALSE)&amp;" "&amp;VLOOKUP($F379,Base_Dados!$K$1:$O$11,2,FALSE))," ")</f>
        <v xml:space="preserve"> </v>
      </c>
      <c r="P379" s="15" t="str">
        <f>IF(E379="Navio",IF($G379&lt;=VLOOKUP($F379,Base_Dados!$K$1:$O$7,5,FALSE)," ","Limite "&amp;VLOOKUP($F379,Base_Dados!$K$1:$O$11,5,FALSE)&amp;" "&amp;VLOOKUP($F379,Base_Dados!$K$1:$O$11,2,FALSE))," ")</f>
        <v xml:space="preserve"> </v>
      </c>
      <c r="Q379" s="15" t="str">
        <f t="shared" si="3"/>
        <v>Fluxo Impossível</v>
      </c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24" customHeight="1" x14ac:dyDescent="0.3">
      <c r="A380" s="10"/>
      <c r="B380" s="10"/>
      <c r="C380" s="11"/>
      <c r="D380" s="11"/>
      <c r="E380" s="11"/>
      <c r="F380" s="11"/>
      <c r="G380" s="12"/>
      <c r="H380" s="11"/>
      <c r="I380" s="11"/>
      <c r="J380" s="24" t="e">
        <f>VLOOKUP(C380&amp;I380&amp;E380,Orig_Dest!$A$2:$E$1876,5,FALSE)</f>
        <v>#N/A</v>
      </c>
      <c r="K380" s="14" t="e">
        <f t="shared" si="2"/>
        <v>#VALUE!</v>
      </c>
      <c r="L380" s="15" t="str">
        <f>IF(B380="Fornecedor",IF(VLOOKUP(C380,Base_Dados!$E$1:$F$7,2,FALSE)=F380," ","Fornecedor inválido!")," ")</f>
        <v xml:space="preserve"> </v>
      </c>
      <c r="M380" s="16" t="str">
        <f>IF(AND(LEFT(F380,2)="MP",H380&lt;&gt;Base_Dados!$A$1),"Impossível!!!"," ")</f>
        <v xml:space="preserve"> </v>
      </c>
      <c r="N380" s="15" t="str">
        <f>IF(E380="Avião",IF($G380&lt;=VLOOKUP($F380,Base_Dados!$K$1:$O$7,3,FALSE)," ","Limite "&amp;VLOOKUP($F380,Base_Dados!$K$1:$O$11,3,FALSE)&amp;" "&amp;VLOOKUP($F380,Base_Dados!$K$1:$O$11,2,FALSE))," ")</f>
        <v xml:space="preserve"> </v>
      </c>
      <c r="O380" s="15" t="str">
        <f>IF(E380="Caminhão",IF($G380&lt;=VLOOKUP($F380,Base_Dados!$K$1:$O$7,4,FALSE)," ","Limite "&amp;VLOOKUP($F380,Base_Dados!$K$1:$O$11,4,FALSE)&amp;" "&amp;VLOOKUP($F380,Base_Dados!$K$1:$O$11,2,FALSE))," ")</f>
        <v xml:space="preserve"> </v>
      </c>
      <c r="P380" s="15" t="str">
        <f>IF(E380="Navio",IF($G380&lt;=VLOOKUP($F380,Base_Dados!$K$1:$O$7,5,FALSE)," ","Limite "&amp;VLOOKUP($F380,Base_Dados!$K$1:$O$11,5,FALSE)&amp;" "&amp;VLOOKUP($F380,Base_Dados!$K$1:$O$11,2,FALSE))," ")</f>
        <v xml:space="preserve"> </v>
      </c>
      <c r="Q380" s="15" t="str">
        <f t="shared" si="3"/>
        <v>Fluxo Impossível</v>
      </c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24" customHeight="1" x14ac:dyDescent="0.3">
      <c r="A381" s="10"/>
      <c r="B381" s="10"/>
      <c r="C381" s="11"/>
      <c r="D381" s="11"/>
      <c r="E381" s="11"/>
      <c r="F381" s="11"/>
      <c r="G381" s="12"/>
      <c r="H381" s="11"/>
      <c r="I381" s="11"/>
      <c r="J381" s="24" t="e">
        <f>VLOOKUP(C381&amp;I381&amp;E381,Orig_Dest!$A$2:$E$1876,5,FALSE)</f>
        <v>#N/A</v>
      </c>
      <c r="K381" s="14" t="e">
        <f t="shared" si="2"/>
        <v>#VALUE!</v>
      </c>
      <c r="L381" s="15" t="str">
        <f>IF(B381="Fornecedor",IF(VLOOKUP(C381,Base_Dados!$E$1:$F$7,2,FALSE)=F381," ","Fornecedor inválido!")," ")</f>
        <v xml:space="preserve"> </v>
      </c>
      <c r="M381" s="16" t="str">
        <f>IF(AND(LEFT(F381,2)="MP",H381&lt;&gt;Base_Dados!$A$1),"Impossível!!!"," ")</f>
        <v xml:space="preserve"> </v>
      </c>
      <c r="N381" s="15" t="str">
        <f>IF(E381="Avião",IF($G381&lt;=VLOOKUP($F381,Base_Dados!$K$1:$O$7,3,FALSE)," ","Limite "&amp;VLOOKUP($F381,Base_Dados!$K$1:$O$11,3,FALSE)&amp;" "&amp;VLOOKUP($F381,Base_Dados!$K$1:$O$11,2,FALSE))," ")</f>
        <v xml:space="preserve"> </v>
      </c>
      <c r="O381" s="15" t="str">
        <f>IF(E381="Caminhão",IF($G381&lt;=VLOOKUP($F381,Base_Dados!$K$1:$O$7,4,FALSE)," ","Limite "&amp;VLOOKUP($F381,Base_Dados!$K$1:$O$11,4,FALSE)&amp;" "&amp;VLOOKUP($F381,Base_Dados!$K$1:$O$11,2,FALSE))," ")</f>
        <v xml:space="preserve"> </v>
      </c>
      <c r="P381" s="15" t="str">
        <f>IF(E381="Navio",IF($G381&lt;=VLOOKUP($F381,Base_Dados!$K$1:$O$7,5,FALSE)," ","Limite "&amp;VLOOKUP($F381,Base_Dados!$K$1:$O$11,5,FALSE)&amp;" "&amp;VLOOKUP($F381,Base_Dados!$K$1:$O$11,2,FALSE))," ")</f>
        <v xml:space="preserve"> </v>
      </c>
      <c r="Q381" s="15" t="str">
        <f t="shared" si="3"/>
        <v>Fluxo Impossível</v>
      </c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24" customHeight="1" x14ac:dyDescent="0.3">
      <c r="A382" s="10"/>
      <c r="B382" s="10"/>
      <c r="C382" s="11"/>
      <c r="D382" s="11"/>
      <c r="E382" s="11"/>
      <c r="F382" s="11"/>
      <c r="G382" s="12"/>
      <c r="H382" s="11"/>
      <c r="I382" s="11"/>
      <c r="J382" s="24" t="e">
        <f>VLOOKUP(C382&amp;I382&amp;E382,Orig_Dest!$A$2:$E$1876,5,FALSE)</f>
        <v>#N/A</v>
      </c>
      <c r="K382" s="14" t="e">
        <f t="shared" si="2"/>
        <v>#VALUE!</v>
      </c>
      <c r="L382" s="15" t="str">
        <f>IF(B382="Fornecedor",IF(VLOOKUP(C382,Base_Dados!$E$1:$F$7,2,FALSE)=F382," ","Fornecedor inválido!")," ")</f>
        <v xml:space="preserve"> </v>
      </c>
      <c r="M382" s="16" t="str">
        <f>IF(AND(LEFT(F382,2)="MP",H382&lt;&gt;Base_Dados!$A$1),"Impossível!!!"," ")</f>
        <v xml:space="preserve"> </v>
      </c>
      <c r="N382" s="15" t="str">
        <f>IF(E382="Avião",IF($G382&lt;=VLOOKUP($F382,Base_Dados!$K$1:$O$7,3,FALSE)," ","Limite "&amp;VLOOKUP($F382,Base_Dados!$K$1:$O$11,3,FALSE)&amp;" "&amp;VLOOKUP($F382,Base_Dados!$K$1:$O$11,2,FALSE))," ")</f>
        <v xml:space="preserve"> </v>
      </c>
      <c r="O382" s="15" t="str">
        <f>IF(E382="Caminhão",IF($G382&lt;=VLOOKUP($F382,Base_Dados!$K$1:$O$7,4,FALSE)," ","Limite "&amp;VLOOKUP($F382,Base_Dados!$K$1:$O$11,4,FALSE)&amp;" "&amp;VLOOKUP($F382,Base_Dados!$K$1:$O$11,2,FALSE))," ")</f>
        <v xml:space="preserve"> </v>
      </c>
      <c r="P382" s="15" t="str">
        <f>IF(E382="Navio",IF($G382&lt;=VLOOKUP($F382,Base_Dados!$K$1:$O$7,5,FALSE)," ","Limite "&amp;VLOOKUP($F382,Base_Dados!$K$1:$O$11,5,FALSE)&amp;" "&amp;VLOOKUP($F382,Base_Dados!$K$1:$O$11,2,FALSE))," ")</f>
        <v xml:space="preserve"> </v>
      </c>
      <c r="Q382" s="15" t="str">
        <f t="shared" si="3"/>
        <v>Fluxo Impossível</v>
      </c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24" customHeight="1" x14ac:dyDescent="0.3">
      <c r="A383" s="10"/>
      <c r="B383" s="10"/>
      <c r="C383" s="11"/>
      <c r="D383" s="11"/>
      <c r="E383" s="11"/>
      <c r="F383" s="11"/>
      <c r="G383" s="12"/>
      <c r="H383" s="11"/>
      <c r="I383" s="11"/>
      <c r="J383" s="24" t="e">
        <f>VLOOKUP(C383&amp;I383&amp;E383,Orig_Dest!$A$2:$E$1876,5,FALSE)</f>
        <v>#N/A</v>
      </c>
      <c r="K383" s="14" t="e">
        <f t="shared" si="2"/>
        <v>#VALUE!</v>
      </c>
      <c r="L383" s="15" t="str">
        <f>IF(B383="Fornecedor",IF(VLOOKUP(C383,Base_Dados!$E$1:$F$7,2,FALSE)=F383," ","Fornecedor inválido!")," ")</f>
        <v xml:space="preserve"> </v>
      </c>
      <c r="M383" s="16" t="str">
        <f>IF(AND(LEFT(F383,2)="MP",H383&lt;&gt;Base_Dados!$A$1),"Impossível!!!"," ")</f>
        <v xml:space="preserve"> </v>
      </c>
      <c r="N383" s="15" t="str">
        <f>IF(E383="Avião",IF($G383&lt;=VLOOKUP($F383,Base_Dados!$K$1:$O$7,3,FALSE)," ","Limite "&amp;VLOOKUP($F383,Base_Dados!$K$1:$O$11,3,FALSE)&amp;" "&amp;VLOOKUP($F383,Base_Dados!$K$1:$O$11,2,FALSE))," ")</f>
        <v xml:space="preserve"> </v>
      </c>
      <c r="O383" s="15" t="str">
        <f>IF(E383="Caminhão",IF($G383&lt;=VLOOKUP($F383,Base_Dados!$K$1:$O$7,4,FALSE)," ","Limite "&amp;VLOOKUP($F383,Base_Dados!$K$1:$O$11,4,FALSE)&amp;" "&amp;VLOOKUP($F383,Base_Dados!$K$1:$O$11,2,FALSE))," ")</f>
        <v xml:space="preserve"> </v>
      </c>
      <c r="P383" s="15" t="str">
        <f>IF(E383="Navio",IF($G383&lt;=VLOOKUP($F383,Base_Dados!$K$1:$O$7,5,FALSE)," ","Limite "&amp;VLOOKUP($F383,Base_Dados!$K$1:$O$11,5,FALSE)&amp;" "&amp;VLOOKUP($F383,Base_Dados!$K$1:$O$11,2,FALSE))," ")</f>
        <v xml:space="preserve"> </v>
      </c>
      <c r="Q383" s="15" t="str">
        <f t="shared" si="3"/>
        <v>Fluxo Impossível</v>
      </c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24" customHeight="1" x14ac:dyDescent="0.3">
      <c r="A384" s="10"/>
      <c r="B384" s="10"/>
      <c r="C384" s="11"/>
      <c r="D384" s="11"/>
      <c r="E384" s="11"/>
      <c r="F384" s="11"/>
      <c r="G384" s="12"/>
      <c r="H384" s="11"/>
      <c r="I384" s="11"/>
      <c r="J384" s="24" t="e">
        <f>VLOOKUP(C384&amp;I384&amp;E384,Orig_Dest!$A$2:$E$1876,5,FALSE)</f>
        <v>#N/A</v>
      </c>
      <c r="K384" s="14" t="e">
        <f t="shared" si="2"/>
        <v>#VALUE!</v>
      </c>
      <c r="L384" s="15" t="str">
        <f>IF(B384="Fornecedor",IF(VLOOKUP(C384,Base_Dados!$E$1:$F$7,2,FALSE)=F384," ","Fornecedor inválido!")," ")</f>
        <v xml:space="preserve"> </v>
      </c>
      <c r="M384" s="16" t="str">
        <f>IF(AND(LEFT(F384,2)="MP",H384&lt;&gt;Base_Dados!$A$1),"Impossível!!!"," ")</f>
        <v xml:space="preserve"> </v>
      </c>
      <c r="N384" s="15" t="str">
        <f>IF(E384="Avião",IF($G384&lt;=VLOOKUP($F384,Base_Dados!$K$1:$O$7,3,FALSE)," ","Limite "&amp;VLOOKUP($F384,Base_Dados!$K$1:$O$11,3,FALSE)&amp;" "&amp;VLOOKUP($F384,Base_Dados!$K$1:$O$11,2,FALSE))," ")</f>
        <v xml:space="preserve"> </v>
      </c>
      <c r="O384" s="15" t="str">
        <f>IF(E384="Caminhão",IF($G384&lt;=VLOOKUP($F384,Base_Dados!$K$1:$O$7,4,FALSE)," ","Limite "&amp;VLOOKUP($F384,Base_Dados!$K$1:$O$11,4,FALSE)&amp;" "&amp;VLOOKUP($F384,Base_Dados!$K$1:$O$11,2,FALSE))," ")</f>
        <v xml:space="preserve"> </v>
      </c>
      <c r="P384" s="15" t="str">
        <f>IF(E384="Navio",IF($G384&lt;=VLOOKUP($F384,Base_Dados!$K$1:$O$7,5,FALSE)," ","Limite "&amp;VLOOKUP($F384,Base_Dados!$K$1:$O$11,5,FALSE)&amp;" "&amp;VLOOKUP($F384,Base_Dados!$K$1:$O$11,2,FALSE))," ")</f>
        <v xml:space="preserve"> </v>
      </c>
      <c r="Q384" s="15" t="str">
        <f t="shared" si="3"/>
        <v>Fluxo Impossível</v>
      </c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24" customHeight="1" x14ac:dyDescent="0.3">
      <c r="A385" s="10"/>
      <c r="B385" s="10"/>
      <c r="C385" s="11"/>
      <c r="D385" s="11"/>
      <c r="E385" s="11"/>
      <c r="F385" s="11"/>
      <c r="G385" s="12"/>
      <c r="H385" s="11"/>
      <c r="I385" s="11"/>
      <c r="J385" s="24" t="e">
        <f>VLOOKUP(C385&amp;I385&amp;E385,Orig_Dest!$A$2:$E$1876,5,FALSE)</f>
        <v>#N/A</v>
      </c>
      <c r="K385" s="14" t="e">
        <f t="shared" si="2"/>
        <v>#VALUE!</v>
      </c>
      <c r="L385" s="15" t="str">
        <f>IF(B385="Fornecedor",IF(VLOOKUP(C385,Base_Dados!$E$1:$F$7,2,FALSE)=F385," ","Fornecedor inválido!")," ")</f>
        <v xml:space="preserve"> </v>
      </c>
      <c r="M385" s="16" t="str">
        <f>IF(AND(LEFT(F385,2)="MP",H385&lt;&gt;Base_Dados!$A$1),"Impossível!!!"," ")</f>
        <v xml:space="preserve"> </v>
      </c>
      <c r="N385" s="15" t="str">
        <f>IF(E385="Avião",IF($G385&lt;=VLOOKUP($F385,Base_Dados!$K$1:$O$7,3,FALSE)," ","Limite "&amp;VLOOKUP($F385,Base_Dados!$K$1:$O$11,3,FALSE)&amp;" "&amp;VLOOKUP($F385,Base_Dados!$K$1:$O$11,2,FALSE))," ")</f>
        <v xml:space="preserve"> </v>
      </c>
      <c r="O385" s="15" t="str">
        <f>IF(E385="Caminhão",IF($G385&lt;=VLOOKUP($F385,Base_Dados!$K$1:$O$7,4,FALSE)," ","Limite "&amp;VLOOKUP($F385,Base_Dados!$K$1:$O$11,4,FALSE)&amp;" "&amp;VLOOKUP($F385,Base_Dados!$K$1:$O$11,2,FALSE))," ")</f>
        <v xml:space="preserve"> </v>
      </c>
      <c r="P385" s="15" t="str">
        <f>IF(E385="Navio",IF($G385&lt;=VLOOKUP($F385,Base_Dados!$K$1:$O$7,5,FALSE)," ","Limite "&amp;VLOOKUP($F385,Base_Dados!$K$1:$O$11,5,FALSE)&amp;" "&amp;VLOOKUP($F385,Base_Dados!$K$1:$O$11,2,FALSE))," ")</f>
        <v xml:space="preserve"> </v>
      </c>
      <c r="Q385" s="15" t="str">
        <f t="shared" si="3"/>
        <v>Fluxo Impossível</v>
      </c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24" customHeight="1" x14ac:dyDescent="0.3">
      <c r="A386" s="10"/>
      <c r="B386" s="10"/>
      <c r="C386" s="11"/>
      <c r="D386" s="11"/>
      <c r="E386" s="11"/>
      <c r="F386" s="11"/>
      <c r="G386" s="12"/>
      <c r="H386" s="11"/>
      <c r="I386" s="11"/>
      <c r="J386" s="24" t="e">
        <f>VLOOKUP(C386&amp;I386&amp;E386,Orig_Dest!$A$2:$E$1876,5,FALSE)</f>
        <v>#N/A</v>
      </c>
      <c r="K386" s="14" t="e">
        <f t="shared" si="2"/>
        <v>#VALUE!</v>
      </c>
      <c r="L386" s="15" t="str">
        <f>IF(B386="Fornecedor",IF(VLOOKUP(C386,Base_Dados!$E$1:$F$7,2,FALSE)=F386," ","Fornecedor inválido!")," ")</f>
        <v xml:space="preserve"> </v>
      </c>
      <c r="M386" s="16" t="str">
        <f>IF(AND(LEFT(F386,2)="MP",H386&lt;&gt;Base_Dados!$A$1),"Impossível!!!"," ")</f>
        <v xml:space="preserve"> </v>
      </c>
      <c r="N386" s="15" t="str">
        <f>IF(E386="Avião",IF($G386&lt;=VLOOKUP($F386,Base_Dados!$K$1:$O$7,3,FALSE)," ","Limite "&amp;VLOOKUP($F386,Base_Dados!$K$1:$O$11,3,FALSE)&amp;" "&amp;VLOOKUP($F386,Base_Dados!$K$1:$O$11,2,FALSE))," ")</f>
        <v xml:space="preserve"> </v>
      </c>
      <c r="O386" s="15" t="str">
        <f>IF(E386="Caminhão",IF($G386&lt;=VLOOKUP($F386,Base_Dados!$K$1:$O$7,4,FALSE)," ","Limite "&amp;VLOOKUP($F386,Base_Dados!$K$1:$O$11,4,FALSE)&amp;" "&amp;VLOOKUP($F386,Base_Dados!$K$1:$O$11,2,FALSE))," ")</f>
        <v xml:space="preserve"> </v>
      </c>
      <c r="P386" s="15" t="str">
        <f>IF(E386="Navio",IF($G386&lt;=VLOOKUP($F386,Base_Dados!$K$1:$O$7,5,FALSE)," ","Limite "&amp;VLOOKUP($F386,Base_Dados!$K$1:$O$11,5,FALSE)&amp;" "&amp;VLOOKUP($F386,Base_Dados!$K$1:$O$11,2,FALSE))," ")</f>
        <v xml:space="preserve"> </v>
      </c>
      <c r="Q386" s="15" t="str">
        <f t="shared" si="3"/>
        <v>Fluxo Impossível</v>
      </c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24" customHeight="1" x14ac:dyDescent="0.3">
      <c r="A387" s="10"/>
      <c r="B387" s="10"/>
      <c r="C387" s="11"/>
      <c r="D387" s="11"/>
      <c r="E387" s="11"/>
      <c r="F387" s="11"/>
      <c r="G387" s="12"/>
      <c r="H387" s="11"/>
      <c r="I387" s="11"/>
      <c r="J387" s="24" t="e">
        <f>VLOOKUP(C387&amp;I387&amp;E387,Orig_Dest!$A$2:$E$1876,5,FALSE)</f>
        <v>#N/A</v>
      </c>
      <c r="K387" s="14" t="e">
        <f t="shared" si="2"/>
        <v>#VALUE!</v>
      </c>
      <c r="L387" s="15" t="str">
        <f>IF(B387="Fornecedor",IF(VLOOKUP(C387,Base_Dados!$E$1:$F$7,2,FALSE)=F387," ","Fornecedor inválido!")," ")</f>
        <v xml:space="preserve"> </v>
      </c>
      <c r="M387" s="16" t="str">
        <f>IF(AND(LEFT(F387,2)="MP",H387&lt;&gt;Base_Dados!$A$1),"Impossível!!!"," ")</f>
        <v xml:space="preserve"> </v>
      </c>
      <c r="N387" s="15" t="str">
        <f>IF(E387="Avião",IF($G387&lt;=VLOOKUP($F387,Base_Dados!$K$1:$O$7,3,FALSE)," ","Limite "&amp;VLOOKUP($F387,Base_Dados!$K$1:$O$11,3,FALSE)&amp;" "&amp;VLOOKUP($F387,Base_Dados!$K$1:$O$11,2,FALSE))," ")</f>
        <v xml:space="preserve"> </v>
      </c>
      <c r="O387" s="15" t="str">
        <f>IF(E387="Caminhão",IF($G387&lt;=VLOOKUP($F387,Base_Dados!$K$1:$O$7,4,FALSE)," ","Limite "&amp;VLOOKUP($F387,Base_Dados!$K$1:$O$11,4,FALSE)&amp;" "&amp;VLOOKUP($F387,Base_Dados!$K$1:$O$11,2,FALSE))," ")</f>
        <v xml:space="preserve"> </v>
      </c>
      <c r="P387" s="15" t="str">
        <f>IF(E387="Navio",IF($G387&lt;=VLOOKUP($F387,Base_Dados!$K$1:$O$7,5,FALSE)," ","Limite "&amp;VLOOKUP($F387,Base_Dados!$K$1:$O$11,5,FALSE)&amp;" "&amp;VLOOKUP($F387,Base_Dados!$K$1:$O$11,2,FALSE))," ")</f>
        <v xml:space="preserve"> </v>
      </c>
      <c r="Q387" s="15" t="str">
        <f t="shared" si="3"/>
        <v>Fluxo Impossível</v>
      </c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24" customHeight="1" x14ac:dyDescent="0.3">
      <c r="A388" s="10"/>
      <c r="B388" s="10"/>
      <c r="C388" s="11"/>
      <c r="D388" s="11"/>
      <c r="E388" s="11"/>
      <c r="F388" s="11"/>
      <c r="G388" s="12"/>
      <c r="H388" s="11"/>
      <c r="I388" s="11"/>
      <c r="J388" s="24" t="e">
        <f>VLOOKUP(C388&amp;I388&amp;E388,Orig_Dest!$A$2:$E$1876,5,FALSE)</f>
        <v>#N/A</v>
      </c>
      <c r="K388" s="14" t="e">
        <f t="shared" si="2"/>
        <v>#VALUE!</v>
      </c>
      <c r="L388" s="15" t="str">
        <f>IF(B388="Fornecedor",IF(VLOOKUP(C388,Base_Dados!$E$1:$F$7,2,FALSE)=F388," ","Fornecedor inválido!")," ")</f>
        <v xml:space="preserve"> </v>
      </c>
      <c r="M388" s="16" t="str">
        <f>IF(AND(LEFT(F388,2)="MP",H388&lt;&gt;Base_Dados!$A$1),"Impossível!!!"," ")</f>
        <v xml:space="preserve"> </v>
      </c>
      <c r="N388" s="15" t="str">
        <f>IF(E388="Avião",IF($G388&lt;=VLOOKUP($F388,Base_Dados!$K$1:$O$7,3,FALSE)," ","Limite "&amp;VLOOKUP($F388,Base_Dados!$K$1:$O$11,3,FALSE)&amp;" "&amp;VLOOKUP($F388,Base_Dados!$K$1:$O$11,2,FALSE))," ")</f>
        <v xml:space="preserve"> </v>
      </c>
      <c r="O388" s="15" t="str">
        <f>IF(E388="Caminhão",IF($G388&lt;=VLOOKUP($F388,Base_Dados!$K$1:$O$7,4,FALSE)," ","Limite "&amp;VLOOKUP($F388,Base_Dados!$K$1:$O$11,4,FALSE)&amp;" "&amp;VLOOKUP($F388,Base_Dados!$K$1:$O$11,2,FALSE))," ")</f>
        <v xml:space="preserve"> </v>
      </c>
      <c r="P388" s="15" t="str">
        <f>IF(E388="Navio",IF($G388&lt;=VLOOKUP($F388,Base_Dados!$K$1:$O$7,5,FALSE)," ","Limite "&amp;VLOOKUP($F388,Base_Dados!$K$1:$O$11,5,FALSE)&amp;" "&amp;VLOOKUP($F388,Base_Dados!$K$1:$O$11,2,FALSE))," ")</f>
        <v xml:space="preserve"> </v>
      </c>
      <c r="Q388" s="15" t="str">
        <f t="shared" si="3"/>
        <v>Fluxo Impossível</v>
      </c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24" customHeight="1" x14ac:dyDescent="0.3">
      <c r="A389" s="10"/>
      <c r="B389" s="10"/>
      <c r="C389" s="11"/>
      <c r="D389" s="11"/>
      <c r="E389" s="11"/>
      <c r="F389" s="11"/>
      <c r="G389" s="12"/>
      <c r="H389" s="11"/>
      <c r="I389" s="11"/>
      <c r="J389" s="24" t="e">
        <f>VLOOKUP(C389&amp;I389&amp;E389,Orig_Dest!$A$2:$E$1876,5,FALSE)</f>
        <v>#N/A</v>
      </c>
      <c r="K389" s="14" t="e">
        <f t="shared" si="2"/>
        <v>#VALUE!</v>
      </c>
      <c r="L389" s="15" t="str">
        <f>IF(B389="Fornecedor",IF(VLOOKUP(C389,Base_Dados!$E$1:$F$7,2,FALSE)=F389," ","Fornecedor inválido!")," ")</f>
        <v xml:space="preserve"> </v>
      </c>
      <c r="M389" s="16" t="str">
        <f>IF(AND(LEFT(F389,2)="MP",H389&lt;&gt;Base_Dados!$A$1),"Impossível!!!"," ")</f>
        <v xml:space="preserve"> </v>
      </c>
      <c r="N389" s="15" t="str">
        <f>IF(E389="Avião",IF($G389&lt;=VLOOKUP($F389,Base_Dados!$K$1:$O$7,3,FALSE)," ","Limite "&amp;VLOOKUP($F389,Base_Dados!$K$1:$O$11,3,FALSE)&amp;" "&amp;VLOOKUP($F389,Base_Dados!$K$1:$O$11,2,FALSE))," ")</f>
        <v xml:space="preserve"> </v>
      </c>
      <c r="O389" s="15" t="str">
        <f>IF(E389="Caminhão",IF($G389&lt;=VLOOKUP($F389,Base_Dados!$K$1:$O$7,4,FALSE)," ","Limite "&amp;VLOOKUP($F389,Base_Dados!$K$1:$O$11,4,FALSE)&amp;" "&amp;VLOOKUP($F389,Base_Dados!$K$1:$O$11,2,FALSE))," ")</f>
        <v xml:space="preserve"> </v>
      </c>
      <c r="P389" s="15" t="str">
        <f>IF(E389="Navio",IF($G389&lt;=VLOOKUP($F389,Base_Dados!$K$1:$O$7,5,FALSE)," ","Limite "&amp;VLOOKUP($F389,Base_Dados!$K$1:$O$11,5,FALSE)&amp;" "&amp;VLOOKUP($F389,Base_Dados!$K$1:$O$11,2,FALSE))," ")</f>
        <v xml:space="preserve"> </v>
      </c>
      <c r="Q389" s="15" t="str">
        <f t="shared" si="3"/>
        <v>Fluxo Impossível</v>
      </c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24" customHeight="1" x14ac:dyDescent="0.3">
      <c r="A390" s="10"/>
      <c r="B390" s="10"/>
      <c r="C390" s="11"/>
      <c r="D390" s="11"/>
      <c r="E390" s="11"/>
      <c r="F390" s="11"/>
      <c r="G390" s="12"/>
      <c r="H390" s="11"/>
      <c r="I390" s="11"/>
      <c r="J390" s="24" t="e">
        <f>VLOOKUP(C390&amp;I390&amp;E390,Orig_Dest!$A$2:$E$1876,5,FALSE)</f>
        <v>#N/A</v>
      </c>
      <c r="K390" s="14" t="e">
        <f t="shared" si="2"/>
        <v>#VALUE!</v>
      </c>
      <c r="L390" s="15" t="str">
        <f>IF(B390="Fornecedor",IF(VLOOKUP(C390,Base_Dados!$E$1:$F$7,2,FALSE)=F390," ","Fornecedor inválido!")," ")</f>
        <v xml:space="preserve"> </v>
      </c>
      <c r="M390" s="16" t="str">
        <f>IF(AND(LEFT(F390,2)="MP",H390&lt;&gt;Base_Dados!$A$1),"Impossível!!!"," ")</f>
        <v xml:space="preserve"> </v>
      </c>
      <c r="N390" s="15" t="str">
        <f>IF(E390="Avião",IF($G390&lt;=VLOOKUP($F390,Base_Dados!$K$1:$O$7,3,FALSE)," ","Limite "&amp;VLOOKUP($F390,Base_Dados!$K$1:$O$11,3,FALSE)&amp;" "&amp;VLOOKUP($F390,Base_Dados!$K$1:$O$11,2,FALSE))," ")</f>
        <v xml:space="preserve"> </v>
      </c>
      <c r="O390" s="15" t="str">
        <f>IF(E390="Caminhão",IF($G390&lt;=VLOOKUP($F390,Base_Dados!$K$1:$O$7,4,FALSE)," ","Limite "&amp;VLOOKUP($F390,Base_Dados!$K$1:$O$11,4,FALSE)&amp;" "&amp;VLOOKUP($F390,Base_Dados!$K$1:$O$11,2,FALSE))," ")</f>
        <v xml:space="preserve"> </v>
      </c>
      <c r="P390" s="15" t="str">
        <f>IF(E390="Navio",IF($G390&lt;=VLOOKUP($F390,Base_Dados!$K$1:$O$7,5,FALSE)," ","Limite "&amp;VLOOKUP($F390,Base_Dados!$K$1:$O$11,5,FALSE)&amp;" "&amp;VLOOKUP($F390,Base_Dados!$K$1:$O$11,2,FALSE))," ")</f>
        <v xml:space="preserve"> </v>
      </c>
      <c r="Q390" s="15" t="str">
        <f t="shared" si="3"/>
        <v>Fluxo Impossível</v>
      </c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24" customHeight="1" x14ac:dyDescent="0.3">
      <c r="A391" s="10"/>
      <c r="B391" s="10"/>
      <c r="C391" s="11"/>
      <c r="D391" s="11"/>
      <c r="E391" s="11"/>
      <c r="F391" s="11"/>
      <c r="G391" s="12"/>
      <c r="H391" s="11"/>
      <c r="I391" s="11"/>
      <c r="J391" s="24" t="e">
        <f>VLOOKUP(C391&amp;I391&amp;E391,Orig_Dest!$A$2:$E$1876,5,FALSE)</f>
        <v>#N/A</v>
      </c>
      <c r="K391" s="14" t="e">
        <f t="shared" si="2"/>
        <v>#VALUE!</v>
      </c>
      <c r="L391" s="15" t="str">
        <f>IF(B391="Fornecedor",IF(VLOOKUP(C391,Base_Dados!$E$1:$F$7,2,FALSE)=F391," ","Fornecedor inválido!")," ")</f>
        <v xml:space="preserve"> </v>
      </c>
      <c r="M391" s="16" t="str">
        <f>IF(AND(LEFT(F391,2)="MP",H391&lt;&gt;Base_Dados!$A$1),"Impossível!!!"," ")</f>
        <v xml:space="preserve"> </v>
      </c>
      <c r="N391" s="15" t="str">
        <f>IF(E391="Avião",IF($G391&lt;=VLOOKUP($F391,Base_Dados!$K$1:$O$7,3,FALSE)," ","Limite "&amp;VLOOKUP($F391,Base_Dados!$K$1:$O$11,3,FALSE)&amp;" "&amp;VLOOKUP($F391,Base_Dados!$K$1:$O$11,2,FALSE))," ")</f>
        <v xml:space="preserve"> </v>
      </c>
      <c r="O391" s="15" t="str">
        <f>IF(E391="Caminhão",IF($G391&lt;=VLOOKUP($F391,Base_Dados!$K$1:$O$7,4,FALSE)," ","Limite "&amp;VLOOKUP($F391,Base_Dados!$K$1:$O$11,4,FALSE)&amp;" "&amp;VLOOKUP($F391,Base_Dados!$K$1:$O$11,2,FALSE))," ")</f>
        <v xml:space="preserve"> </v>
      </c>
      <c r="P391" s="15" t="str">
        <f>IF(E391="Navio",IF($G391&lt;=VLOOKUP($F391,Base_Dados!$K$1:$O$7,5,FALSE)," ","Limite "&amp;VLOOKUP($F391,Base_Dados!$K$1:$O$11,5,FALSE)&amp;" "&amp;VLOOKUP($F391,Base_Dados!$K$1:$O$11,2,FALSE))," ")</f>
        <v xml:space="preserve"> </v>
      </c>
      <c r="Q391" s="15" t="str">
        <f t="shared" si="3"/>
        <v>Fluxo Impossível</v>
      </c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24" customHeight="1" x14ac:dyDescent="0.3">
      <c r="A392" s="10"/>
      <c r="B392" s="10"/>
      <c r="C392" s="11"/>
      <c r="D392" s="11"/>
      <c r="E392" s="11"/>
      <c r="F392" s="11"/>
      <c r="G392" s="12"/>
      <c r="H392" s="11"/>
      <c r="I392" s="11"/>
      <c r="J392" s="24" t="e">
        <f>VLOOKUP(C392&amp;I392&amp;E392,Orig_Dest!$A$2:$E$1876,5,FALSE)</f>
        <v>#N/A</v>
      </c>
      <c r="K392" s="14" t="e">
        <f t="shared" si="2"/>
        <v>#VALUE!</v>
      </c>
      <c r="L392" s="15" t="str">
        <f>IF(B392="Fornecedor",IF(VLOOKUP(C392,Base_Dados!$E$1:$F$7,2,FALSE)=F392," ","Fornecedor inválido!")," ")</f>
        <v xml:space="preserve"> </v>
      </c>
      <c r="M392" s="16" t="str">
        <f>IF(AND(LEFT(F392,2)="MP",H392&lt;&gt;Base_Dados!$A$1),"Impossível!!!"," ")</f>
        <v xml:space="preserve"> </v>
      </c>
      <c r="N392" s="15" t="str">
        <f>IF(E392="Avião",IF($G392&lt;=VLOOKUP($F392,Base_Dados!$K$1:$O$7,3,FALSE)," ","Limite "&amp;VLOOKUP($F392,Base_Dados!$K$1:$O$11,3,FALSE)&amp;" "&amp;VLOOKUP($F392,Base_Dados!$K$1:$O$11,2,FALSE))," ")</f>
        <v xml:space="preserve"> </v>
      </c>
      <c r="O392" s="15" t="str">
        <f>IF(E392="Caminhão",IF($G392&lt;=VLOOKUP($F392,Base_Dados!$K$1:$O$7,4,FALSE)," ","Limite "&amp;VLOOKUP($F392,Base_Dados!$K$1:$O$11,4,FALSE)&amp;" "&amp;VLOOKUP($F392,Base_Dados!$K$1:$O$11,2,FALSE))," ")</f>
        <v xml:space="preserve"> </v>
      </c>
      <c r="P392" s="15" t="str">
        <f>IF(E392="Navio",IF($G392&lt;=VLOOKUP($F392,Base_Dados!$K$1:$O$7,5,FALSE)," ","Limite "&amp;VLOOKUP($F392,Base_Dados!$K$1:$O$11,5,FALSE)&amp;" "&amp;VLOOKUP($F392,Base_Dados!$K$1:$O$11,2,FALSE))," ")</f>
        <v xml:space="preserve"> </v>
      </c>
      <c r="Q392" s="15" t="str">
        <f t="shared" si="3"/>
        <v>Fluxo Impossível</v>
      </c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24" customHeight="1" x14ac:dyDescent="0.3">
      <c r="A393" s="10"/>
      <c r="B393" s="10"/>
      <c r="C393" s="11"/>
      <c r="D393" s="11"/>
      <c r="E393" s="11"/>
      <c r="F393" s="11"/>
      <c r="G393" s="12"/>
      <c r="H393" s="11"/>
      <c r="I393" s="11"/>
      <c r="J393" s="24" t="e">
        <f>VLOOKUP(C393&amp;I393&amp;E393,Orig_Dest!$A$2:$E$1876,5,FALSE)</f>
        <v>#N/A</v>
      </c>
      <c r="K393" s="14" t="e">
        <f t="shared" si="2"/>
        <v>#VALUE!</v>
      </c>
      <c r="L393" s="15" t="str">
        <f>IF(B393="Fornecedor",IF(VLOOKUP(C393,Base_Dados!$E$1:$F$7,2,FALSE)=F393," ","Fornecedor inválido!")," ")</f>
        <v xml:space="preserve"> </v>
      </c>
      <c r="M393" s="16" t="str">
        <f>IF(AND(LEFT(F393,2)="MP",H393&lt;&gt;Base_Dados!$A$1),"Impossível!!!"," ")</f>
        <v xml:space="preserve"> </v>
      </c>
      <c r="N393" s="15" t="str">
        <f>IF(E393="Avião",IF($G393&lt;=VLOOKUP($F393,Base_Dados!$K$1:$O$7,3,FALSE)," ","Limite "&amp;VLOOKUP($F393,Base_Dados!$K$1:$O$11,3,FALSE)&amp;" "&amp;VLOOKUP($F393,Base_Dados!$K$1:$O$11,2,FALSE))," ")</f>
        <v xml:space="preserve"> </v>
      </c>
      <c r="O393" s="15" t="str">
        <f>IF(E393="Caminhão",IF($G393&lt;=VLOOKUP($F393,Base_Dados!$K$1:$O$7,4,FALSE)," ","Limite "&amp;VLOOKUP($F393,Base_Dados!$K$1:$O$11,4,FALSE)&amp;" "&amp;VLOOKUP($F393,Base_Dados!$K$1:$O$11,2,FALSE))," ")</f>
        <v xml:space="preserve"> </v>
      </c>
      <c r="P393" s="15" t="str">
        <f>IF(E393="Navio",IF($G393&lt;=VLOOKUP($F393,Base_Dados!$K$1:$O$7,5,FALSE)," ","Limite "&amp;VLOOKUP($F393,Base_Dados!$K$1:$O$11,5,FALSE)&amp;" "&amp;VLOOKUP($F393,Base_Dados!$K$1:$O$11,2,FALSE))," ")</f>
        <v xml:space="preserve"> </v>
      </c>
      <c r="Q393" s="15" t="str">
        <f t="shared" si="3"/>
        <v>Fluxo Impossível</v>
      </c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24" customHeight="1" x14ac:dyDescent="0.3">
      <c r="A394" s="10"/>
      <c r="B394" s="10"/>
      <c r="C394" s="11"/>
      <c r="D394" s="11"/>
      <c r="E394" s="11"/>
      <c r="F394" s="11"/>
      <c r="G394" s="12"/>
      <c r="H394" s="11"/>
      <c r="I394" s="11"/>
      <c r="J394" s="24" t="e">
        <f>VLOOKUP(C394&amp;I394&amp;E394,Orig_Dest!$A$2:$E$1876,5,FALSE)</f>
        <v>#N/A</v>
      </c>
      <c r="K394" s="14" t="e">
        <f t="shared" si="2"/>
        <v>#VALUE!</v>
      </c>
      <c r="L394" s="15" t="str">
        <f>IF(B394="Fornecedor",IF(VLOOKUP(C394,Base_Dados!$E$1:$F$7,2,FALSE)=F394," ","Fornecedor inválido!")," ")</f>
        <v xml:space="preserve"> </v>
      </c>
      <c r="M394" s="16" t="str">
        <f>IF(AND(LEFT(F394,2)="MP",H394&lt;&gt;Base_Dados!$A$1),"Impossível!!!"," ")</f>
        <v xml:space="preserve"> </v>
      </c>
      <c r="N394" s="15" t="str">
        <f>IF(E394="Avião",IF($G394&lt;=VLOOKUP($F394,Base_Dados!$K$1:$O$7,3,FALSE)," ","Limite "&amp;VLOOKUP($F394,Base_Dados!$K$1:$O$11,3,FALSE)&amp;" "&amp;VLOOKUP($F394,Base_Dados!$K$1:$O$11,2,FALSE))," ")</f>
        <v xml:space="preserve"> </v>
      </c>
      <c r="O394" s="15" t="str">
        <f>IF(E394="Caminhão",IF($G394&lt;=VLOOKUP($F394,Base_Dados!$K$1:$O$7,4,FALSE)," ","Limite "&amp;VLOOKUP($F394,Base_Dados!$K$1:$O$11,4,FALSE)&amp;" "&amp;VLOOKUP($F394,Base_Dados!$K$1:$O$11,2,FALSE))," ")</f>
        <v xml:space="preserve"> </v>
      </c>
      <c r="P394" s="15" t="str">
        <f>IF(E394="Navio",IF($G394&lt;=VLOOKUP($F394,Base_Dados!$K$1:$O$7,5,FALSE)," ","Limite "&amp;VLOOKUP($F394,Base_Dados!$K$1:$O$11,5,FALSE)&amp;" "&amp;VLOOKUP($F394,Base_Dados!$K$1:$O$11,2,FALSE))," ")</f>
        <v xml:space="preserve"> </v>
      </c>
      <c r="Q394" s="15" t="str">
        <f t="shared" si="3"/>
        <v>Fluxo Impossível</v>
      </c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24" customHeight="1" x14ac:dyDescent="0.3">
      <c r="A395" s="10"/>
      <c r="B395" s="10"/>
      <c r="C395" s="11"/>
      <c r="D395" s="11"/>
      <c r="E395" s="11"/>
      <c r="F395" s="11"/>
      <c r="G395" s="12"/>
      <c r="H395" s="11"/>
      <c r="I395" s="11"/>
      <c r="J395" s="24" t="e">
        <f>VLOOKUP(C395&amp;I395&amp;E395,Orig_Dest!$A$2:$E$1876,5,FALSE)</f>
        <v>#N/A</v>
      </c>
      <c r="K395" s="14" t="e">
        <f t="shared" si="2"/>
        <v>#VALUE!</v>
      </c>
      <c r="L395" s="15" t="str">
        <f>IF(B395="Fornecedor",IF(VLOOKUP(C395,Base_Dados!$E$1:$F$7,2,FALSE)=F395," ","Fornecedor inválido!")," ")</f>
        <v xml:space="preserve"> </v>
      </c>
      <c r="M395" s="16" t="str">
        <f>IF(AND(LEFT(F395,2)="MP",H395&lt;&gt;Base_Dados!$A$1),"Impossível!!!"," ")</f>
        <v xml:space="preserve"> </v>
      </c>
      <c r="N395" s="15" t="str">
        <f>IF(E395="Avião",IF($G395&lt;=VLOOKUP($F395,Base_Dados!$K$1:$O$7,3,FALSE)," ","Limite "&amp;VLOOKUP($F395,Base_Dados!$K$1:$O$11,3,FALSE)&amp;" "&amp;VLOOKUP($F395,Base_Dados!$K$1:$O$11,2,FALSE))," ")</f>
        <v xml:space="preserve"> </v>
      </c>
      <c r="O395" s="15" t="str">
        <f>IF(E395="Caminhão",IF($G395&lt;=VLOOKUP($F395,Base_Dados!$K$1:$O$7,4,FALSE)," ","Limite "&amp;VLOOKUP($F395,Base_Dados!$K$1:$O$11,4,FALSE)&amp;" "&amp;VLOOKUP($F395,Base_Dados!$K$1:$O$11,2,FALSE))," ")</f>
        <v xml:space="preserve"> </v>
      </c>
      <c r="P395" s="15" t="str">
        <f>IF(E395="Navio",IF($G395&lt;=VLOOKUP($F395,Base_Dados!$K$1:$O$7,5,FALSE)," ","Limite "&amp;VLOOKUP($F395,Base_Dados!$K$1:$O$11,5,FALSE)&amp;" "&amp;VLOOKUP($F395,Base_Dados!$K$1:$O$11,2,FALSE))," ")</f>
        <v xml:space="preserve"> </v>
      </c>
      <c r="Q395" s="15" t="str">
        <f t="shared" si="3"/>
        <v>Fluxo Impossível</v>
      </c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24" customHeight="1" x14ac:dyDescent="0.3">
      <c r="A396" s="10"/>
      <c r="B396" s="10"/>
      <c r="C396" s="11"/>
      <c r="D396" s="11"/>
      <c r="E396" s="11"/>
      <c r="F396" s="11"/>
      <c r="G396" s="12"/>
      <c r="H396" s="11"/>
      <c r="I396" s="11"/>
      <c r="J396" s="24" t="e">
        <f>VLOOKUP(C396&amp;I396&amp;E396,Orig_Dest!$A$2:$E$1876,5,FALSE)</f>
        <v>#N/A</v>
      </c>
      <c r="K396" s="14" t="e">
        <f t="shared" si="2"/>
        <v>#VALUE!</v>
      </c>
      <c r="L396" s="15" t="str">
        <f>IF(B396="Fornecedor",IF(VLOOKUP(C396,Base_Dados!$E$1:$F$7,2,FALSE)=F396," ","Fornecedor inválido!")," ")</f>
        <v xml:space="preserve"> </v>
      </c>
      <c r="M396" s="16" t="str">
        <f>IF(AND(LEFT(F396,2)="MP",H396&lt;&gt;Base_Dados!$A$1),"Impossível!!!"," ")</f>
        <v xml:space="preserve"> </v>
      </c>
      <c r="N396" s="15" t="str">
        <f>IF(E396="Avião",IF($G396&lt;=VLOOKUP($F396,Base_Dados!$K$1:$O$7,3,FALSE)," ","Limite "&amp;VLOOKUP($F396,Base_Dados!$K$1:$O$11,3,FALSE)&amp;" "&amp;VLOOKUP($F396,Base_Dados!$K$1:$O$11,2,FALSE))," ")</f>
        <v xml:space="preserve"> </v>
      </c>
      <c r="O396" s="15" t="str">
        <f>IF(E396="Caminhão",IF($G396&lt;=VLOOKUP($F396,Base_Dados!$K$1:$O$7,4,FALSE)," ","Limite "&amp;VLOOKUP($F396,Base_Dados!$K$1:$O$11,4,FALSE)&amp;" "&amp;VLOOKUP($F396,Base_Dados!$K$1:$O$11,2,FALSE))," ")</f>
        <v xml:space="preserve"> </v>
      </c>
      <c r="P396" s="15" t="str">
        <f>IF(E396="Navio",IF($G396&lt;=VLOOKUP($F396,Base_Dados!$K$1:$O$7,5,FALSE)," ","Limite "&amp;VLOOKUP($F396,Base_Dados!$K$1:$O$11,5,FALSE)&amp;" "&amp;VLOOKUP($F396,Base_Dados!$K$1:$O$11,2,FALSE))," ")</f>
        <v xml:space="preserve"> </v>
      </c>
      <c r="Q396" s="15" t="str">
        <f t="shared" si="3"/>
        <v>Fluxo Impossível</v>
      </c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24" customHeight="1" x14ac:dyDescent="0.3">
      <c r="A397" s="10"/>
      <c r="B397" s="10"/>
      <c r="C397" s="11"/>
      <c r="D397" s="11"/>
      <c r="E397" s="11"/>
      <c r="F397" s="11"/>
      <c r="G397" s="12"/>
      <c r="H397" s="11"/>
      <c r="I397" s="11"/>
      <c r="J397" s="24" t="e">
        <f>VLOOKUP(C397&amp;I397&amp;E397,Orig_Dest!$A$2:$E$1876,5,FALSE)</f>
        <v>#N/A</v>
      </c>
      <c r="K397" s="14" t="e">
        <f t="shared" si="2"/>
        <v>#VALUE!</v>
      </c>
      <c r="L397" s="15" t="str">
        <f>IF(B397="Fornecedor",IF(VLOOKUP(C397,Base_Dados!$E$1:$F$7,2,FALSE)=F397," ","Fornecedor inválido!")," ")</f>
        <v xml:space="preserve"> </v>
      </c>
      <c r="M397" s="16" t="str">
        <f>IF(AND(LEFT(F397,2)="MP",H397&lt;&gt;Base_Dados!$A$1),"Impossível!!!"," ")</f>
        <v xml:space="preserve"> </v>
      </c>
      <c r="N397" s="15" t="str">
        <f>IF(E397="Avião",IF($G397&lt;=VLOOKUP($F397,Base_Dados!$K$1:$O$7,3,FALSE)," ","Limite "&amp;VLOOKUP($F397,Base_Dados!$K$1:$O$11,3,FALSE)&amp;" "&amp;VLOOKUP($F397,Base_Dados!$K$1:$O$11,2,FALSE))," ")</f>
        <v xml:space="preserve"> </v>
      </c>
      <c r="O397" s="15" t="str">
        <f>IF(E397="Caminhão",IF($G397&lt;=VLOOKUP($F397,Base_Dados!$K$1:$O$7,4,FALSE)," ","Limite "&amp;VLOOKUP($F397,Base_Dados!$K$1:$O$11,4,FALSE)&amp;" "&amp;VLOOKUP($F397,Base_Dados!$K$1:$O$11,2,FALSE))," ")</f>
        <v xml:space="preserve"> </v>
      </c>
      <c r="P397" s="15" t="str">
        <f>IF(E397="Navio",IF($G397&lt;=VLOOKUP($F397,Base_Dados!$K$1:$O$7,5,FALSE)," ","Limite "&amp;VLOOKUP($F397,Base_Dados!$K$1:$O$11,5,FALSE)&amp;" "&amp;VLOOKUP($F397,Base_Dados!$K$1:$O$11,2,FALSE))," ")</f>
        <v xml:space="preserve"> </v>
      </c>
      <c r="Q397" s="15" t="str">
        <f t="shared" si="3"/>
        <v>Fluxo Impossível</v>
      </c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24" customHeight="1" x14ac:dyDescent="0.3">
      <c r="A398" s="10"/>
      <c r="B398" s="10"/>
      <c r="C398" s="11"/>
      <c r="D398" s="11"/>
      <c r="E398" s="11"/>
      <c r="F398" s="11"/>
      <c r="G398" s="12"/>
      <c r="H398" s="11"/>
      <c r="I398" s="11"/>
      <c r="J398" s="24" t="e">
        <f>VLOOKUP(C398&amp;I398&amp;E398,Orig_Dest!$A$2:$E$1876,5,FALSE)</f>
        <v>#N/A</v>
      </c>
      <c r="K398" s="14" t="e">
        <f t="shared" si="2"/>
        <v>#VALUE!</v>
      </c>
      <c r="L398" s="15" t="str">
        <f>IF(B398="Fornecedor",IF(VLOOKUP(C398,Base_Dados!$E$1:$F$7,2,FALSE)=F398," ","Fornecedor inválido!")," ")</f>
        <v xml:space="preserve"> </v>
      </c>
      <c r="M398" s="16" t="str">
        <f>IF(AND(LEFT(F398,2)="MP",H398&lt;&gt;Base_Dados!$A$1),"Impossível!!!"," ")</f>
        <v xml:space="preserve"> </v>
      </c>
      <c r="N398" s="15" t="str">
        <f>IF(E398="Avião",IF($G398&lt;=VLOOKUP($F398,Base_Dados!$K$1:$O$7,3,FALSE)," ","Limite "&amp;VLOOKUP($F398,Base_Dados!$K$1:$O$11,3,FALSE)&amp;" "&amp;VLOOKUP($F398,Base_Dados!$K$1:$O$11,2,FALSE))," ")</f>
        <v xml:space="preserve"> </v>
      </c>
      <c r="O398" s="15" t="str">
        <f>IF(E398="Caminhão",IF($G398&lt;=VLOOKUP($F398,Base_Dados!$K$1:$O$7,4,FALSE)," ","Limite "&amp;VLOOKUP($F398,Base_Dados!$K$1:$O$11,4,FALSE)&amp;" "&amp;VLOOKUP($F398,Base_Dados!$K$1:$O$11,2,FALSE))," ")</f>
        <v xml:space="preserve"> </v>
      </c>
      <c r="P398" s="15" t="str">
        <f>IF(E398="Navio",IF($G398&lt;=VLOOKUP($F398,Base_Dados!$K$1:$O$7,5,FALSE)," ","Limite "&amp;VLOOKUP($F398,Base_Dados!$K$1:$O$11,5,FALSE)&amp;" "&amp;VLOOKUP($F398,Base_Dados!$K$1:$O$11,2,FALSE))," ")</f>
        <v xml:space="preserve"> </v>
      </c>
      <c r="Q398" s="15" t="str">
        <f t="shared" si="3"/>
        <v>Fluxo Impossível</v>
      </c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24" customHeight="1" x14ac:dyDescent="0.3">
      <c r="A399" s="10"/>
      <c r="B399" s="10"/>
      <c r="C399" s="11"/>
      <c r="D399" s="11"/>
      <c r="E399" s="11"/>
      <c r="F399" s="11"/>
      <c r="G399" s="12"/>
      <c r="H399" s="11"/>
      <c r="I399" s="11"/>
      <c r="J399" s="24" t="e">
        <f>VLOOKUP(C399&amp;I399&amp;E399,Orig_Dest!$A$2:$E$1876,5,FALSE)</f>
        <v>#N/A</v>
      </c>
      <c r="K399" s="14" t="e">
        <f t="shared" si="2"/>
        <v>#VALUE!</v>
      </c>
      <c r="L399" s="15" t="str">
        <f>IF(B399="Fornecedor",IF(VLOOKUP(C399,Base_Dados!$E$1:$F$7,2,FALSE)=F399," ","Fornecedor inválido!")," ")</f>
        <v xml:space="preserve"> </v>
      </c>
      <c r="M399" s="16" t="str">
        <f>IF(AND(LEFT(F399,2)="MP",H399&lt;&gt;Base_Dados!$A$1),"Impossível!!!"," ")</f>
        <v xml:space="preserve"> </v>
      </c>
      <c r="N399" s="15" t="str">
        <f>IF(E399="Avião",IF($G399&lt;=VLOOKUP($F399,Base_Dados!$K$1:$O$7,3,FALSE)," ","Limite "&amp;VLOOKUP($F399,Base_Dados!$K$1:$O$11,3,FALSE)&amp;" "&amp;VLOOKUP($F399,Base_Dados!$K$1:$O$11,2,FALSE))," ")</f>
        <v xml:space="preserve"> </v>
      </c>
      <c r="O399" s="15" t="str">
        <f>IF(E399="Caminhão",IF($G399&lt;=VLOOKUP($F399,Base_Dados!$K$1:$O$7,4,FALSE)," ","Limite "&amp;VLOOKUP($F399,Base_Dados!$K$1:$O$11,4,FALSE)&amp;" "&amp;VLOOKUP($F399,Base_Dados!$K$1:$O$11,2,FALSE))," ")</f>
        <v xml:space="preserve"> </v>
      </c>
      <c r="P399" s="15" t="str">
        <f>IF(E399="Navio",IF($G399&lt;=VLOOKUP($F399,Base_Dados!$K$1:$O$7,5,FALSE)," ","Limite "&amp;VLOOKUP($F399,Base_Dados!$K$1:$O$11,5,FALSE)&amp;" "&amp;VLOOKUP($F399,Base_Dados!$K$1:$O$11,2,FALSE))," ")</f>
        <v xml:space="preserve"> </v>
      </c>
      <c r="Q399" s="15" t="str">
        <f t="shared" si="3"/>
        <v>Fluxo Impossível</v>
      </c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24" customHeight="1" x14ac:dyDescent="0.3">
      <c r="A400" s="10"/>
      <c r="B400" s="10"/>
      <c r="C400" s="11"/>
      <c r="D400" s="11"/>
      <c r="E400" s="11"/>
      <c r="F400" s="11"/>
      <c r="G400" s="12"/>
      <c r="H400" s="11"/>
      <c r="I400" s="11"/>
      <c r="J400" s="24" t="e">
        <f>VLOOKUP(C400&amp;I400&amp;E400,Orig_Dest!$A$2:$E$1876,5,FALSE)</f>
        <v>#N/A</v>
      </c>
      <c r="K400" s="14" t="e">
        <f t="shared" si="2"/>
        <v>#VALUE!</v>
      </c>
      <c r="L400" s="15" t="str">
        <f>IF(B400="Fornecedor",IF(VLOOKUP(C400,Base_Dados!$E$1:$F$7,2,FALSE)=F400," ","Fornecedor inválido!")," ")</f>
        <v xml:space="preserve"> </v>
      </c>
      <c r="M400" s="16" t="str">
        <f>IF(AND(LEFT(F400,2)="MP",H400&lt;&gt;Base_Dados!$A$1),"Impossível!!!"," ")</f>
        <v xml:space="preserve"> </v>
      </c>
      <c r="N400" s="15" t="str">
        <f>IF(E400="Avião",IF($G400&lt;=VLOOKUP($F400,Base_Dados!$K$1:$O$7,3,FALSE)," ","Limite "&amp;VLOOKUP($F400,Base_Dados!$K$1:$O$11,3,FALSE)&amp;" "&amp;VLOOKUP($F400,Base_Dados!$K$1:$O$11,2,FALSE))," ")</f>
        <v xml:space="preserve"> </v>
      </c>
      <c r="O400" s="15" t="str">
        <f>IF(E400="Caminhão",IF($G400&lt;=VLOOKUP($F400,Base_Dados!$K$1:$O$7,4,FALSE)," ","Limite "&amp;VLOOKUP($F400,Base_Dados!$K$1:$O$11,4,FALSE)&amp;" "&amp;VLOOKUP($F400,Base_Dados!$K$1:$O$11,2,FALSE))," ")</f>
        <v xml:space="preserve"> </v>
      </c>
      <c r="P400" s="15" t="str">
        <f>IF(E400="Navio",IF($G400&lt;=VLOOKUP($F400,Base_Dados!$K$1:$O$7,5,FALSE)," ","Limite "&amp;VLOOKUP($F400,Base_Dados!$K$1:$O$11,5,FALSE)&amp;" "&amp;VLOOKUP($F400,Base_Dados!$K$1:$O$11,2,FALSE))," ")</f>
        <v xml:space="preserve"> </v>
      </c>
      <c r="Q400" s="15" t="str">
        <f t="shared" si="3"/>
        <v>Fluxo Impossível</v>
      </c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4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4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4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4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4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4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4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4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4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4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4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4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4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4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4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4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4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4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4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4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4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4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4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4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4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4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4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4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4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4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4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4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4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4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4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4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4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4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4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4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4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4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4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4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4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4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4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4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4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4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4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4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4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4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4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4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4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4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4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4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4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4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4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4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4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4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4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4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4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4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4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4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4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4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4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4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4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4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4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4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4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4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4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4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4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4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4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4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4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4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4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4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4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4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4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4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4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4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4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4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4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4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4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4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4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4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4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4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4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4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4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4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4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4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4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4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4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4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4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4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4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4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4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4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4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4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4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4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4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4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4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4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4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4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4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4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4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4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4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4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4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4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4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4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4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4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4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4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4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4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4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4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4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4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4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4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4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4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4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4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4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4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4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4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4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4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4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4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4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4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4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4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4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4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4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4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4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4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4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4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4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4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4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4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4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4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4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4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4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4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4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4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4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4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4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4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4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4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4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4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4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4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4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4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4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4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4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4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4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4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4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4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4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4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4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4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4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4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4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4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4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4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4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4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4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4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4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4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4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4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4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4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4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4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4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4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4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4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4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4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4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4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4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4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4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4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4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4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4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4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4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4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4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4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4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4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4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4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4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4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4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4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4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4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4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4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4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4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4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4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4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4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4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4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4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4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4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4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4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4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4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4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4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4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4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4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4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4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4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4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4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4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4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4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4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4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4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4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4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4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4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4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4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4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4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4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4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4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4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4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4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4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4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4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4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4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4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4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4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4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4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4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4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4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4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4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4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4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4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4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4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4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4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4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4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4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4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4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4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4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4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4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4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4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4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4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4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4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4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4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4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4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4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4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4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4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4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4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4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4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4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4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4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4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4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4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4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4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4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4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4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4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4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4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4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4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4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4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4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4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4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4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4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4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4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4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4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4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4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4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4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4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4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4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4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4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4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4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4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4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4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4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4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4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4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4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4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4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4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4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4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4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4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4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4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4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4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4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4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4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4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4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4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4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4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4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4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4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4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4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4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4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4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4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4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4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4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4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4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4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4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4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4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4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4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4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4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4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4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4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4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4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4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4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4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4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4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4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4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4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4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4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4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4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4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4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4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4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4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4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4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4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4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4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4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4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4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4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4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4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4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4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4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4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4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4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4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4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4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4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4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4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4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4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4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4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4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4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4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4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4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4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4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4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4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4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4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4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4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4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4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4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4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4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4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4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4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4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4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4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4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4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4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4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4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4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4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4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4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4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</sheetData>
  <conditionalFormatting sqref="L5:L400">
    <cfRule type="containsText" dxfId="5" priority="1" operator="containsText" text="For">
      <formula>NOT(ISERROR(SEARCH(("For"),(L5))))</formula>
    </cfRule>
  </conditionalFormatting>
  <conditionalFormatting sqref="M5:M400">
    <cfRule type="containsText" dxfId="4" priority="2" operator="containsText" text="Imp">
      <formula>NOT(ISERROR(SEARCH(("Imp"),(M5))))</formula>
    </cfRule>
  </conditionalFormatting>
  <conditionalFormatting sqref="N5:P400">
    <cfRule type="containsText" dxfId="3" priority="3" operator="containsText" text="Limite">
      <formula>NOT(ISERROR(SEARCH(("Limite"),(N5))))</formula>
    </cfRule>
  </conditionalFormatting>
  <conditionalFormatting sqref="Q5:Q400">
    <cfRule type="containsText" dxfId="2" priority="4" operator="containsText" text="Limite">
      <formula>NOT(ISERROR(SEARCH(("Limite"),(Q5))))</formula>
    </cfRule>
  </conditionalFormatting>
  <conditionalFormatting sqref="Q5:Q400">
    <cfRule type="containsText" dxfId="1" priority="5" operator="containsText" text="Fluxo Impossível">
      <formula>NOT(ISERROR(SEARCH(("Fluxo Impossível"),(Q5))))</formula>
    </cfRule>
  </conditionalFormatting>
  <conditionalFormatting sqref="Q5:Q400">
    <cfRule type="containsText" dxfId="0" priority="6" operator="containsText" text="Fluxo">
      <formula>NOT(ISERROR(SEARCH(("Fluxo"),(Q5))))</formula>
    </cfRule>
  </conditionalFormatting>
  <dataValidations count="8">
    <dataValidation type="list" allowBlank="1" showErrorMessage="1" sqref="C5:C400" xr:uid="{00000000-0002-0000-0000-000000000000}">
      <formula1>INDIRECT($B5)</formula1>
    </dataValidation>
    <dataValidation type="list" allowBlank="1" showErrorMessage="1" sqref="F5:F400" xr:uid="{00000000-0002-0000-0000-000001000000}">
      <formula1>Produto</formula1>
    </dataValidation>
    <dataValidation type="list" allowBlank="1" showErrorMessage="1" sqref="E5:E400" xr:uid="{00000000-0002-0000-0000-000002000000}">
      <formula1>Modal</formula1>
    </dataValidation>
    <dataValidation type="list" allowBlank="1" showErrorMessage="1" sqref="H5:H400" xr:uid="{00000000-0002-0000-0000-000003000000}">
      <formula1>Destino</formula1>
    </dataValidation>
    <dataValidation type="list" allowBlank="1" showErrorMessage="1" sqref="D5:D400" xr:uid="{00000000-0002-0000-0000-000004000000}">
      <formula1>INDIRECT($A5)</formula1>
    </dataValidation>
    <dataValidation type="list" allowBlank="1" showErrorMessage="1" sqref="A5:A400" xr:uid="{00000000-0002-0000-0000-000005000000}">
      <formula1>Rodada</formula1>
    </dataValidation>
    <dataValidation type="list" allowBlank="1" showErrorMessage="1" sqref="B5:B400" xr:uid="{00000000-0002-0000-0000-000006000000}">
      <formula1>Origem</formula1>
    </dataValidation>
    <dataValidation type="list" allowBlank="1" showErrorMessage="1" sqref="I5:I400" xr:uid="{00000000-0002-0000-0000-000007000000}">
      <formula1>INDIRECT($H5)</formula1>
    </dataValidation>
  </dataValidations>
  <pageMargins left="0.511811024" right="0.511811024" top="0.78740157499999996" bottom="0.78740157499999996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"/>
  <dimension ref="A1:Z1000"/>
  <sheetViews>
    <sheetView workbookViewId="0"/>
  </sheetViews>
  <sheetFormatPr defaultColWidth="14.44140625" defaultRowHeight="15" customHeight="1" x14ac:dyDescent="0.3"/>
  <cols>
    <col min="1" max="1" width="15.33203125" customWidth="1"/>
    <col min="2" max="2" width="24.6640625" customWidth="1"/>
    <col min="3" max="3" width="17" customWidth="1"/>
    <col min="4" max="4" width="18.6640625" customWidth="1"/>
    <col min="5" max="5" width="2.6640625" customWidth="1"/>
    <col min="6" max="6" width="12.33203125" customWidth="1"/>
    <col min="7" max="7" width="2.6640625" customWidth="1"/>
    <col min="8" max="8" width="15" customWidth="1"/>
    <col min="9" max="26" width="5.6640625" customWidth="1"/>
  </cols>
  <sheetData>
    <row r="1" spans="1:26" ht="15" customHeight="1" x14ac:dyDescent="0.55000000000000004">
      <c r="A1" s="25" t="s">
        <v>69</v>
      </c>
      <c r="B1" s="26"/>
      <c r="C1" s="26"/>
      <c r="D1" s="27"/>
      <c r="E1" s="27"/>
      <c r="F1" s="28" t="str">
        <f>SOL_TRANSP!L2</f>
        <v>JOGO 2</v>
      </c>
      <c r="G1" s="28"/>
      <c r="H1" s="28" t="s">
        <v>2</v>
      </c>
      <c r="I1" s="29" t="str">
        <f>SOL_TRANSP!N2</f>
        <v>FLAMENGO</v>
      </c>
      <c r="J1" s="30"/>
      <c r="K1" s="30"/>
      <c r="L1" s="30"/>
      <c r="M1" s="30"/>
      <c r="N1" s="30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</row>
    <row r="2" spans="1:26" ht="15.6" x14ac:dyDescent="0.3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</row>
    <row r="3" spans="1:26" ht="15.6" x14ac:dyDescent="0.35">
      <c r="A3" s="31" t="s">
        <v>27</v>
      </c>
      <c r="B3" s="31" t="s">
        <v>70</v>
      </c>
      <c r="C3" s="31" t="s">
        <v>71</v>
      </c>
      <c r="D3" s="31" t="s">
        <v>72</v>
      </c>
      <c r="E3" s="27"/>
      <c r="F3" s="32" t="s">
        <v>73</v>
      </c>
      <c r="G3" s="33"/>
      <c r="H3" s="68" t="s">
        <v>74</v>
      </c>
      <c r="I3" s="69"/>
      <c r="J3" s="69"/>
      <c r="K3" s="69"/>
      <c r="L3" s="69"/>
      <c r="M3" s="69"/>
      <c r="N3" s="70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</row>
    <row r="4" spans="1:26" ht="15.6" x14ac:dyDescent="0.35">
      <c r="A4" s="31" t="s">
        <v>75</v>
      </c>
      <c r="B4" s="34" t="str">
        <f>VLOOKUP($A4,INSTALAÇÕES!$A:$I,2,FALSE)</f>
        <v>Joinville</v>
      </c>
      <c r="C4" s="35">
        <f>VLOOKUP($A4,INSTALAÇÕES!$A:$I,3,FALSE)</f>
        <v>7</v>
      </c>
      <c r="D4" s="35">
        <f>VLOOKUP($A4,INSTALAÇÕES!$A:$I,5,FALSE)</f>
        <v>21</v>
      </c>
      <c r="E4" s="27"/>
      <c r="F4" s="36" t="s">
        <v>21</v>
      </c>
      <c r="G4" s="37"/>
      <c r="H4" s="71"/>
      <c r="I4" s="72"/>
      <c r="J4" s="72"/>
      <c r="K4" s="72"/>
      <c r="L4" s="72"/>
      <c r="M4" s="72"/>
      <c r="N4" s="73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</row>
    <row r="5" spans="1:26" ht="15.6" x14ac:dyDescent="0.3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spans="1:26" ht="15.6" x14ac:dyDescent="0.35">
      <c r="A6" s="38" t="str">
        <f>F4</f>
        <v>Rodada_9</v>
      </c>
      <c r="B6" s="38" t="s">
        <v>33</v>
      </c>
      <c r="C6" s="38" t="s">
        <v>35</v>
      </c>
      <c r="D6" s="38" t="s">
        <v>36</v>
      </c>
      <c r="E6" s="27"/>
      <c r="F6" s="74" t="s">
        <v>76</v>
      </c>
      <c r="G6" s="69"/>
      <c r="H6" s="69"/>
      <c r="I6" s="69"/>
      <c r="J6" s="69"/>
      <c r="K6" s="69"/>
      <c r="L6" s="69"/>
      <c r="M6" s="69"/>
      <c r="N6" s="70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</row>
    <row r="7" spans="1:26" ht="15.6" x14ac:dyDescent="0.35">
      <c r="A7" s="38" t="str">
        <f>HLOOKUP($A$6,Base_Dados!$Q$1:$BL$6,2,FALSE)</f>
        <v>Dia 41</v>
      </c>
      <c r="B7" s="39">
        <v>0</v>
      </c>
      <c r="C7" s="40">
        <v>302400</v>
      </c>
      <c r="D7" s="39">
        <v>0</v>
      </c>
      <c r="E7" s="27"/>
      <c r="F7" s="75"/>
      <c r="G7" s="76"/>
      <c r="H7" s="76"/>
      <c r="I7" s="76"/>
      <c r="J7" s="76"/>
      <c r="K7" s="76"/>
      <c r="L7" s="76"/>
      <c r="M7" s="76"/>
      <c r="N7" s="7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spans="1:26" ht="15.6" x14ac:dyDescent="0.35">
      <c r="A8" s="38" t="str">
        <f>HLOOKUP($A$6,Base_Dados!$Q$1:$BL$6,3,FALSE)</f>
        <v>Dia 42</v>
      </c>
      <c r="B8" s="39">
        <v>0</v>
      </c>
      <c r="C8" s="40">
        <v>29040</v>
      </c>
      <c r="D8" s="39">
        <v>0</v>
      </c>
      <c r="E8" s="27"/>
      <c r="F8" s="75"/>
      <c r="G8" s="76"/>
      <c r="H8" s="76"/>
      <c r="I8" s="76"/>
      <c r="J8" s="76"/>
      <c r="K8" s="76"/>
      <c r="L8" s="76"/>
      <c r="M8" s="76"/>
      <c r="N8" s="7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spans="1:26" ht="15.6" x14ac:dyDescent="0.35">
      <c r="A9" s="38" t="str">
        <f>HLOOKUP($A$6,Base_Dados!$Q$1:$BL$6,4,FALSE)</f>
        <v>Dia 43</v>
      </c>
      <c r="B9" s="39">
        <v>0</v>
      </c>
      <c r="C9" s="40">
        <v>302400</v>
      </c>
      <c r="D9" s="39">
        <v>0</v>
      </c>
      <c r="E9" s="27"/>
      <c r="F9" s="75"/>
      <c r="G9" s="76"/>
      <c r="H9" s="76"/>
      <c r="I9" s="76"/>
      <c r="J9" s="76"/>
      <c r="K9" s="76"/>
      <c r="L9" s="76"/>
      <c r="M9" s="76"/>
      <c r="N9" s="7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spans="1:26" ht="15.6" x14ac:dyDescent="0.35">
      <c r="A10" s="38" t="str">
        <f>HLOOKUP($A$6,Base_Dados!$Q$1:$BL$6,5,FALSE)</f>
        <v>Dia 44</v>
      </c>
      <c r="B10" s="39">
        <v>0</v>
      </c>
      <c r="C10" s="40">
        <v>150789</v>
      </c>
      <c r="D10" s="39">
        <v>0</v>
      </c>
      <c r="E10" s="27"/>
      <c r="F10" s="75"/>
      <c r="G10" s="76"/>
      <c r="H10" s="76"/>
      <c r="I10" s="76"/>
      <c r="J10" s="76"/>
      <c r="K10" s="76"/>
      <c r="L10" s="76"/>
      <c r="M10" s="76"/>
      <c r="N10" s="7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spans="1:26" ht="15.6" x14ac:dyDescent="0.35">
      <c r="A11" s="38" t="str">
        <f>HLOOKUP($A$6,Base_Dados!$Q$1:$BL$6,6,FALSE)</f>
        <v>Dia 45</v>
      </c>
      <c r="B11" s="39">
        <v>0</v>
      </c>
      <c r="C11" s="39">
        <v>0</v>
      </c>
      <c r="D11" s="39">
        <v>0</v>
      </c>
      <c r="E11" s="27"/>
      <c r="F11" s="78"/>
      <c r="G11" s="72"/>
      <c r="H11" s="72"/>
      <c r="I11" s="72"/>
      <c r="J11" s="72"/>
      <c r="K11" s="72"/>
      <c r="L11" s="72"/>
      <c r="M11" s="72"/>
      <c r="N11" s="73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spans="1:26" ht="15.6" x14ac:dyDescent="0.3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spans="1:26" ht="15.6" x14ac:dyDescent="0.35">
      <c r="A13" s="31" t="s">
        <v>27</v>
      </c>
      <c r="B13" s="31" t="s">
        <v>70</v>
      </c>
      <c r="C13" s="31" t="s">
        <v>71</v>
      </c>
      <c r="D13" s="31" t="s">
        <v>72</v>
      </c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spans="1:26" ht="15.6" x14ac:dyDescent="0.35">
      <c r="A14" s="31" t="s">
        <v>77</v>
      </c>
      <c r="B14" s="34">
        <f>VLOOKUP($A14,INSTALAÇÕES!$A:$I,2,FALSE)</f>
        <v>0</v>
      </c>
      <c r="C14" s="35">
        <f>VLOOKUP($A14,INSTALAÇÕES!$A:$I,3,FALSE)</f>
        <v>0</v>
      </c>
      <c r="D14" s="35">
        <f>VLOOKUP($A14,INSTALAÇÕES!$A:$I,5,FALSE)</f>
        <v>0</v>
      </c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spans="1:26" ht="15.6" x14ac:dyDescent="0.3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spans="1:26" ht="15.6" x14ac:dyDescent="0.35">
      <c r="A16" s="38" t="str">
        <f>F4</f>
        <v>Rodada_9</v>
      </c>
      <c r="B16" s="38" t="s">
        <v>33</v>
      </c>
      <c r="C16" s="38" t="s">
        <v>35</v>
      </c>
      <c r="D16" s="38" t="s">
        <v>36</v>
      </c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spans="1:26" ht="15.6" x14ac:dyDescent="0.35">
      <c r="A17" s="38" t="str">
        <f>HLOOKUP($A$6,Base_Dados!$Q$1:$BL$6,2,FALSE)</f>
        <v>Dia 41</v>
      </c>
      <c r="B17" s="39">
        <v>0</v>
      </c>
      <c r="C17" s="39">
        <v>0</v>
      </c>
      <c r="D17" s="39">
        <v>0</v>
      </c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</row>
    <row r="18" spans="1:26" ht="15.6" x14ac:dyDescent="0.35">
      <c r="A18" s="38" t="str">
        <f>HLOOKUP($A$6,Base_Dados!$Q$1:$BL$6,3,FALSE)</f>
        <v>Dia 42</v>
      </c>
      <c r="B18" s="39">
        <v>0</v>
      </c>
      <c r="C18" s="39">
        <v>0</v>
      </c>
      <c r="D18" s="39">
        <v>0</v>
      </c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</row>
    <row r="19" spans="1:26" ht="15.6" x14ac:dyDescent="0.35">
      <c r="A19" s="38" t="str">
        <f>HLOOKUP($A$6,Base_Dados!$Q$1:$BL$6,4,FALSE)</f>
        <v>Dia 43</v>
      </c>
      <c r="B19" s="39">
        <v>0</v>
      </c>
      <c r="C19" s="39">
        <v>0</v>
      </c>
      <c r="D19" s="39">
        <v>0</v>
      </c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</row>
    <row r="20" spans="1:26" ht="15.6" x14ac:dyDescent="0.35">
      <c r="A20" s="38" t="str">
        <f>HLOOKUP($A$6,Base_Dados!$Q$1:$BL$6,5,FALSE)</f>
        <v>Dia 44</v>
      </c>
      <c r="B20" s="39">
        <v>0</v>
      </c>
      <c r="C20" s="39">
        <v>0</v>
      </c>
      <c r="D20" s="39">
        <v>0</v>
      </c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</row>
    <row r="21" spans="1:26" ht="15.6" x14ac:dyDescent="0.35">
      <c r="A21" s="38" t="str">
        <f>HLOOKUP($A$6,Base_Dados!$Q$1:$BL$6,6,FALSE)</f>
        <v>Dia 45</v>
      </c>
      <c r="B21" s="39">
        <v>0</v>
      </c>
      <c r="C21" s="39">
        <v>0</v>
      </c>
      <c r="D21" s="39">
        <v>0</v>
      </c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</row>
    <row r="22" spans="1:26" ht="15.6" x14ac:dyDescent="0.3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spans="1:26" ht="15.6" x14ac:dyDescent="0.35">
      <c r="A23" s="41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</row>
    <row r="24" spans="1:26" ht="15.6" x14ac:dyDescent="0.3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</row>
    <row r="25" spans="1:26" ht="15.6" x14ac:dyDescent="0.3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</row>
    <row r="26" spans="1:26" ht="15.6" x14ac:dyDescent="0.3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</row>
    <row r="27" spans="1:26" ht="15.6" x14ac:dyDescent="0.3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</row>
    <row r="28" spans="1:26" ht="15.6" x14ac:dyDescent="0.3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</row>
    <row r="29" spans="1:26" ht="15.6" x14ac:dyDescent="0.3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</row>
    <row r="30" spans="1:26" ht="15.6" x14ac:dyDescent="0.3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</row>
    <row r="31" spans="1:26" ht="15.6" x14ac:dyDescent="0.35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</row>
    <row r="32" spans="1:26" ht="15.6" x14ac:dyDescent="0.35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</row>
    <row r="33" spans="1:26" ht="15.6" x14ac:dyDescent="0.35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</row>
    <row r="34" spans="1:26" ht="15.6" x14ac:dyDescent="0.35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</row>
    <row r="35" spans="1:26" ht="15.6" x14ac:dyDescent="0.35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</row>
    <row r="36" spans="1:26" ht="15.6" x14ac:dyDescent="0.35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</row>
    <row r="37" spans="1:26" ht="15.6" x14ac:dyDescent="0.35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</row>
    <row r="38" spans="1:26" ht="15.6" x14ac:dyDescent="0.35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</row>
    <row r="39" spans="1:26" ht="15.6" x14ac:dyDescent="0.35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</row>
    <row r="40" spans="1:26" ht="15.6" x14ac:dyDescent="0.35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</row>
    <row r="41" spans="1:26" ht="15.6" x14ac:dyDescent="0.3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</row>
    <row r="42" spans="1:26" ht="15.6" x14ac:dyDescent="0.35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</row>
    <row r="43" spans="1:26" ht="15.6" x14ac:dyDescent="0.35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</row>
    <row r="44" spans="1:26" ht="15.6" x14ac:dyDescent="0.35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</row>
    <row r="45" spans="1:26" ht="15.6" x14ac:dyDescent="0.35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</row>
    <row r="46" spans="1:26" ht="15.6" x14ac:dyDescent="0.35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</row>
    <row r="47" spans="1:26" ht="15.6" x14ac:dyDescent="0.35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</row>
    <row r="48" spans="1:26" ht="15.6" x14ac:dyDescent="0.35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</row>
    <row r="49" spans="1:26" ht="15.6" x14ac:dyDescent="0.3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</row>
    <row r="50" spans="1:26" ht="15.6" x14ac:dyDescent="0.35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</row>
    <row r="51" spans="1:26" ht="15.6" x14ac:dyDescent="0.3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</row>
    <row r="52" spans="1:26" ht="15.6" x14ac:dyDescent="0.3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</row>
    <row r="53" spans="1:26" ht="15.6" x14ac:dyDescent="0.3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</row>
    <row r="54" spans="1:26" ht="15.6" x14ac:dyDescent="0.3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</row>
    <row r="55" spans="1:26" ht="15.6" x14ac:dyDescent="0.3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</row>
    <row r="56" spans="1:26" ht="15.6" x14ac:dyDescent="0.3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</row>
    <row r="57" spans="1:26" ht="15.6" x14ac:dyDescent="0.3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</row>
    <row r="58" spans="1:26" ht="15.6" x14ac:dyDescent="0.3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</row>
    <row r="59" spans="1:26" ht="15.6" x14ac:dyDescent="0.3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</row>
    <row r="60" spans="1:26" ht="15.6" x14ac:dyDescent="0.3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</row>
    <row r="61" spans="1:26" ht="15.6" x14ac:dyDescent="0.3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</row>
    <row r="62" spans="1:26" ht="15.6" x14ac:dyDescent="0.3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</row>
    <row r="63" spans="1:26" ht="15.6" x14ac:dyDescent="0.3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</row>
    <row r="64" spans="1:26" ht="15.6" x14ac:dyDescent="0.3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</row>
    <row r="65" spans="1:26" ht="15.6" x14ac:dyDescent="0.3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</row>
    <row r="66" spans="1:26" ht="15.6" x14ac:dyDescent="0.3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</row>
    <row r="67" spans="1:26" ht="15.6" x14ac:dyDescent="0.3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</row>
    <row r="68" spans="1:26" ht="15.6" x14ac:dyDescent="0.3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</row>
    <row r="69" spans="1:26" ht="15.6" x14ac:dyDescent="0.3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</row>
    <row r="70" spans="1:26" ht="15.6" x14ac:dyDescent="0.3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</row>
    <row r="71" spans="1:26" ht="15.6" x14ac:dyDescent="0.35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</row>
    <row r="72" spans="1:26" ht="15.6" x14ac:dyDescent="0.3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</row>
    <row r="73" spans="1:26" ht="15.6" x14ac:dyDescent="0.35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</row>
    <row r="74" spans="1:26" ht="15.6" x14ac:dyDescent="0.3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</row>
    <row r="75" spans="1:26" ht="15.6" x14ac:dyDescent="0.35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</row>
    <row r="76" spans="1:26" ht="15.6" x14ac:dyDescent="0.35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</row>
    <row r="77" spans="1:26" ht="15.6" x14ac:dyDescent="0.35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</row>
    <row r="78" spans="1:26" ht="15.6" x14ac:dyDescent="0.35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</row>
    <row r="79" spans="1:26" ht="15.6" x14ac:dyDescent="0.35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</row>
    <row r="80" spans="1:26" ht="15.6" x14ac:dyDescent="0.35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</row>
    <row r="81" spans="1:26" ht="15.6" x14ac:dyDescent="0.35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</row>
    <row r="82" spans="1:26" ht="15.6" x14ac:dyDescent="0.35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</row>
    <row r="83" spans="1:26" ht="15.6" x14ac:dyDescent="0.35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</row>
    <row r="84" spans="1:26" ht="15.6" x14ac:dyDescent="0.35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</row>
    <row r="85" spans="1:26" ht="15.6" x14ac:dyDescent="0.35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</row>
    <row r="86" spans="1:26" ht="15.6" x14ac:dyDescent="0.35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</row>
    <row r="87" spans="1:26" ht="15.6" x14ac:dyDescent="0.35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</row>
    <row r="88" spans="1:26" ht="15.6" x14ac:dyDescent="0.35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</row>
    <row r="89" spans="1:26" ht="15.6" x14ac:dyDescent="0.35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</row>
    <row r="90" spans="1:26" ht="15.6" x14ac:dyDescent="0.35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</row>
    <row r="91" spans="1:26" ht="15.6" x14ac:dyDescent="0.35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</row>
    <row r="92" spans="1:26" ht="15.6" x14ac:dyDescent="0.35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</row>
    <row r="93" spans="1:26" ht="15.6" x14ac:dyDescent="0.35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</row>
    <row r="94" spans="1:26" ht="15.6" x14ac:dyDescent="0.35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</row>
    <row r="95" spans="1:26" ht="15.6" x14ac:dyDescent="0.35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</row>
    <row r="96" spans="1:26" ht="15.6" x14ac:dyDescent="0.35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</row>
    <row r="97" spans="1:26" ht="15.6" x14ac:dyDescent="0.35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</row>
    <row r="98" spans="1:26" ht="15.6" x14ac:dyDescent="0.35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</row>
    <row r="99" spans="1:26" ht="15.6" x14ac:dyDescent="0.35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</row>
    <row r="100" spans="1:26" ht="15.6" x14ac:dyDescent="0.35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</row>
    <row r="101" spans="1:26" ht="15.6" x14ac:dyDescent="0.35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</row>
    <row r="102" spans="1:26" ht="15.6" x14ac:dyDescent="0.35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</row>
    <row r="103" spans="1:26" ht="15.6" x14ac:dyDescent="0.35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</row>
    <row r="104" spans="1:26" ht="15.6" x14ac:dyDescent="0.35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</row>
    <row r="105" spans="1:26" ht="15.6" x14ac:dyDescent="0.35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</row>
    <row r="106" spans="1:26" ht="15.6" x14ac:dyDescent="0.35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</row>
    <row r="107" spans="1:26" ht="15.6" x14ac:dyDescent="0.35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</row>
    <row r="108" spans="1:26" ht="15.6" x14ac:dyDescent="0.35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</row>
    <row r="109" spans="1:26" ht="15.6" x14ac:dyDescent="0.35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</row>
    <row r="110" spans="1:26" ht="15.6" x14ac:dyDescent="0.35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</row>
    <row r="111" spans="1:26" ht="15.6" x14ac:dyDescent="0.35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</row>
    <row r="112" spans="1:26" ht="15.6" x14ac:dyDescent="0.35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</row>
    <row r="113" spans="1:26" ht="15.6" x14ac:dyDescent="0.35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</row>
    <row r="114" spans="1:26" ht="15.6" x14ac:dyDescent="0.35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</row>
    <row r="115" spans="1:26" ht="15.6" x14ac:dyDescent="0.35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</row>
    <row r="116" spans="1:26" ht="15.6" x14ac:dyDescent="0.35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</row>
    <row r="117" spans="1:26" ht="15.6" x14ac:dyDescent="0.35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</row>
    <row r="118" spans="1:26" ht="15.6" x14ac:dyDescent="0.35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</row>
    <row r="119" spans="1:26" ht="15.6" x14ac:dyDescent="0.35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</row>
    <row r="120" spans="1:26" ht="15.6" x14ac:dyDescent="0.35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</row>
    <row r="121" spans="1:26" ht="15.6" x14ac:dyDescent="0.35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</row>
    <row r="122" spans="1:26" ht="15.6" x14ac:dyDescent="0.35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</row>
    <row r="123" spans="1:26" ht="15.6" x14ac:dyDescent="0.35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</row>
    <row r="124" spans="1:26" ht="15.6" x14ac:dyDescent="0.35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</row>
    <row r="125" spans="1:26" ht="15.6" x14ac:dyDescent="0.35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</row>
    <row r="126" spans="1:26" ht="15.6" x14ac:dyDescent="0.35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</row>
    <row r="127" spans="1:26" ht="15.6" x14ac:dyDescent="0.35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</row>
    <row r="128" spans="1:26" ht="15.6" x14ac:dyDescent="0.35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</row>
    <row r="129" spans="1:26" ht="15.6" x14ac:dyDescent="0.35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</row>
    <row r="130" spans="1:26" ht="15.6" x14ac:dyDescent="0.35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</row>
    <row r="131" spans="1:26" ht="15.6" x14ac:dyDescent="0.35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</row>
    <row r="132" spans="1:26" ht="15.6" x14ac:dyDescent="0.35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</row>
    <row r="133" spans="1:26" ht="15.6" x14ac:dyDescent="0.35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</row>
    <row r="134" spans="1:26" ht="15.6" x14ac:dyDescent="0.35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</row>
    <row r="135" spans="1:26" ht="15.6" x14ac:dyDescent="0.35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</row>
    <row r="136" spans="1:26" ht="15.6" x14ac:dyDescent="0.35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</row>
    <row r="137" spans="1:26" ht="15.6" x14ac:dyDescent="0.35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</row>
    <row r="138" spans="1:26" ht="15.6" x14ac:dyDescent="0.35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</row>
    <row r="139" spans="1:26" ht="15.6" x14ac:dyDescent="0.35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</row>
    <row r="140" spans="1:26" ht="15.6" x14ac:dyDescent="0.35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</row>
    <row r="141" spans="1:26" ht="15.6" x14ac:dyDescent="0.35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</row>
    <row r="142" spans="1:26" ht="15.6" x14ac:dyDescent="0.35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</row>
    <row r="143" spans="1:26" ht="15.6" x14ac:dyDescent="0.35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</row>
    <row r="144" spans="1:26" ht="15.6" x14ac:dyDescent="0.35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</row>
    <row r="145" spans="1:26" ht="15.6" x14ac:dyDescent="0.35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</row>
    <row r="146" spans="1:26" ht="15.6" x14ac:dyDescent="0.35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</row>
    <row r="147" spans="1:26" ht="15.6" x14ac:dyDescent="0.35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</row>
    <row r="148" spans="1:26" ht="15.6" x14ac:dyDescent="0.35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</row>
    <row r="149" spans="1:26" ht="15.6" x14ac:dyDescent="0.35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</row>
    <row r="150" spans="1:26" ht="15.6" x14ac:dyDescent="0.35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</row>
    <row r="151" spans="1:26" ht="15.6" x14ac:dyDescent="0.35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</row>
    <row r="152" spans="1:26" ht="15.6" x14ac:dyDescent="0.35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</row>
    <row r="153" spans="1:26" ht="15.6" x14ac:dyDescent="0.35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</row>
    <row r="154" spans="1:26" ht="15.6" x14ac:dyDescent="0.35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</row>
    <row r="155" spans="1:26" ht="15.6" x14ac:dyDescent="0.35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</row>
    <row r="156" spans="1:26" ht="15.6" x14ac:dyDescent="0.35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</row>
    <row r="157" spans="1:26" ht="15.6" x14ac:dyDescent="0.35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</row>
    <row r="158" spans="1:26" ht="15.6" x14ac:dyDescent="0.35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</row>
    <row r="159" spans="1:26" ht="15.6" x14ac:dyDescent="0.35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</row>
    <row r="160" spans="1:26" ht="15.6" x14ac:dyDescent="0.35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</row>
    <row r="161" spans="1:26" ht="15.6" x14ac:dyDescent="0.35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</row>
    <row r="162" spans="1:26" ht="15.6" x14ac:dyDescent="0.35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</row>
    <row r="163" spans="1:26" ht="15.6" x14ac:dyDescent="0.35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</row>
    <row r="164" spans="1:26" ht="15.6" x14ac:dyDescent="0.35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</row>
    <row r="165" spans="1:26" ht="15.6" x14ac:dyDescent="0.35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</row>
    <row r="166" spans="1:26" ht="15.6" x14ac:dyDescent="0.35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</row>
    <row r="167" spans="1:26" ht="15.6" x14ac:dyDescent="0.35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</row>
    <row r="168" spans="1:26" ht="15.6" x14ac:dyDescent="0.35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</row>
    <row r="169" spans="1:26" ht="15.6" x14ac:dyDescent="0.35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</row>
    <row r="170" spans="1:26" ht="15.6" x14ac:dyDescent="0.35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</row>
    <row r="171" spans="1:26" ht="15.6" x14ac:dyDescent="0.35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</row>
    <row r="172" spans="1:26" ht="15.6" x14ac:dyDescent="0.35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</row>
    <row r="173" spans="1:26" ht="15.6" x14ac:dyDescent="0.35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</row>
    <row r="174" spans="1:26" ht="15.6" x14ac:dyDescent="0.35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</row>
    <row r="175" spans="1:26" ht="15.6" x14ac:dyDescent="0.35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</row>
    <row r="176" spans="1:26" ht="15.6" x14ac:dyDescent="0.35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</row>
    <row r="177" spans="1:26" ht="15.6" x14ac:dyDescent="0.35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</row>
    <row r="178" spans="1:26" ht="15.6" x14ac:dyDescent="0.35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</row>
    <row r="179" spans="1:26" ht="15.6" x14ac:dyDescent="0.35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</row>
    <row r="180" spans="1:26" ht="15.6" x14ac:dyDescent="0.35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</row>
    <row r="181" spans="1:26" ht="15.6" x14ac:dyDescent="0.35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</row>
    <row r="182" spans="1:26" ht="15.6" x14ac:dyDescent="0.35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</row>
    <row r="183" spans="1:26" ht="15.6" x14ac:dyDescent="0.35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</row>
    <row r="184" spans="1:26" ht="15.6" x14ac:dyDescent="0.35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</row>
    <row r="185" spans="1:26" ht="15.6" x14ac:dyDescent="0.35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</row>
    <row r="186" spans="1:26" ht="15.6" x14ac:dyDescent="0.35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</row>
    <row r="187" spans="1:26" ht="15.6" x14ac:dyDescent="0.35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</row>
    <row r="188" spans="1:26" ht="15.6" x14ac:dyDescent="0.35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</row>
    <row r="189" spans="1:26" ht="15.6" x14ac:dyDescent="0.35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</row>
    <row r="190" spans="1:26" ht="15.6" x14ac:dyDescent="0.35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</row>
    <row r="191" spans="1:26" ht="15.6" x14ac:dyDescent="0.35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</row>
    <row r="192" spans="1:26" ht="15.6" x14ac:dyDescent="0.35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</row>
    <row r="193" spans="1:26" ht="15.6" x14ac:dyDescent="0.35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</row>
    <row r="194" spans="1:26" ht="15.6" x14ac:dyDescent="0.35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</row>
    <row r="195" spans="1:26" ht="15.6" x14ac:dyDescent="0.35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</row>
    <row r="196" spans="1:26" ht="15.6" x14ac:dyDescent="0.35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</row>
    <row r="197" spans="1:26" ht="15.6" x14ac:dyDescent="0.35">
      <c r="A197" s="27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</row>
    <row r="198" spans="1:26" ht="15.6" x14ac:dyDescent="0.35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</row>
    <row r="199" spans="1:26" ht="15.6" x14ac:dyDescent="0.35">
      <c r="A199" s="27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</row>
    <row r="200" spans="1:26" ht="15.6" x14ac:dyDescent="0.35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</row>
    <row r="201" spans="1:26" ht="15.6" x14ac:dyDescent="0.35">
      <c r="A201" s="27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</row>
    <row r="202" spans="1:26" ht="15.6" x14ac:dyDescent="0.35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</row>
    <row r="203" spans="1:26" ht="15.6" x14ac:dyDescent="0.35">
      <c r="A203" s="27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</row>
    <row r="204" spans="1:26" ht="15.6" x14ac:dyDescent="0.35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</row>
    <row r="205" spans="1:26" ht="15.6" x14ac:dyDescent="0.35">
      <c r="A205" s="27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</row>
    <row r="206" spans="1:26" ht="15.6" x14ac:dyDescent="0.35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</row>
    <row r="207" spans="1:26" ht="15.6" x14ac:dyDescent="0.35">
      <c r="A207" s="27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</row>
    <row r="208" spans="1:26" ht="15.6" x14ac:dyDescent="0.35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</row>
    <row r="209" spans="1:26" ht="15.6" x14ac:dyDescent="0.35">
      <c r="A209" s="27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</row>
    <row r="210" spans="1:26" ht="15.6" x14ac:dyDescent="0.35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</row>
    <row r="211" spans="1:26" ht="15.6" x14ac:dyDescent="0.35">
      <c r="A211" s="27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</row>
    <row r="212" spans="1:26" ht="15.6" x14ac:dyDescent="0.35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</row>
    <row r="213" spans="1:26" ht="15.6" x14ac:dyDescent="0.35">
      <c r="A213" s="27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</row>
    <row r="214" spans="1:26" ht="15.6" x14ac:dyDescent="0.35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</row>
    <row r="215" spans="1:26" ht="15.6" x14ac:dyDescent="0.35">
      <c r="A215" s="27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</row>
    <row r="216" spans="1:26" ht="15.6" x14ac:dyDescent="0.35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</row>
    <row r="217" spans="1:26" ht="15.6" x14ac:dyDescent="0.35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</row>
    <row r="218" spans="1:26" ht="15.6" x14ac:dyDescent="0.35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</row>
    <row r="219" spans="1:26" ht="15.6" x14ac:dyDescent="0.35">
      <c r="A219" s="27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</row>
    <row r="220" spans="1:26" ht="15.6" x14ac:dyDescent="0.35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</row>
    <row r="221" spans="1:26" ht="15.6" x14ac:dyDescent="0.35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</row>
    <row r="222" spans="1:26" ht="15.6" x14ac:dyDescent="0.35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</row>
    <row r="223" spans="1:26" ht="15.6" x14ac:dyDescent="0.35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</row>
    <row r="224" spans="1:26" ht="15.6" x14ac:dyDescent="0.35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</row>
    <row r="225" spans="1:26" ht="15.6" x14ac:dyDescent="0.35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</row>
    <row r="226" spans="1:26" ht="15.6" x14ac:dyDescent="0.35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</row>
    <row r="227" spans="1:26" ht="15.6" x14ac:dyDescent="0.35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</row>
    <row r="228" spans="1:26" ht="15.6" x14ac:dyDescent="0.35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</row>
    <row r="229" spans="1:26" ht="15.6" x14ac:dyDescent="0.35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</row>
    <row r="230" spans="1:26" ht="15.6" x14ac:dyDescent="0.35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</row>
    <row r="231" spans="1:26" ht="15.6" x14ac:dyDescent="0.35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</row>
    <row r="232" spans="1:26" ht="15.6" x14ac:dyDescent="0.35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</row>
    <row r="233" spans="1:26" ht="15.6" x14ac:dyDescent="0.35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</row>
    <row r="234" spans="1:26" ht="15.6" x14ac:dyDescent="0.35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</row>
    <row r="235" spans="1:26" ht="15.6" x14ac:dyDescent="0.35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</row>
    <row r="236" spans="1:26" ht="15.6" x14ac:dyDescent="0.35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</row>
    <row r="237" spans="1:26" ht="15.6" x14ac:dyDescent="0.35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</row>
    <row r="238" spans="1:26" ht="15.6" x14ac:dyDescent="0.35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</row>
    <row r="239" spans="1:26" ht="15.6" x14ac:dyDescent="0.35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</row>
    <row r="240" spans="1:26" ht="15.6" x14ac:dyDescent="0.35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</row>
    <row r="241" spans="1:26" ht="15.6" x14ac:dyDescent="0.35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</row>
    <row r="242" spans="1:26" ht="15.6" x14ac:dyDescent="0.35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</row>
    <row r="243" spans="1:26" ht="15.6" x14ac:dyDescent="0.35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</row>
    <row r="244" spans="1:26" ht="15.6" x14ac:dyDescent="0.35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</row>
    <row r="245" spans="1:26" ht="15.6" x14ac:dyDescent="0.35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</row>
    <row r="246" spans="1:26" ht="15.6" x14ac:dyDescent="0.35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</row>
    <row r="247" spans="1:26" ht="15.6" x14ac:dyDescent="0.35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</row>
    <row r="248" spans="1:26" ht="15.6" x14ac:dyDescent="0.35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</row>
    <row r="249" spans="1:26" ht="15.6" x14ac:dyDescent="0.35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</row>
    <row r="250" spans="1:26" ht="15.6" x14ac:dyDescent="0.35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</row>
    <row r="251" spans="1:26" ht="15.6" x14ac:dyDescent="0.35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</row>
    <row r="252" spans="1:26" ht="15.6" x14ac:dyDescent="0.35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</row>
    <row r="253" spans="1:26" ht="15.6" x14ac:dyDescent="0.35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</row>
    <row r="254" spans="1:26" ht="15.6" x14ac:dyDescent="0.35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</row>
    <row r="255" spans="1:26" ht="15.6" x14ac:dyDescent="0.35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</row>
    <row r="256" spans="1:26" ht="15.6" x14ac:dyDescent="0.35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</row>
    <row r="257" spans="1:26" ht="15.6" x14ac:dyDescent="0.35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</row>
    <row r="258" spans="1:26" ht="15.6" x14ac:dyDescent="0.35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</row>
    <row r="259" spans="1:26" ht="15.6" x14ac:dyDescent="0.35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</row>
    <row r="260" spans="1:26" ht="15.6" x14ac:dyDescent="0.35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</row>
    <row r="261" spans="1:26" ht="15.6" x14ac:dyDescent="0.35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</row>
    <row r="262" spans="1:26" ht="15.6" x14ac:dyDescent="0.35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</row>
    <row r="263" spans="1:26" ht="15.6" x14ac:dyDescent="0.35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</row>
    <row r="264" spans="1:26" ht="15.6" x14ac:dyDescent="0.35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</row>
    <row r="265" spans="1:26" ht="15.6" x14ac:dyDescent="0.35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</row>
    <row r="266" spans="1:26" ht="15.6" x14ac:dyDescent="0.35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</row>
    <row r="267" spans="1:26" ht="15.6" x14ac:dyDescent="0.35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</row>
    <row r="268" spans="1:26" ht="15.6" x14ac:dyDescent="0.35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</row>
    <row r="269" spans="1:26" ht="15.6" x14ac:dyDescent="0.35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</row>
    <row r="270" spans="1:26" ht="15.6" x14ac:dyDescent="0.35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</row>
    <row r="271" spans="1:26" ht="15.6" x14ac:dyDescent="0.35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</row>
    <row r="272" spans="1:26" ht="15.6" x14ac:dyDescent="0.35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</row>
    <row r="273" spans="1:26" ht="15.6" x14ac:dyDescent="0.35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</row>
    <row r="274" spans="1:26" ht="15.6" x14ac:dyDescent="0.35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</row>
    <row r="275" spans="1:26" ht="15.6" x14ac:dyDescent="0.35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</row>
    <row r="276" spans="1:26" ht="15.6" x14ac:dyDescent="0.35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</row>
    <row r="277" spans="1:26" ht="15.6" x14ac:dyDescent="0.35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</row>
    <row r="278" spans="1:26" ht="15.6" x14ac:dyDescent="0.35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</row>
    <row r="279" spans="1:26" ht="15.6" x14ac:dyDescent="0.35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</row>
    <row r="280" spans="1:26" ht="15.6" x14ac:dyDescent="0.35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</row>
    <row r="281" spans="1:26" ht="15.6" x14ac:dyDescent="0.35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</row>
    <row r="282" spans="1:26" ht="15.6" x14ac:dyDescent="0.35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</row>
    <row r="283" spans="1:26" ht="15.6" x14ac:dyDescent="0.35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</row>
    <row r="284" spans="1:26" ht="15.6" x14ac:dyDescent="0.35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</row>
    <row r="285" spans="1:26" ht="15.6" x14ac:dyDescent="0.35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</row>
    <row r="286" spans="1:26" ht="15.6" x14ac:dyDescent="0.35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</row>
    <row r="287" spans="1:26" ht="15.6" x14ac:dyDescent="0.35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</row>
    <row r="288" spans="1:26" ht="15.6" x14ac:dyDescent="0.35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</row>
    <row r="289" spans="1:26" ht="15.6" x14ac:dyDescent="0.35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</row>
    <row r="290" spans="1:26" ht="15.6" x14ac:dyDescent="0.35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</row>
    <row r="291" spans="1:26" ht="15.6" x14ac:dyDescent="0.35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</row>
    <row r="292" spans="1:26" ht="15.6" x14ac:dyDescent="0.35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</row>
    <row r="293" spans="1:26" ht="15.6" x14ac:dyDescent="0.35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</row>
    <row r="294" spans="1:26" ht="15.6" x14ac:dyDescent="0.35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</row>
    <row r="295" spans="1:26" ht="15.6" x14ac:dyDescent="0.35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</row>
    <row r="296" spans="1:26" ht="15.6" x14ac:dyDescent="0.35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</row>
    <row r="297" spans="1:26" ht="15.6" x14ac:dyDescent="0.35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</row>
    <row r="298" spans="1:26" ht="15.6" x14ac:dyDescent="0.35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</row>
    <row r="299" spans="1:26" ht="15.6" x14ac:dyDescent="0.35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</row>
    <row r="300" spans="1:26" ht="15.6" x14ac:dyDescent="0.35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</row>
    <row r="301" spans="1:26" ht="15.6" x14ac:dyDescent="0.35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</row>
    <row r="302" spans="1:26" ht="15.6" x14ac:dyDescent="0.35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</row>
    <row r="303" spans="1:26" ht="15.6" x14ac:dyDescent="0.35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</row>
    <row r="304" spans="1:26" ht="15.6" x14ac:dyDescent="0.35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</row>
    <row r="305" spans="1:26" ht="15.6" x14ac:dyDescent="0.35">
      <c r="A305" s="27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</row>
    <row r="306" spans="1:26" ht="15.6" x14ac:dyDescent="0.35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</row>
    <row r="307" spans="1:26" ht="15.6" x14ac:dyDescent="0.35">
      <c r="A307" s="27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</row>
    <row r="308" spans="1:26" ht="15.6" x14ac:dyDescent="0.35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</row>
    <row r="309" spans="1:26" ht="15.6" x14ac:dyDescent="0.35">
      <c r="A309" s="27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</row>
    <row r="310" spans="1:26" ht="15.6" x14ac:dyDescent="0.35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</row>
    <row r="311" spans="1:26" ht="15.6" x14ac:dyDescent="0.35">
      <c r="A311" s="27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</row>
    <row r="312" spans="1:26" ht="15.6" x14ac:dyDescent="0.35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</row>
    <row r="313" spans="1:26" ht="15.6" x14ac:dyDescent="0.35">
      <c r="A313" s="27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</row>
    <row r="314" spans="1:26" ht="15.6" x14ac:dyDescent="0.35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</row>
    <row r="315" spans="1:26" ht="15.6" x14ac:dyDescent="0.35">
      <c r="A315" s="27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</row>
    <row r="316" spans="1:26" ht="15.6" x14ac:dyDescent="0.35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</row>
    <row r="317" spans="1:26" ht="15.6" x14ac:dyDescent="0.35">
      <c r="A317" s="27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</row>
    <row r="318" spans="1:26" ht="15.6" x14ac:dyDescent="0.35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</row>
    <row r="319" spans="1:26" ht="15.6" x14ac:dyDescent="0.35">
      <c r="A319" s="27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</row>
    <row r="320" spans="1:26" ht="15.6" x14ac:dyDescent="0.35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</row>
    <row r="321" spans="1:26" ht="15.6" x14ac:dyDescent="0.35">
      <c r="A321" s="27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</row>
    <row r="322" spans="1:26" ht="15.6" x14ac:dyDescent="0.35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</row>
    <row r="323" spans="1:26" ht="15.6" x14ac:dyDescent="0.35">
      <c r="A323" s="27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</row>
    <row r="324" spans="1:26" ht="15.6" x14ac:dyDescent="0.35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</row>
    <row r="325" spans="1:26" ht="15.6" x14ac:dyDescent="0.35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</row>
    <row r="326" spans="1:26" ht="15.6" x14ac:dyDescent="0.35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</row>
    <row r="327" spans="1:26" ht="15.6" x14ac:dyDescent="0.35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</row>
    <row r="328" spans="1:26" ht="15.6" x14ac:dyDescent="0.35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</row>
    <row r="329" spans="1:26" ht="15.6" x14ac:dyDescent="0.35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</row>
    <row r="330" spans="1:26" ht="15.6" x14ac:dyDescent="0.35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</row>
    <row r="331" spans="1:26" ht="15.6" x14ac:dyDescent="0.35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</row>
    <row r="332" spans="1:26" ht="15.6" x14ac:dyDescent="0.35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</row>
    <row r="333" spans="1:26" ht="15.6" x14ac:dyDescent="0.35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</row>
    <row r="334" spans="1:26" ht="15.6" x14ac:dyDescent="0.35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</row>
    <row r="335" spans="1:26" ht="15.6" x14ac:dyDescent="0.35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</row>
    <row r="336" spans="1:26" ht="15.6" x14ac:dyDescent="0.35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</row>
    <row r="337" spans="1:26" ht="15.6" x14ac:dyDescent="0.35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</row>
    <row r="338" spans="1:26" ht="15.6" x14ac:dyDescent="0.35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</row>
    <row r="339" spans="1:26" ht="15.6" x14ac:dyDescent="0.35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</row>
    <row r="340" spans="1:26" ht="15.6" x14ac:dyDescent="0.35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</row>
    <row r="341" spans="1:26" ht="15.6" x14ac:dyDescent="0.35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</row>
    <row r="342" spans="1:26" ht="15.6" x14ac:dyDescent="0.35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</row>
    <row r="343" spans="1:26" ht="15.6" x14ac:dyDescent="0.35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</row>
    <row r="344" spans="1:26" ht="15.6" x14ac:dyDescent="0.35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</row>
    <row r="345" spans="1:26" ht="15.6" x14ac:dyDescent="0.35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</row>
    <row r="346" spans="1:26" ht="15.6" x14ac:dyDescent="0.35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</row>
    <row r="347" spans="1:26" ht="15.6" x14ac:dyDescent="0.35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</row>
    <row r="348" spans="1:26" ht="15.6" x14ac:dyDescent="0.35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</row>
    <row r="349" spans="1:26" ht="15.6" x14ac:dyDescent="0.35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</row>
    <row r="350" spans="1:26" ht="15.6" x14ac:dyDescent="0.35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</row>
    <row r="351" spans="1:26" ht="15.6" x14ac:dyDescent="0.35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</row>
    <row r="352" spans="1:26" ht="15.6" x14ac:dyDescent="0.35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</row>
    <row r="353" spans="1:26" ht="15.6" x14ac:dyDescent="0.35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</row>
    <row r="354" spans="1:26" ht="15.6" x14ac:dyDescent="0.35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</row>
    <row r="355" spans="1:26" ht="15.6" x14ac:dyDescent="0.35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</row>
    <row r="356" spans="1:26" ht="15.6" x14ac:dyDescent="0.35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7"/>
      <c r="W356" s="27"/>
      <c r="X356" s="27"/>
      <c r="Y356" s="27"/>
      <c r="Z356" s="27"/>
    </row>
    <row r="357" spans="1:26" ht="15.6" x14ac:dyDescent="0.35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7"/>
      <c r="W357" s="27"/>
      <c r="X357" s="27"/>
      <c r="Y357" s="27"/>
      <c r="Z357" s="27"/>
    </row>
    <row r="358" spans="1:26" ht="15.6" x14ac:dyDescent="0.35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7"/>
      <c r="W358" s="27"/>
      <c r="X358" s="27"/>
      <c r="Y358" s="27"/>
      <c r="Z358" s="27"/>
    </row>
    <row r="359" spans="1:26" ht="15.6" x14ac:dyDescent="0.35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7"/>
      <c r="W359" s="27"/>
      <c r="X359" s="27"/>
      <c r="Y359" s="27"/>
      <c r="Z359" s="27"/>
    </row>
    <row r="360" spans="1:26" ht="15.6" x14ac:dyDescent="0.35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7"/>
      <c r="W360" s="27"/>
      <c r="X360" s="27"/>
      <c r="Y360" s="27"/>
      <c r="Z360" s="27"/>
    </row>
    <row r="361" spans="1:26" ht="15.6" x14ac:dyDescent="0.35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7"/>
      <c r="W361" s="27"/>
      <c r="X361" s="27"/>
      <c r="Y361" s="27"/>
      <c r="Z361" s="27"/>
    </row>
    <row r="362" spans="1:26" ht="15.6" x14ac:dyDescent="0.35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7"/>
      <c r="W362" s="27"/>
      <c r="X362" s="27"/>
      <c r="Y362" s="27"/>
      <c r="Z362" s="27"/>
    </row>
    <row r="363" spans="1:26" ht="15.6" x14ac:dyDescent="0.35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7"/>
      <c r="W363" s="27"/>
      <c r="X363" s="27"/>
      <c r="Y363" s="27"/>
      <c r="Z363" s="27"/>
    </row>
    <row r="364" spans="1:26" ht="15.6" x14ac:dyDescent="0.35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7"/>
      <c r="W364" s="27"/>
      <c r="X364" s="27"/>
      <c r="Y364" s="27"/>
      <c r="Z364" s="27"/>
    </row>
    <row r="365" spans="1:26" ht="15.6" x14ac:dyDescent="0.35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7"/>
      <c r="W365" s="27"/>
      <c r="X365" s="27"/>
      <c r="Y365" s="27"/>
      <c r="Z365" s="27"/>
    </row>
    <row r="366" spans="1:26" ht="15.6" x14ac:dyDescent="0.35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7"/>
      <c r="W366" s="27"/>
      <c r="X366" s="27"/>
      <c r="Y366" s="27"/>
      <c r="Z366" s="27"/>
    </row>
    <row r="367" spans="1:26" ht="15.6" x14ac:dyDescent="0.35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7"/>
      <c r="W367" s="27"/>
      <c r="X367" s="27"/>
      <c r="Y367" s="27"/>
      <c r="Z367" s="27"/>
    </row>
    <row r="368" spans="1:26" ht="15.6" x14ac:dyDescent="0.35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7"/>
      <c r="W368" s="27"/>
      <c r="X368" s="27"/>
      <c r="Y368" s="27"/>
      <c r="Z368" s="27"/>
    </row>
    <row r="369" spans="1:26" ht="15.6" x14ac:dyDescent="0.35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7"/>
      <c r="W369" s="27"/>
      <c r="X369" s="27"/>
      <c r="Y369" s="27"/>
      <c r="Z369" s="27"/>
    </row>
    <row r="370" spans="1:26" ht="15.6" x14ac:dyDescent="0.35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7"/>
      <c r="W370" s="27"/>
      <c r="X370" s="27"/>
      <c r="Y370" s="27"/>
      <c r="Z370" s="27"/>
    </row>
    <row r="371" spans="1:26" ht="15.6" x14ac:dyDescent="0.35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7"/>
      <c r="W371" s="27"/>
      <c r="X371" s="27"/>
      <c r="Y371" s="27"/>
      <c r="Z371" s="27"/>
    </row>
    <row r="372" spans="1:26" ht="15.6" x14ac:dyDescent="0.35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7"/>
      <c r="W372" s="27"/>
      <c r="X372" s="27"/>
      <c r="Y372" s="27"/>
      <c r="Z372" s="27"/>
    </row>
    <row r="373" spans="1:26" ht="15.6" x14ac:dyDescent="0.35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7"/>
      <c r="Z373" s="27"/>
    </row>
    <row r="374" spans="1:26" ht="15.6" x14ac:dyDescent="0.35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7"/>
      <c r="W374" s="27"/>
      <c r="X374" s="27"/>
      <c r="Y374" s="27"/>
      <c r="Z374" s="27"/>
    </row>
    <row r="375" spans="1:26" ht="15.6" x14ac:dyDescent="0.35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7"/>
      <c r="W375" s="27"/>
      <c r="X375" s="27"/>
      <c r="Y375" s="27"/>
      <c r="Z375" s="27"/>
    </row>
    <row r="376" spans="1:26" ht="15.6" x14ac:dyDescent="0.35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7"/>
      <c r="W376" s="27"/>
      <c r="X376" s="27"/>
      <c r="Y376" s="27"/>
      <c r="Z376" s="27"/>
    </row>
    <row r="377" spans="1:26" ht="15.6" x14ac:dyDescent="0.35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7"/>
      <c r="W377" s="27"/>
      <c r="X377" s="27"/>
      <c r="Y377" s="27"/>
      <c r="Z377" s="27"/>
    </row>
    <row r="378" spans="1:26" ht="15.6" x14ac:dyDescent="0.35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7"/>
      <c r="W378" s="27"/>
      <c r="X378" s="27"/>
      <c r="Y378" s="27"/>
      <c r="Z378" s="27"/>
    </row>
    <row r="379" spans="1:26" ht="15.6" x14ac:dyDescent="0.35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7"/>
      <c r="W379" s="27"/>
      <c r="X379" s="27"/>
      <c r="Y379" s="27"/>
      <c r="Z379" s="27"/>
    </row>
    <row r="380" spans="1:26" ht="15.6" x14ac:dyDescent="0.35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7"/>
      <c r="W380" s="27"/>
      <c r="X380" s="27"/>
      <c r="Y380" s="27"/>
      <c r="Z380" s="27"/>
    </row>
    <row r="381" spans="1:26" ht="15.6" x14ac:dyDescent="0.35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7"/>
      <c r="W381" s="27"/>
      <c r="X381" s="27"/>
      <c r="Y381" s="27"/>
      <c r="Z381" s="27"/>
    </row>
    <row r="382" spans="1:26" ht="15.6" x14ac:dyDescent="0.35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7"/>
      <c r="W382" s="27"/>
      <c r="X382" s="27"/>
      <c r="Y382" s="27"/>
      <c r="Z382" s="27"/>
    </row>
    <row r="383" spans="1:26" ht="15.6" x14ac:dyDescent="0.35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7"/>
      <c r="W383" s="27"/>
      <c r="X383" s="27"/>
      <c r="Y383" s="27"/>
      <c r="Z383" s="27"/>
    </row>
    <row r="384" spans="1:26" ht="15.6" x14ac:dyDescent="0.35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7"/>
      <c r="W384" s="27"/>
      <c r="X384" s="27"/>
      <c r="Y384" s="27"/>
      <c r="Z384" s="27"/>
    </row>
    <row r="385" spans="1:26" ht="15.6" x14ac:dyDescent="0.35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7"/>
      <c r="W385" s="27"/>
      <c r="X385" s="27"/>
      <c r="Y385" s="27"/>
      <c r="Z385" s="27"/>
    </row>
    <row r="386" spans="1:26" ht="15.6" x14ac:dyDescent="0.35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7"/>
      <c r="W386" s="27"/>
      <c r="X386" s="27"/>
      <c r="Y386" s="27"/>
      <c r="Z386" s="27"/>
    </row>
    <row r="387" spans="1:26" ht="15.6" x14ac:dyDescent="0.35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7"/>
      <c r="W387" s="27"/>
      <c r="X387" s="27"/>
      <c r="Y387" s="27"/>
      <c r="Z387" s="27"/>
    </row>
    <row r="388" spans="1:26" ht="15.6" x14ac:dyDescent="0.35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7"/>
      <c r="W388" s="27"/>
      <c r="X388" s="27"/>
      <c r="Y388" s="27"/>
      <c r="Z388" s="27"/>
    </row>
    <row r="389" spans="1:26" ht="15.6" x14ac:dyDescent="0.35">
      <c r="A389" s="27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7"/>
      <c r="W389" s="27"/>
      <c r="X389" s="27"/>
      <c r="Y389" s="27"/>
      <c r="Z389" s="27"/>
    </row>
    <row r="390" spans="1:26" ht="15.6" x14ac:dyDescent="0.35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7"/>
      <c r="W390" s="27"/>
      <c r="X390" s="27"/>
      <c r="Y390" s="27"/>
      <c r="Z390" s="27"/>
    </row>
    <row r="391" spans="1:26" ht="15.6" x14ac:dyDescent="0.35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7"/>
      <c r="W391" s="27"/>
      <c r="X391" s="27"/>
      <c r="Y391" s="27"/>
      <c r="Z391" s="27"/>
    </row>
    <row r="392" spans="1:26" ht="15.6" x14ac:dyDescent="0.35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7"/>
      <c r="W392" s="27"/>
      <c r="X392" s="27"/>
      <c r="Y392" s="27"/>
      <c r="Z392" s="27"/>
    </row>
    <row r="393" spans="1:26" ht="15.6" x14ac:dyDescent="0.35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7"/>
      <c r="W393" s="27"/>
      <c r="X393" s="27"/>
      <c r="Y393" s="27"/>
      <c r="Z393" s="27"/>
    </row>
    <row r="394" spans="1:26" ht="15.6" x14ac:dyDescent="0.35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7"/>
      <c r="W394" s="27"/>
      <c r="X394" s="27"/>
      <c r="Y394" s="27"/>
      <c r="Z394" s="27"/>
    </row>
    <row r="395" spans="1:26" ht="15.6" x14ac:dyDescent="0.35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7"/>
      <c r="W395" s="27"/>
      <c r="X395" s="27"/>
      <c r="Y395" s="27"/>
      <c r="Z395" s="27"/>
    </row>
    <row r="396" spans="1:26" ht="15.6" x14ac:dyDescent="0.35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7"/>
      <c r="W396" s="27"/>
      <c r="X396" s="27"/>
      <c r="Y396" s="27"/>
      <c r="Z396" s="27"/>
    </row>
    <row r="397" spans="1:26" ht="15.6" x14ac:dyDescent="0.35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7"/>
      <c r="W397" s="27"/>
      <c r="X397" s="27"/>
      <c r="Y397" s="27"/>
      <c r="Z397" s="27"/>
    </row>
    <row r="398" spans="1:26" ht="15.6" x14ac:dyDescent="0.35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7"/>
      <c r="W398" s="27"/>
      <c r="X398" s="27"/>
      <c r="Y398" s="27"/>
      <c r="Z398" s="27"/>
    </row>
    <row r="399" spans="1:26" ht="15.6" x14ac:dyDescent="0.35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7"/>
      <c r="W399" s="27"/>
      <c r="X399" s="27"/>
      <c r="Y399" s="27"/>
      <c r="Z399" s="27"/>
    </row>
    <row r="400" spans="1:26" ht="15.6" x14ac:dyDescent="0.35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7"/>
      <c r="W400" s="27"/>
      <c r="X400" s="27"/>
      <c r="Y400" s="27"/>
      <c r="Z400" s="27"/>
    </row>
    <row r="401" spans="1:26" ht="15.6" x14ac:dyDescent="0.35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7"/>
      <c r="W401" s="27"/>
      <c r="X401" s="27"/>
      <c r="Y401" s="27"/>
      <c r="Z401" s="27"/>
    </row>
    <row r="402" spans="1:26" ht="15.6" x14ac:dyDescent="0.35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7"/>
      <c r="W402" s="27"/>
      <c r="X402" s="27"/>
      <c r="Y402" s="27"/>
      <c r="Z402" s="27"/>
    </row>
    <row r="403" spans="1:26" ht="15.6" x14ac:dyDescent="0.35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7"/>
      <c r="W403" s="27"/>
      <c r="X403" s="27"/>
      <c r="Y403" s="27"/>
      <c r="Z403" s="27"/>
    </row>
    <row r="404" spans="1:26" ht="15.6" x14ac:dyDescent="0.35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7"/>
      <c r="W404" s="27"/>
      <c r="X404" s="27"/>
      <c r="Y404" s="27"/>
      <c r="Z404" s="27"/>
    </row>
    <row r="405" spans="1:26" ht="15.6" x14ac:dyDescent="0.35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7"/>
      <c r="W405" s="27"/>
      <c r="X405" s="27"/>
      <c r="Y405" s="27"/>
      <c r="Z405" s="27"/>
    </row>
    <row r="406" spans="1:26" ht="15.6" x14ac:dyDescent="0.35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7"/>
      <c r="W406" s="27"/>
      <c r="X406" s="27"/>
      <c r="Y406" s="27"/>
      <c r="Z406" s="27"/>
    </row>
    <row r="407" spans="1:26" ht="15.6" x14ac:dyDescent="0.35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7"/>
      <c r="W407" s="27"/>
      <c r="X407" s="27"/>
      <c r="Y407" s="27"/>
      <c r="Z407" s="27"/>
    </row>
    <row r="408" spans="1:26" ht="15.6" x14ac:dyDescent="0.35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7"/>
      <c r="W408" s="27"/>
      <c r="X408" s="27"/>
      <c r="Y408" s="27"/>
      <c r="Z408" s="27"/>
    </row>
    <row r="409" spans="1:26" ht="15.6" x14ac:dyDescent="0.35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7"/>
      <c r="W409" s="27"/>
      <c r="X409" s="27"/>
      <c r="Y409" s="27"/>
      <c r="Z409" s="27"/>
    </row>
    <row r="410" spans="1:26" ht="15.6" x14ac:dyDescent="0.35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7"/>
      <c r="W410" s="27"/>
      <c r="X410" s="27"/>
      <c r="Y410" s="27"/>
      <c r="Z410" s="27"/>
    </row>
    <row r="411" spans="1:26" ht="15.6" x14ac:dyDescent="0.35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7"/>
      <c r="W411" s="27"/>
      <c r="X411" s="27"/>
      <c r="Y411" s="27"/>
      <c r="Z411" s="27"/>
    </row>
    <row r="412" spans="1:26" ht="15.6" x14ac:dyDescent="0.35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7"/>
      <c r="W412" s="27"/>
      <c r="X412" s="27"/>
      <c r="Y412" s="27"/>
      <c r="Z412" s="27"/>
    </row>
    <row r="413" spans="1:26" ht="15.6" x14ac:dyDescent="0.35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7"/>
      <c r="W413" s="27"/>
      <c r="X413" s="27"/>
      <c r="Y413" s="27"/>
      <c r="Z413" s="27"/>
    </row>
    <row r="414" spans="1:26" ht="15.6" x14ac:dyDescent="0.35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7"/>
      <c r="W414" s="27"/>
      <c r="X414" s="27"/>
      <c r="Y414" s="27"/>
      <c r="Z414" s="27"/>
    </row>
    <row r="415" spans="1:26" ht="15.6" x14ac:dyDescent="0.35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7"/>
      <c r="W415" s="27"/>
      <c r="X415" s="27"/>
      <c r="Y415" s="27"/>
      <c r="Z415" s="27"/>
    </row>
    <row r="416" spans="1:26" ht="15.6" x14ac:dyDescent="0.35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7"/>
      <c r="W416" s="27"/>
      <c r="X416" s="27"/>
      <c r="Y416" s="27"/>
      <c r="Z416" s="27"/>
    </row>
    <row r="417" spans="1:26" ht="15.6" x14ac:dyDescent="0.35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7"/>
      <c r="W417" s="27"/>
      <c r="X417" s="27"/>
      <c r="Y417" s="27"/>
      <c r="Z417" s="27"/>
    </row>
    <row r="418" spans="1:26" ht="15.6" x14ac:dyDescent="0.35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7"/>
      <c r="W418" s="27"/>
      <c r="X418" s="27"/>
      <c r="Y418" s="27"/>
      <c r="Z418" s="27"/>
    </row>
    <row r="419" spans="1:26" ht="15.6" x14ac:dyDescent="0.35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7"/>
      <c r="W419" s="27"/>
      <c r="X419" s="27"/>
      <c r="Y419" s="27"/>
      <c r="Z419" s="27"/>
    </row>
    <row r="420" spans="1:26" ht="15.6" x14ac:dyDescent="0.35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7"/>
      <c r="W420" s="27"/>
      <c r="X420" s="27"/>
      <c r="Y420" s="27"/>
      <c r="Z420" s="27"/>
    </row>
    <row r="421" spans="1:26" ht="15.6" x14ac:dyDescent="0.35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7"/>
      <c r="W421" s="27"/>
      <c r="X421" s="27"/>
      <c r="Y421" s="27"/>
      <c r="Z421" s="27"/>
    </row>
    <row r="422" spans="1:26" ht="15.6" x14ac:dyDescent="0.35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7"/>
      <c r="W422" s="27"/>
      <c r="X422" s="27"/>
      <c r="Y422" s="27"/>
      <c r="Z422" s="27"/>
    </row>
    <row r="423" spans="1:26" ht="15.6" x14ac:dyDescent="0.35">
      <c r="A423" s="27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7"/>
      <c r="W423" s="27"/>
      <c r="X423" s="27"/>
      <c r="Y423" s="27"/>
      <c r="Z423" s="27"/>
    </row>
    <row r="424" spans="1:26" ht="15.6" x14ac:dyDescent="0.35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7"/>
      <c r="W424" s="27"/>
      <c r="X424" s="27"/>
      <c r="Y424" s="27"/>
      <c r="Z424" s="27"/>
    </row>
    <row r="425" spans="1:26" ht="15.6" x14ac:dyDescent="0.35">
      <c r="A425" s="27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7"/>
      <c r="W425" s="27"/>
      <c r="X425" s="27"/>
      <c r="Y425" s="27"/>
      <c r="Z425" s="27"/>
    </row>
    <row r="426" spans="1:26" ht="15.6" x14ac:dyDescent="0.35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7"/>
      <c r="W426" s="27"/>
      <c r="X426" s="27"/>
      <c r="Y426" s="27"/>
      <c r="Z426" s="27"/>
    </row>
    <row r="427" spans="1:26" ht="15.6" x14ac:dyDescent="0.35">
      <c r="A427" s="27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7"/>
      <c r="W427" s="27"/>
      <c r="X427" s="27"/>
      <c r="Y427" s="27"/>
      <c r="Z427" s="27"/>
    </row>
    <row r="428" spans="1:26" ht="15.6" x14ac:dyDescent="0.35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7"/>
      <c r="W428" s="27"/>
      <c r="X428" s="27"/>
      <c r="Y428" s="27"/>
      <c r="Z428" s="27"/>
    </row>
    <row r="429" spans="1:26" ht="15.6" x14ac:dyDescent="0.35">
      <c r="A429" s="27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7"/>
      <c r="W429" s="27"/>
      <c r="X429" s="27"/>
      <c r="Y429" s="27"/>
      <c r="Z429" s="27"/>
    </row>
    <row r="430" spans="1:26" ht="15.6" x14ac:dyDescent="0.35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7"/>
      <c r="W430" s="27"/>
      <c r="X430" s="27"/>
      <c r="Y430" s="27"/>
      <c r="Z430" s="27"/>
    </row>
    <row r="431" spans="1:26" ht="15.6" x14ac:dyDescent="0.35">
      <c r="A431" s="27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7"/>
      <c r="W431" s="27"/>
      <c r="X431" s="27"/>
      <c r="Y431" s="27"/>
      <c r="Z431" s="27"/>
    </row>
    <row r="432" spans="1:26" ht="15.6" x14ac:dyDescent="0.35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7"/>
      <c r="W432" s="27"/>
      <c r="X432" s="27"/>
      <c r="Y432" s="27"/>
      <c r="Z432" s="27"/>
    </row>
    <row r="433" spans="1:26" ht="15.6" x14ac:dyDescent="0.35">
      <c r="A433" s="27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7"/>
      <c r="W433" s="27"/>
      <c r="X433" s="27"/>
      <c r="Y433" s="27"/>
      <c r="Z433" s="27"/>
    </row>
    <row r="434" spans="1:26" ht="15.6" x14ac:dyDescent="0.35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</row>
    <row r="435" spans="1:26" ht="15.6" x14ac:dyDescent="0.35">
      <c r="A435" s="27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</row>
    <row r="436" spans="1:26" ht="15.6" x14ac:dyDescent="0.35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</row>
    <row r="437" spans="1:26" ht="15.6" x14ac:dyDescent="0.35">
      <c r="A437" s="27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</row>
    <row r="438" spans="1:26" ht="15.6" x14ac:dyDescent="0.35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</row>
    <row r="439" spans="1:26" ht="15.6" x14ac:dyDescent="0.35">
      <c r="A439" s="27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</row>
    <row r="440" spans="1:26" ht="15.6" x14ac:dyDescent="0.35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</row>
    <row r="441" spans="1:26" ht="15.6" x14ac:dyDescent="0.35">
      <c r="A441" s="27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</row>
    <row r="442" spans="1:26" ht="15.6" x14ac:dyDescent="0.35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</row>
    <row r="443" spans="1:26" ht="15.6" x14ac:dyDescent="0.35">
      <c r="A443" s="27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</row>
    <row r="444" spans="1:26" ht="15.6" x14ac:dyDescent="0.35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</row>
    <row r="445" spans="1:26" ht="15.6" x14ac:dyDescent="0.35">
      <c r="A445" s="27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</row>
    <row r="446" spans="1:26" ht="15.6" x14ac:dyDescent="0.35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</row>
    <row r="447" spans="1:26" ht="15.6" x14ac:dyDescent="0.35">
      <c r="A447" s="27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</row>
    <row r="448" spans="1:26" ht="15.6" x14ac:dyDescent="0.35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</row>
    <row r="449" spans="1:26" ht="15.6" x14ac:dyDescent="0.35">
      <c r="A449" s="27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</row>
    <row r="450" spans="1:26" ht="15.6" x14ac:dyDescent="0.35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</row>
    <row r="451" spans="1:26" ht="15.6" x14ac:dyDescent="0.35">
      <c r="A451" s="27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</row>
    <row r="452" spans="1:26" ht="15.6" x14ac:dyDescent="0.35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</row>
    <row r="453" spans="1:26" ht="15.6" x14ac:dyDescent="0.35">
      <c r="A453" s="27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</row>
    <row r="454" spans="1:26" ht="15.6" x14ac:dyDescent="0.35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</row>
    <row r="455" spans="1:26" ht="15.6" x14ac:dyDescent="0.35">
      <c r="A455" s="27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</row>
    <row r="456" spans="1:26" ht="15.6" x14ac:dyDescent="0.35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</row>
    <row r="457" spans="1:26" ht="15.6" x14ac:dyDescent="0.35">
      <c r="A457" s="27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</row>
    <row r="458" spans="1:26" ht="15.6" x14ac:dyDescent="0.35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</row>
    <row r="459" spans="1:26" ht="15.6" x14ac:dyDescent="0.35">
      <c r="A459" s="27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</row>
    <row r="460" spans="1:26" ht="15.6" x14ac:dyDescent="0.35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</row>
    <row r="461" spans="1:26" ht="15.6" x14ac:dyDescent="0.35">
      <c r="A461" s="27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</row>
    <row r="462" spans="1:26" ht="15.6" x14ac:dyDescent="0.35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</row>
    <row r="463" spans="1:26" ht="15.6" x14ac:dyDescent="0.35">
      <c r="A463" s="27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</row>
    <row r="464" spans="1:26" ht="15.6" x14ac:dyDescent="0.35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</row>
    <row r="465" spans="1:26" ht="15.6" x14ac:dyDescent="0.35">
      <c r="A465" s="27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</row>
    <row r="466" spans="1:26" ht="15.6" x14ac:dyDescent="0.35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</row>
    <row r="467" spans="1:26" ht="15.6" x14ac:dyDescent="0.35">
      <c r="A467" s="27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</row>
    <row r="468" spans="1:26" ht="15.6" x14ac:dyDescent="0.35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</row>
    <row r="469" spans="1:26" ht="15.6" x14ac:dyDescent="0.35">
      <c r="A469" s="27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</row>
    <row r="470" spans="1:26" ht="15.6" x14ac:dyDescent="0.35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</row>
    <row r="471" spans="1:26" ht="15.6" x14ac:dyDescent="0.35">
      <c r="A471" s="27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</row>
    <row r="472" spans="1:26" ht="15.6" x14ac:dyDescent="0.35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</row>
    <row r="473" spans="1:26" ht="15.6" x14ac:dyDescent="0.35">
      <c r="A473" s="27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</row>
    <row r="474" spans="1:26" ht="15.6" x14ac:dyDescent="0.35">
      <c r="A474" s="27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</row>
    <row r="475" spans="1:26" ht="15.6" x14ac:dyDescent="0.35">
      <c r="A475" s="27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V475" s="27"/>
      <c r="W475" s="27"/>
      <c r="X475" s="27"/>
      <c r="Y475" s="27"/>
      <c r="Z475" s="27"/>
    </row>
    <row r="476" spans="1:26" ht="15.6" x14ac:dyDescent="0.35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V476" s="27"/>
      <c r="W476" s="27"/>
      <c r="X476" s="27"/>
      <c r="Y476" s="27"/>
      <c r="Z476" s="27"/>
    </row>
    <row r="477" spans="1:26" ht="15.6" x14ac:dyDescent="0.35">
      <c r="A477" s="27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V477" s="27"/>
      <c r="W477" s="27"/>
      <c r="X477" s="27"/>
      <c r="Y477" s="27"/>
      <c r="Z477" s="27"/>
    </row>
    <row r="478" spans="1:26" ht="15.6" x14ac:dyDescent="0.35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V478" s="27"/>
      <c r="W478" s="27"/>
      <c r="X478" s="27"/>
      <c r="Y478" s="27"/>
      <c r="Z478" s="27"/>
    </row>
    <row r="479" spans="1:26" ht="15.6" x14ac:dyDescent="0.35">
      <c r="A479" s="27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V479" s="27"/>
      <c r="W479" s="27"/>
      <c r="X479" s="27"/>
      <c r="Y479" s="27"/>
      <c r="Z479" s="27"/>
    </row>
    <row r="480" spans="1:26" ht="15.6" x14ac:dyDescent="0.35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V480" s="27"/>
      <c r="W480" s="27"/>
      <c r="X480" s="27"/>
      <c r="Y480" s="27"/>
      <c r="Z480" s="27"/>
    </row>
    <row r="481" spans="1:26" ht="15.6" x14ac:dyDescent="0.35">
      <c r="A481" s="27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V481" s="27"/>
      <c r="W481" s="27"/>
      <c r="X481" s="27"/>
      <c r="Y481" s="27"/>
      <c r="Z481" s="27"/>
    </row>
    <row r="482" spans="1:26" ht="15.6" x14ac:dyDescent="0.35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V482" s="27"/>
      <c r="W482" s="27"/>
      <c r="X482" s="27"/>
      <c r="Y482" s="27"/>
      <c r="Z482" s="27"/>
    </row>
    <row r="483" spans="1:26" ht="15.6" x14ac:dyDescent="0.35">
      <c r="A483" s="27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V483" s="27"/>
      <c r="W483" s="27"/>
      <c r="X483" s="27"/>
      <c r="Y483" s="27"/>
      <c r="Z483" s="27"/>
    </row>
    <row r="484" spans="1:26" ht="15.6" x14ac:dyDescent="0.35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1:26" ht="15.6" x14ac:dyDescent="0.35">
      <c r="A485" s="27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1:26" ht="15.6" x14ac:dyDescent="0.35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1:26" ht="15.6" x14ac:dyDescent="0.35">
      <c r="A487" s="27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1:26" ht="15.6" x14ac:dyDescent="0.35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1:26" ht="15.6" x14ac:dyDescent="0.35">
      <c r="A489" s="27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1:26" ht="15.6" x14ac:dyDescent="0.35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1:26" ht="15.6" x14ac:dyDescent="0.35">
      <c r="A491" s="27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1:26" ht="15.6" x14ac:dyDescent="0.35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1:26" ht="15.6" x14ac:dyDescent="0.35">
      <c r="A493" s="27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1:26" ht="15.6" x14ac:dyDescent="0.35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1:26" ht="15.6" x14ac:dyDescent="0.35">
      <c r="A495" s="27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1:26" ht="15.6" x14ac:dyDescent="0.35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1:26" ht="15.6" x14ac:dyDescent="0.35">
      <c r="A497" s="27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1:26" ht="15.6" x14ac:dyDescent="0.35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1:26" ht="15.6" x14ac:dyDescent="0.35">
      <c r="A499" s="27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1:26" ht="15.6" x14ac:dyDescent="0.35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1:26" ht="15.6" x14ac:dyDescent="0.35">
      <c r="A501" s="27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1:26" ht="15.6" x14ac:dyDescent="0.35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1:26" ht="15.6" x14ac:dyDescent="0.35">
      <c r="A503" s="27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1:26" ht="15.6" x14ac:dyDescent="0.35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1:26" ht="15.6" x14ac:dyDescent="0.35">
      <c r="A505" s="27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1:26" ht="15.6" x14ac:dyDescent="0.35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1:26" ht="15.6" x14ac:dyDescent="0.35">
      <c r="A507" s="27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1:26" ht="15.6" x14ac:dyDescent="0.35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1:26" ht="15.6" x14ac:dyDescent="0.35">
      <c r="A509" s="27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1:26" ht="15.6" x14ac:dyDescent="0.35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1:26" ht="15.6" x14ac:dyDescent="0.35">
      <c r="A511" s="27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1:26" ht="15.6" x14ac:dyDescent="0.35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1:26" ht="15.6" x14ac:dyDescent="0.35">
      <c r="A513" s="27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1:26" ht="15.6" x14ac:dyDescent="0.35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1:26" ht="15.6" x14ac:dyDescent="0.35">
      <c r="A515" s="27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1:26" ht="15.6" x14ac:dyDescent="0.35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1:26" ht="15.6" x14ac:dyDescent="0.35">
      <c r="A517" s="27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1:26" ht="15.6" x14ac:dyDescent="0.35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1:26" ht="15.6" x14ac:dyDescent="0.35">
      <c r="A519" s="27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1:26" ht="15.6" x14ac:dyDescent="0.35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1:26" ht="15.6" x14ac:dyDescent="0.35">
      <c r="A521" s="27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1:26" ht="15.6" x14ac:dyDescent="0.35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1:26" ht="15.6" x14ac:dyDescent="0.35">
      <c r="A523" s="27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1:26" ht="15.6" x14ac:dyDescent="0.35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1:26" ht="15.6" x14ac:dyDescent="0.35">
      <c r="A525" s="27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1:26" ht="15.6" x14ac:dyDescent="0.35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1:26" ht="15.6" x14ac:dyDescent="0.35">
      <c r="A527" s="27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1:26" ht="15.6" x14ac:dyDescent="0.35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1:26" ht="15.6" x14ac:dyDescent="0.35">
      <c r="A529" s="27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1:26" ht="15.6" x14ac:dyDescent="0.35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1:26" ht="15.6" x14ac:dyDescent="0.35">
      <c r="A531" s="27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1:26" ht="15.6" x14ac:dyDescent="0.35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1:26" ht="15.6" x14ac:dyDescent="0.35">
      <c r="A533" s="27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1:26" ht="15.6" x14ac:dyDescent="0.35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1:26" ht="15.6" x14ac:dyDescent="0.35">
      <c r="A535" s="27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1:26" ht="15.6" x14ac:dyDescent="0.35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1:26" ht="15.6" x14ac:dyDescent="0.35">
      <c r="A537" s="27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1:26" ht="15.6" x14ac:dyDescent="0.35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1:26" ht="15.6" x14ac:dyDescent="0.35">
      <c r="A539" s="27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1:26" ht="15.6" x14ac:dyDescent="0.35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1:26" ht="15.6" x14ac:dyDescent="0.35">
      <c r="A541" s="27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1:26" ht="15.6" x14ac:dyDescent="0.35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1:26" ht="15.6" x14ac:dyDescent="0.35">
      <c r="A543" s="27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1:26" ht="15.6" x14ac:dyDescent="0.35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1:26" ht="15.6" x14ac:dyDescent="0.35">
      <c r="A545" s="27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1:26" ht="15.6" x14ac:dyDescent="0.35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1:26" ht="15.6" x14ac:dyDescent="0.35">
      <c r="A547" s="27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1:26" ht="15.6" x14ac:dyDescent="0.35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1:26" ht="15.6" x14ac:dyDescent="0.35">
      <c r="A549" s="27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1:26" ht="15.6" x14ac:dyDescent="0.35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1:26" ht="15.6" x14ac:dyDescent="0.35">
      <c r="A551" s="27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1:26" ht="15.6" x14ac:dyDescent="0.35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1:26" ht="15.6" x14ac:dyDescent="0.35">
      <c r="A553" s="27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1:26" ht="15.6" x14ac:dyDescent="0.35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1:26" ht="15.6" x14ac:dyDescent="0.35">
      <c r="A555" s="27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1:26" ht="15.6" x14ac:dyDescent="0.35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1:26" ht="15.6" x14ac:dyDescent="0.35">
      <c r="A557" s="27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1:26" ht="15.6" x14ac:dyDescent="0.35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1:26" ht="15.6" x14ac:dyDescent="0.35">
      <c r="A559" s="27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1:26" ht="15.6" x14ac:dyDescent="0.35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1:26" ht="15.6" x14ac:dyDescent="0.35">
      <c r="A561" s="27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1:26" ht="15.6" x14ac:dyDescent="0.35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1:26" ht="15.6" x14ac:dyDescent="0.35">
      <c r="A563" s="27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1:26" ht="15.6" x14ac:dyDescent="0.35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1:26" ht="15.6" x14ac:dyDescent="0.35">
      <c r="A565" s="27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1:26" ht="15.6" x14ac:dyDescent="0.35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1:26" ht="15.6" x14ac:dyDescent="0.35">
      <c r="A567" s="27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1:26" ht="15.6" x14ac:dyDescent="0.35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1:26" ht="15.6" x14ac:dyDescent="0.35">
      <c r="A569" s="27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1:26" ht="15.6" x14ac:dyDescent="0.35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1:26" ht="15.6" x14ac:dyDescent="0.35">
      <c r="A571" s="27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1:26" ht="15.6" x14ac:dyDescent="0.35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1:26" ht="15.6" x14ac:dyDescent="0.35">
      <c r="A573" s="27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1:26" ht="15.6" x14ac:dyDescent="0.35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1:26" ht="15.6" x14ac:dyDescent="0.35">
      <c r="A575" s="27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1:26" ht="15.6" x14ac:dyDescent="0.35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1:26" ht="15.6" x14ac:dyDescent="0.35">
      <c r="A577" s="27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1:26" ht="15.6" x14ac:dyDescent="0.35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1:26" ht="15.6" x14ac:dyDescent="0.35">
      <c r="A579" s="27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1:26" ht="15.6" x14ac:dyDescent="0.35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1:26" ht="15.6" x14ac:dyDescent="0.35">
      <c r="A581" s="27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1:26" ht="15.6" x14ac:dyDescent="0.35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1:26" ht="15.6" x14ac:dyDescent="0.35">
      <c r="A583" s="27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1:26" ht="15.6" x14ac:dyDescent="0.35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1:26" ht="15.6" x14ac:dyDescent="0.35">
      <c r="A585" s="27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1:26" ht="15.6" x14ac:dyDescent="0.35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1:26" ht="15.6" x14ac:dyDescent="0.35">
      <c r="A587" s="27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1:26" ht="15.6" x14ac:dyDescent="0.35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1:26" ht="15.6" x14ac:dyDescent="0.35">
      <c r="A589" s="27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1:26" ht="15.6" x14ac:dyDescent="0.35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1:26" ht="15.6" x14ac:dyDescent="0.35">
      <c r="A591" s="27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1:26" ht="15.6" x14ac:dyDescent="0.35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1:26" ht="15.6" x14ac:dyDescent="0.35">
      <c r="A593" s="27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1:26" ht="15.6" x14ac:dyDescent="0.35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1:26" ht="15.6" x14ac:dyDescent="0.35">
      <c r="A595" s="27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1:26" ht="15.6" x14ac:dyDescent="0.35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1:26" ht="15.6" x14ac:dyDescent="0.35">
      <c r="A597" s="27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1:26" ht="15.6" x14ac:dyDescent="0.35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1:26" ht="15.6" x14ac:dyDescent="0.35">
      <c r="A599" s="27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1:26" ht="15.6" x14ac:dyDescent="0.35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1:26" ht="15.6" x14ac:dyDescent="0.35">
      <c r="A601" s="27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1:26" ht="15.6" x14ac:dyDescent="0.35">
      <c r="A602" s="27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1:26" ht="15.6" x14ac:dyDescent="0.35">
      <c r="A603" s="27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1:26" ht="15.6" x14ac:dyDescent="0.35">
      <c r="A604" s="27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1:26" ht="15.6" x14ac:dyDescent="0.35">
      <c r="A605" s="27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1:26" ht="15.6" x14ac:dyDescent="0.35">
      <c r="A606" s="27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1:26" ht="15.6" x14ac:dyDescent="0.35">
      <c r="A607" s="27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1:26" ht="15.6" x14ac:dyDescent="0.35">
      <c r="A608" s="27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1:26" ht="15.6" x14ac:dyDescent="0.35">
      <c r="A609" s="27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1:26" ht="15.6" x14ac:dyDescent="0.35">
      <c r="A610" s="27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1:26" ht="15.6" x14ac:dyDescent="0.35">
      <c r="A611" s="27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1:26" ht="15.6" x14ac:dyDescent="0.35">
      <c r="A612" s="27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1:26" ht="15.6" x14ac:dyDescent="0.35">
      <c r="A613" s="27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1:26" ht="15.6" x14ac:dyDescent="0.35">
      <c r="A614" s="27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1:26" ht="15.6" x14ac:dyDescent="0.35">
      <c r="A615" s="27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1:26" ht="15.6" x14ac:dyDescent="0.35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1:26" ht="15.6" x14ac:dyDescent="0.35">
      <c r="A617" s="27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1:26" ht="15.6" x14ac:dyDescent="0.35">
      <c r="A618" s="27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1:26" ht="15.6" x14ac:dyDescent="0.35">
      <c r="A619" s="27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1:26" ht="15.6" x14ac:dyDescent="0.35">
      <c r="A620" s="27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1:26" ht="15.6" x14ac:dyDescent="0.35">
      <c r="A621" s="27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1:26" ht="15.6" x14ac:dyDescent="0.35">
      <c r="A622" s="27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1:26" ht="15.6" x14ac:dyDescent="0.35">
      <c r="A623" s="27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1:26" ht="15.6" x14ac:dyDescent="0.35">
      <c r="A624" s="27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1:26" ht="15.6" x14ac:dyDescent="0.35">
      <c r="A625" s="27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1:26" ht="15.6" x14ac:dyDescent="0.35">
      <c r="A626" s="27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1:26" ht="15.6" x14ac:dyDescent="0.35">
      <c r="A627" s="27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1:26" ht="15.6" x14ac:dyDescent="0.35">
      <c r="A628" s="27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1:26" ht="15.6" x14ac:dyDescent="0.35">
      <c r="A629" s="27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1:26" ht="15.6" x14ac:dyDescent="0.35">
      <c r="A630" s="27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1:26" ht="15.6" x14ac:dyDescent="0.35">
      <c r="A631" s="27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1:26" ht="15.6" x14ac:dyDescent="0.35">
      <c r="A632" s="27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1:26" ht="15.6" x14ac:dyDescent="0.35">
      <c r="A633" s="27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1:26" ht="15.6" x14ac:dyDescent="0.35">
      <c r="A634" s="27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1:26" ht="15.6" x14ac:dyDescent="0.35">
      <c r="A635" s="27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1:26" ht="15.6" x14ac:dyDescent="0.35">
      <c r="A636" s="27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1:26" ht="15.6" x14ac:dyDescent="0.35">
      <c r="A637" s="27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1:26" ht="15.6" x14ac:dyDescent="0.35">
      <c r="A638" s="27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1:26" ht="15.6" x14ac:dyDescent="0.35">
      <c r="A639" s="27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1:26" ht="15.6" x14ac:dyDescent="0.35">
      <c r="A640" s="27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1:26" ht="15.6" x14ac:dyDescent="0.35">
      <c r="A641" s="27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1:26" ht="15.6" x14ac:dyDescent="0.35">
      <c r="A642" s="27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1:26" ht="15.6" x14ac:dyDescent="0.35">
      <c r="A643" s="27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1:26" ht="15.6" x14ac:dyDescent="0.35">
      <c r="A644" s="27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1:26" ht="15.6" x14ac:dyDescent="0.35">
      <c r="A645" s="27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1:26" ht="15.6" x14ac:dyDescent="0.35">
      <c r="A646" s="27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1:26" ht="15.6" x14ac:dyDescent="0.35">
      <c r="A647" s="27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1:26" ht="15.6" x14ac:dyDescent="0.35">
      <c r="A648" s="27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1:26" ht="15.6" x14ac:dyDescent="0.35">
      <c r="A649" s="27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1:26" ht="15.6" x14ac:dyDescent="0.35">
      <c r="A650" s="27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1:26" ht="15.6" x14ac:dyDescent="0.35">
      <c r="A651" s="27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1:26" ht="15.6" x14ac:dyDescent="0.35">
      <c r="A652" s="27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1:26" ht="15.6" x14ac:dyDescent="0.35">
      <c r="A653" s="27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1:26" ht="15.6" x14ac:dyDescent="0.35">
      <c r="A654" s="27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1:26" ht="15.6" x14ac:dyDescent="0.35">
      <c r="A655" s="27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1:26" ht="15.6" x14ac:dyDescent="0.35">
      <c r="A656" s="27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1:26" ht="15.6" x14ac:dyDescent="0.35">
      <c r="A657" s="27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1:26" ht="15.6" x14ac:dyDescent="0.35">
      <c r="A658" s="27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1:26" ht="15.6" x14ac:dyDescent="0.35">
      <c r="A659" s="27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1:26" ht="15.6" x14ac:dyDescent="0.35">
      <c r="A660" s="27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1:26" ht="15.6" x14ac:dyDescent="0.35">
      <c r="A661" s="27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1:26" ht="15.6" x14ac:dyDescent="0.35">
      <c r="A662" s="27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1:26" ht="15.6" x14ac:dyDescent="0.35">
      <c r="A663" s="27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1:26" ht="15.6" x14ac:dyDescent="0.35">
      <c r="A664" s="27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1:26" ht="15.6" x14ac:dyDescent="0.35">
      <c r="A665" s="27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1:26" ht="15.6" x14ac:dyDescent="0.35">
      <c r="A666" s="27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1:26" ht="15.6" x14ac:dyDescent="0.35">
      <c r="A667" s="27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1:26" ht="15.6" x14ac:dyDescent="0.35">
      <c r="A668" s="27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1:26" ht="15.6" x14ac:dyDescent="0.35">
      <c r="A669" s="27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1:26" ht="15.6" x14ac:dyDescent="0.35">
      <c r="A670" s="27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1:26" ht="15.6" x14ac:dyDescent="0.35">
      <c r="A671" s="27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1:26" ht="15.6" x14ac:dyDescent="0.35">
      <c r="A672" s="27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1:26" ht="15.6" x14ac:dyDescent="0.35">
      <c r="A673" s="27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1:26" ht="15.6" x14ac:dyDescent="0.35">
      <c r="A674" s="27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1:26" ht="15.6" x14ac:dyDescent="0.35">
      <c r="A675" s="27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1:26" ht="15.6" x14ac:dyDescent="0.35">
      <c r="A676" s="27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1:26" ht="15.6" x14ac:dyDescent="0.35">
      <c r="A677" s="27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1:26" ht="15.6" x14ac:dyDescent="0.35">
      <c r="A678" s="27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1:26" ht="15.6" x14ac:dyDescent="0.35">
      <c r="A679" s="27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1:26" ht="15.6" x14ac:dyDescent="0.35">
      <c r="A680" s="27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1:26" ht="15.6" x14ac:dyDescent="0.35">
      <c r="A681" s="27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1:26" ht="15.6" x14ac:dyDescent="0.35">
      <c r="A682" s="27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1:26" ht="15.6" x14ac:dyDescent="0.35">
      <c r="A683" s="27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1:26" ht="15.6" x14ac:dyDescent="0.35">
      <c r="A684" s="27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1:26" ht="15.6" x14ac:dyDescent="0.35">
      <c r="A685" s="27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1:26" ht="15.6" x14ac:dyDescent="0.35">
      <c r="A686" s="27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1:26" ht="15.6" x14ac:dyDescent="0.35">
      <c r="A687" s="27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1:26" ht="15.6" x14ac:dyDescent="0.35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1:26" ht="15.6" x14ac:dyDescent="0.35">
      <c r="A689" s="27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1:26" ht="15.6" x14ac:dyDescent="0.35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1:26" ht="15.6" x14ac:dyDescent="0.35">
      <c r="A691" s="27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1:26" ht="15.6" x14ac:dyDescent="0.35">
      <c r="A692" s="27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1:26" ht="15.6" x14ac:dyDescent="0.35">
      <c r="A693" s="27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1:26" ht="15.6" x14ac:dyDescent="0.35">
      <c r="A694" s="27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1:26" ht="15.6" x14ac:dyDescent="0.35">
      <c r="A695" s="27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1:26" ht="15.6" x14ac:dyDescent="0.35">
      <c r="A696" s="27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1:26" ht="15.6" x14ac:dyDescent="0.35">
      <c r="A697" s="27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1:26" ht="15.6" x14ac:dyDescent="0.35">
      <c r="A698" s="27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1:26" ht="15.6" x14ac:dyDescent="0.35">
      <c r="A699" s="27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1:26" ht="15.6" x14ac:dyDescent="0.35">
      <c r="A700" s="27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1:26" ht="15.6" x14ac:dyDescent="0.35">
      <c r="A701" s="27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1:26" ht="15.6" x14ac:dyDescent="0.35">
      <c r="A702" s="27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1:26" ht="15.6" x14ac:dyDescent="0.35">
      <c r="A703" s="27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1:26" ht="15.6" x14ac:dyDescent="0.35">
      <c r="A704" s="27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1:26" ht="15.6" x14ac:dyDescent="0.35">
      <c r="A705" s="27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1:26" ht="15.6" x14ac:dyDescent="0.35">
      <c r="A706" s="27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1:26" ht="15.6" x14ac:dyDescent="0.35">
      <c r="A707" s="27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1:26" ht="15.6" x14ac:dyDescent="0.35">
      <c r="A708" s="27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1:26" ht="15.6" x14ac:dyDescent="0.35">
      <c r="A709" s="27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1:26" ht="15.6" x14ac:dyDescent="0.35">
      <c r="A710" s="27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1:26" ht="15.6" x14ac:dyDescent="0.35">
      <c r="A711" s="27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1:26" ht="15.6" x14ac:dyDescent="0.35">
      <c r="A712" s="27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1:26" ht="15.6" x14ac:dyDescent="0.35">
      <c r="A713" s="27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1:26" ht="15.6" x14ac:dyDescent="0.35">
      <c r="A714" s="27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1:26" ht="15.6" x14ac:dyDescent="0.35">
      <c r="A715" s="27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1:26" ht="15.6" x14ac:dyDescent="0.35">
      <c r="A716" s="27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1:26" ht="15.6" x14ac:dyDescent="0.35">
      <c r="A717" s="27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1:26" ht="15.6" x14ac:dyDescent="0.35">
      <c r="A718" s="27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1:26" ht="15.6" x14ac:dyDescent="0.35">
      <c r="A719" s="27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1:26" ht="15.6" x14ac:dyDescent="0.35">
      <c r="A720" s="27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1:26" ht="15.6" x14ac:dyDescent="0.35">
      <c r="A721" s="27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1:26" ht="15.6" x14ac:dyDescent="0.35">
      <c r="A722" s="27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1:26" ht="15.6" x14ac:dyDescent="0.35">
      <c r="A723" s="27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1:26" ht="15.6" x14ac:dyDescent="0.35">
      <c r="A724" s="27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1:26" ht="15.6" x14ac:dyDescent="0.35">
      <c r="A725" s="27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1:26" ht="15.6" x14ac:dyDescent="0.35">
      <c r="A726" s="27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1:26" ht="15.6" x14ac:dyDescent="0.35">
      <c r="A727" s="27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1:26" ht="15.6" x14ac:dyDescent="0.35">
      <c r="A728" s="27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1:26" ht="15.6" x14ac:dyDescent="0.35">
      <c r="A729" s="27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1:26" ht="15.6" x14ac:dyDescent="0.35">
      <c r="A730" s="27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1:26" ht="15.6" x14ac:dyDescent="0.35">
      <c r="A731" s="27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1:26" ht="15.6" x14ac:dyDescent="0.35">
      <c r="A732" s="27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1:26" ht="15.6" x14ac:dyDescent="0.35">
      <c r="A733" s="27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1:26" ht="15.6" x14ac:dyDescent="0.35">
      <c r="A734" s="27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1:26" ht="15.6" x14ac:dyDescent="0.35">
      <c r="A735" s="27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1:26" ht="15.6" x14ac:dyDescent="0.35">
      <c r="A736" s="27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1:26" ht="15.6" x14ac:dyDescent="0.35">
      <c r="A737" s="27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1:26" ht="15.6" x14ac:dyDescent="0.35">
      <c r="A738" s="27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1:26" ht="15.6" x14ac:dyDescent="0.35">
      <c r="A739" s="27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1:26" ht="15.6" x14ac:dyDescent="0.35">
      <c r="A740" s="27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1:26" ht="15.6" x14ac:dyDescent="0.35">
      <c r="A741" s="27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1:26" ht="15.6" x14ac:dyDescent="0.35">
      <c r="A742" s="27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1:26" ht="15.6" x14ac:dyDescent="0.35">
      <c r="A743" s="27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1:26" ht="15.6" x14ac:dyDescent="0.35">
      <c r="A744" s="27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1:26" ht="15.6" x14ac:dyDescent="0.35">
      <c r="A745" s="27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1:26" ht="15.6" x14ac:dyDescent="0.35">
      <c r="A746" s="27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1:26" ht="15.6" x14ac:dyDescent="0.35">
      <c r="A747" s="27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1:26" ht="15.6" x14ac:dyDescent="0.35">
      <c r="A748" s="27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1:26" ht="15.6" x14ac:dyDescent="0.35">
      <c r="A749" s="27"/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1:26" ht="15.6" x14ac:dyDescent="0.35">
      <c r="A750" s="27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1:26" ht="15.6" x14ac:dyDescent="0.35">
      <c r="A751" s="27"/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1:26" ht="15.6" x14ac:dyDescent="0.35">
      <c r="A752" s="27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1:26" ht="15.6" x14ac:dyDescent="0.35">
      <c r="A753" s="27"/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1:26" ht="15.6" x14ac:dyDescent="0.35">
      <c r="A754" s="27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1:26" ht="15.6" x14ac:dyDescent="0.35">
      <c r="A755" s="27"/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1:26" ht="15.6" x14ac:dyDescent="0.35">
      <c r="A756" s="27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1:26" ht="15.6" x14ac:dyDescent="0.35">
      <c r="A757" s="27"/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1:26" ht="15.6" x14ac:dyDescent="0.35">
      <c r="A758" s="27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1:26" ht="15.6" x14ac:dyDescent="0.35">
      <c r="A759" s="27"/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1:26" ht="15.6" x14ac:dyDescent="0.35">
      <c r="A760" s="27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1:26" ht="15.6" x14ac:dyDescent="0.35">
      <c r="A761" s="27"/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1:26" ht="15.6" x14ac:dyDescent="0.35">
      <c r="A762" s="27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1:26" ht="15.6" x14ac:dyDescent="0.35">
      <c r="A763" s="27"/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1:26" ht="15.6" x14ac:dyDescent="0.35">
      <c r="A764" s="27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1:26" ht="15.6" x14ac:dyDescent="0.35">
      <c r="A765" s="27"/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1:26" ht="15.6" x14ac:dyDescent="0.35">
      <c r="A766" s="27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1:26" ht="15.6" x14ac:dyDescent="0.35">
      <c r="A767" s="27"/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1:26" ht="15.6" x14ac:dyDescent="0.35">
      <c r="A768" s="27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1:26" ht="15.6" x14ac:dyDescent="0.35">
      <c r="A769" s="27"/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1:26" ht="15.6" x14ac:dyDescent="0.35">
      <c r="A770" s="27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1:26" ht="15.6" x14ac:dyDescent="0.35">
      <c r="A771" s="27"/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1:26" ht="15.6" x14ac:dyDescent="0.35">
      <c r="A772" s="27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1:26" ht="15.6" x14ac:dyDescent="0.35">
      <c r="A773" s="27"/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1:26" ht="15.6" x14ac:dyDescent="0.35">
      <c r="A774" s="27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1:26" ht="15.6" x14ac:dyDescent="0.35">
      <c r="A775" s="27"/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1:26" ht="15.6" x14ac:dyDescent="0.35">
      <c r="A776" s="27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1:26" ht="15.6" x14ac:dyDescent="0.35">
      <c r="A777" s="27"/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1:26" ht="15.6" x14ac:dyDescent="0.35">
      <c r="A778" s="27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1:26" ht="15.6" x14ac:dyDescent="0.35">
      <c r="A779" s="27"/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1:26" ht="15.6" x14ac:dyDescent="0.35">
      <c r="A780" s="27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1:26" ht="15.6" x14ac:dyDescent="0.35">
      <c r="A781" s="27"/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1:26" ht="15.6" x14ac:dyDescent="0.35">
      <c r="A782" s="27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1:26" ht="15.6" x14ac:dyDescent="0.35">
      <c r="A783" s="27"/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1:26" ht="15.6" x14ac:dyDescent="0.35">
      <c r="A784" s="27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1:26" ht="15.6" x14ac:dyDescent="0.35">
      <c r="A785" s="27"/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1:26" ht="15.6" x14ac:dyDescent="0.35">
      <c r="A786" s="27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1:26" ht="15.6" x14ac:dyDescent="0.35">
      <c r="A787" s="27"/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1:26" ht="15.6" x14ac:dyDescent="0.35">
      <c r="A788" s="27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1:26" ht="15.6" x14ac:dyDescent="0.35">
      <c r="A789" s="27"/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1:26" ht="15.6" x14ac:dyDescent="0.35">
      <c r="A790" s="27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1:26" ht="15.6" x14ac:dyDescent="0.35">
      <c r="A791" s="27"/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1:26" ht="15.6" x14ac:dyDescent="0.35">
      <c r="A792" s="27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1:26" ht="15.6" x14ac:dyDescent="0.35">
      <c r="A793" s="27"/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1:26" ht="15.6" x14ac:dyDescent="0.35">
      <c r="A794" s="27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1:26" ht="15.6" x14ac:dyDescent="0.35">
      <c r="A795" s="27"/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1:26" ht="15.6" x14ac:dyDescent="0.35">
      <c r="A796" s="27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1:26" ht="15.6" x14ac:dyDescent="0.35">
      <c r="A797" s="27"/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1:26" ht="15.6" x14ac:dyDescent="0.35">
      <c r="A798" s="27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1:26" ht="15.6" x14ac:dyDescent="0.35">
      <c r="A799" s="27"/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1:26" ht="15.6" x14ac:dyDescent="0.35">
      <c r="A800" s="27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1:26" ht="15.6" x14ac:dyDescent="0.35">
      <c r="A801" s="27"/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1:26" ht="15.6" x14ac:dyDescent="0.35">
      <c r="A802" s="27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1:26" ht="15.6" x14ac:dyDescent="0.35">
      <c r="A803" s="27"/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1:26" ht="15.6" x14ac:dyDescent="0.35">
      <c r="A804" s="27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1:26" ht="15.6" x14ac:dyDescent="0.35">
      <c r="A805" s="27"/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1:26" ht="15.6" x14ac:dyDescent="0.35">
      <c r="A806" s="27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1:26" ht="15.6" x14ac:dyDescent="0.35">
      <c r="A807" s="27"/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1:26" ht="15.6" x14ac:dyDescent="0.35">
      <c r="A808" s="27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1:26" ht="15.6" x14ac:dyDescent="0.35">
      <c r="A809" s="27"/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1:26" ht="15.6" x14ac:dyDescent="0.35">
      <c r="A810" s="27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1:26" ht="15.6" x14ac:dyDescent="0.35">
      <c r="A811" s="27"/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1:26" ht="15.6" x14ac:dyDescent="0.35">
      <c r="A812" s="27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1:26" ht="15.6" x14ac:dyDescent="0.35">
      <c r="A813" s="27"/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1:26" ht="15.6" x14ac:dyDescent="0.35">
      <c r="A814" s="27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1:26" ht="15.6" x14ac:dyDescent="0.35">
      <c r="A815" s="27"/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1:26" ht="15.6" x14ac:dyDescent="0.35">
      <c r="A816" s="27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1:26" ht="15.6" x14ac:dyDescent="0.35">
      <c r="A817" s="27"/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1:26" ht="15.6" x14ac:dyDescent="0.35">
      <c r="A818" s="27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1:26" ht="15.6" x14ac:dyDescent="0.35">
      <c r="A819" s="27"/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1:26" ht="15.6" x14ac:dyDescent="0.35">
      <c r="A820" s="27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1:26" ht="15.6" x14ac:dyDescent="0.35">
      <c r="A821" s="27"/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1:26" ht="15.6" x14ac:dyDescent="0.35">
      <c r="A822" s="27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1:26" ht="15.6" x14ac:dyDescent="0.35">
      <c r="A823" s="27"/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1:26" ht="15.6" x14ac:dyDescent="0.35">
      <c r="A824" s="27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1:26" ht="15.6" x14ac:dyDescent="0.35">
      <c r="A825" s="27"/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1:26" ht="15.6" x14ac:dyDescent="0.35">
      <c r="A826" s="27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1:26" ht="15.6" x14ac:dyDescent="0.35">
      <c r="A827" s="27"/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1:26" ht="15.6" x14ac:dyDescent="0.35">
      <c r="A828" s="27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1:26" ht="15.6" x14ac:dyDescent="0.35">
      <c r="A829" s="27"/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1:26" ht="15.6" x14ac:dyDescent="0.35">
      <c r="A830" s="27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1:26" ht="15.6" x14ac:dyDescent="0.35">
      <c r="A831" s="27"/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1:26" ht="15.6" x14ac:dyDescent="0.35">
      <c r="A832" s="27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1:26" ht="15.6" x14ac:dyDescent="0.35">
      <c r="A833" s="27"/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1:26" ht="15.6" x14ac:dyDescent="0.35">
      <c r="A834" s="27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1:26" ht="15.6" x14ac:dyDescent="0.35">
      <c r="A835" s="27"/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1:26" ht="15.6" x14ac:dyDescent="0.35">
      <c r="A836" s="27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1:26" ht="15.6" x14ac:dyDescent="0.35">
      <c r="A837" s="27"/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1:26" ht="15.6" x14ac:dyDescent="0.35">
      <c r="A838" s="27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1:26" ht="15.6" x14ac:dyDescent="0.35">
      <c r="A839" s="27"/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1:26" ht="15.6" x14ac:dyDescent="0.35">
      <c r="A840" s="27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1:26" ht="15.6" x14ac:dyDescent="0.35">
      <c r="A841" s="27"/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1:26" ht="15.6" x14ac:dyDescent="0.35">
      <c r="A842" s="27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1:26" ht="15.6" x14ac:dyDescent="0.35">
      <c r="A843" s="27"/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1:26" ht="15.6" x14ac:dyDescent="0.35">
      <c r="A844" s="27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1:26" ht="15.6" x14ac:dyDescent="0.35">
      <c r="A845" s="27"/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1:26" ht="15.6" x14ac:dyDescent="0.35">
      <c r="A846" s="27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1:26" ht="15.6" x14ac:dyDescent="0.35">
      <c r="A847" s="27"/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1:26" ht="15.6" x14ac:dyDescent="0.35">
      <c r="A848" s="27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1:26" ht="15.6" x14ac:dyDescent="0.35">
      <c r="A849" s="27"/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1:26" ht="15.6" x14ac:dyDescent="0.35">
      <c r="A850" s="27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1:26" ht="15.6" x14ac:dyDescent="0.35">
      <c r="A851" s="27"/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1:26" ht="15.6" x14ac:dyDescent="0.35">
      <c r="A852" s="27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1:26" ht="15.6" x14ac:dyDescent="0.35">
      <c r="A853" s="27"/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1:26" ht="15.6" x14ac:dyDescent="0.35">
      <c r="A854" s="27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1:26" ht="15.6" x14ac:dyDescent="0.35">
      <c r="A855" s="27"/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1:26" ht="15.6" x14ac:dyDescent="0.35">
      <c r="A856" s="27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1:26" ht="15.6" x14ac:dyDescent="0.35">
      <c r="A857" s="27"/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1:26" ht="15.6" x14ac:dyDescent="0.35">
      <c r="A858" s="27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1:26" ht="15.6" x14ac:dyDescent="0.35">
      <c r="A859" s="27"/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1:26" ht="15.6" x14ac:dyDescent="0.35">
      <c r="A860" s="27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1:26" ht="15.6" x14ac:dyDescent="0.35">
      <c r="A861" s="27"/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1:26" ht="15.6" x14ac:dyDescent="0.35">
      <c r="A862" s="27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1:26" ht="15.6" x14ac:dyDescent="0.35">
      <c r="A863" s="27"/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1:26" ht="15.6" x14ac:dyDescent="0.35">
      <c r="A864" s="27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1:26" ht="15.6" x14ac:dyDescent="0.35">
      <c r="A865" s="27"/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1:26" ht="15.6" x14ac:dyDescent="0.35">
      <c r="A866" s="27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1:26" ht="15.6" x14ac:dyDescent="0.35">
      <c r="A867" s="27"/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1:26" ht="15.6" x14ac:dyDescent="0.35">
      <c r="A868" s="27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1:26" ht="15.6" x14ac:dyDescent="0.35">
      <c r="A869" s="27"/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1:26" ht="15.6" x14ac:dyDescent="0.35">
      <c r="A870" s="27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1:26" ht="15.6" x14ac:dyDescent="0.35">
      <c r="A871" s="27"/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1:26" ht="15.6" x14ac:dyDescent="0.35">
      <c r="A872" s="27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1:26" ht="15.6" x14ac:dyDescent="0.35">
      <c r="A873" s="27"/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1:26" ht="15.6" x14ac:dyDescent="0.35">
      <c r="A874" s="27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1:26" ht="15.6" x14ac:dyDescent="0.35">
      <c r="A875" s="27"/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1:26" ht="15.6" x14ac:dyDescent="0.35">
      <c r="A876" s="27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1:26" ht="15.6" x14ac:dyDescent="0.35">
      <c r="A877" s="27"/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1:26" ht="15.6" x14ac:dyDescent="0.35">
      <c r="A878" s="27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1:26" ht="15.6" x14ac:dyDescent="0.35">
      <c r="A879" s="27"/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1:26" ht="15.6" x14ac:dyDescent="0.35">
      <c r="A880" s="27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1:26" ht="15.6" x14ac:dyDescent="0.35">
      <c r="A881" s="27"/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1:26" ht="15.6" x14ac:dyDescent="0.35">
      <c r="A882" s="27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1:26" ht="15.6" x14ac:dyDescent="0.35">
      <c r="A883" s="27"/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1:26" ht="15.6" x14ac:dyDescent="0.35">
      <c r="A884" s="27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1:26" ht="15.6" x14ac:dyDescent="0.35">
      <c r="A885" s="27"/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1:26" ht="15.6" x14ac:dyDescent="0.35">
      <c r="A886" s="27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1:26" ht="15.6" x14ac:dyDescent="0.35">
      <c r="A887" s="27"/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1:26" ht="15.6" x14ac:dyDescent="0.35">
      <c r="A888" s="27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1:26" ht="15.6" x14ac:dyDescent="0.35">
      <c r="A889" s="27"/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1:26" ht="15.6" x14ac:dyDescent="0.35">
      <c r="A890" s="27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1:26" ht="15.6" x14ac:dyDescent="0.35">
      <c r="A891" s="27"/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1:26" ht="15.6" x14ac:dyDescent="0.35">
      <c r="A892" s="27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1:26" ht="15.6" x14ac:dyDescent="0.35">
      <c r="A893" s="27"/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1:26" ht="15.6" x14ac:dyDescent="0.35">
      <c r="A894" s="27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1:26" ht="15.6" x14ac:dyDescent="0.35">
      <c r="A895" s="27"/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1:26" ht="15.6" x14ac:dyDescent="0.35">
      <c r="A896" s="27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1:26" ht="15.6" x14ac:dyDescent="0.35">
      <c r="A897" s="27"/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1:26" ht="15.6" x14ac:dyDescent="0.35">
      <c r="A898" s="27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1:26" ht="15.6" x14ac:dyDescent="0.35">
      <c r="A899" s="27"/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1:26" ht="15.6" x14ac:dyDescent="0.35">
      <c r="A900" s="27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1:26" ht="15.6" x14ac:dyDescent="0.35">
      <c r="A901" s="27"/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1:26" ht="15.6" x14ac:dyDescent="0.35">
      <c r="A902" s="27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1:26" ht="15.6" x14ac:dyDescent="0.35">
      <c r="A903" s="27"/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1:26" ht="15.6" x14ac:dyDescent="0.35">
      <c r="A904" s="27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1:26" ht="15.6" x14ac:dyDescent="0.35">
      <c r="A905" s="27"/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1:26" ht="15.6" x14ac:dyDescent="0.35">
      <c r="A906" s="27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1:26" ht="15.6" x14ac:dyDescent="0.35">
      <c r="A907" s="27"/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1:26" ht="15.6" x14ac:dyDescent="0.35">
      <c r="A908" s="27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1:26" ht="15.6" x14ac:dyDescent="0.35">
      <c r="A909" s="27"/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1:26" ht="15.6" x14ac:dyDescent="0.35">
      <c r="A910" s="27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1:26" ht="15.6" x14ac:dyDescent="0.35">
      <c r="A911" s="27"/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1:26" ht="15.6" x14ac:dyDescent="0.35">
      <c r="A912" s="27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1:26" ht="15.6" x14ac:dyDescent="0.35">
      <c r="A913" s="27"/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1:26" ht="15.6" x14ac:dyDescent="0.35">
      <c r="A914" s="27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1:26" ht="15.6" x14ac:dyDescent="0.35">
      <c r="A915" s="27"/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1:26" ht="15.6" x14ac:dyDescent="0.35">
      <c r="A916" s="27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1:26" ht="15.6" x14ac:dyDescent="0.35">
      <c r="A917" s="27"/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1:26" ht="15.6" x14ac:dyDescent="0.35">
      <c r="A918" s="27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1:26" ht="15.6" x14ac:dyDescent="0.35">
      <c r="A919" s="27"/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1:26" ht="15.6" x14ac:dyDescent="0.35">
      <c r="A920" s="27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1:26" ht="15.6" x14ac:dyDescent="0.35">
      <c r="A921" s="27"/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1:26" ht="15.6" x14ac:dyDescent="0.35">
      <c r="A922" s="27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1:26" ht="15.6" x14ac:dyDescent="0.35">
      <c r="A923" s="27"/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1:26" ht="15.6" x14ac:dyDescent="0.35">
      <c r="A924" s="27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1:26" ht="15.6" x14ac:dyDescent="0.35">
      <c r="A925" s="27"/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1:26" ht="15.6" x14ac:dyDescent="0.35">
      <c r="A926" s="27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1:26" ht="15.6" x14ac:dyDescent="0.35">
      <c r="A927" s="27"/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1:26" ht="15.6" x14ac:dyDescent="0.35">
      <c r="A928" s="27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1:26" ht="15.6" x14ac:dyDescent="0.35">
      <c r="A929" s="27"/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1:26" ht="15.6" x14ac:dyDescent="0.35">
      <c r="A930" s="27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1:26" ht="15.6" x14ac:dyDescent="0.35">
      <c r="A931" s="27"/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1:26" ht="15.6" x14ac:dyDescent="0.35">
      <c r="A932" s="27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1:26" ht="15.6" x14ac:dyDescent="0.35">
      <c r="A933" s="27"/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1:26" ht="15.6" x14ac:dyDescent="0.35">
      <c r="A934" s="27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1:26" ht="15.6" x14ac:dyDescent="0.35">
      <c r="A935" s="27"/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1:26" ht="15.6" x14ac:dyDescent="0.35">
      <c r="A936" s="27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1:26" ht="15.6" x14ac:dyDescent="0.35">
      <c r="A937" s="27"/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1:26" ht="15.6" x14ac:dyDescent="0.35">
      <c r="A938" s="27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1:26" ht="15.6" x14ac:dyDescent="0.35">
      <c r="A939" s="27"/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1:26" ht="15.6" x14ac:dyDescent="0.35">
      <c r="A940" s="27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1:26" ht="15.6" x14ac:dyDescent="0.35">
      <c r="A941" s="27"/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1:26" ht="15.6" x14ac:dyDescent="0.35">
      <c r="A942" s="27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N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1:26" ht="15.6" x14ac:dyDescent="0.35">
      <c r="A943" s="27"/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N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1:26" ht="15.6" x14ac:dyDescent="0.35">
      <c r="A944" s="27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N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1:26" ht="15.6" x14ac:dyDescent="0.35">
      <c r="A945" s="27"/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N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1:26" ht="15.6" x14ac:dyDescent="0.35">
      <c r="A946" s="27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N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1:26" ht="15.6" x14ac:dyDescent="0.35">
      <c r="A947" s="27"/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N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1:26" ht="15.6" x14ac:dyDescent="0.35">
      <c r="A948" s="27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N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1:26" ht="15.6" x14ac:dyDescent="0.35">
      <c r="A949" s="27"/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N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1:26" ht="15.6" x14ac:dyDescent="0.35">
      <c r="A950" s="27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N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1:26" ht="15.6" x14ac:dyDescent="0.35">
      <c r="A951" s="27"/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N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1:26" ht="15.6" x14ac:dyDescent="0.35">
      <c r="A952" s="27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N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1:26" ht="15.6" x14ac:dyDescent="0.35">
      <c r="A953" s="27"/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N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1:26" ht="15.6" x14ac:dyDescent="0.35">
      <c r="A954" s="27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N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1:26" ht="15.6" x14ac:dyDescent="0.35">
      <c r="A955" s="27"/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N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1:26" ht="15.6" x14ac:dyDescent="0.35">
      <c r="A956" s="27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N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1:26" ht="15.6" x14ac:dyDescent="0.35">
      <c r="A957" s="27"/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N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1:26" ht="15.6" x14ac:dyDescent="0.35">
      <c r="A958" s="27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N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1:26" ht="15.6" x14ac:dyDescent="0.35">
      <c r="A959" s="27"/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N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1:26" ht="15.6" x14ac:dyDescent="0.35">
      <c r="A960" s="27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N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  <row r="961" spans="1:26" ht="15.6" x14ac:dyDescent="0.35">
      <c r="A961" s="27"/>
      <c r="B961" s="27"/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27"/>
      <c r="N961" s="27"/>
      <c r="O961" s="27"/>
      <c r="P961" s="27"/>
      <c r="Q961" s="27"/>
      <c r="R961" s="27"/>
      <c r="S961" s="27"/>
      <c r="T961" s="27"/>
      <c r="U961" s="27"/>
      <c r="V961" s="27"/>
      <c r="W961" s="27"/>
      <c r="X961" s="27"/>
      <c r="Y961" s="27"/>
      <c r="Z961" s="27"/>
    </row>
    <row r="962" spans="1:26" ht="15.6" x14ac:dyDescent="0.35">
      <c r="A962" s="27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27"/>
      <c r="M962" s="27"/>
      <c r="N962" s="27"/>
      <c r="O962" s="27"/>
      <c r="P962" s="27"/>
      <c r="Q962" s="27"/>
      <c r="R962" s="27"/>
      <c r="S962" s="27"/>
      <c r="T962" s="27"/>
      <c r="U962" s="27"/>
      <c r="V962" s="27"/>
      <c r="W962" s="27"/>
      <c r="X962" s="27"/>
      <c r="Y962" s="27"/>
      <c r="Z962" s="27"/>
    </row>
    <row r="963" spans="1:26" ht="15.6" x14ac:dyDescent="0.35">
      <c r="A963" s="27"/>
      <c r="B963" s="27"/>
      <c r="C963" s="27"/>
      <c r="D963" s="27"/>
      <c r="E963" s="27"/>
      <c r="F963" s="27"/>
      <c r="G963" s="27"/>
      <c r="H963" s="27"/>
      <c r="I963" s="27"/>
      <c r="J963" s="27"/>
      <c r="K963" s="27"/>
      <c r="L963" s="27"/>
      <c r="M963" s="27"/>
      <c r="N963" s="27"/>
      <c r="O963" s="27"/>
      <c r="P963" s="27"/>
      <c r="Q963" s="27"/>
      <c r="R963" s="27"/>
      <c r="S963" s="27"/>
      <c r="T963" s="27"/>
      <c r="U963" s="27"/>
      <c r="V963" s="27"/>
      <c r="W963" s="27"/>
      <c r="X963" s="27"/>
      <c r="Y963" s="27"/>
      <c r="Z963" s="27"/>
    </row>
    <row r="964" spans="1:26" ht="15.6" x14ac:dyDescent="0.35">
      <c r="A964" s="27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27"/>
      <c r="M964" s="27"/>
      <c r="N964" s="27"/>
      <c r="O964" s="27"/>
      <c r="P964" s="27"/>
      <c r="Q964" s="27"/>
      <c r="R964" s="27"/>
      <c r="S964" s="27"/>
      <c r="T964" s="27"/>
      <c r="U964" s="27"/>
      <c r="V964" s="27"/>
      <c r="W964" s="27"/>
      <c r="X964" s="27"/>
      <c r="Y964" s="27"/>
      <c r="Z964" s="27"/>
    </row>
    <row r="965" spans="1:26" ht="15.6" x14ac:dyDescent="0.35">
      <c r="A965" s="27"/>
      <c r="B965" s="27"/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27"/>
      <c r="N965" s="27"/>
      <c r="O965" s="27"/>
      <c r="P965" s="27"/>
      <c r="Q965" s="27"/>
      <c r="R965" s="27"/>
      <c r="S965" s="27"/>
      <c r="T965" s="27"/>
      <c r="U965" s="27"/>
      <c r="V965" s="27"/>
      <c r="W965" s="27"/>
      <c r="X965" s="27"/>
      <c r="Y965" s="27"/>
      <c r="Z965" s="27"/>
    </row>
    <row r="966" spans="1:26" ht="15.6" x14ac:dyDescent="0.35">
      <c r="A966" s="27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27"/>
      <c r="M966" s="27"/>
      <c r="N966" s="27"/>
      <c r="O966" s="27"/>
      <c r="P966" s="27"/>
      <c r="Q966" s="27"/>
      <c r="R966" s="27"/>
      <c r="S966" s="27"/>
      <c r="T966" s="27"/>
      <c r="U966" s="27"/>
      <c r="V966" s="27"/>
      <c r="W966" s="27"/>
      <c r="X966" s="27"/>
      <c r="Y966" s="27"/>
      <c r="Z966" s="27"/>
    </row>
    <row r="967" spans="1:26" ht="15.6" x14ac:dyDescent="0.35">
      <c r="A967" s="27"/>
      <c r="B967" s="27"/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27"/>
      <c r="N967" s="27"/>
      <c r="O967" s="27"/>
      <c r="P967" s="27"/>
      <c r="Q967" s="27"/>
      <c r="R967" s="27"/>
      <c r="S967" s="27"/>
      <c r="T967" s="27"/>
      <c r="U967" s="27"/>
      <c r="V967" s="27"/>
      <c r="W967" s="27"/>
      <c r="X967" s="27"/>
      <c r="Y967" s="27"/>
      <c r="Z967" s="27"/>
    </row>
    <row r="968" spans="1:26" ht="15.6" x14ac:dyDescent="0.35">
      <c r="A968" s="27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27"/>
      <c r="M968" s="27"/>
      <c r="N968" s="27"/>
      <c r="O968" s="27"/>
      <c r="P968" s="27"/>
      <c r="Q968" s="27"/>
      <c r="R968" s="27"/>
      <c r="S968" s="27"/>
      <c r="T968" s="27"/>
      <c r="U968" s="27"/>
      <c r="V968" s="27"/>
      <c r="W968" s="27"/>
      <c r="X968" s="27"/>
      <c r="Y968" s="27"/>
      <c r="Z968" s="27"/>
    </row>
    <row r="969" spans="1:26" ht="15.6" x14ac:dyDescent="0.35">
      <c r="A969" s="27"/>
      <c r="B969" s="27"/>
      <c r="C969" s="27"/>
      <c r="D969" s="27"/>
      <c r="E969" s="27"/>
      <c r="F969" s="27"/>
      <c r="G969" s="27"/>
      <c r="H969" s="27"/>
      <c r="I969" s="27"/>
      <c r="J969" s="27"/>
      <c r="K969" s="27"/>
      <c r="L969" s="27"/>
      <c r="M969" s="27"/>
      <c r="N969" s="27"/>
      <c r="O969" s="27"/>
      <c r="P969" s="27"/>
      <c r="Q969" s="27"/>
      <c r="R969" s="27"/>
      <c r="S969" s="27"/>
      <c r="T969" s="27"/>
      <c r="U969" s="27"/>
      <c r="V969" s="27"/>
      <c r="W969" s="27"/>
      <c r="X969" s="27"/>
      <c r="Y969" s="27"/>
      <c r="Z969" s="27"/>
    </row>
    <row r="970" spans="1:26" ht="15.6" x14ac:dyDescent="0.35">
      <c r="A970" s="27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27"/>
      <c r="M970" s="27"/>
      <c r="N970" s="27"/>
      <c r="O970" s="27"/>
      <c r="P970" s="27"/>
      <c r="Q970" s="27"/>
      <c r="R970" s="27"/>
      <c r="S970" s="27"/>
      <c r="T970" s="27"/>
      <c r="U970" s="27"/>
      <c r="V970" s="27"/>
      <c r="W970" s="27"/>
      <c r="X970" s="27"/>
      <c r="Y970" s="27"/>
      <c r="Z970" s="27"/>
    </row>
    <row r="971" spans="1:26" ht="15.6" x14ac:dyDescent="0.35">
      <c r="A971" s="27"/>
      <c r="B971" s="27"/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27"/>
      <c r="N971" s="27"/>
      <c r="O971" s="27"/>
      <c r="P971" s="27"/>
      <c r="Q971" s="27"/>
      <c r="R971" s="27"/>
      <c r="S971" s="27"/>
      <c r="T971" s="27"/>
      <c r="U971" s="27"/>
      <c r="V971" s="27"/>
      <c r="W971" s="27"/>
      <c r="X971" s="27"/>
      <c r="Y971" s="27"/>
      <c r="Z971" s="27"/>
    </row>
    <row r="972" spans="1:26" ht="15.6" x14ac:dyDescent="0.35">
      <c r="A972" s="27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27"/>
      <c r="M972" s="27"/>
      <c r="N972" s="27"/>
      <c r="O972" s="27"/>
      <c r="P972" s="27"/>
      <c r="Q972" s="27"/>
      <c r="R972" s="27"/>
      <c r="S972" s="27"/>
      <c r="T972" s="27"/>
      <c r="U972" s="27"/>
      <c r="V972" s="27"/>
      <c r="W972" s="27"/>
      <c r="X972" s="27"/>
      <c r="Y972" s="27"/>
      <c r="Z972" s="27"/>
    </row>
    <row r="973" spans="1:26" ht="15.6" x14ac:dyDescent="0.35">
      <c r="A973" s="27"/>
      <c r="B973" s="27"/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27"/>
      <c r="N973" s="27"/>
      <c r="O973" s="27"/>
      <c r="P973" s="27"/>
      <c r="Q973" s="27"/>
      <c r="R973" s="27"/>
      <c r="S973" s="27"/>
      <c r="T973" s="27"/>
      <c r="U973" s="27"/>
      <c r="V973" s="27"/>
      <c r="W973" s="27"/>
      <c r="X973" s="27"/>
      <c r="Y973" s="27"/>
      <c r="Z973" s="27"/>
    </row>
    <row r="974" spans="1:26" ht="15.6" x14ac:dyDescent="0.35">
      <c r="A974" s="27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27"/>
      <c r="M974" s="27"/>
      <c r="N974" s="27"/>
      <c r="O974" s="27"/>
      <c r="P974" s="27"/>
      <c r="Q974" s="27"/>
      <c r="R974" s="27"/>
      <c r="S974" s="27"/>
      <c r="T974" s="27"/>
      <c r="U974" s="27"/>
      <c r="V974" s="27"/>
      <c r="W974" s="27"/>
      <c r="X974" s="27"/>
      <c r="Y974" s="27"/>
      <c r="Z974" s="27"/>
    </row>
    <row r="975" spans="1:26" ht="15.6" x14ac:dyDescent="0.35">
      <c r="A975" s="27"/>
      <c r="B975" s="27"/>
      <c r="C975" s="27"/>
      <c r="D975" s="27"/>
      <c r="E975" s="27"/>
      <c r="F975" s="27"/>
      <c r="G975" s="27"/>
      <c r="H975" s="27"/>
      <c r="I975" s="27"/>
      <c r="J975" s="27"/>
      <c r="K975" s="27"/>
      <c r="L975" s="27"/>
      <c r="M975" s="27"/>
      <c r="N975" s="27"/>
      <c r="O975" s="27"/>
      <c r="P975" s="27"/>
      <c r="Q975" s="27"/>
      <c r="R975" s="27"/>
      <c r="S975" s="27"/>
      <c r="T975" s="27"/>
      <c r="U975" s="27"/>
      <c r="V975" s="27"/>
      <c r="W975" s="27"/>
      <c r="X975" s="27"/>
      <c r="Y975" s="27"/>
      <c r="Z975" s="27"/>
    </row>
    <row r="976" spans="1:26" ht="15.6" x14ac:dyDescent="0.35">
      <c r="A976" s="27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27"/>
      <c r="M976" s="27"/>
      <c r="N976" s="27"/>
      <c r="O976" s="27"/>
      <c r="P976" s="27"/>
      <c r="Q976" s="27"/>
      <c r="R976" s="27"/>
      <c r="S976" s="27"/>
      <c r="T976" s="27"/>
      <c r="U976" s="27"/>
      <c r="V976" s="27"/>
      <c r="W976" s="27"/>
      <c r="X976" s="27"/>
      <c r="Y976" s="27"/>
      <c r="Z976" s="27"/>
    </row>
    <row r="977" spans="1:26" ht="15.6" x14ac:dyDescent="0.35">
      <c r="A977" s="27"/>
      <c r="B977" s="27"/>
      <c r="C977" s="27"/>
      <c r="D977" s="27"/>
      <c r="E977" s="27"/>
      <c r="F977" s="27"/>
      <c r="G977" s="27"/>
      <c r="H977" s="27"/>
      <c r="I977" s="27"/>
      <c r="J977" s="27"/>
      <c r="K977" s="27"/>
      <c r="L977" s="27"/>
      <c r="M977" s="27"/>
      <c r="N977" s="27"/>
      <c r="O977" s="27"/>
      <c r="P977" s="27"/>
      <c r="Q977" s="27"/>
      <c r="R977" s="27"/>
      <c r="S977" s="27"/>
      <c r="T977" s="27"/>
      <c r="U977" s="27"/>
      <c r="V977" s="27"/>
      <c r="W977" s="27"/>
      <c r="X977" s="27"/>
      <c r="Y977" s="27"/>
      <c r="Z977" s="27"/>
    </row>
    <row r="978" spans="1:26" ht="15.6" x14ac:dyDescent="0.35">
      <c r="A978" s="27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27"/>
      <c r="M978" s="27"/>
      <c r="N978" s="27"/>
      <c r="O978" s="27"/>
      <c r="P978" s="27"/>
      <c r="Q978" s="27"/>
      <c r="R978" s="27"/>
      <c r="S978" s="27"/>
      <c r="T978" s="27"/>
      <c r="U978" s="27"/>
      <c r="V978" s="27"/>
      <c r="W978" s="27"/>
      <c r="X978" s="27"/>
      <c r="Y978" s="27"/>
      <c r="Z978" s="27"/>
    </row>
    <row r="979" spans="1:26" ht="15.6" x14ac:dyDescent="0.35">
      <c r="A979" s="27"/>
      <c r="B979" s="27"/>
      <c r="C979" s="27"/>
      <c r="D979" s="27"/>
      <c r="E979" s="27"/>
      <c r="F979" s="27"/>
      <c r="G979" s="27"/>
      <c r="H979" s="27"/>
      <c r="I979" s="27"/>
      <c r="J979" s="27"/>
      <c r="K979" s="27"/>
      <c r="L979" s="27"/>
      <c r="M979" s="27"/>
      <c r="N979" s="27"/>
      <c r="O979" s="27"/>
      <c r="P979" s="27"/>
      <c r="Q979" s="27"/>
      <c r="R979" s="27"/>
      <c r="S979" s="27"/>
      <c r="T979" s="27"/>
      <c r="U979" s="27"/>
      <c r="V979" s="27"/>
      <c r="W979" s="27"/>
      <c r="X979" s="27"/>
      <c r="Y979" s="27"/>
      <c r="Z979" s="27"/>
    </row>
    <row r="980" spans="1:26" ht="15.6" x14ac:dyDescent="0.35">
      <c r="A980" s="27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27"/>
      <c r="M980" s="27"/>
      <c r="N980" s="27"/>
      <c r="O980" s="27"/>
      <c r="P980" s="27"/>
      <c r="Q980" s="27"/>
      <c r="R980" s="27"/>
      <c r="S980" s="27"/>
      <c r="T980" s="27"/>
      <c r="U980" s="27"/>
      <c r="V980" s="27"/>
      <c r="W980" s="27"/>
      <c r="X980" s="27"/>
      <c r="Y980" s="27"/>
      <c r="Z980" s="27"/>
    </row>
    <row r="981" spans="1:26" ht="15.6" x14ac:dyDescent="0.35">
      <c r="A981" s="27"/>
      <c r="B981" s="27"/>
      <c r="C981" s="27"/>
      <c r="D981" s="27"/>
      <c r="E981" s="27"/>
      <c r="F981" s="27"/>
      <c r="G981" s="27"/>
      <c r="H981" s="27"/>
      <c r="I981" s="27"/>
      <c r="J981" s="27"/>
      <c r="K981" s="27"/>
      <c r="L981" s="27"/>
      <c r="M981" s="27"/>
      <c r="N981" s="27"/>
      <c r="O981" s="27"/>
      <c r="P981" s="27"/>
      <c r="Q981" s="27"/>
      <c r="R981" s="27"/>
      <c r="S981" s="27"/>
      <c r="T981" s="27"/>
      <c r="U981" s="27"/>
      <c r="V981" s="27"/>
      <c r="W981" s="27"/>
      <c r="X981" s="27"/>
      <c r="Y981" s="27"/>
      <c r="Z981" s="27"/>
    </row>
    <row r="982" spans="1:26" ht="15.6" x14ac:dyDescent="0.35">
      <c r="A982" s="27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27"/>
      <c r="M982" s="27"/>
      <c r="N982" s="27"/>
      <c r="O982" s="27"/>
      <c r="P982" s="27"/>
      <c r="Q982" s="27"/>
      <c r="R982" s="27"/>
      <c r="S982" s="27"/>
      <c r="T982" s="27"/>
      <c r="U982" s="27"/>
      <c r="V982" s="27"/>
      <c r="W982" s="27"/>
      <c r="X982" s="27"/>
      <c r="Y982" s="27"/>
      <c r="Z982" s="27"/>
    </row>
    <row r="983" spans="1:26" ht="15.6" x14ac:dyDescent="0.35">
      <c r="A983" s="27"/>
      <c r="B983" s="27"/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27"/>
      <c r="N983" s="27"/>
      <c r="O983" s="27"/>
      <c r="P983" s="27"/>
      <c r="Q983" s="27"/>
      <c r="R983" s="27"/>
      <c r="S983" s="27"/>
      <c r="T983" s="27"/>
      <c r="U983" s="27"/>
      <c r="V983" s="27"/>
      <c r="W983" s="27"/>
      <c r="X983" s="27"/>
      <c r="Y983" s="27"/>
      <c r="Z983" s="27"/>
    </row>
    <row r="984" spans="1:26" ht="15.6" x14ac:dyDescent="0.35">
      <c r="A984" s="27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27"/>
      <c r="N984" s="27"/>
      <c r="O984" s="27"/>
      <c r="P984" s="27"/>
      <c r="Q984" s="27"/>
      <c r="R984" s="27"/>
      <c r="S984" s="27"/>
      <c r="T984" s="27"/>
      <c r="U984" s="27"/>
      <c r="V984" s="27"/>
      <c r="W984" s="27"/>
      <c r="X984" s="27"/>
      <c r="Y984" s="27"/>
      <c r="Z984" s="27"/>
    </row>
    <row r="985" spans="1:26" ht="15.6" x14ac:dyDescent="0.35">
      <c r="A985" s="27"/>
      <c r="B985" s="27"/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27"/>
      <c r="N985" s="27"/>
      <c r="O985" s="27"/>
      <c r="P985" s="27"/>
      <c r="Q985" s="27"/>
      <c r="R985" s="27"/>
      <c r="S985" s="27"/>
      <c r="T985" s="27"/>
      <c r="U985" s="27"/>
      <c r="V985" s="27"/>
      <c r="W985" s="27"/>
      <c r="X985" s="27"/>
      <c r="Y985" s="27"/>
      <c r="Z985" s="27"/>
    </row>
    <row r="986" spans="1:26" ht="15.6" x14ac:dyDescent="0.35">
      <c r="A986" s="27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27"/>
      <c r="N986" s="27"/>
      <c r="O986" s="27"/>
      <c r="P986" s="27"/>
      <c r="Q986" s="27"/>
      <c r="R986" s="27"/>
      <c r="S986" s="27"/>
      <c r="T986" s="27"/>
      <c r="U986" s="27"/>
      <c r="V986" s="27"/>
      <c r="W986" s="27"/>
      <c r="X986" s="27"/>
      <c r="Y986" s="27"/>
      <c r="Z986" s="27"/>
    </row>
    <row r="987" spans="1:26" ht="15.6" x14ac:dyDescent="0.35">
      <c r="A987" s="27"/>
      <c r="B987" s="27"/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27"/>
      <c r="N987" s="27"/>
      <c r="O987" s="27"/>
      <c r="P987" s="27"/>
      <c r="Q987" s="27"/>
      <c r="R987" s="27"/>
      <c r="S987" s="27"/>
      <c r="T987" s="27"/>
      <c r="U987" s="27"/>
      <c r="V987" s="27"/>
      <c r="W987" s="27"/>
      <c r="X987" s="27"/>
      <c r="Y987" s="27"/>
      <c r="Z987" s="27"/>
    </row>
    <row r="988" spans="1:26" ht="15.6" x14ac:dyDescent="0.35">
      <c r="A988" s="27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27"/>
      <c r="N988" s="27"/>
      <c r="O988" s="27"/>
      <c r="P988" s="27"/>
      <c r="Q988" s="27"/>
      <c r="R988" s="27"/>
      <c r="S988" s="27"/>
      <c r="T988" s="27"/>
      <c r="U988" s="27"/>
      <c r="V988" s="27"/>
      <c r="W988" s="27"/>
      <c r="X988" s="27"/>
      <c r="Y988" s="27"/>
      <c r="Z988" s="27"/>
    </row>
    <row r="989" spans="1:26" ht="15.6" x14ac:dyDescent="0.35">
      <c r="A989" s="27"/>
      <c r="B989" s="27"/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27"/>
      <c r="N989" s="27"/>
      <c r="O989" s="27"/>
      <c r="P989" s="27"/>
      <c r="Q989" s="27"/>
      <c r="R989" s="27"/>
      <c r="S989" s="27"/>
      <c r="T989" s="27"/>
      <c r="U989" s="27"/>
      <c r="V989" s="27"/>
      <c r="W989" s="27"/>
      <c r="X989" s="27"/>
      <c r="Y989" s="27"/>
      <c r="Z989" s="27"/>
    </row>
    <row r="990" spans="1:26" ht="15.6" x14ac:dyDescent="0.35">
      <c r="A990" s="27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27"/>
      <c r="N990" s="27"/>
      <c r="O990" s="27"/>
      <c r="P990" s="27"/>
      <c r="Q990" s="27"/>
      <c r="R990" s="27"/>
      <c r="S990" s="27"/>
      <c r="T990" s="27"/>
      <c r="U990" s="27"/>
      <c r="V990" s="27"/>
      <c r="W990" s="27"/>
      <c r="X990" s="27"/>
      <c r="Y990" s="27"/>
      <c r="Z990" s="27"/>
    </row>
    <row r="991" spans="1:26" ht="15.6" x14ac:dyDescent="0.35">
      <c r="A991" s="27"/>
      <c r="B991" s="27"/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27"/>
      <c r="N991" s="27"/>
      <c r="O991" s="27"/>
      <c r="P991" s="27"/>
      <c r="Q991" s="27"/>
      <c r="R991" s="27"/>
      <c r="S991" s="27"/>
      <c r="T991" s="27"/>
      <c r="U991" s="27"/>
      <c r="V991" s="27"/>
      <c r="W991" s="27"/>
      <c r="X991" s="27"/>
      <c r="Y991" s="27"/>
      <c r="Z991" s="27"/>
    </row>
    <row r="992" spans="1:26" ht="15.6" x14ac:dyDescent="0.35">
      <c r="A992" s="27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27"/>
      <c r="N992" s="27"/>
      <c r="O992" s="27"/>
      <c r="P992" s="27"/>
      <c r="Q992" s="27"/>
      <c r="R992" s="27"/>
      <c r="S992" s="27"/>
      <c r="T992" s="27"/>
      <c r="U992" s="27"/>
      <c r="V992" s="27"/>
      <c r="W992" s="27"/>
      <c r="X992" s="27"/>
      <c r="Y992" s="27"/>
      <c r="Z992" s="27"/>
    </row>
    <row r="993" spans="1:26" ht="15.6" x14ac:dyDescent="0.35">
      <c r="A993" s="27"/>
      <c r="B993" s="27"/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27"/>
      <c r="N993" s="27"/>
      <c r="O993" s="27"/>
      <c r="P993" s="27"/>
      <c r="Q993" s="27"/>
      <c r="R993" s="27"/>
      <c r="S993" s="27"/>
      <c r="T993" s="27"/>
      <c r="U993" s="27"/>
      <c r="V993" s="27"/>
      <c r="W993" s="27"/>
      <c r="X993" s="27"/>
      <c r="Y993" s="27"/>
      <c r="Z993" s="27"/>
    </row>
    <row r="994" spans="1:26" ht="15.6" x14ac:dyDescent="0.35">
      <c r="A994" s="27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27"/>
      <c r="N994" s="27"/>
      <c r="O994" s="27"/>
      <c r="P994" s="27"/>
      <c r="Q994" s="27"/>
      <c r="R994" s="27"/>
      <c r="S994" s="27"/>
      <c r="T994" s="27"/>
      <c r="U994" s="27"/>
      <c r="V994" s="27"/>
      <c r="W994" s="27"/>
      <c r="X994" s="27"/>
      <c r="Y994" s="27"/>
      <c r="Z994" s="27"/>
    </row>
    <row r="995" spans="1:26" ht="15.6" x14ac:dyDescent="0.35">
      <c r="A995" s="27"/>
      <c r="B995" s="27"/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27"/>
      <c r="N995" s="27"/>
      <c r="O995" s="27"/>
      <c r="P995" s="27"/>
      <c r="Q995" s="27"/>
      <c r="R995" s="27"/>
      <c r="S995" s="27"/>
      <c r="T995" s="27"/>
      <c r="U995" s="27"/>
      <c r="V995" s="27"/>
      <c r="W995" s="27"/>
      <c r="X995" s="27"/>
      <c r="Y995" s="27"/>
      <c r="Z995" s="27"/>
    </row>
    <row r="996" spans="1:26" ht="15.6" x14ac:dyDescent="0.35">
      <c r="A996" s="27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27"/>
      <c r="N996" s="27"/>
      <c r="O996" s="27"/>
      <c r="P996" s="27"/>
      <c r="Q996" s="27"/>
      <c r="R996" s="27"/>
      <c r="S996" s="27"/>
      <c r="T996" s="27"/>
      <c r="U996" s="27"/>
      <c r="V996" s="27"/>
      <c r="W996" s="27"/>
      <c r="X996" s="27"/>
      <c r="Y996" s="27"/>
      <c r="Z996" s="27"/>
    </row>
    <row r="997" spans="1:26" ht="15.6" x14ac:dyDescent="0.35">
      <c r="A997" s="27"/>
      <c r="B997" s="27"/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27"/>
      <c r="N997" s="27"/>
      <c r="O997" s="27"/>
      <c r="P997" s="27"/>
      <c r="Q997" s="27"/>
      <c r="R997" s="27"/>
      <c r="S997" s="27"/>
      <c r="T997" s="27"/>
      <c r="U997" s="27"/>
      <c r="V997" s="27"/>
      <c r="W997" s="27"/>
      <c r="X997" s="27"/>
      <c r="Y997" s="27"/>
      <c r="Z997" s="27"/>
    </row>
    <row r="998" spans="1:26" ht="15.6" x14ac:dyDescent="0.35">
      <c r="A998" s="27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27"/>
      <c r="N998" s="27"/>
      <c r="O998" s="27"/>
      <c r="P998" s="27"/>
      <c r="Q998" s="27"/>
      <c r="R998" s="27"/>
      <c r="S998" s="27"/>
      <c r="T998" s="27"/>
      <c r="U998" s="27"/>
      <c r="V998" s="27"/>
      <c r="W998" s="27"/>
      <c r="X998" s="27"/>
      <c r="Y998" s="27"/>
      <c r="Z998" s="27"/>
    </row>
    <row r="999" spans="1:26" ht="15.6" x14ac:dyDescent="0.35">
      <c r="A999" s="27"/>
      <c r="B999" s="27"/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27"/>
      <c r="N999" s="27"/>
      <c r="O999" s="27"/>
      <c r="P999" s="27"/>
      <c r="Q999" s="27"/>
      <c r="R999" s="27"/>
      <c r="S999" s="27"/>
      <c r="T999" s="27"/>
      <c r="U999" s="27"/>
      <c r="V999" s="27"/>
      <c r="W999" s="27"/>
      <c r="X999" s="27"/>
      <c r="Y999" s="27"/>
      <c r="Z999" s="27"/>
    </row>
    <row r="1000" spans="1:26" ht="15.6" x14ac:dyDescent="0.35">
      <c r="A1000" s="27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27"/>
      <c r="N1000" s="27"/>
      <c r="O1000" s="27"/>
      <c r="P1000" s="27"/>
      <c r="Q1000" s="27"/>
      <c r="R1000" s="27"/>
      <c r="S1000" s="27"/>
      <c r="T1000" s="27"/>
      <c r="U1000" s="27"/>
      <c r="V1000" s="27"/>
      <c r="W1000" s="27"/>
      <c r="X1000" s="27"/>
      <c r="Y1000" s="27"/>
      <c r="Z1000" s="27"/>
    </row>
  </sheetData>
  <mergeCells count="2">
    <mergeCell ref="H3:N4"/>
    <mergeCell ref="F6:N11"/>
  </mergeCells>
  <dataValidations count="1">
    <dataValidation type="list" allowBlank="1" showErrorMessage="1" sqref="F4" xr:uid="{00000000-0002-0000-0100-000000000000}">
      <formula1>Rodada</formula1>
    </dataValidation>
  </dataValidations>
  <pageMargins left="0.511811024" right="0.511811024" top="0.78740157499999996" bottom="0.78740157499999996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M1000"/>
  <sheetViews>
    <sheetView showGridLines="0" workbookViewId="0"/>
  </sheetViews>
  <sheetFormatPr defaultColWidth="14.44140625" defaultRowHeight="15" customHeight="1" x14ac:dyDescent="0.3"/>
  <cols>
    <col min="1" max="26" width="8.6640625" customWidth="1"/>
  </cols>
  <sheetData>
    <row r="1" spans="1:13" ht="14.4" x14ac:dyDescent="0.3">
      <c r="A1" s="42" t="s">
        <v>1</v>
      </c>
      <c r="B1" s="42" t="s">
        <v>2</v>
      </c>
      <c r="C1" s="42" t="s">
        <v>3</v>
      </c>
      <c r="E1" s="79" t="s">
        <v>78</v>
      </c>
      <c r="F1" s="76"/>
      <c r="G1" s="76"/>
      <c r="H1" s="76"/>
      <c r="I1" s="76"/>
      <c r="J1" s="76"/>
      <c r="K1" s="76"/>
      <c r="L1" s="76"/>
      <c r="M1" s="76"/>
    </row>
    <row r="2" spans="1:13" ht="15" customHeight="1" x14ac:dyDescent="0.3">
      <c r="E2" s="76"/>
      <c r="F2" s="76"/>
      <c r="G2" s="76"/>
      <c r="H2" s="76"/>
      <c r="I2" s="76"/>
      <c r="J2" s="76"/>
      <c r="K2" s="76"/>
      <c r="L2" s="76"/>
      <c r="M2" s="76"/>
    </row>
    <row r="3" spans="1:13" ht="14.4" x14ac:dyDescent="0.3">
      <c r="A3" s="42"/>
      <c r="E3" s="76"/>
      <c r="F3" s="76"/>
      <c r="G3" s="76"/>
      <c r="H3" s="76"/>
      <c r="I3" s="76"/>
      <c r="J3" s="76"/>
      <c r="K3" s="76"/>
      <c r="L3" s="76"/>
      <c r="M3" s="76"/>
    </row>
    <row r="4" spans="1:13" ht="14.4" x14ac:dyDescent="0.3">
      <c r="A4" s="42" t="s">
        <v>79</v>
      </c>
      <c r="B4" s="42"/>
      <c r="C4" s="42"/>
      <c r="D4" s="42"/>
      <c r="E4" s="76"/>
      <c r="F4" s="76"/>
      <c r="G4" s="76"/>
      <c r="H4" s="76"/>
      <c r="I4" s="76"/>
      <c r="J4" s="76"/>
      <c r="K4" s="76"/>
      <c r="L4" s="76"/>
      <c r="M4" s="76"/>
    </row>
    <row r="5" spans="1:13" ht="14.4" x14ac:dyDescent="0.3">
      <c r="A5" s="42"/>
      <c r="B5" s="42"/>
      <c r="C5" s="42"/>
      <c r="D5" s="42"/>
      <c r="E5" s="42"/>
      <c r="F5" s="42"/>
      <c r="G5" s="42"/>
    </row>
    <row r="6" spans="1:13" ht="14.4" x14ac:dyDescent="0.3">
      <c r="A6" s="42" t="s">
        <v>80</v>
      </c>
      <c r="B6" s="42"/>
      <c r="C6" s="42"/>
      <c r="D6" s="42"/>
      <c r="E6" s="42"/>
      <c r="F6" s="42"/>
      <c r="G6" s="42"/>
    </row>
    <row r="7" spans="1:13" ht="15" customHeight="1" x14ac:dyDescent="0.3">
      <c r="A7" s="42" t="s">
        <v>27</v>
      </c>
      <c r="B7" s="42" t="s">
        <v>70</v>
      </c>
      <c r="C7" s="42" t="s">
        <v>81</v>
      </c>
      <c r="D7" s="42" t="s">
        <v>82</v>
      </c>
      <c r="E7" s="43" t="s">
        <v>83</v>
      </c>
      <c r="F7" s="43" t="s">
        <v>84</v>
      </c>
      <c r="G7" s="43" t="s">
        <v>85</v>
      </c>
      <c r="H7" s="43" t="s">
        <v>86</v>
      </c>
    </row>
    <row r="8" spans="1:13" ht="14.4" x14ac:dyDescent="0.3">
      <c r="A8" s="42" t="s">
        <v>75</v>
      </c>
      <c r="B8" s="42" t="s">
        <v>28</v>
      </c>
      <c r="C8" s="42">
        <v>7</v>
      </c>
      <c r="D8" s="42">
        <v>3</v>
      </c>
      <c r="E8" s="42">
        <v>21</v>
      </c>
      <c r="F8" s="42">
        <v>127</v>
      </c>
      <c r="G8" s="42">
        <v>36</v>
      </c>
      <c r="H8" s="42">
        <v>42</v>
      </c>
    </row>
    <row r="9" spans="1:13" ht="14.4" x14ac:dyDescent="0.3">
      <c r="A9" s="42" t="s">
        <v>77</v>
      </c>
      <c r="B9" s="42"/>
      <c r="C9" s="42"/>
      <c r="D9" s="42"/>
      <c r="E9" s="42">
        <v>0</v>
      </c>
      <c r="F9" s="42"/>
    </row>
    <row r="10" spans="1:13" ht="14.4" x14ac:dyDescent="0.3">
      <c r="A10" s="42"/>
      <c r="B10" s="42"/>
      <c r="C10" s="42"/>
      <c r="D10" s="42"/>
      <c r="E10" s="42"/>
      <c r="F10" s="42"/>
    </row>
    <row r="11" spans="1:13" ht="14.4" x14ac:dyDescent="0.3">
      <c r="A11" s="42" t="s">
        <v>87</v>
      </c>
      <c r="B11" s="42" t="s">
        <v>70</v>
      </c>
      <c r="C11" s="42" t="s">
        <v>88</v>
      </c>
      <c r="D11" s="42" t="s">
        <v>89</v>
      </c>
      <c r="E11" s="42" t="s">
        <v>90</v>
      </c>
      <c r="F11" s="42" t="s">
        <v>91</v>
      </c>
    </row>
    <row r="12" spans="1:13" ht="14.4" x14ac:dyDescent="0.3">
      <c r="A12" s="42" t="s">
        <v>92</v>
      </c>
      <c r="B12" s="42" t="s">
        <v>50</v>
      </c>
      <c r="C12" s="42">
        <v>110</v>
      </c>
      <c r="D12" s="42">
        <v>108</v>
      </c>
      <c r="E12" s="42">
        <v>873</v>
      </c>
      <c r="F12" s="42">
        <v>1091</v>
      </c>
    </row>
    <row r="13" spans="1:13" ht="15" customHeight="1" x14ac:dyDescent="0.3">
      <c r="A13" s="42" t="s">
        <v>93</v>
      </c>
      <c r="B13" s="42" t="s">
        <v>47</v>
      </c>
      <c r="C13" s="42">
        <v>100</v>
      </c>
      <c r="D13" s="42">
        <v>100</v>
      </c>
      <c r="E13" s="42">
        <v>800</v>
      </c>
      <c r="F13" s="42">
        <v>1000</v>
      </c>
    </row>
    <row r="14" spans="1:13" ht="15" customHeight="1" x14ac:dyDescent="0.3">
      <c r="A14" s="42" t="s">
        <v>94</v>
      </c>
      <c r="F14" s="42">
        <v>0</v>
      </c>
    </row>
    <row r="15" spans="1:13" ht="15" customHeight="1" x14ac:dyDescent="0.3">
      <c r="A15" s="42" t="s">
        <v>95</v>
      </c>
      <c r="F15" s="42">
        <v>0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1">
    <mergeCell ref="E1:M4"/>
  </mergeCells>
  <pageMargins left="0.511811024" right="0.511811024" top="0.78740157499999996" bottom="0.78740157499999996" header="0" footer="0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E1876"/>
  <sheetViews>
    <sheetView workbookViewId="0"/>
  </sheetViews>
  <sheetFormatPr defaultColWidth="14.44140625" defaultRowHeight="15" customHeight="1" x14ac:dyDescent="0.3"/>
  <cols>
    <col min="1" max="1" width="43" customWidth="1"/>
    <col min="2" max="2" width="9.33203125" customWidth="1"/>
    <col min="3" max="4" width="17.6640625" customWidth="1"/>
    <col min="5" max="5" width="13.44140625" customWidth="1"/>
    <col min="6" max="26" width="8.6640625" customWidth="1"/>
  </cols>
  <sheetData>
    <row r="1" spans="1:5" ht="28.8" x14ac:dyDescent="0.3">
      <c r="A1" s="44" t="s">
        <v>96</v>
      </c>
      <c r="B1" s="44" t="s">
        <v>97</v>
      </c>
      <c r="C1" s="44" t="s">
        <v>98</v>
      </c>
      <c r="D1" s="44" t="s">
        <v>99</v>
      </c>
      <c r="E1" s="44" t="s">
        <v>100</v>
      </c>
    </row>
    <row r="2" spans="1:5" ht="14.4" x14ac:dyDescent="0.3">
      <c r="A2" s="45" t="str">
        <f t="shared" ref="A2:A256" si="0">C2&amp;D2&amp;B2</f>
        <v>BelémBelémCaminhão</v>
      </c>
      <c r="B2" s="46" t="s">
        <v>25</v>
      </c>
      <c r="C2" s="47" t="s">
        <v>48</v>
      </c>
      <c r="D2" s="47" t="s">
        <v>48</v>
      </c>
      <c r="E2" s="48">
        <v>0</v>
      </c>
    </row>
    <row r="3" spans="1:5" ht="14.4" x14ac:dyDescent="0.3">
      <c r="A3" s="45" t="str">
        <f t="shared" si="0"/>
        <v>BelémBelo HorizonteCaminhão</v>
      </c>
      <c r="B3" s="46" t="s">
        <v>25</v>
      </c>
      <c r="C3" s="47" t="s">
        <v>48</v>
      </c>
      <c r="D3" s="47" t="s">
        <v>52</v>
      </c>
      <c r="E3" s="48">
        <v>2</v>
      </c>
    </row>
    <row r="4" spans="1:5" ht="14.4" x14ac:dyDescent="0.3">
      <c r="A4" s="45" t="str">
        <f t="shared" si="0"/>
        <v>BelémBrasíliaCaminhão</v>
      </c>
      <c r="B4" s="46" t="s">
        <v>25</v>
      </c>
      <c r="C4" s="47" t="s">
        <v>48</v>
      </c>
      <c r="D4" s="47" t="s">
        <v>53</v>
      </c>
      <c r="E4" s="48">
        <v>2</v>
      </c>
    </row>
    <row r="5" spans="1:5" ht="14.4" x14ac:dyDescent="0.3">
      <c r="A5" s="45" t="str">
        <f t="shared" si="0"/>
        <v>BelémCampinasCaminhão</v>
      </c>
      <c r="B5" s="46" t="s">
        <v>25</v>
      </c>
      <c r="C5" s="47" t="s">
        <v>48</v>
      </c>
      <c r="D5" s="47" t="s">
        <v>54</v>
      </c>
      <c r="E5" s="48">
        <v>2</v>
      </c>
    </row>
    <row r="6" spans="1:5" ht="14.4" x14ac:dyDescent="0.3">
      <c r="A6" s="45" t="str">
        <f t="shared" si="0"/>
        <v>BelémCampo GrandeCaminhão</v>
      </c>
      <c r="B6" s="46" t="s">
        <v>25</v>
      </c>
      <c r="C6" s="47" t="s">
        <v>48</v>
      </c>
      <c r="D6" s="47" t="s">
        <v>55</v>
      </c>
      <c r="E6" s="48">
        <v>2</v>
      </c>
    </row>
    <row r="7" spans="1:5" ht="14.4" x14ac:dyDescent="0.3">
      <c r="A7" s="45" t="str">
        <f t="shared" si="0"/>
        <v>BelémCuiabáCaminhão</v>
      </c>
      <c r="B7" s="46" t="s">
        <v>25</v>
      </c>
      <c r="C7" s="47" t="s">
        <v>48</v>
      </c>
      <c r="D7" s="47" t="s">
        <v>37</v>
      </c>
      <c r="E7" s="48">
        <v>2</v>
      </c>
    </row>
    <row r="8" spans="1:5" ht="14.4" x14ac:dyDescent="0.3">
      <c r="A8" s="45" t="str">
        <f t="shared" si="0"/>
        <v>BelémCuritibaCaminhão</v>
      </c>
      <c r="B8" s="46" t="s">
        <v>25</v>
      </c>
      <c r="C8" s="47" t="s">
        <v>48</v>
      </c>
      <c r="D8" s="47" t="s">
        <v>56</v>
      </c>
      <c r="E8" s="48">
        <v>3</v>
      </c>
    </row>
    <row r="9" spans="1:5" ht="14.4" x14ac:dyDescent="0.3">
      <c r="A9" s="45" t="str">
        <f t="shared" si="0"/>
        <v>BelémFortalezaCaminhão</v>
      </c>
      <c r="B9" s="46" t="s">
        <v>25</v>
      </c>
      <c r="C9" s="47" t="s">
        <v>48</v>
      </c>
      <c r="D9" s="47" t="s">
        <v>57</v>
      </c>
      <c r="E9" s="48">
        <v>1</v>
      </c>
    </row>
    <row r="10" spans="1:5" ht="14.4" x14ac:dyDescent="0.3">
      <c r="A10" s="45" t="str">
        <f t="shared" si="0"/>
        <v>BelémGoiâniaCaminhão</v>
      </c>
      <c r="B10" s="46" t="s">
        <v>25</v>
      </c>
      <c r="C10" s="47" t="s">
        <v>48</v>
      </c>
      <c r="D10" s="47" t="s">
        <v>58</v>
      </c>
      <c r="E10" s="48">
        <v>2</v>
      </c>
    </row>
    <row r="11" spans="1:5" ht="14.4" x14ac:dyDescent="0.3">
      <c r="A11" s="45" t="str">
        <f t="shared" si="0"/>
        <v>BelémJoão PessoaCaminhão</v>
      </c>
      <c r="B11" s="46" t="s">
        <v>25</v>
      </c>
      <c r="C11" s="47" t="s">
        <v>48</v>
      </c>
      <c r="D11" s="47" t="s">
        <v>59</v>
      </c>
      <c r="E11" s="48">
        <v>2</v>
      </c>
    </row>
    <row r="12" spans="1:5" ht="14.4" x14ac:dyDescent="0.3">
      <c r="A12" s="45" t="str">
        <f t="shared" si="0"/>
        <v>BelémJoinvilleCaminhão</v>
      </c>
      <c r="B12" s="46" t="s">
        <v>25</v>
      </c>
      <c r="C12" s="47" t="s">
        <v>48</v>
      </c>
      <c r="D12" s="47" t="s">
        <v>28</v>
      </c>
      <c r="E12" s="48">
        <v>3</v>
      </c>
    </row>
    <row r="13" spans="1:5" ht="14.4" x14ac:dyDescent="0.3">
      <c r="A13" s="45" t="str">
        <f t="shared" si="0"/>
        <v>BelémMaceióCaminhão</v>
      </c>
      <c r="B13" s="46" t="s">
        <v>25</v>
      </c>
      <c r="C13" s="47" t="s">
        <v>48</v>
      </c>
      <c r="D13" s="47" t="s">
        <v>60</v>
      </c>
      <c r="E13" s="48">
        <v>2</v>
      </c>
    </row>
    <row r="14" spans="1:5" ht="14.4" x14ac:dyDescent="0.3">
      <c r="A14" s="45" t="str">
        <f t="shared" si="0"/>
        <v>BelémManausCaminhão</v>
      </c>
      <c r="B14" s="46" t="s">
        <v>25</v>
      </c>
      <c r="C14" s="47" t="s">
        <v>48</v>
      </c>
      <c r="D14" s="47" t="s">
        <v>23</v>
      </c>
      <c r="E14" s="48">
        <v>4</v>
      </c>
    </row>
    <row r="15" spans="1:5" ht="14.4" x14ac:dyDescent="0.3">
      <c r="A15" s="45" t="str">
        <f t="shared" si="0"/>
        <v>BelémNatalCaminhão</v>
      </c>
      <c r="B15" s="46" t="s">
        <v>25</v>
      </c>
      <c r="C15" s="47" t="s">
        <v>48</v>
      </c>
      <c r="D15" s="47" t="s">
        <v>61</v>
      </c>
      <c r="E15" s="48">
        <v>2</v>
      </c>
    </row>
    <row r="16" spans="1:5" ht="14.4" x14ac:dyDescent="0.3">
      <c r="A16" s="45" t="str">
        <f t="shared" si="0"/>
        <v>BelémPorto AlegreCaminhão</v>
      </c>
      <c r="B16" s="46" t="s">
        <v>25</v>
      </c>
      <c r="C16" s="47" t="s">
        <v>48</v>
      </c>
      <c r="D16" s="47" t="s">
        <v>44</v>
      </c>
      <c r="E16" s="48">
        <v>3</v>
      </c>
    </row>
    <row r="17" spans="1:5" ht="14.4" x14ac:dyDescent="0.3">
      <c r="A17" s="45" t="str">
        <f t="shared" si="0"/>
        <v>BelémRecifeCaminhão</v>
      </c>
      <c r="B17" s="46" t="s">
        <v>25</v>
      </c>
      <c r="C17" s="47" t="s">
        <v>48</v>
      </c>
      <c r="D17" s="47" t="s">
        <v>62</v>
      </c>
      <c r="E17" s="48">
        <v>2</v>
      </c>
    </row>
    <row r="18" spans="1:5" ht="14.4" x14ac:dyDescent="0.3">
      <c r="A18" s="45" t="str">
        <f t="shared" si="0"/>
        <v>BelémRibeirão PretoCaminhão</v>
      </c>
      <c r="B18" s="46" t="s">
        <v>25</v>
      </c>
      <c r="C18" s="47" t="s">
        <v>48</v>
      </c>
      <c r="D18" s="47" t="s">
        <v>63</v>
      </c>
      <c r="E18" s="48">
        <v>2</v>
      </c>
    </row>
    <row r="19" spans="1:5" ht="14.4" x14ac:dyDescent="0.3">
      <c r="A19" s="45" t="str">
        <f t="shared" si="0"/>
        <v>BelémRio de JaneiroCaminhão</v>
      </c>
      <c r="B19" s="46" t="s">
        <v>25</v>
      </c>
      <c r="C19" s="47" t="s">
        <v>48</v>
      </c>
      <c r="D19" s="47" t="s">
        <v>64</v>
      </c>
      <c r="E19" s="48">
        <v>3</v>
      </c>
    </row>
    <row r="20" spans="1:5" ht="14.4" x14ac:dyDescent="0.3">
      <c r="A20" s="45" t="str">
        <f t="shared" si="0"/>
        <v>BelémSalvadorCaminhão</v>
      </c>
      <c r="B20" s="46" t="s">
        <v>25</v>
      </c>
      <c r="C20" s="47" t="s">
        <v>48</v>
      </c>
      <c r="D20" s="47" t="s">
        <v>65</v>
      </c>
      <c r="E20" s="48">
        <v>2</v>
      </c>
    </row>
    <row r="21" spans="1:5" ht="15.75" customHeight="1" x14ac:dyDescent="0.3">
      <c r="A21" s="45" t="str">
        <f t="shared" si="0"/>
        <v>BelémSantosCaminhão</v>
      </c>
      <c r="B21" s="46" t="s">
        <v>25</v>
      </c>
      <c r="C21" s="47" t="s">
        <v>48</v>
      </c>
      <c r="D21" s="47" t="s">
        <v>47</v>
      </c>
      <c r="E21" s="48">
        <v>3</v>
      </c>
    </row>
    <row r="22" spans="1:5" ht="15.75" customHeight="1" x14ac:dyDescent="0.3">
      <c r="A22" s="45" t="str">
        <f t="shared" si="0"/>
        <v>BelémSão LuísCaminhão</v>
      </c>
      <c r="B22" s="46" t="s">
        <v>25</v>
      </c>
      <c r="C22" s="47" t="s">
        <v>48</v>
      </c>
      <c r="D22" s="47" t="s">
        <v>50</v>
      </c>
      <c r="E22" s="48">
        <v>1</v>
      </c>
    </row>
    <row r="23" spans="1:5" ht="15.75" customHeight="1" x14ac:dyDescent="0.3">
      <c r="A23" s="45" t="str">
        <f t="shared" si="0"/>
        <v>BelémSão PauloCaminhão</v>
      </c>
      <c r="B23" s="46" t="s">
        <v>25</v>
      </c>
      <c r="C23" s="47" t="s">
        <v>48</v>
      </c>
      <c r="D23" s="47" t="s">
        <v>66</v>
      </c>
      <c r="E23" s="48">
        <v>2</v>
      </c>
    </row>
    <row r="24" spans="1:5" ht="15.75" customHeight="1" x14ac:dyDescent="0.3">
      <c r="A24" s="45" t="str">
        <f t="shared" si="0"/>
        <v>BelémUberlândiaCaminhão</v>
      </c>
      <c r="B24" s="46" t="s">
        <v>25</v>
      </c>
      <c r="C24" s="47" t="s">
        <v>48</v>
      </c>
      <c r="D24" s="47" t="s">
        <v>67</v>
      </c>
      <c r="E24" s="48">
        <v>2</v>
      </c>
    </row>
    <row r="25" spans="1:5" ht="15.75" customHeight="1" x14ac:dyDescent="0.3">
      <c r="A25" s="45" t="str">
        <f t="shared" si="0"/>
        <v>BelémVitóriaCaminhão</v>
      </c>
      <c r="B25" s="46" t="s">
        <v>25</v>
      </c>
      <c r="C25" s="47" t="s">
        <v>48</v>
      </c>
      <c r="D25" s="47" t="s">
        <v>68</v>
      </c>
      <c r="E25" s="48">
        <v>3</v>
      </c>
    </row>
    <row r="26" spans="1:5" ht="15.75" customHeight="1" x14ac:dyDescent="0.3">
      <c r="A26" s="45" t="str">
        <f t="shared" si="0"/>
        <v>BelémVitória da ConquistaCaminhão</v>
      </c>
      <c r="B26" s="46" t="s">
        <v>25</v>
      </c>
      <c r="C26" s="47" t="s">
        <v>48</v>
      </c>
      <c r="D26" s="47" t="s">
        <v>49</v>
      </c>
      <c r="E26" s="48">
        <v>2</v>
      </c>
    </row>
    <row r="27" spans="1:5" ht="15.75" customHeight="1" x14ac:dyDescent="0.3">
      <c r="A27" s="45" t="str">
        <f t="shared" si="0"/>
        <v>Belo HorizonteBelémCaminhão</v>
      </c>
      <c r="B27" s="46" t="s">
        <v>25</v>
      </c>
      <c r="C27" s="46" t="s">
        <v>52</v>
      </c>
      <c r="D27" s="47" t="s">
        <v>48</v>
      </c>
      <c r="E27" s="48">
        <v>2</v>
      </c>
    </row>
    <row r="28" spans="1:5" ht="15.75" customHeight="1" x14ac:dyDescent="0.3">
      <c r="A28" s="45" t="str">
        <f t="shared" si="0"/>
        <v>Belo HorizonteBelo HorizonteCaminhão</v>
      </c>
      <c r="B28" s="46" t="s">
        <v>25</v>
      </c>
      <c r="C28" s="46" t="s">
        <v>52</v>
      </c>
      <c r="D28" s="47" t="s">
        <v>52</v>
      </c>
      <c r="E28" s="48">
        <v>0</v>
      </c>
    </row>
    <row r="29" spans="1:5" ht="15.75" customHeight="1" x14ac:dyDescent="0.3">
      <c r="A29" s="45" t="str">
        <f t="shared" si="0"/>
        <v>Belo HorizonteBrasíliaCaminhão</v>
      </c>
      <c r="B29" s="46" t="s">
        <v>25</v>
      </c>
      <c r="C29" s="46" t="s">
        <v>52</v>
      </c>
      <c r="D29" s="47" t="s">
        <v>53</v>
      </c>
      <c r="E29" s="48">
        <v>1</v>
      </c>
    </row>
    <row r="30" spans="1:5" ht="15.75" customHeight="1" x14ac:dyDescent="0.3">
      <c r="A30" s="45" t="str">
        <f t="shared" si="0"/>
        <v>Belo HorizonteCampinasCaminhão</v>
      </c>
      <c r="B30" s="46" t="s">
        <v>25</v>
      </c>
      <c r="C30" s="46" t="s">
        <v>52</v>
      </c>
      <c r="D30" s="47" t="s">
        <v>54</v>
      </c>
      <c r="E30" s="48">
        <v>1</v>
      </c>
    </row>
    <row r="31" spans="1:5" ht="15.75" customHeight="1" x14ac:dyDescent="0.3">
      <c r="A31" s="45" t="str">
        <f t="shared" si="0"/>
        <v>Belo HorizonteCampo GrandeCaminhão</v>
      </c>
      <c r="B31" s="46" t="s">
        <v>25</v>
      </c>
      <c r="C31" s="46" t="s">
        <v>52</v>
      </c>
      <c r="D31" s="47" t="s">
        <v>55</v>
      </c>
      <c r="E31" s="48">
        <v>1</v>
      </c>
    </row>
    <row r="32" spans="1:5" ht="15.75" customHeight="1" x14ac:dyDescent="0.3">
      <c r="A32" s="45" t="str">
        <f t="shared" si="0"/>
        <v>Belo HorizonteCuiabáCaminhão</v>
      </c>
      <c r="B32" s="46" t="s">
        <v>25</v>
      </c>
      <c r="C32" s="46" t="s">
        <v>52</v>
      </c>
      <c r="D32" s="47" t="s">
        <v>37</v>
      </c>
      <c r="E32" s="48">
        <v>1</v>
      </c>
    </row>
    <row r="33" spans="1:5" ht="15.75" customHeight="1" x14ac:dyDescent="0.3">
      <c r="A33" s="45" t="str">
        <f t="shared" si="0"/>
        <v>Belo HorizonteCuritibaCaminhão</v>
      </c>
      <c r="B33" s="46" t="s">
        <v>25</v>
      </c>
      <c r="C33" s="46" t="s">
        <v>52</v>
      </c>
      <c r="D33" s="47" t="s">
        <v>56</v>
      </c>
      <c r="E33" s="48">
        <v>1</v>
      </c>
    </row>
    <row r="34" spans="1:5" ht="15.75" customHeight="1" x14ac:dyDescent="0.3">
      <c r="A34" s="45" t="str">
        <f t="shared" si="0"/>
        <v>Belo HorizonteFortalezaCaminhão</v>
      </c>
      <c r="B34" s="46" t="s">
        <v>25</v>
      </c>
      <c r="C34" s="46" t="s">
        <v>52</v>
      </c>
      <c r="D34" s="47" t="s">
        <v>57</v>
      </c>
      <c r="E34" s="48">
        <v>2</v>
      </c>
    </row>
    <row r="35" spans="1:5" ht="15.75" customHeight="1" x14ac:dyDescent="0.3">
      <c r="A35" s="45" t="str">
        <f t="shared" si="0"/>
        <v>Belo HorizonteGoiâniaCaminhão</v>
      </c>
      <c r="B35" s="46" t="s">
        <v>25</v>
      </c>
      <c r="C35" s="46" t="s">
        <v>52</v>
      </c>
      <c r="D35" s="47" t="s">
        <v>58</v>
      </c>
      <c r="E35" s="48">
        <v>1</v>
      </c>
    </row>
    <row r="36" spans="1:5" ht="15.75" customHeight="1" x14ac:dyDescent="0.3">
      <c r="A36" s="45" t="str">
        <f t="shared" si="0"/>
        <v>Belo HorizonteJoão PessoaCaminhão</v>
      </c>
      <c r="B36" s="46" t="s">
        <v>25</v>
      </c>
      <c r="C36" s="46" t="s">
        <v>52</v>
      </c>
      <c r="D36" s="47" t="s">
        <v>59</v>
      </c>
      <c r="E36" s="48">
        <v>2</v>
      </c>
    </row>
    <row r="37" spans="1:5" ht="15.75" customHeight="1" x14ac:dyDescent="0.3">
      <c r="A37" s="45" t="str">
        <f t="shared" si="0"/>
        <v>Belo HorizonteJoinvilleCaminhão</v>
      </c>
      <c r="B37" s="46" t="s">
        <v>25</v>
      </c>
      <c r="C37" s="46" t="s">
        <v>52</v>
      </c>
      <c r="D37" s="47" t="s">
        <v>28</v>
      </c>
      <c r="E37" s="48">
        <v>1</v>
      </c>
    </row>
    <row r="38" spans="1:5" ht="15.75" customHeight="1" x14ac:dyDescent="0.3">
      <c r="A38" s="45" t="str">
        <f t="shared" si="0"/>
        <v>Belo HorizonteMaceióCaminhão</v>
      </c>
      <c r="B38" s="46" t="s">
        <v>25</v>
      </c>
      <c r="C38" s="46" t="s">
        <v>52</v>
      </c>
      <c r="D38" s="47" t="s">
        <v>60</v>
      </c>
      <c r="E38" s="48">
        <v>2</v>
      </c>
    </row>
    <row r="39" spans="1:5" ht="15.75" customHeight="1" x14ac:dyDescent="0.3">
      <c r="A39" s="45" t="str">
        <f t="shared" si="0"/>
        <v>Belo HorizonteManausCaminhão</v>
      </c>
      <c r="B39" s="46" t="s">
        <v>25</v>
      </c>
      <c r="C39" s="46" t="s">
        <v>52</v>
      </c>
      <c r="D39" s="47" t="s">
        <v>23</v>
      </c>
      <c r="E39" s="48">
        <v>3</v>
      </c>
    </row>
    <row r="40" spans="1:5" ht="15.75" customHeight="1" x14ac:dyDescent="0.3">
      <c r="A40" s="45" t="str">
        <f t="shared" si="0"/>
        <v>Belo HorizonteNatalCaminhão</v>
      </c>
      <c r="B40" s="46" t="s">
        <v>25</v>
      </c>
      <c r="C40" s="46" t="s">
        <v>52</v>
      </c>
      <c r="D40" s="47" t="s">
        <v>61</v>
      </c>
      <c r="E40" s="48">
        <v>2</v>
      </c>
    </row>
    <row r="41" spans="1:5" ht="15.75" customHeight="1" x14ac:dyDescent="0.3">
      <c r="A41" s="45" t="str">
        <f t="shared" si="0"/>
        <v>Belo HorizontePorto AlegreCaminhão</v>
      </c>
      <c r="B41" s="46" t="s">
        <v>25</v>
      </c>
      <c r="C41" s="46" t="s">
        <v>52</v>
      </c>
      <c r="D41" s="47" t="s">
        <v>44</v>
      </c>
      <c r="E41" s="48">
        <v>1</v>
      </c>
    </row>
    <row r="42" spans="1:5" ht="15.75" customHeight="1" x14ac:dyDescent="0.3">
      <c r="A42" s="45" t="str">
        <f t="shared" si="0"/>
        <v>Belo HorizonteRecifeCaminhão</v>
      </c>
      <c r="B42" s="46" t="s">
        <v>25</v>
      </c>
      <c r="C42" s="46" t="s">
        <v>52</v>
      </c>
      <c r="D42" s="47" t="s">
        <v>62</v>
      </c>
      <c r="E42" s="48">
        <v>2</v>
      </c>
    </row>
    <row r="43" spans="1:5" ht="15.75" customHeight="1" x14ac:dyDescent="0.3">
      <c r="A43" s="45" t="str">
        <f t="shared" si="0"/>
        <v>Belo HorizonteRibeirão PretoCaminhão</v>
      </c>
      <c r="B43" s="46" t="s">
        <v>25</v>
      </c>
      <c r="C43" s="46" t="s">
        <v>52</v>
      </c>
      <c r="D43" s="47" t="s">
        <v>63</v>
      </c>
      <c r="E43" s="48">
        <v>0</v>
      </c>
    </row>
    <row r="44" spans="1:5" ht="15.75" customHeight="1" x14ac:dyDescent="0.3">
      <c r="A44" s="45" t="str">
        <f t="shared" si="0"/>
        <v>Belo HorizonteRio de JaneiroCaminhão</v>
      </c>
      <c r="B44" s="46" t="s">
        <v>25</v>
      </c>
      <c r="C44" s="46" t="s">
        <v>52</v>
      </c>
      <c r="D44" s="47" t="s">
        <v>64</v>
      </c>
      <c r="E44" s="48">
        <v>0</v>
      </c>
    </row>
    <row r="45" spans="1:5" ht="15.75" customHeight="1" x14ac:dyDescent="0.3">
      <c r="A45" s="45" t="str">
        <f t="shared" si="0"/>
        <v>Belo HorizonteSalvadorCaminhão</v>
      </c>
      <c r="B45" s="46" t="s">
        <v>25</v>
      </c>
      <c r="C45" s="46" t="s">
        <v>52</v>
      </c>
      <c r="D45" s="47" t="s">
        <v>65</v>
      </c>
      <c r="E45" s="48">
        <v>1</v>
      </c>
    </row>
    <row r="46" spans="1:5" ht="15.75" customHeight="1" x14ac:dyDescent="0.3">
      <c r="A46" s="45" t="str">
        <f t="shared" si="0"/>
        <v>Belo HorizonteSantosCaminhão</v>
      </c>
      <c r="B46" s="46" t="s">
        <v>25</v>
      </c>
      <c r="C46" s="46" t="s">
        <v>52</v>
      </c>
      <c r="D46" s="47" t="s">
        <v>47</v>
      </c>
      <c r="E46" s="48">
        <v>1</v>
      </c>
    </row>
    <row r="47" spans="1:5" ht="15.75" customHeight="1" x14ac:dyDescent="0.3">
      <c r="A47" s="45" t="str">
        <f t="shared" si="0"/>
        <v>Belo HorizonteSão LuísCaminhão</v>
      </c>
      <c r="B47" s="46" t="s">
        <v>25</v>
      </c>
      <c r="C47" s="46" t="s">
        <v>52</v>
      </c>
      <c r="D47" s="47" t="s">
        <v>50</v>
      </c>
      <c r="E47" s="48">
        <v>2</v>
      </c>
    </row>
    <row r="48" spans="1:5" ht="15.75" customHeight="1" x14ac:dyDescent="0.3">
      <c r="A48" s="45" t="str">
        <f t="shared" si="0"/>
        <v>Belo HorizonteSão PauloCaminhão</v>
      </c>
      <c r="B48" s="46" t="s">
        <v>25</v>
      </c>
      <c r="C48" s="46" t="s">
        <v>52</v>
      </c>
      <c r="D48" s="47" t="s">
        <v>66</v>
      </c>
      <c r="E48" s="48">
        <v>0</v>
      </c>
    </row>
    <row r="49" spans="1:5" ht="15.75" customHeight="1" x14ac:dyDescent="0.3">
      <c r="A49" s="45" t="str">
        <f t="shared" si="0"/>
        <v>Belo HorizonteUberlândiaCaminhão</v>
      </c>
      <c r="B49" s="46" t="s">
        <v>25</v>
      </c>
      <c r="C49" s="46" t="s">
        <v>52</v>
      </c>
      <c r="D49" s="47" t="s">
        <v>67</v>
      </c>
      <c r="E49" s="48">
        <v>0</v>
      </c>
    </row>
    <row r="50" spans="1:5" ht="15.75" customHeight="1" x14ac:dyDescent="0.3">
      <c r="A50" s="45" t="str">
        <f t="shared" si="0"/>
        <v>Belo HorizonteVitóriaCaminhão</v>
      </c>
      <c r="B50" s="46" t="s">
        <v>25</v>
      </c>
      <c r="C50" s="46" t="s">
        <v>52</v>
      </c>
      <c r="D50" s="47" t="s">
        <v>68</v>
      </c>
      <c r="E50" s="48">
        <v>0</v>
      </c>
    </row>
    <row r="51" spans="1:5" ht="15.75" customHeight="1" x14ac:dyDescent="0.3">
      <c r="A51" s="45" t="str">
        <f t="shared" si="0"/>
        <v>Belo HorizonteVitória da ConquistaCaminhão</v>
      </c>
      <c r="B51" s="46" t="s">
        <v>25</v>
      </c>
      <c r="C51" s="46" t="s">
        <v>52</v>
      </c>
      <c r="D51" s="47" t="s">
        <v>49</v>
      </c>
      <c r="E51" s="48">
        <v>1</v>
      </c>
    </row>
    <row r="52" spans="1:5" ht="15.75" customHeight="1" x14ac:dyDescent="0.3">
      <c r="A52" s="45" t="str">
        <f t="shared" si="0"/>
        <v>BrasíliaBelémCaminhão</v>
      </c>
      <c r="B52" s="46" t="s">
        <v>25</v>
      </c>
      <c r="C52" s="47" t="s">
        <v>53</v>
      </c>
      <c r="D52" s="47" t="s">
        <v>48</v>
      </c>
      <c r="E52" s="48">
        <v>2</v>
      </c>
    </row>
    <row r="53" spans="1:5" ht="15.75" customHeight="1" x14ac:dyDescent="0.3">
      <c r="A53" s="45" t="str">
        <f t="shared" si="0"/>
        <v>BrasíliaBelo HorizonteCaminhão</v>
      </c>
      <c r="B53" s="46" t="s">
        <v>25</v>
      </c>
      <c r="C53" s="47" t="s">
        <v>53</v>
      </c>
      <c r="D53" s="47" t="s">
        <v>52</v>
      </c>
      <c r="E53" s="48">
        <v>1</v>
      </c>
    </row>
    <row r="54" spans="1:5" ht="15.75" customHeight="1" x14ac:dyDescent="0.3">
      <c r="A54" s="45" t="str">
        <f t="shared" si="0"/>
        <v>BrasíliaBrasíliaCaminhão</v>
      </c>
      <c r="B54" s="46" t="s">
        <v>25</v>
      </c>
      <c r="C54" s="47" t="s">
        <v>53</v>
      </c>
      <c r="D54" s="47" t="s">
        <v>53</v>
      </c>
      <c r="E54" s="48">
        <v>0</v>
      </c>
    </row>
    <row r="55" spans="1:5" ht="15.75" customHeight="1" x14ac:dyDescent="0.3">
      <c r="A55" s="45" t="str">
        <f t="shared" si="0"/>
        <v>BrasíliaCampinasCaminhão</v>
      </c>
      <c r="B55" s="46" t="s">
        <v>25</v>
      </c>
      <c r="C55" s="47" t="s">
        <v>53</v>
      </c>
      <c r="D55" s="47" t="s">
        <v>54</v>
      </c>
      <c r="E55" s="48">
        <v>1</v>
      </c>
    </row>
    <row r="56" spans="1:5" ht="15.75" customHeight="1" x14ac:dyDescent="0.3">
      <c r="A56" s="45" t="str">
        <f t="shared" si="0"/>
        <v>BrasíliaCampo GrandeCaminhão</v>
      </c>
      <c r="B56" s="46" t="s">
        <v>25</v>
      </c>
      <c r="C56" s="47" t="s">
        <v>53</v>
      </c>
      <c r="D56" s="47" t="s">
        <v>55</v>
      </c>
      <c r="E56" s="48">
        <v>1</v>
      </c>
    </row>
    <row r="57" spans="1:5" ht="15.75" customHeight="1" x14ac:dyDescent="0.3">
      <c r="A57" s="45" t="str">
        <f t="shared" si="0"/>
        <v>BrasíliaCuiabáCaminhão</v>
      </c>
      <c r="B57" s="46" t="s">
        <v>25</v>
      </c>
      <c r="C57" s="47" t="s">
        <v>53</v>
      </c>
      <c r="D57" s="47" t="s">
        <v>37</v>
      </c>
      <c r="E57" s="48">
        <v>1</v>
      </c>
    </row>
    <row r="58" spans="1:5" ht="15.75" customHeight="1" x14ac:dyDescent="0.3">
      <c r="A58" s="45" t="str">
        <f t="shared" si="0"/>
        <v>BrasíliaCuritibaCaminhão</v>
      </c>
      <c r="B58" s="46" t="s">
        <v>25</v>
      </c>
      <c r="C58" s="47" t="s">
        <v>53</v>
      </c>
      <c r="D58" s="47" t="s">
        <v>56</v>
      </c>
      <c r="E58" s="48">
        <v>1</v>
      </c>
    </row>
    <row r="59" spans="1:5" ht="15.75" customHeight="1" x14ac:dyDescent="0.3">
      <c r="A59" s="45" t="str">
        <f t="shared" si="0"/>
        <v>BrasíliaFortalezaCaminhão</v>
      </c>
      <c r="B59" s="46" t="s">
        <v>25</v>
      </c>
      <c r="C59" s="47" t="s">
        <v>53</v>
      </c>
      <c r="D59" s="47" t="s">
        <v>57</v>
      </c>
      <c r="E59" s="48">
        <v>2</v>
      </c>
    </row>
    <row r="60" spans="1:5" ht="15.75" customHeight="1" x14ac:dyDescent="0.3">
      <c r="A60" s="45" t="str">
        <f t="shared" si="0"/>
        <v>BrasíliaGoiâniaCaminhão</v>
      </c>
      <c r="B60" s="46" t="s">
        <v>25</v>
      </c>
      <c r="C60" s="47" t="s">
        <v>53</v>
      </c>
      <c r="D60" s="47" t="s">
        <v>58</v>
      </c>
      <c r="E60" s="48">
        <v>0</v>
      </c>
    </row>
    <row r="61" spans="1:5" ht="15.75" customHeight="1" x14ac:dyDescent="0.3">
      <c r="A61" s="45" t="str">
        <f t="shared" si="0"/>
        <v>BrasíliaJoão PessoaCaminhão</v>
      </c>
      <c r="B61" s="46" t="s">
        <v>25</v>
      </c>
      <c r="C61" s="47" t="s">
        <v>53</v>
      </c>
      <c r="D61" s="47" t="s">
        <v>59</v>
      </c>
      <c r="E61" s="48">
        <v>2</v>
      </c>
    </row>
    <row r="62" spans="1:5" ht="15.75" customHeight="1" x14ac:dyDescent="0.3">
      <c r="A62" s="45" t="str">
        <f t="shared" si="0"/>
        <v>BrasíliaJoinvilleCaminhão</v>
      </c>
      <c r="B62" s="46" t="s">
        <v>25</v>
      </c>
      <c r="C62" s="47" t="s">
        <v>53</v>
      </c>
      <c r="D62" s="47" t="s">
        <v>28</v>
      </c>
      <c r="E62" s="48">
        <v>1</v>
      </c>
    </row>
    <row r="63" spans="1:5" ht="15.75" customHeight="1" x14ac:dyDescent="0.3">
      <c r="A63" s="45" t="str">
        <f t="shared" si="0"/>
        <v>BrasíliaMaceióCaminhão</v>
      </c>
      <c r="B63" s="46" t="s">
        <v>25</v>
      </c>
      <c r="C63" s="47" t="s">
        <v>53</v>
      </c>
      <c r="D63" s="47" t="s">
        <v>60</v>
      </c>
      <c r="E63" s="48">
        <v>2</v>
      </c>
    </row>
    <row r="64" spans="1:5" ht="15.75" customHeight="1" x14ac:dyDescent="0.3">
      <c r="A64" s="45" t="str">
        <f t="shared" si="0"/>
        <v>BrasíliaManausCaminhão</v>
      </c>
      <c r="B64" s="46" t="s">
        <v>25</v>
      </c>
      <c r="C64" s="47" t="s">
        <v>53</v>
      </c>
      <c r="D64" s="47" t="s">
        <v>23</v>
      </c>
      <c r="E64" s="48">
        <v>3</v>
      </c>
    </row>
    <row r="65" spans="1:5" ht="15.75" customHeight="1" x14ac:dyDescent="0.3">
      <c r="A65" s="45" t="str">
        <f t="shared" si="0"/>
        <v>BrasíliaNatalCaminhão</v>
      </c>
      <c r="B65" s="46" t="s">
        <v>25</v>
      </c>
      <c r="C65" s="47" t="s">
        <v>53</v>
      </c>
      <c r="D65" s="47" t="s">
        <v>61</v>
      </c>
      <c r="E65" s="48">
        <v>2</v>
      </c>
    </row>
    <row r="66" spans="1:5" ht="15.75" customHeight="1" x14ac:dyDescent="0.3">
      <c r="A66" s="45" t="str">
        <f t="shared" si="0"/>
        <v>BrasíliaPorto AlegreCaminhão</v>
      </c>
      <c r="B66" s="46" t="s">
        <v>25</v>
      </c>
      <c r="C66" s="47" t="s">
        <v>53</v>
      </c>
      <c r="D66" s="47" t="s">
        <v>44</v>
      </c>
      <c r="E66" s="48">
        <v>2</v>
      </c>
    </row>
    <row r="67" spans="1:5" ht="15.75" customHeight="1" x14ac:dyDescent="0.3">
      <c r="A67" s="45" t="str">
        <f t="shared" si="0"/>
        <v>BrasíliaRecifeCaminhão</v>
      </c>
      <c r="B67" s="46" t="s">
        <v>25</v>
      </c>
      <c r="C67" s="47" t="s">
        <v>53</v>
      </c>
      <c r="D67" s="47" t="s">
        <v>62</v>
      </c>
      <c r="E67" s="48">
        <v>2</v>
      </c>
    </row>
    <row r="68" spans="1:5" ht="15.75" customHeight="1" x14ac:dyDescent="0.3">
      <c r="A68" s="45" t="str">
        <f t="shared" si="0"/>
        <v>BrasíliaRibeirão PretoCaminhão</v>
      </c>
      <c r="B68" s="46" t="s">
        <v>25</v>
      </c>
      <c r="C68" s="47" t="s">
        <v>53</v>
      </c>
      <c r="D68" s="47" t="s">
        <v>63</v>
      </c>
      <c r="E68" s="48">
        <v>1</v>
      </c>
    </row>
    <row r="69" spans="1:5" ht="15.75" customHeight="1" x14ac:dyDescent="0.3">
      <c r="A69" s="45" t="str">
        <f t="shared" si="0"/>
        <v>BrasíliaRio de JaneiroCaminhão</v>
      </c>
      <c r="B69" s="46" t="s">
        <v>25</v>
      </c>
      <c r="C69" s="47" t="s">
        <v>53</v>
      </c>
      <c r="D69" s="47" t="s">
        <v>64</v>
      </c>
      <c r="E69" s="48">
        <v>1</v>
      </c>
    </row>
    <row r="70" spans="1:5" ht="15.75" customHeight="1" x14ac:dyDescent="0.3">
      <c r="A70" s="45" t="str">
        <f t="shared" si="0"/>
        <v>BrasíliaSalvadorCaminhão</v>
      </c>
      <c r="B70" s="46" t="s">
        <v>25</v>
      </c>
      <c r="C70" s="47" t="s">
        <v>53</v>
      </c>
      <c r="D70" s="47" t="s">
        <v>65</v>
      </c>
      <c r="E70" s="48">
        <v>1</v>
      </c>
    </row>
    <row r="71" spans="1:5" ht="15.75" customHeight="1" x14ac:dyDescent="0.3">
      <c r="A71" s="45" t="str">
        <f t="shared" si="0"/>
        <v>BrasíliaSantosCaminhão</v>
      </c>
      <c r="B71" s="46" t="s">
        <v>25</v>
      </c>
      <c r="C71" s="47" t="s">
        <v>53</v>
      </c>
      <c r="D71" s="47" t="s">
        <v>47</v>
      </c>
      <c r="E71" s="48">
        <v>1</v>
      </c>
    </row>
    <row r="72" spans="1:5" ht="15.75" customHeight="1" x14ac:dyDescent="0.3">
      <c r="A72" s="45" t="str">
        <f t="shared" si="0"/>
        <v>BrasíliaSão LuísCaminhão</v>
      </c>
      <c r="B72" s="46" t="s">
        <v>25</v>
      </c>
      <c r="C72" s="47" t="s">
        <v>53</v>
      </c>
      <c r="D72" s="47" t="s">
        <v>50</v>
      </c>
      <c r="E72" s="48">
        <v>2</v>
      </c>
    </row>
    <row r="73" spans="1:5" ht="15.75" customHeight="1" x14ac:dyDescent="0.3">
      <c r="A73" s="45" t="str">
        <f t="shared" si="0"/>
        <v>BrasíliaSão PauloCaminhão</v>
      </c>
      <c r="B73" s="46" t="s">
        <v>25</v>
      </c>
      <c r="C73" s="47" t="s">
        <v>53</v>
      </c>
      <c r="D73" s="47" t="s">
        <v>66</v>
      </c>
      <c r="E73" s="48">
        <v>1</v>
      </c>
    </row>
    <row r="74" spans="1:5" ht="15.75" customHeight="1" x14ac:dyDescent="0.3">
      <c r="A74" s="45" t="str">
        <f t="shared" si="0"/>
        <v>BrasíliaUberlândiaCaminhão</v>
      </c>
      <c r="B74" s="46" t="s">
        <v>25</v>
      </c>
      <c r="C74" s="47" t="s">
        <v>53</v>
      </c>
      <c r="D74" s="47" t="s">
        <v>67</v>
      </c>
      <c r="E74" s="48">
        <v>0</v>
      </c>
    </row>
    <row r="75" spans="1:5" ht="15.75" customHeight="1" x14ac:dyDescent="0.3">
      <c r="A75" s="45" t="str">
        <f t="shared" si="0"/>
        <v>BrasíliaVitóriaCaminhão</v>
      </c>
      <c r="B75" s="46" t="s">
        <v>25</v>
      </c>
      <c r="C75" s="47" t="s">
        <v>53</v>
      </c>
      <c r="D75" s="47" t="s">
        <v>68</v>
      </c>
      <c r="E75" s="48">
        <v>1</v>
      </c>
    </row>
    <row r="76" spans="1:5" ht="15.75" customHeight="1" x14ac:dyDescent="0.3">
      <c r="A76" s="45" t="str">
        <f t="shared" si="0"/>
        <v>BrasíliaVitória da ConquistaCaminhão</v>
      </c>
      <c r="B76" s="46" t="s">
        <v>25</v>
      </c>
      <c r="C76" s="47" t="s">
        <v>53</v>
      </c>
      <c r="D76" s="47" t="s">
        <v>49</v>
      </c>
      <c r="E76" s="48">
        <v>1</v>
      </c>
    </row>
    <row r="77" spans="1:5" ht="15.75" customHeight="1" x14ac:dyDescent="0.3">
      <c r="A77" s="45" t="str">
        <f t="shared" si="0"/>
        <v>CampinasBelémCaminhão</v>
      </c>
      <c r="B77" s="46" t="s">
        <v>25</v>
      </c>
      <c r="C77" s="46" t="s">
        <v>54</v>
      </c>
      <c r="D77" s="47" t="s">
        <v>48</v>
      </c>
      <c r="E77" s="48">
        <v>2</v>
      </c>
    </row>
    <row r="78" spans="1:5" ht="15.75" customHeight="1" x14ac:dyDescent="0.3">
      <c r="A78" s="45" t="str">
        <f t="shared" si="0"/>
        <v>CampinasBelo HorizonteCaminhão</v>
      </c>
      <c r="B78" s="46" t="s">
        <v>25</v>
      </c>
      <c r="C78" s="46" t="s">
        <v>54</v>
      </c>
      <c r="D78" s="47" t="s">
        <v>52</v>
      </c>
      <c r="E78" s="48">
        <v>1</v>
      </c>
    </row>
    <row r="79" spans="1:5" ht="15.75" customHeight="1" x14ac:dyDescent="0.3">
      <c r="A79" s="45" t="str">
        <f t="shared" si="0"/>
        <v>CampinasBrasíliaCaminhão</v>
      </c>
      <c r="B79" s="46" t="s">
        <v>25</v>
      </c>
      <c r="C79" s="46" t="s">
        <v>54</v>
      </c>
      <c r="D79" s="47" t="s">
        <v>53</v>
      </c>
      <c r="E79" s="48">
        <v>1</v>
      </c>
    </row>
    <row r="80" spans="1:5" ht="15.75" customHeight="1" x14ac:dyDescent="0.3">
      <c r="A80" s="45" t="str">
        <f t="shared" si="0"/>
        <v>CampinasCampinasCaminhão</v>
      </c>
      <c r="B80" s="46" t="s">
        <v>25</v>
      </c>
      <c r="C80" s="46" t="s">
        <v>54</v>
      </c>
      <c r="D80" s="47" t="s">
        <v>54</v>
      </c>
      <c r="E80" s="48">
        <v>0</v>
      </c>
    </row>
    <row r="81" spans="1:5" ht="15.75" customHeight="1" x14ac:dyDescent="0.3">
      <c r="A81" s="45" t="str">
        <f t="shared" si="0"/>
        <v>CampinasCampo GrandeCaminhão</v>
      </c>
      <c r="B81" s="46" t="s">
        <v>25</v>
      </c>
      <c r="C81" s="46" t="s">
        <v>54</v>
      </c>
      <c r="D81" s="47" t="s">
        <v>55</v>
      </c>
      <c r="E81" s="48">
        <v>1</v>
      </c>
    </row>
    <row r="82" spans="1:5" ht="15.75" customHeight="1" x14ac:dyDescent="0.3">
      <c r="A82" s="45" t="str">
        <f t="shared" si="0"/>
        <v>CampinasCuiabáCaminhão</v>
      </c>
      <c r="B82" s="46" t="s">
        <v>25</v>
      </c>
      <c r="C82" s="46" t="s">
        <v>54</v>
      </c>
      <c r="D82" s="47" t="s">
        <v>37</v>
      </c>
      <c r="E82" s="48">
        <v>1</v>
      </c>
    </row>
    <row r="83" spans="1:5" ht="15.75" customHeight="1" x14ac:dyDescent="0.3">
      <c r="A83" s="45" t="str">
        <f t="shared" si="0"/>
        <v>CampinasCuritibaCaminhão</v>
      </c>
      <c r="B83" s="46" t="s">
        <v>25</v>
      </c>
      <c r="C83" s="46" t="s">
        <v>54</v>
      </c>
      <c r="D83" s="47" t="s">
        <v>56</v>
      </c>
      <c r="E83" s="48">
        <v>0</v>
      </c>
    </row>
    <row r="84" spans="1:5" ht="15.75" customHeight="1" x14ac:dyDescent="0.3">
      <c r="A84" s="45" t="str">
        <f t="shared" si="0"/>
        <v>CampinasFortalezaCaminhão</v>
      </c>
      <c r="B84" s="46" t="s">
        <v>25</v>
      </c>
      <c r="C84" s="46" t="s">
        <v>54</v>
      </c>
      <c r="D84" s="47" t="s">
        <v>57</v>
      </c>
      <c r="E84" s="48">
        <v>3</v>
      </c>
    </row>
    <row r="85" spans="1:5" ht="15.75" customHeight="1" x14ac:dyDescent="0.3">
      <c r="A85" s="45" t="str">
        <f t="shared" si="0"/>
        <v>CampinasGoiâniaCaminhão</v>
      </c>
      <c r="B85" s="46" t="s">
        <v>25</v>
      </c>
      <c r="C85" s="46" t="s">
        <v>54</v>
      </c>
      <c r="D85" s="47" t="s">
        <v>58</v>
      </c>
      <c r="E85" s="48">
        <v>1</v>
      </c>
    </row>
    <row r="86" spans="1:5" ht="15.75" customHeight="1" x14ac:dyDescent="0.3">
      <c r="A86" s="45" t="str">
        <f t="shared" si="0"/>
        <v>CampinasJoão PessoaCaminhão</v>
      </c>
      <c r="B86" s="46" t="s">
        <v>25</v>
      </c>
      <c r="C86" s="46" t="s">
        <v>54</v>
      </c>
      <c r="D86" s="47" t="s">
        <v>59</v>
      </c>
      <c r="E86" s="48">
        <v>2</v>
      </c>
    </row>
    <row r="87" spans="1:5" ht="15.75" customHeight="1" x14ac:dyDescent="0.3">
      <c r="A87" s="45" t="str">
        <f t="shared" si="0"/>
        <v>CampinasJoinvilleCaminhão</v>
      </c>
      <c r="B87" s="46" t="s">
        <v>25</v>
      </c>
      <c r="C87" s="46" t="s">
        <v>54</v>
      </c>
      <c r="D87" s="47" t="s">
        <v>28</v>
      </c>
      <c r="E87" s="48">
        <v>1</v>
      </c>
    </row>
    <row r="88" spans="1:5" ht="15.75" customHeight="1" x14ac:dyDescent="0.3">
      <c r="A88" s="45" t="str">
        <f t="shared" si="0"/>
        <v>CampinasMaceióCaminhão</v>
      </c>
      <c r="B88" s="46" t="s">
        <v>25</v>
      </c>
      <c r="C88" s="46" t="s">
        <v>54</v>
      </c>
      <c r="D88" s="47" t="s">
        <v>60</v>
      </c>
      <c r="E88" s="48">
        <v>2</v>
      </c>
    </row>
    <row r="89" spans="1:5" ht="15.75" customHeight="1" x14ac:dyDescent="0.3">
      <c r="A89" s="45" t="str">
        <f t="shared" si="0"/>
        <v>CampinasManausCaminhão</v>
      </c>
      <c r="B89" s="46" t="s">
        <v>25</v>
      </c>
      <c r="C89" s="46" t="s">
        <v>54</v>
      </c>
      <c r="D89" s="47" t="s">
        <v>23</v>
      </c>
      <c r="E89" s="48">
        <v>3</v>
      </c>
    </row>
    <row r="90" spans="1:5" ht="15.75" customHeight="1" x14ac:dyDescent="0.3">
      <c r="A90" s="45" t="str">
        <f t="shared" si="0"/>
        <v>CampinasNatalCaminhão</v>
      </c>
      <c r="B90" s="46" t="s">
        <v>25</v>
      </c>
      <c r="C90" s="46" t="s">
        <v>54</v>
      </c>
      <c r="D90" s="47" t="s">
        <v>61</v>
      </c>
      <c r="E90" s="48">
        <v>2</v>
      </c>
    </row>
    <row r="91" spans="1:5" ht="15.75" customHeight="1" x14ac:dyDescent="0.3">
      <c r="A91" s="45" t="str">
        <f t="shared" si="0"/>
        <v>CampinasPorto AlegreCaminhão</v>
      </c>
      <c r="B91" s="46" t="s">
        <v>25</v>
      </c>
      <c r="C91" s="46" t="s">
        <v>54</v>
      </c>
      <c r="D91" s="47" t="s">
        <v>44</v>
      </c>
      <c r="E91" s="48">
        <v>1</v>
      </c>
    </row>
    <row r="92" spans="1:5" ht="15.75" customHeight="1" x14ac:dyDescent="0.3">
      <c r="A92" s="45" t="str">
        <f t="shared" si="0"/>
        <v>CampinasRecifeCaminhão</v>
      </c>
      <c r="B92" s="46" t="s">
        <v>25</v>
      </c>
      <c r="C92" s="46" t="s">
        <v>54</v>
      </c>
      <c r="D92" s="47" t="s">
        <v>62</v>
      </c>
      <c r="E92" s="48">
        <v>2</v>
      </c>
    </row>
    <row r="93" spans="1:5" ht="15.75" customHeight="1" x14ac:dyDescent="0.3">
      <c r="A93" s="45" t="str">
        <f t="shared" si="0"/>
        <v>CampinasRibeirão PretoCaminhão</v>
      </c>
      <c r="B93" s="46" t="s">
        <v>25</v>
      </c>
      <c r="C93" s="46" t="s">
        <v>54</v>
      </c>
      <c r="D93" s="47" t="s">
        <v>63</v>
      </c>
      <c r="E93" s="48">
        <v>0</v>
      </c>
    </row>
    <row r="94" spans="1:5" ht="15.75" customHeight="1" x14ac:dyDescent="0.3">
      <c r="A94" s="45" t="str">
        <f t="shared" si="0"/>
        <v>CampinasRio de JaneiroCaminhão</v>
      </c>
      <c r="B94" s="46" t="s">
        <v>25</v>
      </c>
      <c r="C94" s="46" t="s">
        <v>54</v>
      </c>
      <c r="D94" s="47" t="s">
        <v>64</v>
      </c>
      <c r="E94" s="48">
        <v>0</v>
      </c>
    </row>
    <row r="95" spans="1:5" ht="15.75" customHeight="1" x14ac:dyDescent="0.3">
      <c r="A95" s="45" t="str">
        <f t="shared" si="0"/>
        <v>CampinasSalvadorCaminhão</v>
      </c>
      <c r="B95" s="46" t="s">
        <v>25</v>
      </c>
      <c r="C95" s="46" t="s">
        <v>54</v>
      </c>
      <c r="D95" s="47" t="s">
        <v>65</v>
      </c>
      <c r="E95" s="48">
        <v>2</v>
      </c>
    </row>
    <row r="96" spans="1:5" ht="15.75" customHeight="1" x14ac:dyDescent="0.3">
      <c r="A96" s="45" t="str">
        <f t="shared" si="0"/>
        <v>CampinasSantosCaminhão</v>
      </c>
      <c r="B96" s="46" t="s">
        <v>25</v>
      </c>
      <c r="C96" s="46" t="s">
        <v>54</v>
      </c>
      <c r="D96" s="47" t="s">
        <v>47</v>
      </c>
      <c r="E96" s="48">
        <v>0</v>
      </c>
    </row>
    <row r="97" spans="1:5" ht="15.75" customHeight="1" x14ac:dyDescent="0.3">
      <c r="A97" s="45" t="str">
        <f t="shared" si="0"/>
        <v>CampinasSão LuísCaminhão</v>
      </c>
      <c r="B97" s="46" t="s">
        <v>25</v>
      </c>
      <c r="C97" s="46" t="s">
        <v>54</v>
      </c>
      <c r="D97" s="47" t="s">
        <v>50</v>
      </c>
      <c r="E97" s="48">
        <v>2</v>
      </c>
    </row>
    <row r="98" spans="1:5" ht="15.75" customHeight="1" x14ac:dyDescent="0.3">
      <c r="A98" s="45" t="str">
        <f t="shared" si="0"/>
        <v>CampinasSão PauloCaminhão</v>
      </c>
      <c r="B98" s="46" t="s">
        <v>25</v>
      </c>
      <c r="C98" s="46" t="s">
        <v>54</v>
      </c>
      <c r="D98" s="47" t="s">
        <v>66</v>
      </c>
      <c r="E98" s="48">
        <v>0</v>
      </c>
    </row>
    <row r="99" spans="1:5" ht="15.75" customHeight="1" x14ac:dyDescent="0.3">
      <c r="A99" s="45" t="str">
        <f t="shared" si="0"/>
        <v>CampinasUberlândiaCaminhão</v>
      </c>
      <c r="B99" s="46" t="s">
        <v>25</v>
      </c>
      <c r="C99" s="46" t="s">
        <v>54</v>
      </c>
      <c r="D99" s="47" t="s">
        <v>67</v>
      </c>
      <c r="E99" s="48">
        <v>0</v>
      </c>
    </row>
    <row r="100" spans="1:5" ht="15.75" customHeight="1" x14ac:dyDescent="0.3">
      <c r="A100" s="45" t="str">
        <f t="shared" si="0"/>
        <v>CampinasVitóriaCaminhão</v>
      </c>
      <c r="B100" s="46" t="s">
        <v>25</v>
      </c>
      <c r="C100" s="46" t="s">
        <v>54</v>
      </c>
      <c r="D100" s="47" t="s">
        <v>68</v>
      </c>
      <c r="E100" s="48">
        <v>1</v>
      </c>
    </row>
    <row r="101" spans="1:5" ht="15.75" customHeight="1" x14ac:dyDescent="0.3">
      <c r="A101" s="45" t="str">
        <f t="shared" si="0"/>
        <v>CampinasVitória da ConquistaCaminhão</v>
      </c>
      <c r="B101" s="46" t="s">
        <v>25</v>
      </c>
      <c r="C101" s="46" t="s">
        <v>54</v>
      </c>
      <c r="D101" s="47" t="s">
        <v>49</v>
      </c>
      <c r="E101" s="48">
        <v>1</v>
      </c>
    </row>
    <row r="102" spans="1:5" ht="15.75" customHeight="1" x14ac:dyDescent="0.3">
      <c r="A102" s="45" t="str">
        <f t="shared" si="0"/>
        <v>Campo GrandeBelémCaminhão</v>
      </c>
      <c r="B102" s="46" t="s">
        <v>25</v>
      </c>
      <c r="C102" s="46" t="s">
        <v>55</v>
      </c>
      <c r="D102" s="47" t="s">
        <v>48</v>
      </c>
      <c r="E102" s="48">
        <v>2</v>
      </c>
    </row>
    <row r="103" spans="1:5" ht="15.75" customHeight="1" x14ac:dyDescent="0.3">
      <c r="A103" s="45" t="str">
        <f t="shared" si="0"/>
        <v>Campo GrandeBelo HorizonteCaminhão</v>
      </c>
      <c r="B103" s="46" t="s">
        <v>25</v>
      </c>
      <c r="C103" s="46" t="s">
        <v>55</v>
      </c>
      <c r="D103" s="47" t="s">
        <v>52</v>
      </c>
      <c r="E103" s="48">
        <v>1</v>
      </c>
    </row>
    <row r="104" spans="1:5" ht="15.75" customHeight="1" x14ac:dyDescent="0.3">
      <c r="A104" s="45" t="str">
        <f t="shared" si="0"/>
        <v>Campo GrandeBrasíliaCaminhão</v>
      </c>
      <c r="B104" s="46" t="s">
        <v>25</v>
      </c>
      <c r="C104" s="46" t="s">
        <v>55</v>
      </c>
      <c r="D104" s="47" t="s">
        <v>53</v>
      </c>
      <c r="E104" s="48">
        <v>1</v>
      </c>
    </row>
    <row r="105" spans="1:5" ht="15.75" customHeight="1" x14ac:dyDescent="0.3">
      <c r="A105" s="45" t="str">
        <f t="shared" si="0"/>
        <v>Campo GrandeCampinasCaminhão</v>
      </c>
      <c r="B105" s="46" t="s">
        <v>25</v>
      </c>
      <c r="C105" s="46" t="s">
        <v>55</v>
      </c>
      <c r="D105" s="47" t="s">
        <v>54</v>
      </c>
      <c r="E105" s="48">
        <v>1</v>
      </c>
    </row>
    <row r="106" spans="1:5" ht="15.75" customHeight="1" x14ac:dyDescent="0.3">
      <c r="A106" s="45" t="str">
        <f t="shared" si="0"/>
        <v>Campo GrandeCampo GrandeCaminhão</v>
      </c>
      <c r="B106" s="46" t="s">
        <v>25</v>
      </c>
      <c r="C106" s="46" t="s">
        <v>55</v>
      </c>
      <c r="D106" s="47" t="s">
        <v>55</v>
      </c>
      <c r="E106" s="48">
        <v>0</v>
      </c>
    </row>
    <row r="107" spans="1:5" ht="15.75" customHeight="1" x14ac:dyDescent="0.3">
      <c r="A107" s="45" t="str">
        <f t="shared" si="0"/>
        <v>Campo GrandeCuiabáCaminhão</v>
      </c>
      <c r="B107" s="46" t="s">
        <v>25</v>
      </c>
      <c r="C107" s="46" t="s">
        <v>55</v>
      </c>
      <c r="D107" s="47" t="s">
        <v>37</v>
      </c>
      <c r="E107" s="48">
        <v>1</v>
      </c>
    </row>
    <row r="108" spans="1:5" ht="15.75" customHeight="1" x14ac:dyDescent="0.3">
      <c r="A108" s="45" t="str">
        <f t="shared" si="0"/>
        <v>Campo GrandeCuritibaCaminhão</v>
      </c>
      <c r="B108" s="46" t="s">
        <v>25</v>
      </c>
      <c r="C108" s="46" t="s">
        <v>55</v>
      </c>
      <c r="D108" s="47" t="s">
        <v>56</v>
      </c>
      <c r="E108" s="48">
        <v>1</v>
      </c>
    </row>
    <row r="109" spans="1:5" ht="15.75" customHeight="1" x14ac:dyDescent="0.3">
      <c r="A109" s="45" t="str">
        <f t="shared" si="0"/>
        <v>Campo GrandeFortalezaCaminhão</v>
      </c>
      <c r="B109" s="46" t="s">
        <v>25</v>
      </c>
      <c r="C109" s="46" t="s">
        <v>55</v>
      </c>
      <c r="D109" s="47" t="s">
        <v>57</v>
      </c>
      <c r="E109" s="48">
        <v>3</v>
      </c>
    </row>
    <row r="110" spans="1:5" ht="15.75" customHeight="1" x14ac:dyDescent="0.3">
      <c r="A110" s="45" t="str">
        <f t="shared" si="0"/>
        <v>Campo GrandeGoiâniaCaminhão</v>
      </c>
      <c r="B110" s="46" t="s">
        <v>25</v>
      </c>
      <c r="C110" s="46" t="s">
        <v>55</v>
      </c>
      <c r="D110" s="47" t="s">
        <v>58</v>
      </c>
      <c r="E110" s="48">
        <v>1</v>
      </c>
    </row>
    <row r="111" spans="1:5" ht="15.75" customHeight="1" x14ac:dyDescent="0.3">
      <c r="A111" s="45" t="str">
        <f t="shared" si="0"/>
        <v>Campo GrandeJoão PessoaCaminhão</v>
      </c>
      <c r="B111" s="46" t="s">
        <v>25</v>
      </c>
      <c r="C111" s="46" t="s">
        <v>55</v>
      </c>
      <c r="D111" s="47" t="s">
        <v>59</v>
      </c>
      <c r="E111" s="48">
        <v>3</v>
      </c>
    </row>
    <row r="112" spans="1:5" ht="15.75" customHeight="1" x14ac:dyDescent="0.3">
      <c r="A112" s="45" t="str">
        <f t="shared" si="0"/>
        <v>Campo GrandeJoinvilleCaminhão</v>
      </c>
      <c r="B112" s="46" t="s">
        <v>25</v>
      </c>
      <c r="C112" s="46" t="s">
        <v>55</v>
      </c>
      <c r="D112" s="47" t="s">
        <v>28</v>
      </c>
      <c r="E112" s="48">
        <v>1</v>
      </c>
    </row>
    <row r="113" spans="1:5" ht="15.75" customHeight="1" x14ac:dyDescent="0.3">
      <c r="A113" s="45" t="str">
        <f t="shared" si="0"/>
        <v>Campo GrandeMaceióCaminhão</v>
      </c>
      <c r="B113" s="46" t="s">
        <v>25</v>
      </c>
      <c r="C113" s="46" t="s">
        <v>55</v>
      </c>
      <c r="D113" s="47" t="s">
        <v>60</v>
      </c>
      <c r="E113" s="48">
        <v>3</v>
      </c>
    </row>
    <row r="114" spans="1:5" ht="15.75" customHeight="1" x14ac:dyDescent="0.3">
      <c r="A114" s="45" t="str">
        <f t="shared" si="0"/>
        <v>Campo GrandeManausCaminhão</v>
      </c>
      <c r="B114" s="46" t="s">
        <v>25</v>
      </c>
      <c r="C114" s="46" t="s">
        <v>55</v>
      </c>
      <c r="D114" s="47" t="s">
        <v>23</v>
      </c>
      <c r="E114" s="48">
        <v>3</v>
      </c>
    </row>
    <row r="115" spans="1:5" ht="15.75" customHeight="1" x14ac:dyDescent="0.3">
      <c r="A115" s="45" t="str">
        <f t="shared" si="0"/>
        <v>Campo GrandeNatalCaminhão</v>
      </c>
      <c r="B115" s="46" t="s">
        <v>25</v>
      </c>
      <c r="C115" s="46" t="s">
        <v>55</v>
      </c>
      <c r="D115" s="47" t="s">
        <v>61</v>
      </c>
      <c r="E115" s="48">
        <v>3</v>
      </c>
    </row>
    <row r="116" spans="1:5" ht="15.75" customHeight="1" x14ac:dyDescent="0.3">
      <c r="A116" s="45" t="str">
        <f t="shared" si="0"/>
        <v>Campo GrandePorto AlegreCaminhão</v>
      </c>
      <c r="B116" s="46" t="s">
        <v>25</v>
      </c>
      <c r="C116" s="46" t="s">
        <v>55</v>
      </c>
      <c r="D116" s="47" t="s">
        <v>44</v>
      </c>
      <c r="E116" s="48">
        <v>1</v>
      </c>
    </row>
    <row r="117" spans="1:5" ht="15.75" customHeight="1" x14ac:dyDescent="0.3">
      <c r="A117" s="45" t="str">
        <f t="shared" si="0"/>
        <v>Campo GrandeRecifeCaminhão</v>
      </c>
      <c r="B117" s="46" t="s">
        <v>25</v>
      </c>
      <c r="C117" s="46" t="s">
        <v>55</v>
      </c>
      <c r="D117" s="47" t="s">
        <v>62</v>
      </c>
      <c r="E117" s="48">
        <v>3</v>
      </c>
    </row>
    <row r="118" spans="1:5" ht="15.75" customHeight="1" x14ac:dyDescent="0.3">
      <c r="A118" s="45" t="str">
        <f t="shared" si="0"/>
        <v>Campo GrandeRibeirão PretoCaminhão</v>
      </c>
      <c r="B118" s="46" t="s">
        <v>25</v>
      </c>
      <c r="C118" s="46" t="s">
        <v>55</v>
      </c>
      <c r="D118" s="47" t="s">
        <v>63</v>
      </c>
      <c r="E118" s="48">
        <v>1</v>
      </c>
    </row>
    <row r="119" spans="1:5" ht="15.75" customHeight="1" x14ac:dyDescent="0.3">
      <c r="A119" s="45" t="str">
        <f t="shared" si="0"/>
        <v>Campo GrandeRio de JaneiroCaminhão</v>
      </c>
      <c r="B119" s="46" t="s">
        <v>25</v>
      </c>
      <c r="C119" s="46" t="s">
        <v>55</v>
      </c>
      <c r="D119" s="47" t="s">
        <v>64</v>
      </c>
      <c r="E119" s="48">
        <v>1</v>
      </c>
    </row>
    <row r="120" spans="1:5" ht="15.75" customHeight="1" x14ac:dyDescent="0.3">
      <c r="A120" s="45" t="str">
        <f t="shared" si="0"/>
        <v>Campo GrandeSalvadorCaminhão</v>
      </c>
      <c r="B120" s="46" t="s">
        <v>25</v>
      </c>
      <c r="C120" s="46" t="s">
        <v>55</v>
      </c>
      <c r="D120" s="47" t="s">
        <v>65</v>
      </c>
      <c r="E120" s="48">
        <v>2</v>
      </c>
    </row>
    <row r="121" spans="1:5" ht="15.75" customHeight="1" x14ac:dyDescent="0.3">
      <c r="A121" s="45" t="str">
        <f t="shared" si="0"/>
        <v>Campo GrandeSantosCaminhão</v>
      </c>
      <c r="B121" s="46" t="s">
        <v>25</v>
      </c>
      <c r="C121" s="46" t="s">
        <v>55</v>
      </c>
      <c r="D121" s="47" t="s">
        <v>47</v>
      </c>
      <c r="E121" s="48">
        <v>1</v>
      </c>
    </row>
    <row r="122" spans="1:5" ht="15.75" customHeight="1" x14ac:dyDescent="0.3">
      <c r="A122" s="45" t="str">
        <f t="shared" si="0"/>
        <v>Campo GrandeSão LuísCaminhão</v>
      </c>
      <c r="B122" s="46" t="s">
        <v>25</v>
      </c>
      <c r="C122" s="46" t="s">
        <v>55</v>
      </c>
      <c r="D122" s="47" t="s">
        <v>50</v>
      </c>
      <c r="E122" s="48">
        <v>2</v>
      </c>
    </row>
    <row r="123" spans="1:5" ht="15.75" customHeight="1" x14ac:dyDescent="0.3">
      <c r="A123" s="45" t="str">
        <f t="shared" si="0"/>
        <v>Campo GrandeSão PauloCaminhão</v>
      </c>
      <c r="B123" s="46" t="s">
        <v>25</v>
      </c>
      <c r="C123" s="46" t="s">
        <v>55</v>
      </c>
      <c r="D123" s="47" t="s">
        <v>66</v>
      </c>
      <c r="E123" s="48">
        <v>1</v>
      </c>
    </row>
    <row r="124" spans="1:5" ht="15.75" customHeight="1" x14ac:dyDescent="0.3">
      <c r="A124" s="45" t="str">
        <f t="shared" si="0"/>
        <v>Campo GrandeUberlândiaCaminhão</v>
      </c>
      <c r="B124" s="46" t="s">
        <v>25</v>
      </c>
      <c r="C124" s="46" t="s">
        <v>55</v>
      </c>
      <c r="D124" s="47" t="s">
        <v>67</v>
      </c>
      <c r="E124" s="48">
        <v>1</v>
      </c>
    </row>
    <row r="125" spans="1:5" ht="15.75" customHeight="1" x14ac:dyDescent="0.3">
      <c r="A125" s="45" t="str">
        <f t="shared" si="0"/>
        <v>Campo GrandeVitóriaCaminhão</v>
      </c>
      <c r="B125" s="46" t="s">
        <v>25</v>
      </c>
      <c r="C125" s="46" t="s">
        <v>55</v>
      </c>
      <c r="D125" s="47" t="s">
        <v>68</v>
      </c>
      <c r="E125" s="48">
        <v>2</v>
      </c>
    </row>
    <row r="126" spans="1:5" ht="15.75" customHeight="1" x14ac:dyDescent="0.3">
      <c r="A126" s="45" t="str">
        <f t="shared" si="0"/>
        <v>Campo GrandeVitória da ConquistaCaminhão</v>
      </c>
      <c r="B126" s="46" t="s">
        <v>25</v>
      </c>
      <c r="C126" s="46" t="s">
        <v>55</v>
      </c>
      <c r="D126" s="47" t="s">
        <v>49</v>
      </c>
      <c r="E126" s="48">
        <v>2</v>
      </c>
    </row>
    <row r="127" spans="1:5" ht="15.75" customHeight="1" x14ac:dyDescent="0.3">
      <c r="A127" s="45" t="str">
        <f t="shared" si="0"/>
        <v>CuiabáBelémCaminhão</v>
      </c>
      <c r="B127" s="46" t="s">
        <v>25</v>
      </c>
      <c r="C127" s="47" t="s">
        <v>37</v>
      </c>
      <c r="D127" s="47" t="s">
        <v>48</v>
      </c>
      <c r="E127" s="48">
        <v>2</v>
      </c>
    </row>
    <row r="128" spans="1:5" ht="15.75" customHeight="1" x14ac:dyDescent="0.3">
      <c r="A128" s="45" t="str">
        <f t="shared" si="0"/>
        <v>CuiabáBelo HorizonteCaminhão</v>
      </c>
      <c r="B128" s="46" t="s">
        <v>25</v>
      </c>
      <c r="C128" s="47" t="s">
        <v>37</v>
      </c>
      <c r="D128" s="47" t="s">
        <v>52</v>
      </c>
      <c r="E128" s="48">
        <v>1</v>
      </c>
    </row>
    <row r="129" spans="1:5" ht="15.75" customHeight="1" x14ac:dyDescent="0.3">
      <c r="A129" s="45" t="str">
        <f t="shared" si="0"/>
        <v>CuiabáBrasíliaCaminhão</v>
      </c>
      <c r="B129" s="46" t="s">
        <v>25</v>
      </c>
      <c r="C129" s="47" t="s">
        <v>37</v>
      </c>
      <c r="D129" s="47" t="s">
        <v>53</v>
      </c>
      <c r="E129" s="48">
        <v>1</v>
      </c>
    </row>
    <row r="130" spans="1:5" ht="15.75" customHeight="1" x14ac:dyDescent="0.3">
      <c r="A130" s="45" t="str">
        <f t="shared" si="0"/>
        <v>CuiabáCampinasCaminhão</v>
      </c>
      <c r="B130" s="46" t="s">
        <v>25</v>
      </c>
      <c r="C130" s="47" t="s">
        <v>37</v>
      </c>
      <c r="D130" s="47" t="s">
        <v>54</v>
      </c>
      <c r="E130" s="48">
        <v>1</v>
      </c>
    </row>
    <row r="131" spans="1:5" ht="15.75" customHeight="1" x14ac:dyDescent="0.3">
      <c r="A131" s="45" t="str">
        <f t="shared" si="0"/>
        <v>CuiabáCampo GrandeCaminhão</v>
      </c>
      <c r="B131" s="46" t="s">
        <v>25</v>
      </c>
      <c r="C131" s="47" t="s">
        <v>37</v>
      </c>
      <c r="D131" s="47" t="s">
        <v>55</v>
      </c>
      <c r="E131" s="48">
        <v>1</v>
      </c>
    </row>
    <row r="132" spans="1:5" ht="15.75" customHeight="1" x14ac:dyDescent="0.3">
      <c r="A132" s="45" t="str">
        <f t="shared" si="0"/>
        <v>CuiabáCuiabáCaminhão</v>
      </c>
      <c r="B132" s="46" t="s">
        <v>25</v>
      </c>
      <c r="C132" s="47" t="s">
        <v>37</v>
      </c>
      <c r="D132" s="47" t="s">
        <v>37</v>
      </c>
      <c r="E132" s="48">
        <v>0</v>
      </c>
    </row>
    <row r="133" spans="1:5" ht="15.75" customHeight="1" x14ac:dyDescent="0.3">
      <c r="A133" s="45" t="str">
        <f t="shared" si="0"/>
        <v>CuiabáCuritibaCaminhão</v>
      </c>
      <c r="B133" s="46" t="s">
        <v>25</v>
      </c>
      <c r="C133" s="47" t="s">
        <v>37</v>
      </c>
      <c r="D133" s="47" t="s">
        <v>56</v>
      </c>
      <c r="E133" s="48">
        <v>1</v>
      </c>
    </row>
    <row r="134" spans="1:5" ht="15.75" customHeight="1" x14ac:dyDescent="0.3">
      <c r="A134" s="45" t="str">
        <f t="shared" si="0"/>
        <v>CuiabáFortalezaCaminhão</v>
      </c>
      <c r="B134" s="46" t="s">
        <v>25</v>
      </c>
      <c r="C134" s="47" t="s">
        <v>37</v>
      </c>
      <c r="D134" s="47" t="s">
        <v>57</v>
      </c>
      <c r="E134" s="48">
        <v>3</v>
      </c>
    </row>
    <row r="135" spans="1:5" ht="15.75" customHeight="1" x14ac:dyDescent="0.3">
      <c r="A135" s="45" t="str">
        <f t="shared" si="0"/>
        <v>CuiabáGoiâniaCaminhão</v>
      </c>
      <c r="B135" s="46" t="s">
        <v>25</v>
      </c>
      <c r="C135" s="47" t="s">
        <v>37</v>
      </c>
      <c r="D135" s="47" t="s">
        <v>58</v>
      </c>
      <c r="E135" s="48">
        <v>1</v>
      </c>
    </row>
    <row r="136" spans="1:5" ht="15.75" customHeight="1" x14ac:dyDescent="0.3">
      <c r="A136" s="45" t="str">
        <f t="shared" si="0"/>
        <v>CuiabáJoão PessoaCaminhão</v>
      </c>
      <c r="B136" s="46" t="s">
        <v>25</v>
      </c>
      <c r="C136" s="47" t="s">
        <v>37</v>
      </c>
      <c r="D136" s="47" t="s">
        <v>59</v>
      </c>
      <c r="E136" s="48">
        <v>3</v>
      </c>
    </row>
    <row r="137" spans="1:5" ht="15.75" customHeight="1" x14ac:dyDescent="0.3">
      <c r="A137" s="45" t="str">
        <f t="shared" si="0"/>
        <v>CuiabáJoinvilleCaminhão</v>
      </c>
      <c r="B137" s="46" t="s">
        <v>25</v>
      </c>
      <c r="C137" s="47" t="s">
        <v>37</v>
      </c>
      <c r="D137" s="47" t="s">
        <v>28</v>
      </c>
      <c r="E137" s="48">
        <v>2</v>
      </c>
    </row>
    <row r="138" spans="1:5" ht="15.75" customHeight="1" x14ac:dyDescent="0.3">
      <c r="A138" s="45" t="str">
        <f t="shared" si="0"/>
        <v>CuiabáMaceióCaminhão</v>
      </c>
      <c r="B138" s="46" t="s">
        <v>25</v>
      </c>
      <c r="C138" s="47" t="s">
        <v>37</v>
      </c>
      <c r="D138" s="47" t="s">
        <v>60</v>
      </c>
      <c r="E138" s="48">
        <v>3</v>
      </c>
    </row>
    <row r="139" spans="1:5" ht="15.75" customHeight="1" x14ac:dyDescent="0.3">
      <c r="A139" s="45" t="str">
        <f t="shared" si="0"/>
        <v>CuiabáManausCaminhão</v>
      </c>
      <c r="B139" s="46" t="s">
        <v>25</v>
      </c>
      <c r="C139" s="47" t="s">
        <v>37</v>
      </c>
      <c r="D139" s="47" t="s">
        <v>23</v>
      </c>
      <c r="E139" s="48">
        <v>2</v>
      </c>
    </row>
    <row r="140" spans="1:5" ht="15.75" customHeight="1" x14ac:dyDescent="0.3">
      <c r="A140" s="45" t="str">
        <f t="shared" si="0"/>
        <v>CuiabáNatalCaminhão</v>
      </c>
      <c r="B140" s="46" t="s">
        <v>25</v>
      </c>
      <c r="C140" s="47" t="s">
        <v>37</v>
      </c>
      <c r="D140" s="47" t="s">
        <v>61</v>
      </c>
      <c r="E140" s="48">
        <v>3</v>
      </c>
    </row>
    <row r="141" spans="1:5" ht="15.75" customHeight="1" x14ac:dyDescent="0.3">
      <c r="A141" s="45" t="str">
        <f t="shared" si="0"/>
        <v>CuiabáPorto AlegreCaminhão</v>
      </c>
      <c r="B141" s="46" t="s">
        <v>25</v>
      </c>
      <c r="C141" s="47" t="s">
        <v>37</v>
      </c>
      <c r="D141" s="47" t="s">
        <v>44</v>
      </c>
      <c r="E141" s="48">
        <v>2</v>
      </c>
    </row>
    <row r="142" spans="1:5" ht="15.75" customHeight="1" x14ac:dyDescent="0.3">
      <c r="A142" s="45" t="str">
        <f t="shared" si="0"/>
        <v>CuiabáRecifeCaminhão</v>
      </c>
      <c r="B142" s="46" t="s">
        <v>25</v>
      </c>
      <c r="C142" s="47" t="s">
        <v>37</v>
      </c>
      <c r="D142" s="47" t="s">
        <v>62</v>
      </c>
      <c r="E142" s="48">
        <v>3</v>
      </c>
    </row>
    <row r="143" spans="1:5" ht="15.75" customHeight="1" x14ac:dyDescent="0.3">
      <c r="A143" s="45" t="str">
        <f t="shared" si="0"/>
        <v>CuiabáRibeirão PretoCaminhão</v>
      </c>
      <c r="B143" s="46" t="s">
        <v>25</v>
      </c>
      <c r="C143" s="47" t="s">
        <v>37</v>
      </c>
      <c r="D143" s="47" t="s">
        <v>63</v>
      </c>
      <c r="E143" s="48">
        <v>1</v>
      </c>
    </row>
    <row r="144" spans="1:5" ht="15.75" customHeight="1" x14ac:dyDescent="0.3">
      <c r="A144" s="45" t="str">
        <f t="shared" si="0"/>
        <v>CuiabáRio de JaneiroCaminhão</v>
      </c>
      <c r="B144" s="46" t="s">
        <v>25</v>
      </c>
      <c r="C144" s="47" t="s">
        <v>37</v>
      </c>
      <c r="D144" s="47" t="s">
        <v>64</v>
      </c>
      <c r="E144" s="48">
        <v>2</v>
      </c>
    </row>
    <row r="145" spans="1:5" ht="15.75" customHeight="1" x14ac:dyDescent="0.3">
      <c r="A145" s="45" t="str">
        <f t="shared" si="0"/>
        <v>CuiabáSalvadorCaminhão</v>
      </c>
      <c r="B145" s="46" t="s">
        <v>25</v>
      </c>
      <c r="C145" s="47" t="s">
        <v>37</v>
      </c>
      <c r="D145" s="47" t="s">
        <v>65</v>
      </c>
      <c r="E145" s="48">
        <v>2</v>
      </c>
    </row>
    <row r="146" spans="1:5" ht="15.75" customHeight="1" x14ac:dyDescent="0.3">
      <c r="A146" s="45" t="str">
        <f t="shared" si="0"/>
        <v>CuiabáSantosCaminhão</v>
      </c>
      <c r="B146" s="46" t="s">
        <v>25</v>
      </c>
      <c r="C146" s="47" t="s">
        <v>37</v>
      </c>
      <c r="D146" s="47" t="s">
        <v>47</v>
      </c>
      <c r="E146" s="48">
        <v>1</v>
      </c>
    </row>
    <row r="147" spans="1:5" ht="15.75" customHeight="1" x14ac:dyDescent="0.3">
      <c r="A147" s="45" t="str">
        <f t="shared" si="0"/>
        <v>CuiabáSão LuísCaminhão</v>
      </c>
      <c r="B147" s="46" t="s">
        <v>25</v>
      </c>
      <c r="C147" s="47" t="s">
        <v>37</v>
      </c>
      <c r="D147" s="47" t="s">
        <v>50</v>
      </c>
      <c r="E147" s="48">
        <v>2</v>
      </c>
    </row>
    <row r="148" spans="1:5" ht="15.75" customHeight="1" x14ac:dyDescent="0.3">
      <c r="A148" s="45" t="str">
        <f t="shared" si="0"/>
        <v>CuiabáSão PauloCaminhão</v>
      </c>
      <c r="B148" s="46" t="s">
        <v>25</v>
      </c>
      <c r="C148" s="47" t="s">
        <v>37</v>
      </c>
      <c r="D148" s="47" t="s">
        <v>66</v>
      </c>
      <c r="E148" s="48">
        <v>1</v>
      </c>
    </row>
    <row r="149" spans="1:5" ht="15.75" customHeight="1" x14ac:dyDescent="0.3">
      <c r="A149" s="45" t="str">
        <f t="shared" si="0"/>
        <v>CuiabáUberlândiaCaminhão</v>
      </c>
      <c r="B149" s="46" t="s">
        <v>25</v>
      </c>
      <c r="C149" s="47" t="s">
        <v>37</v>
      </c>
      <c r="D149" s="47" t="s">
        <v>67</v>
      </c>
      <c r="E149" s="48">
        <v>1</v>
      </c>
    </row>
    <row r="150" spans="1:5" ht="15.75" customHeight="1" x14ac:dyDescent="0.3">
      <c r="A150" s="45" t="str">
        <f t="shared" si="0"/>
        <v>CuiabáVitóriaCaminhão</v>
      </c>
      <c r="B150" s="46" t="s">
        <v>25</v>
      </c>
      <c r="C150" s="47" t="s">
        <v>37</v>
      </c>
      <c r="D150" s="47" t="s">
        <v>68</v>
      </c>
      <c r="E150" s="48">
        <v>2</v>
      </c>
    </row>
    <row r="151" spans="1:5" ht="15.75" customHeight="1" x14ac:dyDescent="0.3">
      <c r="A151" s="45" t="str">
        <f t="shared" si="0"/>
        <v>CuiabáVitória da ConquistaCaminhão</v>
      </c>
      <c r="B151" s="46" t="s">
        <v>25</v>
      </c>
      <c r="C151" s="47" t="s">
        <v>37</v>
      </c>
      <c r="D151" s="47" t="s">
        <v>49</v>
      </c>
      <c r="E151" s="48">
        <v>2</v>
      </c>
    </row>
    <row r="152" spans="1:5" ht="15.75" customHeight="1" x14ac:dyDescent="0.3">
      <c r="A152" s="45" t="str">
        <f t="shared" si="0"/>
        <v>CuritibaBelémCaminhão</v>
      </c>
      <c r="B152" s="46" t="s">
        <v>25</v>
      </c>
      <c r="C152" s="46" t="s">
        <v>56</v>
      </c>
      <c r="D152" s="47" t="s">
        <v>48</v>
      </c>
      <c r="E152" s="48">
        <v>3</v>
      </c>
    </row>
    <row r="153" spans="1:5" ht="15.75" customHeight="1" x14ac:dyDescent="0.3">
      <c r="A153" s="45" t="str">
        <f t="shared" si="0"/>
        <v>CuritibaBelo HorizonteCaminhão</v>
      </c>
      <c r="B153" s="46" t="s">
        <v>25</v>
      </c>
      <c r="C153" s="46" t="s">
        <v>56</v>
      </c>
      <c r="D153" s="47" t="s">
        <v>52</v>
      </c>
      <c r="E153" s="48">
        <v>1</v>
      </c>
    </row>
    <row r="154" spans="1:5" ht="15.75" customHeight="1" x14ac:dyDescent="0.3">
      <c r="A154" s="45" t="str">
        <f t="shared" si="0"/>
        <v>CuritibaBrasíliaCaminhão</v>
      </c>
      <c r="B154" s="46" t="s">
        <v>25</v>
      </c>
      <c r="C154" s="46" t="s">
        <v>56</v>
      </c>
      <c r="D154" s="47" t="s">
        <v>53</v>
      </c>
      <c r="E154" s="48">
        <v>1</v>
      </c>
    </row>
    <row r="155" spans="1:5" ht="15.75" customHeight="1" x14ac:dyDescent="0.3">
      <c r="A155" s="45" t="str">
        <f t="shared" si="0"/>
        <v>CuritibaCampinasCaminhão</v>
      </c>
      <c r="B155" s="46" t="s">
        <v>25</v>
      </c>
      <c r="C155" s="46" t="s">
        <v>56</v>
      </c>
      <c r="D155" s="47" t="s">
        <v>54</v>
      </c>
      <c r="E155" s="48">
        <v>0</v>
      </c>
    </row>
    <row r="156" spans="1:5" ht="15.75" customHeight="1" x14ac:dyDescent="0.3">
      <c r="A156" s="45" t="str">
        <f t="shared" si="0"/>
        <v>CuritibaCampo GrandeCaminhão</v>
      </c>
      <c r="B156" s="46" t="s">
        <v>25</v>
      </c>
      <c r="C156" s="46" t="s">
        <v>56</v>
      </c>
      <c r="D156" s="47" t="s">
        <v>55</v>
      </c>
      <c r="E156" s="48">
        <v>1</v>
      </c>
    </row>
    <row r="157" spans="1:5" ht="15.75" customHeight="1" x14ac:dyDescent="0.3">
      <c r="A157" s="45" t="str">
        <f t="shared" si="0"/>
        <v>CuritibaCuiabáCaminhão</v>
      </c>
      <c r="B157" s="46" t="s">
        <v>25</v>
      </c>
      <c r="C157" s="46" t="s">
        <v>56</v>
      </c>
      <c r="D157" s="47" t="s">
        <v>37</v>
      </c>
      <c r="E157" s="48">
        <v>1</v>
      </c>
    </row>
    <row r="158" spans="1:5" ht="15.75" customHeight="1" x14ac:dyDescent="0.3">
      <c r="A158" s="45" t="str">
        <f t="shared" si="0"/>
        <v>CuritibaCuritibaCaminhão</v>
      </c>
      <c r="B158" s="46" t="s">
        <v>25</v>
      </c>
      <c r="C158" s="46" t="s">
        <v>56</v>
      </c>
      <c r="D158" s="47" t="s">
        <v>56</v>
      </c>
      <c r="E158" s="48">
        <v>0</v>
      </c>
    </row>
    <row r="159" spans="1:5" ht="15.75" customHeight="1" x14ac:dyDescent="0.3">
      <c r="A159" s="45" t="str">
        <f t="shared" si="0"/>
        <v>CuritibaFortalezaCaminhão</v>
      </c>
      <c r="B159" s="46" t="s">
        <v>25</v>
      </c>
      <c r="C159" s="46" t="s">
        <v>56</v>
      </c>
      <c r="D159" s="47" t="s">
        <v>57</v>
      </c>
      <c r="E159" s="48">
        <v>3</v>
      </c>
    </row>
    <row r="160" spans="1:5" ht="15.75" customHeight="1" x14ac:dyDescent="0.3">
      <c r="A160" s="45" t="str">
        <f t="shared" si="0"/>
        <v>CuritibaGoiâniaCaminhão</v>
      </c>
      <c r="B160" s="46" t="s">
        <v>25</v>
      </c>
      <c r="C160" s="46" t="s">
        <v>56</v>
      </c>
      <c r="D160" s="47" t="s">
        <v>58</v>
      </c>
      <c r="E160" s="48">
        <v>1</v>
      </c>
    </row>
    <row r="161" spans="1:5" ht="15.75" customHeight="1" x14ac:dyDescent="0.3">
      <c r="A161" s="45" t="str">
        <f t="shared" si="0"/>
        <v>CuritibaJoão PessoaCaminhão</v>
      </c>
      <c r="B161" s="46" t="s">
        <v>25</v>
      </c>
      <c r="C161" s="46" t="s">
        <v>56</v>
      </c>
      <c r="D161" s="47" t="s">
        <v>59</v>
      </c>
      <c r="E161" s="48">
        <v>3</v>
      </c>
    </row>
    <row r="162" spans="1:5" ht="15.75" customHeight="1" x14ac:dyDescent="0.3">
      <c r="A162" s="45" t="str">
        <f t="shared" si="0"/>
        <v>CuritibaJoinvilleCaminhão</v>
      </c>
      <c r="B162" s="46" t="s">
        <v>25</v>
      </c>
      <c r="C162" s="46" t="s">
        <v>56</v>
      </c>
      <c r="D162" s="47" t="s">
        <v>28</v>
      </c>
      <c r="E162" s="48">
        <v>0</v>
      </c>
    </row>
    <row r="163" spans="1:5" ht="15.75" customHeight="1" x14ac:dyDescent="0.3">
      <c r="A163" s="45" t="str">
        <f t="shared" si="0"/>
        <v>CuritibaMaceióCaminhão</v>
      </c>
      <c r="B163" s="46" t="s">
        <v>25</v>
      </c>
      <c r="C163" s="46" t="s">
        <v>56</v>
      </c>
      <c r="D163" s="47" t="s">
        <v>60</v>
      </c>
      <c r="E163" s="48">
        <v>2</v>
      </c>
    </row>
    <row r="164" spans="1:5" ht="15.75" customHeight="1" x14ac:dyDescent="0.3">
      <c r="A164" s="45" t="str">
        <f t="shared" si="0"/>
        <v>CuritibaManausCaminhão</v>
      </c>
      <c r="B164" s="46" t="s">
        <v>25</v>
      </c>
      <c r="C164" s="46" t="s">
        <v>56</v>
      </c>
      <c r="D164" s="47" t="s">
        <v>23</v>
      </c>
      <c r="E164" s="48">
        <v>3</v>
      </c>
    </row>
    <row r="165" spans="1:5" ht="15.75" customHeight="1" x14ac:dyDescent="0.3">
      <c r="A165" s="45" t="str">
        <f t="shared" si="0"/>
        <v>CuritibaNatalCaminhão</v>
      </c>
      <c r="B165" s="46" t="s">
        <v>25</v>
      </c>
      <c r="C165" s="46" t="s">
        <v>56</v>
      </c>
      <c r="D165" s="47" t="s">
        <v>61</v>
      </c>
      <c r="E165" s="48">
        <v>3</v>
      </c>
    </row>
    <row r="166" spans="1:5" ht="15.75" customHeight="1" x14ac:dyDescent="0.3">
      <c r="A166" s="45" t="str">
        <f t="shared" si="0"/>
        <v>CuritibaPorto AlegreCaminhão</v>
      </c>
      <c r="B166" s="46" t="s">
        <v>25</v>
      </c>
      <c r="C166" s="46" t="s">
        <v>56</v>
      </c>
      <c r="D166" s="47" t="s">
        <v>44</v>
      </c>
      <c r="E166" s="48">
        <v>1</v>
      </c>
    </row>
    <row r="167" spans="1:5" ht="15.75" customHeight="1" x14ac:dyDescent="0.3">
      <c r="A167" s="45" t="str">
        <f t="shared" si="0"/>
        <v>CuritibaRecifeCaminhão</v>
      </c>
      <c r="B167" s="46" t="s">
        <v>25</v>
      </c>
      <c r="C167" s="46" t="s">
        <v>56</v>
      </c>
      <c r="D167" s="47" t="s">
        <v>62</v>
      </c>
      <c r="E167" s="48">
        <v>3</v>
      </c>
    </row>
    <row r="168" spans="1:5" ht="15.75" customHeight="1" x14ac:dyDescent="0.3">
      <c r="A168" s="45" t="str">
        <f t="shared" si="0"/>
        <v>CuritibaRibeirão PretoCaminhão</v>
      </c>
      <c r="B168" s="46" t="s">
        <v>25</v>
      </c>
      <c r="C168" s="46" t="s">
        <v>56</v>
      </c>
      <c r="D168" s="47" t="s">
        <v>63</v>
      </c>
      <c r="E168" s="48">
        <v>1</v>
      </c>
    </row>
    <row r="169" spans="1:5" ht="15.75" customHeight="1" x14ac:dyDescent="0.3">
      <c r="A169" s="45" t="str">
        <f t="shared" si="0"/>
        <v>CuritibaRio de JaneiroCaminhão</v>
      </c>
      <c r="B169" s="46" t="s">
        <v>25</v>
      </c>
      <c r="C169" s="46" t="s">
        <v>56</v>
      </c>
      <c r="D169" s="47" t="s">
        <v>64</v>
      </c>
      <c r="E169" s="48">
        <v>1</v>
      </c>
    </row>
    <row r="170" spans="1:5" ht="15.75" customHeight="1" x14ac:dyDescent="0.3">
      <c r="A170" s="45" t="str">
        <f t="shared" si="0"/>
        <v>CuritibaSalvadorCaminhão</v>
      </c>
      <c r="B170" s="46" t="s">
        <v>25</v>
      </c>
      <c r="C170" s="46" t="s">
        <v>56</v>
      </c>
      <c r="D170" s="47" t="s">
        <v>65</v>
      </c>
      <c r="E170" s="48">
        <v>2</v>
      </c>
    </row>
    <row r="171" spans="1:5" ht="15.75" customHeight="1" x14ac:dyDescent="0.3">
      <c r="A171" s="45" t="str">
        <f t="shared" si="0"/>
        <v>CuritibaSantosCaminhão</v>
      </c>
      <c r="B171" s="46" t="s">
        <v>25</v>
      </c>
      <c r="C171" s="46" t="s">
        <v>56</v>
      </c>
      <c r="D171" s="47" t="s">
        <v>47</v>
      </c>
      <c r="E171" s="48">
        <v>0</v>
      </c>
    </row>
    <row r="172" spans="1:5" ht="15.75" customHeight="1" x14ac:dyDescent="0.3">
      <c r="A172" s="45" t="str">
        <f t="shared" si="0"/>
        <v>CuritibaSão LuísCaminhão</v>
      </c>
      <c r="B172" s="46" t="s">
        <v>25</v>
      </c>
      <c r="C172" s="46" t="s">
        <v>56</v>
      </c>
      <c r="D172" s="47" t="s">
        <v>50</v>
      </c>
      <c r="E172" s="48">
        <v>3</v>
      </c>
    </row>
    <row r="173" spans="1:5" ht="15.75" customHeight="1" x14ac:dyDescent="0.3">
      <c r="A173" s="45" t="str">
        <f t="shared" si="0"/>
        <v>CuritibaSão PauloCaminhão</v>
      </c>
      <c r="B173" s="46" t="s">
        <v>25</v>
      </c>
      <c r="C173" s="46" t="s">
        <v>56</v>
      </c>
      <c r="D173" s="47" t="s">
        <v>66</v>
      </c>
      <c r="E173" s="48">
        <v>0</v>
      </c>
    </row>
    <row r="174" spans="1:5" ht="15.75" customHeight="1" x14ac:dyDescent="0.3">
      <c r="A174" s="45" t="str">
        <f t="shared" si="0"/>
        <v>CuritibaUberlândiaCaminhão</v>
      </c>
      <c r="B174" s="46" t="s">
        <v>25</v>
      </c>
      <c r="C174" s="46" t="s">
        <v>56</v>
      </c>
      <c r="D174" s="47" t="s">
        <v>67</v>
      </c>
      <c r="E174" s="48">
        <v>1</v>
      </c>
    </row>
    <row r="175" spans="1:5" ht="15.75" customHeight="1" x14ac:dyDescent="0.3">
      <c r="A175" s="45" t="str">
        <f t="shared" si="0"/>
        <v>CuritibaVitóriaCaminhão</v>
      </c>
      <c r="B175" s="46" t="s">
        <v>25</v>
      </c>
      <c r="C175" s="46" t="s">
        <v>56</v>
      </c>
      <c r="D175" s="47" t="s">
        <v>68</v>
      </c>
      <c r="E175" s="48">
        <v>1</v>
      </c>
    </row>
    <row r="176" spans="1:5" ht="15.75" customHeight="1" x14ac:dyDescent="0.3">
      <c r="A176" s="45" t="str">
        <f t="shared" si="0"/>
        <v>CuritibaVitória da ConquistaCaminhão</v>
      </c>
      <c r="B176" s="46" t="s">
        <v>25</v>
      </c>
      <c r="C176" s="46" t="s">
        <v>56</v>
      </c>
      <c r="D176" s="47" t="s">
        <v>49</v>
      </c>
      <c r="E176" s="48">
        <v>2</v>
      </c>
    </row>
    <row r="177" spans="1:5" ht="15.75" customHeight="1" x14ac:dyDescent="0.3">
      <c r="A177" s="45" t="str">
        <f t="shared" si="0"/>
        <v>FortalezaBelémCaminhão</v>
      </c>
      <c r="B177" s="46" t="s">
        <v>25</v>
      </c>
      <c r="C177" s="46" t="s">
        <v>57</v>
      </c>
      <c r="D177" s="47" t="s">
        <v>48</v>
      </c>
      <c r="E177" s="48">
        <v>1</v>
      </c>
    </row>
    <row r="178" spans="1:5" ht="15.75" customHeight="1" x14ac:dyDescent="0.3">
      <c r="A178" s="45" t="str">
        <f t="shared" si="0"/>
        <v>FortalezaBelo HorizonteCaminhão</v>
      </c>
      <c r="B178" s="46" t="s">
        <v>25</v>
      </c>
      <c r="C178" s="46" t="s">
        <v>57</v>
      </c>
      <c r="D178" s="47" t="s">
        <v>52</v>
      </c>
      <c r="E178" s="48">
        <v>2</v>
      </c>
    </row>
    <row r="179" spans="1:5" ht="15.75" customHeight="1" x14ac:dyDescent="0.3">
      <c r="A179" s="45" t="str">
        <f t="shared" si="0"/>
        <v>FortalezaBrasíliaCaminhão</v>
      </c>
      <c r="B179" s="46" t="s">
        <v>25</v>
      </c>
      <c r="C179" s="46" t="s">
        <v>57</v>
      </c>
      <c r="D179" s="47" t="s">
        <v>53</v>
      </c>
      <c r="E179" s="48">
        <v>2</v>
      </c>
    </row>
    <row r="180" spans="1:5" ht="15.75" customHeight="1" x14ac:dyDescent="0.3">
      <c r="A180" s="45" t="str">
        <f t="shared" si="0"/>
        <v>FortalezaCampinasCaminhão</v>
      </c>
      <c r="B180" s="46" t="s">
        <v>25</v>
      </c>
      <c r="C180" s="46" t="s">
        <v>57</v>
      </c>
      <c r="D180" s="47" t="s">
        <v>54</v>
      </c>
      <c r="E180" s="48">
        <v>3</v>
      </c>
    </row>
    <row r="181" spans="1:5" ht="15.75" customHeight="1" x14ac:dyDescent="0.3">
      <c r="A181" s="45" t="str">
        <f t="shared" si="0"/>
        <v>FortalezaCampo GrandeCaminhão</v>
      </c>
      <c r="B181" s="46" t="s">
        <v>25</v>
      </c>
      <c r="C181" s="46" t="s">
        <v>57</v>
      </c>
      <c r="D181" s="47" t="s">
        <v>55</v>
      </c>
      <c r="E181" s="48">
        <v>3</v>
      </c>
    </row>
    <row r="182" spans="1:5" ht="15.75" customHeight="1" x14ac:dyDescent="0.3">
      <c r="A182" s="45" t="str">
        <f t="shared" si="0"/>
        <v>FortalezaCuiabáCaminhão</v>
      </c>
      <c r="B182" s="46" t="s">
        <v>25</v>
      </c>
      <c r="C182" s="46" t="s">
        <v>57</v>
      </c>
      <c r="D182" s="47" t="s">
        <v>37</v>
      </c>
      <c r="E182" s="48">
        <v>3</v>
      </c>
    </row>
    <row r="183" spans="1:5" ht="15.75" customHeight="1" x14ac:dyDescent="0.3">
      <c r="A183" s="45" t="str">
        <f t="shared" si="0"/>
        <v>FortalezaCuritibaCaminhão</v>
      </c>
      <c r="B183" s="46" t="s">
        <v>25</v>
      </c>
      <c r="C183" s="46" t="s">
        <v>57</v>
      </c>
      <c r="D183" s="47" t="s">
        <v>56</v>
      </c>
      <c r="E183" s="48">
        <v>3</v>
      </c>
    </row>
    <row r="184" spans="1:5" ht="15.75" customHeight="1" x14ac:dyDescent="0.3">
      <c r="A184" s="45" t="str">
        <f t="shared" si="0"/>
        <v>FortalezaFortalezaCaminhão</v>
      </c>
      <c r="B184" s="46" t="s">
        <v>25</v>
      </c>
      <c r="C184" s="46" t="s">
        <v>57</v>
      </c>
      <c r="D184" s="47" t="s">
        <v>57</v>
      </c>
      <c r="E184" s="48">
        <v>0</v>
      </c>
    </row>
    <row r="185" spans="1:5" ht="15.75" customHeight="1" x14ac:dyDescent="0.3">
      <c r="A185" s="45" t="str">
        <f t="shared" si="0"/>
        <v>FortalezaGoiâniaCaminhão</v>
      </c>
      <c r="B185" s="46" t="s">
        <v>25</v>
      </c>
      <c r="C185" s="46" t="s">
        <v>57</v>
      </c>
      <c r="D185" s="47" t="s">
        <v>58</v>
      </c>
      <c r="E185" s="48">
        <v>2</v>
      </c>
    </row>
    <row r="186" spans="1:5" ht="15.75" customHeight="1" x14ac:dyDescent="0.3">
      <c r="A186" s="45" t="str">
        <f t="shared" si="0"/>
        <v>FortalezaJoão PessoaCaminhão</v>
      </c>
      <c r="B186" s="46" t="s">
        <v>25</v>
      </c>
      <c r="C186" s="46" t="s">
        <v>57</v>
      </c>
      <c r="D186" s="47" t="s">
        <v>59</v>
      </c>
      <c r="E186" s="48">
        <v>1</v>
      </c>
    </row>
    <row r="187" spans="1:5" ht="15.75" customHeight="1" x14ac:dyDescent="0.3">
      <c r="A187" s="45" t="str">
        <f t="shared" si="0"/>
        <v>FortalezaJoinvilleCaminhão</v>
      </c>
      <c r="B187" s="46" t="s">
        <v>25</v>
      </c>
      <c r="C187" s="46" t="s">
        <v>57</v>
      </c>
      <c r="D187" s="47" t="s">
        <v>28</v>
      </c>
      <c r="E187" s="48">
        <v>3</v>
      </c>
    </row>
    <row r="188" spans="1:5" ht="15.75" customHeight="1" x14ac:dyDescent="0.3">
      <c r="A188" s="45" t="str">
        <f t="shared" si="0"/>
        <v>FortalezaMaceióCaminhão</v>
      </c>
      <c r="B188" s="46" t="s">
        <v>25</v>
      </c>
      <c r="C188" s="46" t="s">
        <v>57</v>
      </c>
      <c r="D188" s="47" t="s">
        <v>60</v>
      </c>
      <c r="E188" s="48">
        <v>1</v>
      </c>
    </row>
    <row r="189" spans="1:5" ht="15.75" customHeight="1" x14ac:dyDescent="0.3">
      <c r="A189" s="45" t="str">
        <f t="shared" si="0"/>
        <v>FortalezaManausCaminhão</v>
      </c>
      <c r="B189" s="46" t="s">
        <v>25</v>
      </c>
      <c r="C189" s="46" t="s">
        <v>57</v>
      </c>
      <c r="D189" s="47" t="s">
        <v>23</v>
      </c>
      <c r="E189" s="48">
        <v>5</v>
      </c>
    </row>
    <row r="190" spans="1:5" ht="15.75" customHeight="1" x14ac:dyDescent="0.3">
      <c r="A190" s="45" t="str">
        <f t="shared" si="0"/>
        <v>FortalezaNatalCaminhão</v>
      </c>
      <c r="B190" s="46" t="s">
        <v>25</v>
      </c>
      <c r="C190" s="46" t="s">
        <v>57</v>
      </c>
      <c r="D190" s="47" t="s">
        <v>61</v>
      </c>
      <c r="E190" s="48">
        <v>0</v>
      </c>
    </row>
    <row r="191" spans="1:5" ht="15.75" customHeight="1" x14ac:dyDescent="0.3">
      <c r="A191" s="45" t="str">
        <f t="shared" si="0"/>
        <v>FortalezaPorto AlegreCaminhão</v>
      </c>
      <c r="B191" s="46" t="s">
        <v>25</v>
      </c>
      <c r="C191" s="46" t="s">
        <v>57</v>
      </c>
      <c r="D191" s="47" t="s">
        <v>44</v>
      </c>
      <c r="E191" s="48">
        <v>4</v>
      </c>
    </row>
    <row r="192" spans="1:5" ht="15.75" customHeight="1" x14ac:dyDescent="0.3">
      <c r="A192" s="45" t="str">
        <f t="shared" si="0"/>
        <v>FortalezaRecifeCaminhão</v>
      </c>
      <c r="B192" s="46" t="s">
        <v>25</v>
      </c>
      <c r="C192" s="46" t="s">
        <v>57</v>
      </c>
      <c r="D192" s="47" t="s">
        <v>62</v>
      </c>
      <c r="E192" s="48">
        <v>1</v>
      </c>
    </row>
    <row r="193" spans="1:5" ht="15.75" customHeight="1" x14ac:dyDescent="0.3">
      <c r="A193" s="45" t="str">
        <f t="shared" si="0"/>
        <v>FortalezaRibeirão PretoCaminhão</v>
      </c>
      <c r="B193" s="46" t="s">
        <v>25</v>
      </c>
      <c r="C193" s="46" t="s">
        <v>57</v>
      </c>
      <c r="D193" s="47" t="s">
        <v>63</v>
      </c>
      <c r="E193" s="48">
        <v>2</v>
      </c>
    </row>
    <row r="194" spans="1:5" ht="15.75" customHeight="1" x14ac:dyDescent="0.3">
      <c r="A194" s="45" t="str">
        <f t="shared" si="0"/>
        <v>FortalezaRio de JaneiroCaminhão</v>
      </c>
      <c r="B194" s="46" t="s">
        <v>25</v>
      </c>
      <c r="C194" s="46" t="s">
        <v>57</v>
      </c>
      <c r="D194" s="47" t="s">
        <v>64</v>
      </c>
      <c r="E194" s="48">
        <v>2</v>
      </c>
    </row>
    <row r="195" spans="1:5" ht="15.75" customHeight="1" x14ac:dyDescent="0.3">
      <c r="A195" s="45" t="str">
        <f t="shared" si="0"/>
        <v>FortalezaSalvadorCaminhão</v>
      </c>
      <c r="B195" s="46" t="s">
        <v>25</v>
      </c>
      <c r="C195" s="46" t="s">
        <v>57</v>
      </c>
      <c r="D195" s="47" t="s">
        <v>65</v>
      </c>
      <c r="E195" s="48">
        <v>1</v>
      </c>
    </row>
    <row r="196" spans="1:5" ht="15.75" customHeight="1" x14ac:dyDescent="0.3">
      <c r="A196" s="45" t="str">
        <f t="shared" si="0"/>
        <v>FortalezaSantosCaminhão</v>
      </c>
      <c r="B196" s="46" t="s">
        <v>25</v>
      </c>
      <c r="C196" s="46" t="s">
        <v>57</v>
      </c>
      <c r="D196" s="47" t="s">
        <v>47</v>
      </c>
      <c r="E196" s="48">
        <v>3</v>
      </c>
    </row>
    <row r="197" spans="1:5" ht="15.75" customHeight="1" x14ac:dyDescent="0.3">
      <c r="A197" s="45" t="str">
        <f t="shared" si="0"/>
        <v>FortalezaSão LuísCaminhão</v>
      </c>
      <c r="B197" s="46" t="s">
        <v>25</v>
      </c>
      <c r="C197" s="46" t="s">
        <v>57</v>
      </c>
      <c r="D197" s="47" t="s">
        <v>50</v>
      </c>
      <c r="E197" s="48">
        <v>1</v>
      </c>
    </row>
    <row r="198" spans="1:5" ht="15.75" customHeight="1" x14ac:dyDescent="0.3">
      <c r="A198" s="45" t="str">
        <f t="shared" si="0"/>
        <v>FortalezaSão PauloCaminhão</v>
      </c>
      <c r="B198" s="46" t="s">
        <v>25</v>
      </c>
      <c r="C198" s="46" t="s">
        <v>57</v>
      </c>
      <c r="D198" s="47" t="s">
        <v>66</v>
      </c>
      <c r="E198" s="48">
        <v>3</v>
      </c>
    </row>
    <row r="199" spans="1:5" ht="15.75" customHeight="1" x14ac:dyDescent="0.3">
      <c r="A199" s="45" t="str">
        <f t="shared" si="0"/>
        <v>FortalezaUberlândiaCaminhão</v>
      </c>
      <c r="B199" s="46" t="s">
        <v>25</v>
      </c>
      <c r="C199" s="46" t="s">
        <v>57</v>
      </c>
      <c r="D199" s="47" t="s">
        <v>67</v>
      </c>
      <c r="E199" s="48">
        <v>2</v>
      </c>
    </row>
    <row r="200" spans="1:5" ht="15.75" customHeight="1" x14ac:dyDescent="0.3">
      <c r="A200" s="45" t="str">
        <f t="shared" si="0"/>
        <v>FortalezaVitóriaCaminhão</v>
      </c>
      <c r="B200" s="46" t="s">
        <v>25</v>
      </c>
      <c r="C200" s="46" t="s">
        <v>57</v>
      </c>
      <c r="D200" s="47" t="s">
        <v>68</v>
      </c>
      <c r="E200" s="48">
        <v>2</v>
      </c>
    </row>
    <row r="201" spans="1:5" ht="15.75" customHeight="1" x14ac:dyDescent="0.3">
      <c r="A201" s="45" t="str">
        <f t="shared" si="0"/>
        <v>FortalezaVitória da ConquistaCaminhão</v>
      </c>
      <c r="B201" s="46" t="s">
        <v>25</v>
      </c>
      <c r="C201" s="46" t="s">
        <v>57</v>
      </c>
      <c r="D201" s="47" t="s">
        <v>49</v>
      </c>
      <c r="E201" s="48">
        <v>1</v>
      </c>
    </row>
    <row r="202" spans="1:5" ht="15.75" customHeight="1" x14ac:dyDescent="0.3">
      <c r="A202" s="45" t="str">
        <f t="shared" si="0"/>
        <v>GoiâniaBelémCaminhão</v>
      </c>
      <c r="B202" s="46" t="s">
        <v>25</v>
      </c>
      <c r="C202" s="47" t="s">
        <v>58</v>
      </c>
      <c r="D202" s="47" t="s">
        <v>48</v>
      </c>
      <c r="E202" s="48">
        <v>2</v>
      </c>
    </row>
    <row r="203" spans="1:5" ht="15.75" customHeight="1" x14ac:dyDescent="0.3">
      <c r="A203" s="45" t="str">
        <f t="shared" si="0"/>
        <v>GoiâniaBelo HorizonteCaminhão</v>
      </c>
      <c r="B203" s="46" t="s">
        <v>25</v>
      </c>
      <c r="C203" s="47" t="s">
        <v>58</v>
      </c>
      <c r="D203" s="47" t="s">
        <v>52</v>
      </c>
      <c r="E203" s="48">
        <v>1</v>
      </c>
    </row>
    <row r="204" spans="1:5" ht="15.75" customHeight="1" x14ac:dyDescent="0.3">
      <c r="A204" s="45" t="str">
        <f t="shared" si="0"/>
        <v>GoiâniaBrasíliaCaminhão</v>
      </c>
      <c r="B204" s="46" t="s">
        <v>25</v>
      </c>
      <c r="C204" s="47" t="s">
        <v>58</v>
      </c>
      <c r="D204" s="47" t="s">
        <v>53</v>
      </c>
      <c r="E204" s="48">
        <v>0</v>
      </c>
    </row>
    <row r="205" spans="1:5" ht="15.75" customHeight="1" x14ac:dyDescent="0.3">
      <c r="A205" s="45" t="str">
        <f t="shared" si="0"/>
        <v>GoiâniaCampinasCaminhão</v>
      </c>
      <c r="B205" s="46" t="s">
        <v>25</v>
      </c>
      <c r="C205" s="47" t="s">
        <v>58</v>
      </c>
      <c r="D205" s="47" t="s">
        <v>54</v>
      </c>
      <c r="E205" s="48">
        <v>1</v>
      </c>
    </row>
    <row r="206" spans="1:5" ht="15.75" customHeight="1" x14ac:dyDescent="0.3">
      <c r="A206" s="45" t="str">
        <f t="shared" si="0"/>
        <v>GoiâniaCampo GrandeCaminhão</v>
      </c>
      <c r="B206" s="46" t="s">
        <v>25</v>
      </c>
      <c r="C206" s="47" t="s">
        <v>58</v>
      </c>
      <c r="D206" s="47" t="s">
        <v>55</v>
      </c>
      <c r="E206" s="48">
        <v>1</v>
      </c>
    </row>
    <row r="207" spans="1:5" ht="15.75" customHeight="1" x14ac:dyDescent="0.3">
      <c r="A207" s="45" t="str">
        <f t="shared" si="0"/>
        <v>GoiâniaCuiabáCaminhão</v>
      </c>
      <c r="B207" s="46" t="s">
        <v>25</v>
      </c>
      <c r="C207" s="47" t="s">
        <v>58</v>
      </c>
      <c r="D207" s="47" t="s">
        <v>37</v>
      </c>
      <c r="E207" s="48">
        <v>1</v>
      </c>
    </row>
    <row r="208" spans="1:5" ht="15.75" customHeight="1" x14ac:dyDescent="0.3">
      <c r="A208" s="45" t="str">
        <f t="shared" si="0"/>
        <v>GoiâniaCuritibaCaminhão</v>
      </c>
      <c r="B208" s="46" t="s">
        <v>25</v>
      </c>
      <c r="C208" s="47" t="s">
        <v>58</v>
      </c>
      <c r="D208" s="47" t="s">
        <v>56</v>
      </c>
      <c r="E208" s="48">
        <v>1</v>
      </c>
    </row>
    <row r="209" spans="1:5" ht="15.75" customHeight="1" x14ac:dyDescent="0.3">
      <c r="A209" s="45" t="str">
        <f t="shared" si="0"/>
        <v>GoiâniaFortalezaCaminhão</v>
      </c>
      <c r="B209" s="46" t="s">
        <v>25</v>
      </c>
      <c r="C209" s="47" t="s">
        <v>58</v>
      </c>
      <c r="D209" s="47" t="s">
        <v>57</v>
      </c>
      <c r="E209" s="48">
        <v>2</v>
      </c>
    </row>
    <row r="210" spans="1:5" ht="15.75" customHeight="1" x14ac:dyDescent="0.3">
      <c r="A210" s="45" t="str">
        <f t="shared" si="0"/>
        <v>GoiâniaGoiâniaCaminhão</v>
      </c>
      <c r="B210" s="46" t="s">
        <v>25</v>
      </c>
      <c r="C210" s="47" t="s">
        <v>58</v>
      </c>
      <c r="D210" s="47" t="s">
        <v>58</v>
      </c>
      <c r="E210" s="48">
        <v>0</v>
      </c>
    </row>
    <row r="211" spans="1:5" ht="15.75" customHeight="1" x14ac:dyDescent="0.3">
      <c r="A211" s="45" t="str">
        <f t="shared" si="0"/>
        <v>GoiâniaJoão PessoaCaminhão</v>
      </c>
      <c r="B211" s="46" t="s">
        <v>25</v>
      </c>
      <c r="C211" s="47" t="s">
        <v>58</v>
      </c>
      <c r="D211" s="47" t="s">
        <v>59</v>
      </c>
      <c r="E211" s="48">
        <v>2</v>
      </c>
    </row>
    <row r="212" spans="1:5" ht="15.75" customHeight="1" x14ac:dyDescent="0.3">
      <c r="A212" s="45" t="str">
        <f t="shared" si="0"/>
        <v>GoiâniaJoinvilleCaminhão</v>
      </c>
      <c r="B212" s="46" t="s">
        <v>25</v>
      </c>
      <c r="C212" s="47" t="s">
        <v>58</v>
      </c>
      <c r="D212" s="47" t="s">
        <v>28</v>
      </c>
      <c r="E212" s="48">
        <v>1</v>
      </c>
    </row>
    <row r="213" spans="1:5" ht="15.75" customHeight="1" x14ac:dyDescent="0.3">
      <c r="A213" s="45" t="str">
        <f t="shared" si="0"/>
        <v>GoiâniaMaceióCaminhão</v>
      </c>
      <c r="B213" s="46" t="s">
        <v>25</v>
      </c>
      <c r="C213" s="47" t="s">
        <v>58</v>
      </c>
      <c r="D213" s="47" t="s">
        <v>60</v>
      </c>
      <c r="E213" s="48">
        <v>2</v>
      </c>
    </row>
    <row r="214" spans="1:5" ht="15.75" customHeight="1" x14ac:dyDescent="0.3">
      <c r="A214" s="45" t="str">
        <f t="shared" si="0"/>
        <v>GoiâniaManausCaminhão</v>
      </c>
      <c r="B214" s="46" t="s">
        <v>25</v>
      </c>
      <c r="C214" s="47" t="s">
        <v>58</v>
      </c>
      <c r="D214" s="47" t="s">
        <v>23</v>
      </c>
      <c r="E214" s="48">
        <v>3</v>
      </c>
    </row>
    <row r="215" spans="1:5" ht="15.75" customHeight="1" x14ac:dyDescent="0.3">
      <c r="A215" s="45" t="str">
        <f t="shared" si="0"/>
        <v>GoiâniaNatalCaminhão</v>
      </c>
      <c r="B215" s="46" t="s">
        <v>25</v>
      </c>
      <c r="C215" s="47" t="s">
        <v>58</v>
      </c>
      <c r="D215" s="47" t="s">
        <v>61</v>
      </c>
      <c r="E215" s="48">
        <v>2</v>
      </c>
    </row>
    <row r="216" spans="1:5" ht="15.75" customHeight="1" x14ac:dyDescent="0.3">
      <c r="A216" s="45" t="str">
        <f t="shared" si="0"/>
        <v>GoiâniaPorto AlegreCaminhão</v>
      </c>
      <c r="B216" s="46" t="s">
        <v>25</v>
      </c>
      <c r="C216" s="47" t="s">
        <v>58</v>
      </c>
      <c r="D216" s="47" t="s">
        <v>44</v>
      </c>
      <c r="E216" s="48">
        <v>2</v>
      </c>
    </row>
    <row r="217" spans="1:5" ht="15.75" customHeight="1" x14ac:dyDescent="0.3">
      <c r="A217" s="45" t="str">
        <f t="shared" si="0"/>
        <v>GoiâniaRecifeCaminhão</v>
      </c>
      <c r="B217" s="46" t="s">
        <v>25</v>
      </c>
      <c r="C217" s="47" t="s">
        <v>58</v>
      </c>
      <c r="D217" s="47" t="s">
        <v>62</v>
      </c>
      <c r="E217" s="48">
        <v>2</v>
      </c>
    </row>
    <row r="218" spans="1:5" ht="15.75" customHeight="1" x14ac:dyDescent="0.3">
      <c r="A218" s="45" t="str">
        <f t="shared" si="0"/>
        <v>GoiâniaRibeirão PretoCaminhão</v>
      </c>
      <c r="B218" s="46" t="s">
        <v>25</v>
      </c>
      <c r="C218" s="47" t="s">
        <v>58</v>
      </c>
      <c r="D218" s="47" t="s">
        <v>63</v>
      </c>
      <c r="E218" s="48">
        <v>1</v>
      </c>
    </row>
    <row r="219" spans="1:5" ht="15.75" customHeight="1" x14ac:dyDescent="0.3">
      <c r="A219" s="45" t="str">
        <f t="shared" si="0"/>
        <v>GoiâniaRio de JaneiroCaminhão</v>
      </c>
      <c r="B219" s="46" t="s">
        <v>25</v>
      </c>
      <c r="C219" s="47" t="s">
        <v>58</v>
      </c>
      <c r="D219" s="47" t="s">
        <v>64</v>
      </c>
      <c r="E219" s="48">
        <v>1</v>
      </c>
    </row>
    <row r="220" spans="1:5" ht="15.75" customHeight="1" x14ac:dyDescent="0.3">
      <c r="A220" s="45" t="str">
        <f t="shared" si="0"/>
        <v>GoiâniaSalvadorCaminhão</v>
      </c>
      <c r="B220" s="46" t="s">
        <v>25</v>
      </c>
      <c r="C220" s="47" t="s">
        <v>58</v>
      </c>
      <c r="D220" s="47" t="s">
        <v>65</v>
      </c>
      <c r="E220" s="48">
        <v>1</v>
      </c>
    </row>
    <row r="221" spans="1:5" ht="15.75" customHeight="1" x14ac:dyDescent="0.3">
      <c r="A221" s="45" t="str">
        <f t="shared" si="0"/>
        <v>GoiâniaSantosCaminhão</v>
      </c>
      <c r="B221" s="46" t="s">
        <v>25</v>
      </c>
      <c r="C221" s="47" t="s">
        <v>58</v>
      </c>
      <c r="D221" s="47" t="s">
        <v>47</v>
      </c>
      <c r="E221" s="48">
        <v>1</v>
      </c>
    </row>
    <row r="222" spans="1:5" ht="15.75" customHeight="1" x14ac:dyDescent="0.3">
      <c r="A222" s="45" t="str">
        <f t="shared" si="0"/>
        <v>GoiâniaSão LuísCaminhão</v>
      </c>
      <c r="B222" s="46" t="s">
        <v>25</v>
      </c>
      <c r="C222" s="47" t="s">
        <v>58</v>
      </c>
      <c r="D222" s="47" t="s">
        <v>50</v>
      </c>
      <c r="E222" s="48">
        <v>2</v>
      </c>
    </row>
    <row r="223" spans="1:5" ht="15.75" customHeight="1" x14ac:dyDescent="0.3">
      <c r="A223" s="45" t="str">
        <f t="shared" si="0"/>
        <v>GoiâniaSão PauloCaminhão</v>
      </c>
      <c r="B223" s="46" t="s">
        <v>25</v>
      </c>
      <c r="C223" s="47" t="s">
        <v>58</v>
      </c>
      <c r="D223" s="47" t="s">
        <v>66</v>
      </c>
      <c r="E223" s="48">
        <v>1</v>
      </c>
    </row>
    <row r="224" spans="1:5" ht="15.75" customHeight="1" x14ac:dyDescent="0.3">
      <c r="A224" s="45" t="str">
        <f t="shared" si="0"/>
        <v>GoiâniaUberlândiaCaminhão</v>
      </c>
      <c r="B224" s="46" t="s">
        <v>25</v>
      </c>
      <c r="C224" s="47" t="s">
        <v>58</v>
      </c>
      <c r="D224" s="47" t="s">
        <v>67</v>
      </c>
      <c r="E224" s="48">
        <v>0</v>
      </c>
    </row>
    <row r="225" spans="1:5" ht="15.75" customHeight="1" x14ac:dyDescent="0.3">
      <c r="A225" s="45" t="str">
        <f t="shared" si="0"/>
        <v>GoiâniaVitóriaCaminhão</v>
      </c>
      <c r="B225" s="46" t="s">
        <v>25</v>
      </c>
      <c r="C225" s="47" t="s">
        <v>58</v>
      </c>
      <c r="D225" s="47" t="s">
        <v>68</v>
      </c>
      <c r="E225" s="48">
        <v>1</v>
      </c>
    </row>
    <row r="226" spans="1:5" ht="15.75" customHeight="1" x14ac:dyDescent="0.3">
      <c r="A226" s="45" t="str">
        <f t="shared" si="0"/>
        <v>GoiâniaVitória da ConquistaCaminhão</v>
      </c>
      <c r="B226" s="46" t="s">
        <v>25</v>
      </c>
      <c r="C226" s="47" t="s">
        <v>58</v>
      </c>
      <c r="D226" s="47" t="s">
        <v>49</v>
      </c>
      <c r="E226" s="48">
        <v>1</v>
      </c>
    </row>
    <row r="227" spans="1:5" ht="15.75" customHeight="1" x14ac:dyDescent="0.3">
      <c r="A227" s="45" t="str">
        <f t="shared" si="0"/>
        <v>João PessoaBelémCaminhão</v>
      </c>
      <c r="B227" s="46" t="s">
        <v>25</v>
      </c>
      <c r="C227" s="47" t="s">
        <v>59</v>
      </c>
      <c r="D227" s="47" t="s">
        <v>48</v>
      </c>
      <c r="E227" s="48">
        <v>2</v>
      </c>
    </row>
    <row r="228" spans="1:5" ht="15.75" customHeight="1" x14ac:dyDescent="0.3">
      <c r="A228" s="45" t="str">
        <f t="shared" si="0"/>
        <v>João PessoaBelo HorizonteCaminhão</v>
      </c>
      <c r="B228" s="46" t="s">
        <v>25</v>
      </c>
      <c r="C228" s="47" t="s">
        <v>59</v>
      </c>
      <c r="D228" s="47" t="s">
        <v>52</v>
      </c>
      <c r="E228" s="48">
        <v>2</v>
      </c>
    </row>
    <row r="229" spans="1:5" ht="15.75" customHeight="1" x14ac:dyDescent="0.3">
      <c r="A229" s="45" t="str">
        <f t="shared" si="0"/>
        <v>João PessoaBrasíliaCaminhão</v>
      </c>
      <c r="B229" s="46" t="s">
        <v>25</v>
      </c>
      <c r="C229" s="47" t="s">
        <v>59</v>
      </c>
      <c r="D229" s="47" t="s">
        <v>53</v>
      </c>
      <c r="E229" s="48">
        <v>2</v>
      </c>
    </row>
    <row r="230" spans="1:5" ht="15.75" customHeight="1" x14ac:dyDescent="0.3">
      <c r="A230" s="45" t="str">
        <f t="shared" si="0"/>
        <v>João PessoaCampinasCaminhão</v>
      </c>
      <c r="B230" s="46" t="s">
        <v>25</v>
      </c>
      <c r="C230" s="47" t="s">
        <v>59</v>
      </c>
      <c r="D230" s="47" t="s">
        <v>54</v>
      </c>
      <c r="E230" s="48">
        <v>2</v>
      </c>
    </row>
    <row r="231" spans="1:5" ht="15.75" customHeight="1" x14ac:dyDescent="0.3">
      <c r="A231" s="45" t="str">
        <f t="shared" si="0"/>
        <v>João PessoaCampo GrandeCaminhão</v>
      </c>
      <c r="B231" s="46" t="s">
        <v>25</v>
      </c>
      <c r="C231" s="47" t="s">
        <v>59</v>
      </c>
      <c r="D231" s="47" t="s">
        <v>55</v>
      </c>
      <c r="E231" s="48">
        <v>3</v>
      </c>
    </row>
    <row r="232" spans="1:5" ht="15.75" customHeight="1" x14ac:dyDescent="0.3">
      <c r="A232" s="45" t="str">
        <f t="shared" si="0"/>
        <v>João PessoaCuiabáCaminhão</v>
      </c>
      <c r="B232" s="46" t="s">
        <v>25</v>
      </c>
      <c r="C232" s="47" t="s">
        <v>59</v>
      </c>
      <c r="D232" s="47" t="s">
        <v>37</v>
      </c>
      <c r="E232" s="48">
        <v>3</v>
      </c>
    </row>
    <row r="233" spans="1:5" ht="15.75" customHeight="1" x14ac:dyDescent="0.3">
      <c r="A233" s="45" t="str">
        <f t="shared" si="0"/>
        <v>João PessoaCuritibaCaminhão</v>
      </c>
      <c r="B233" s="46" t="s">
        <v>25</v>
      </c>
      <c r="C233" s="47" t="s">
        <v>59</v>
      </c>
      <c r="D233" s="47" t="s">
        <v>56</v>
      </c>
      <c r="E233" s="48">
        <v>3</v>
      </c>
    </row>
    <row r="234" spans="1:5" ht="15.75" customHeight="1" x14ac:dyDescent="0.3">
      <c r="A234" s="45" t="str">
        <f t="shared" si="0"/>
        <v>João PessoaFortalezaCaminhão</v>
      </c>
      <c r="B234" s="46" t="s">
        <v>25</v>
      </c>
      <c r="C234" s="47" t="s">
        <v>59</v>
      </c>
      <c r="D234" s="47" t="s">
        <v>57</v>
      </c>
      <c r="E234" s="48">
        <v>1</v>
      </c>
    </row>
    <row r="235" spans="1:5" ht="15.75" customHeight="1" x14ac:dyDescent="0.3">
      <c r="A235" s="45" t="str">
        <f t="shared" si="0"/>
        <v>João PessoaGoiâniaCaminhão</v>
      </c>
      <c r="B235" s="46" t="s">
        <v>25</v>
      </c>
      <c r="C235" s="47" t="s">
        <v>59</v>
      </c>
      <c r="D235" s="47" t="s">
        <v>58</v>
      </c>
      <c r="E235" s="48">
        <v>2</v>
      </c>
    </row>
    <row r="236" spans="1:5" ht="15.75" customHeight="1" x14ac:dyDescent="0.3">
      <c r="A236" s="45" t="str">
        <f t="shared" si="0"/>
        <v>João PessoaJoão PessoaCaminhão</v>
      </c>
      <c r="B236" s="46" t="s">
        <v>25</v>
      </c>
      <c r="C236" s="47" t="s">
        <v>59</v>
      </c>
      <c r="D236" s="47" t="s">
        <v>59</v>
      </c>
      <c r="E236" s="48">
        <v>0</v>
      </c>
    </row>
    <row r="237" spans="1:5" ht="15.75" customHeight="1" x14ac:dyDescent="0.3">
      <c r="A237" s="45" t="str">
        <f t="shared" si="0"/>
        <v>João PessoaJoinvilleCaminhão</v>
      </c>
      <c r="B237" s="46" t="s">
        <v>25</v>
      </c>
      <c r="C237" s="47" t="s">
        <v>59</v>
      </c>
      <c r="D237" s="47" t="s">
        <v>28</v>
      </c>
      <c r="E237" s="48">
        <v>3</v>
      </c>
    </row>
    <row r="238" spans="1:5" ht="15.75" customHeight="1" x14ac:dyDescent="0.3">
      <c r="A238" s="45" t="str">
        <f t="shared" si="0"/>
        <v>João PessoaMaceióCaminhão</v>
      </c>
      <c r="B238" s="46" t="s">
        <v>25</v>
      </c>
      <c r="C238" s="47" t="s">
        <v>59</v>
      </c>
      <c r="D238" s="47" t="s">
        <v>60</v>
      </c>
      <c r="E238" s="48">
        <v>0</v>
      </c>
    </row>
    <row r="239" spans="1:5" ht="15.75" customHeight="1" x14ac:dyDescent="0.3">
      <c r="A239" s="45" t="str">
        <f t="shared" si="0"/>
        <v>João PessoaManausCaminhão</v>
      </c>
      <c r="B239" s="46" t="s">
        <v>25</v>
      </c>
      <c r="C239" s="47" t="s">
        <v>59</v>
      </c>
      <c r="D239" s="47" t="s">
        <v>23</v>
      </c>
      <c r="E239" s="48">
        <v>5</v>
      </c>
    </row>
    <row r="240" spans="1:5" ht="15.75" customHeight="1" x14ac:dyDescent="0.3">
      <c r="A240" s="45" t="str">
        <f t="shared" si="0"/>
        <v>João PessoaNatalCaminhão</v>
      </c>
      <c r="B240" s="46" t="s">
        <v>25</v>
      </c>
      <c r="C240" s="47" t="s">
        <v>59</v>
      </c>
      <c r="D240" s="47" t="s">
        <v>61</v>
      </c>
      <c r="E240" s="48">
        <v>0</v>
      </c>
    </row>
    <row r="241" spans="1:5" ht="15.75" customHeight="1" x14ac:dyDescent="0.3">
      <c r="A241" s="45" t="str">
        <f t="shared" si="0"/>
        <v>João PessoaPorto AlegreCaminhão</v>
      </c>
      <c r="B241" s="46" t="s">
        <v>25</v>
      </c>
      <c r="C241" s="47" t="s">
        <v>59</v>
      </c>
      <c r="D241" s="47" t="s">
        <v>44</v>
      </c>
      <c r="E241" s="48">
        <v>3</v>
      </c>
    </row>
    <row r="242" spans="1:5" ht="15.75" customHeight="1" x14ac:dyDescent="0.3">
      <c r="A242" s="45" t="str">
        <f t="shared" si="0"/>
        <v>João PessoaRecifeCaminhão</v>
      </c>
      <c r="B242" s="46" t="s">
        <v>25</v>
      </c>
      <c r="C242" s="47" t="s">
        <v>59</v>
      </c>
      <c r="D242" s="47" t="s">
        <v>62</v>
      </c>
      <c r="E242" s="48">
        <v>0</v>
      </c>
    </row>
    <row r="243" spans="1:5" ht="15.75" customHeight="1" x14ac:dyDescent="0.3">
      <c r="A243" s="45" t="str">
        <f t="shared" si="0"/>
        <v>João PessoaRibeirão PretoCaminhão</v>
      </c>
      <c r="B243" s="46" t="s">
        <v>25</v>
      </c>
      <c r="C243" s="47" t="s">
        <v>59</v>
      </c>
      <c r="D243" s="47" t="s">
        <v>63</v>
      </c>
      <c r="E243" s="48">
        <v>2</v>
      </c>
    </row>
    <row r="244" spans="1:5" ht="15.75" customHeight="1" x14ac:dyDescent="0.3">
      <c r="A244" s="45" t="str">
        <f t="shared" si="0"/>
        <v>João PessoaRio de JaneiroCaminhão</v>
      </c>
      <c r="B244" s="46" t="s">
        <v>25</v>
      </c>
      <c r="C244" s="47" t="s">
        <v>59</v>
      </c>
      <c r="D244" s="47" t="s">
        <v>64</v>
      </c>
      <c r="E244" s="48">
        <v>2</v>
      </c>
    </row>
    <row r="245" spans="1:5" ht="15.75" customHeight="1" x14ac:dyDescent="0.3">
      <c r="A245" s="45" t="str">
        <f t="shared" si="0"/>
        <v>João PessoaSalvadorCaminhão</v>
      </c>
      <c r="B245" s="46" t="s">
        <v>25</v>
      </c>
      <c r="C245" s="47" t="s">
        <v>59</v>
      </c>
      <c r="D245" s="47" t="s">
        <v>65</v>
      </c>
      <c r="E245" s="48">
        <v>1</v>
      </c>
    </row>
    <row r="246" spans="1:5" ht="15.75" customHeight="1" x14ac:dyDescent="0.3">
      <c r="A246" s="45" t="str">
        <f t="shared" si="0"/>
        <v>João PessoaSantosCaminhão</v>
      </c>
      <c r="B246" s="46" t="s">
        <v>25</v>
      </c>
      <c r="C246" s="47" t="s">
        <v>59</v>
      </c>
      <c r="D246" s="47" t="s">
        <v>47</v>
      </c>
      <c r="E246" s="48">
        <v>2</v>
      </c>
    </row>
    <row r="247" spans="1:5" ht="15.75" customHeight="1" x14ac:dyDescent="0.3">
      <c r="A247" s="45" t="str">
        <f t="shared" si="0"/>
        <v>João PessoaSão LuísCaminhão</v>
      </c>
      <c r="B247" s="46" t="s">
        <v>25</v>
      </c>
      <c r="C247" s="47" t="s">
        <v>59</v>
      </c>
      <c r="D247" s="47" t="s">
        <v>50</v>
      </c>
      <c r="E247" s="48">
        <v>1</v>
      </c>
    </row>
    <row r="248" spans="1:5" ht="15.75" customHeight="1" x14ac:dyDescent="0.3">
      <c r="A248" s="45" t="str">
        <f t="shared" si="0"/>
        <v>João PessoaSão PauloCaminhão</v>
      </c>
      <c r="B248" s="46" t="s">
        <v>25</v>
      </c>
      <c r="C248" s="47" t="s">
        <v>59</v>
      </c>
      <c r="D248" s="47" t="s">
        <v>66</v>
      </c>
      <c r="E248" s="48">
        <v>2</v>
      </c>
    </row>
    <row r="249" spans="1:5" ht="15.75" customHeight="1" x14ac:dyDescent="0.3">
      <c r="A249" s="45" t="str">
        <f t="shared" si="0"/>
        <v>João PessoaUberlândiaCaminhão</v>
      </c>
      <c r="B249" s="46" t="s">
        <v>25</v>
      </c>
      <c r="C249" s="47" t="s">
        <v>59</v>
      </c>
      <c r="D249" s="47" t="s">
        <v>67</v>
      </c>
      <c r="E249" s="48">
        <v>2</v>
      </c>
    </row>
    <row r="250" spans="1:5" ht="15.75" customHeight="1" x14ac:dyDescent="0.3">
      <c r="A250" s="45" t="str">
        <f t="shared" si="0"/>
        <v>João PessoaVitóriaCaminhão</v>
      </c>
      <c r="B250" s="46" t="s">
        <v>25</v>
      </c>
      <c r="C250" s="47" t="s">
        <v>59</v>
      </c>
      <c r="D250" s="47" t="s">
        <v>68</v>
      </c>
      <c r="E250" s="48">
        <v>2</v>
      </c>
    </row>
    <row r="251" spans="1:5" ht="15.75" customHeight="1" x14ac:dyDescent="0.3">
      <c r="A251" s="45" t="str">
        <f t="shared" si="0"/>
        <v>João PessoaVitória da ConquistaCaminhão</v>
      </c>
      <c r="B251" s="46" t="s">
        <v>25</v>
      </c>
      <c r="C251" s="47" t="s">
        <v>59</v>
      </c>
      <c r="D251" s="47" t="s">
        <v>49</v>
      </c>
      <c r="E251" s="48">
        <v>1</v>
      </c>
    </row>
    <row r="252" spans="1:5" ht="15.75" customHeight="1" x14ac:dyDescent="0.3">
      <c r="A252" s="45" t="str">
        <f t="shared" si="0"/>
        <v>JoinvilleBelémCaminhão</v>
      </c>
      <c r="B252" s="46" t="s">
        <v>25</v>
      </c>
      <c r="C252" s="46" t="s">
        <v>28</v>
      </c>
      <c r="D252" s="47" t="s">
        <v>48</v>
      </c>
      <c r="E252" s="48">
        <v>3</v>
      </c>
    </row>
    <row r="253" spans="1:5" ht="15.75" customHeight="1" x14ac:dyDescent="0.3">
      <c r="A253" s="45" t="str">
        <f t="shared" si="0"/>
        <v>JoinvilleBelo HorizonteCaminhão</v>
      </c>
      <c r="B253" s="46" t="s">
        <v>25</v>
      </c>
      <c r="C253" s="46" t="s">
        <v>28</v>
      </c>
      <c r="D253" s="47" t="s">
        <v>52</v>
      </c>
      <c r="E253" s="48">
        <v>1</v>
      </c>
    </row>
    <row r="254" spans="1:5" ht="15.75" customHeight="1" x14ac:dyDescent="0.3">
      <c r="A254" s="45" t="str">
        <f t="shared" si="0"/>
        <v>JoinvilleBrasíliaCaminhão</v>
      </c>
      <c r="B254" s="46" t="s">
        <v>25</v>
      </c>
      <c r="C254" s="46" t="s">
        <v>28</v>
      </c>
      <c r="D254" s="47" t="s">
        <v>53</v>
      </c>
      <c r="E254" s="48">
        <v>1</v>
      </c>
    </row>
    <row r="255" spans="1:5" ht="15.75" customHeight="1" x14ac:dyDescent="0.3">
      <c r="A255" s="45" t="str">
        <f t="shared" si="0"/>
        <v>JoinvilleCampinasCaminhão</v>
      </c>
      <c r="B255" s="46" t="s">
        <v>25</v>
      </c>
      <c r="C255" s="46" t="s">
        <v>28</v>
      </c>
      <c r="D255" s="47" t="s">
        <v>54</v>
      </c>
      <c r="E255" s="48">
        <v>1</v>
      </c>
    </row>
    <row r="256" spans="1:5" ht="15.75" customHeight="1" x14ac:dyDescent="0.3">
      <c r="A256" s="45" t="str">
        <f t="shared" si="0"/>
        <v>JoinvilleCampo GrandeCaminhão</v>
      </c>
      <c r="B256" s="46" t="s">
        <v>25</v>
      </c>
      <c r="C256" s="46" t="s">
        <v>28</v>
      </c>
      <c r="D256" s="47" t="s">
        <v>55</v>
      </c>
      <c r="E256" s="48">
        <v>1</v>
      </c>
    </row>
    <row r="257" spans="1:5" ht="15.75" customHeight="1" x14ac:dyDescent="0.3">
      <c r="A257" s="45" t="str">
        <f t="shared" ref="A257:A511" si="1">C257&amp;D257&amp;B257</f>
        <v>JoinvilleCuiabáCaminhão</v>
      </c>
      <c r="B257" s="46" t="s">
        <v>25</v>
      </c>
      <c r="C257" s="46" t="s">
        <v>28</v>
      </c>
      <c r="D257" s="47" t="s">
        <v>37</v>
      </c>
      <c r="E257" s="48">
        <v>2</v>
      </c>
    </row>
    <row r="258" spans="1:5" ht="15.75" customHeight="1" x14ac:dyDescent="0.3">
      <c r="A258" s="45" t="str">
        <f t="shared" si="1"/>
        <v>JoinvilleCuritibaCaminhão</v>
      </c>
      <c r="B258" s="46" t="s">
        <v>25</v>
      </c>
      <c r="C258" s="46" t="s">
        <v>28</v>
      </c>
      <c r="D258" s="47" t="s">
        <v>56</v>
      </c>
      <c r="E258" s="48">
        <v>0</v>
      </c>
    </row>
    <row r="259" spans="1:5" ht="15.75" customHeight="1" x14ac:dyDescent="0.3">
      <c r="A259" s="45" t="str">
        <f t="shared" si="1"/>
        <v>JoinvilleFortalezaCaminhão</v>
      </c>
      <c r="B259" s="46" t="s">
        <v>25</v>
      </c>
      <c r="C259" s="46" t="s">
        <v>28</v>
      </c>
      <c r="D259" s="47" t="s">
        <v>57</v>
      </c>
      <c r="E259" s="48">
        <v>3</v>
      </c>
    </row>
    <row r="260" spans="1:5" ht="15.75" customHeight="1" x14ac:dyDescent="0.3">
      <c r="A260" s="45" t="str">
        <f t="shared" si="1"/>
        <v>JoinvilleGoiâniaCaminhão</v>
      </c>
      <c r="B260" s="46" t="s">
        <v>25</v>
      </c>
      <c r="C260" s="46" t="s">
        <v>28</v>
      </c>
      <c r="D260" s="47" t="s">
        <v>58</v>
      </c>
      <c r="E260" s="48">
        <v>1</v>
      </c>
    </row>
    <row r="261" spans="1:5" ht="15.75" customHeight="1" x14ac:dyDescent="0.3">
      <c r="A261" s="45" t="str">
        <f t="shared" si="1"/>
        <v>JoinvilleJoão PessoaCaminhão</v>
      </c>
      <c r="B261" s="46" t="s">
        <v>25</v>
      </c>
      <c r="C261" s="46" t="s">
        <v>28</v>
      </c>
      <c r="D261" s="47" t="s">
        <v>59</v>
      </c>
      <c r="E261" s="48">
        <v>3</v>
      </c>
    </row>
    <row r="262" spans="1:5" ht="15.75" customHeight="1" x14ac:dyDescent="0.3">
      <c r="A262" s="45" t="str">
        <f t="shared" si="1"/>
        <v>JoinvilleJoinvilleCaminhão</v>
      </c>
      <c r="B262" s="46" t="s">
        <v>25</v>
      </c>
      <c r="C262" s="46" t="s">
        <v>28</v>
      </c>
      <c r="D262" s="47" t="s">
        <v>28</v>
      </c>
      <c r="E262" s="48">
        <v>0</v>
      </c>
    </row>
    <row r="263" spans="1:5" ht="15.75" customHeight="1" x14ac:dyDescent="0.3">
      <c r="A263" s="45" t="str">
        <f t="shared" si="1"/>
        <v>JoinvilleMaceióCaminhão</v>
      </c>
      <c r="B263" s="46" t="s">
        <v>25</v>
      </c>
      <c r="C263" s="46" t="s">
        <v>28</v>
      </c>
      <c r="D263" s="47" t="s">
        <v>60</v>
      </c>
      <c r="E263" s="48">
        <v>2</v>
      </c>
    </row>
    <row r="264" spans="1:5" ht="15.75" customHeight="1" x14ac:dyDescent="0.3">
      <c r="A264" s="45" t="str">
        <f t="shared" si="1"/>
        <v>JoinvilleManausCaminhão</v>
      </c>
      <c r="B264" s="46" t="s">
        <v>25</v>
      </c>
      <c r="C264" s="46" t="s">
        <v>28</v>
      </c>
      <c r="D264" s="47" t="s">
        <v>23</v>
      </c>
      <c r="E264" s="48">
        <v>3</v>
      </c>
    </row>
    <row r="265" spans="1:5" ht="15.75" customHeight="1" x14ac:dyDescent="0.3">
      <c r="A265" s="45" t="str">
        <f t="shared" si="1"/>
        <v>JoinvilleNatalCaminhão</v>
      </c>
      <c r="B265" s="46" t="s">
        <v>25</v>
      </c>
      <c r="C265" s="46" t="s">
        <v>28</v>
      </c>
      <c r="D265" s="47" t="s">
        <v>61</v>
      </c>
      <c r="E265" s="48">
        <v>3</v>
      </c>
    </row>
    <row r="266" spans="1:5" ht="15.75" customHeight="1" x14ac:dyDescent="0.3">
      <c r="A266" s="45" t="str">
        <f t="shared" si="1"/>
        <v>JoinvillePorto AlegreCaminhão</v>
      </c>
      <c r="B266" s="46" t="s">
        <v>25</v>
      </c>
      <c r="C266" s="46" t="s">
        <v>28</v>
      </c>
      <c r="D266" s="47" t="s">
        <v>44</v>
      </c>
      <c r="E266" s="48">
        <v>1</v>
      </c>
    </row>
    <row r="267" spans="1:5" ht="15.75" customHeight="1" x14ac:dyDescent="0.3">
      <c r="A267" s="45" t="str">
        <f t="shared" si="1"/>
        <v>JoinvilleRecifeCaminhão</v>
      </c>
      <c r="B267" s="46" t="s">
        <v>25</v>
      </c>
      <c r="C267" s="46" t="s">
        <v>28</v>
      </c>
      <c r="D267" s="47" t="s">
        <v>62</v>
      </c>
      <c r="E267" s="48">
        <v>3</v>
      </c>
    </row>
    <row r="268" spans="1:5" ht="15.75" customHeight="1" x14ac:dyDescent="0.3">
      <c r="A268" s="45" t="str">
        <f t="shared" si="1"/>
        <v>JoinvilleRibeirão PretoCaminhão</v>
      </c>
      <c r="B268" s="46" t="s">
        <v>25</v>
      </c>
      <c r="C268" s="46" t="s">
        <v>28</v>
      </c>
      <c r="D268" s="47" t="s">
        <v>63</v>
      </c>
      <c r="E268" s="48">
        <v>1</v>
      </c>
    </row>
    <row r="269" spans="1:5" ht="15.75" customHeight="1" x14ac:dyDescent="0.3">
      <c r="A269" s="45" t="str">
        <f t="shared" si="1"/>
        <v>JoinvilleRio de JaneiroCaminhão</v>
      </c>
      <c r="B269" s="46" t="s">
        <v>25</v>
      </c>
      <c r="C269" s="46" t="s">
        <v>28</v>
      </c>
      <c r="D269" s="47" t="s">
        <v>64</v>
      </c>
      <c r="E269" s="48">
        <v>1</v>
      </c>
    </row>
    <row r="270" spans="1:5" ht="15.75" customHeight="1" x14ac:dyDescent="0.3">
      <c r="A270" s="45" t="str">
        <f t="shared" si="1"/>
        <v>JoinvilleSalvadorCaminhão</v>
      </c>
      <c r="B270" s="46" t="s">
        <v>25</v>
      </c>
      <c r="C270" s="46" t="s">
        <v>28</v>
      </c>
      <c r="D270" s="47" t="s">
        <v>65</v>
      </c>
      <c r="E270" s="48">
        <v>2</v>
      </c>
    </row>
    <row r="271" spans="1:5" ht="15.75" customHeight="1" x14ac:dyDescent="0.3">
      <c r="A271" s="45" t="str">
        <f t="shared" si="1"/>
        <v>JoinvilleSantosCaminhão</v>
      </c>
      <c r="B271" s="46" t="s">
        <v>25</v>
      </c>
      <c r="C271" s="46" t="s">
        <v>28</v>
      </c>
      <c r="D271" s="47" t="s">
        <v>47</v>
      </c>
      <c r="E271" s="48">
        <v>1</v>
      </c>
    </row>
    <row r="272" spans="1:5" ht="15.75" customHeight="1" x14ac:dyDescent="0.3">
      <c r="A272" s="45" t="str">
        <f t="shared" si="1"/>
        <v>JoinvilleSão LuísCaminhão</v>
      </c>
      <c r="B272" s="46" t="s">
        <v>25</v>
      </c>
      <c r="C272" s="46" t="s">
        <v>28</v>
      </c>
      <c r="D272" s="47" t="s">
        <v>50</v>
      </c>
      <c r="E272" s="48">
        <v>3</v>
      </c>
    </row>
    <row r="273" spans="1:5" ht="15.75" customHeight="1" x14ac:dyDescent="0.3">
      <c r="A273" s="45" t="str">
        <f t="shared" si="1"/>
        <v>JoinvilleSão PauloCaminhão</v>
      </c>
      <c r="B273" s="46" t="s">
        <v>25</v>
      </c>
      <c r="C273" s="46" t="s">
        <v>28</v>
      </c>
      <c r="D273" s="47" t="s">
        <v>66</v>
      </c>
      <c r="E273" s="48">
        <v>0</v>
      </c>
    </row>
    <row r="274" spans="1:5" ht="15.75" customHeight="1" x14ac:dyDescent="0.3">
      <c r="A274" s="45" t="str">
        <f t="shared" si="1"/>
        <v>JoinvilleUberlândiaCaminhão</v>
      </c>
      <c r="B274" s="46" t="s">
        <v>25</v>
      </c>
      <c r="C274" s="46" t="s">
        <v>28</v>
      </c>
      <c r="D274" s="47" t="s">
        <v>67</v>
      </c>
      <c r="E274" s="48">
        <v>1</v>
      </c>
    </row>
    <row r="275" spans="1:5" ht="15.75" customHeight="1" x14ac:dyDescent="0.3">
      <c r="A275" s="45" t="str">
        <f t="shared" si="1"/>
        <v>JoinvilleVitóriaCaminhão</v>
      </c>
      <c r="B275" s="46" t="s">
        <v>25</v>
      </c>
      <c r="C275" s="46" t="s">
        <v>28</v>
      </c>
      <c r="D275" s="47" t="s">
        <v>68</v>
      </c>
      <c r="E275" s="48">
        <v>1</v>
      </c>
    </row>
    <row r="276" spans="1:5" ht="15.75" customHeight="1" x14ac:dyDescent="0.3">
      <c r="A276" s="45" t="str">
        <f t="shared" si="1"/>
        <v>JoinvilleVitória da ConquistaCaminhão</v>
      </c>
      <c r="B276" s="46" t="s">
        <v>25</v>
      </c>
      <c r="C276" s="46" t="s">
        <v>28</v>
      </c>
      <c r="D276" s="47" t="s">
        <v>49</v>
      </c>
      <c r="E276" s="48">
        <v>2</v>
      </c>
    </row>
    <row r="277" spans="1:5" ht="15.75" customHeight="1" x14ac:dyDescent="0.3">
      <c r="A277" s="45" t="str">
        <f t="shared" si="1"/>
        <v>MaceióBelémCaminhão</v>
      </c>
      <c r="B277" s="46" t="s">
        <v>25</v>
      </c>
      <c r="C277" s="47" t="s">
        <v>60</v>
      </c>
      <c r="D277" s="47" t="s">
        <v>48</v>
      </c>
      <c r="E277" s="48">
        <v>2</v>
      </c>
    </row>
    <row r="278" spans="1:5" ht="15.75" customHeight="1" x14ac:dyDescent="0.3">
      <c r="A278" s="45" t="str">
        <f t="shared" si="1"/>
        <v>MaceióBelo HorizonteCaminhão</v>
      </c>
      <c r="B278" s="46" t="s">
        <v>25</v>
      </c>
      <c r="C278" s="47" t="s">
        <v>60</v>
      </c>
      <c r="D278" s="47" t="s">
        <v>52</v>
      </c>
      <c r="E278" s="48">
        <v>2</v>
      </c>
    </row>
    <row r="279" spans="1:5" ht="15.75" customHeight="1" x14ac:dyDescent="0.3">
      <c r="A279" s="45" t="str">
        <f t="shared" si="1"/>
        <v>MaceióBrasíliaCaminhão</v>
      </c>
      <c r="B279" s="46" t="s">
        <v>25</v>
      </c>
      <c r="C279" s="47" t="s">
        <v>60</v>
      </c>
      <c r="D279" s="47" t="s">
        <v>53</v>
      </c>
      <c r="E279" s="48">
        <v>2</v>
      </c>
    </row>
    <row r="280" spans="1:5" ht="15.75" customHeight="1" x14ac:dyDescent="0.3">
      <c r="A280" s="45" t="str">
        <f t="shared" si="1"/>
        <v>MaceióCampinasCaminhão</v>
      </c>
      <c r="B280" s="46" t="s">
        <v>25</v>
      </c>
      <c r="C280" s="47" t="s">
        <v>60</v>
      </c>
      <c r="D280" s="47" t="s">
        <v>54</v>
      </c>
      <c r="E280" s="48">
        <v>2</v>
      </c>
    </row>
    <row r="281" spans="1:5" ht="15.75" customHeight="1" x14ac:dyDescent="0.3">
      <c r="A281" s="45" t="str">
        <f t="shared" si="1"/>
        <v>MaceióCampo GrandeCaminhão</v>
      </c>
      <c r="B281" s="46" t="s">
        <v>25</v>
      </c>
      <c r="C281" s="47" t="s">
        <v>60</v>
      </c>
      <c r="D281" s="47" t="s">
        <v>55</v>
      </c>
      <c r="E281" s="48">
        <v>3</v>
      </c>
    </row>
    <row r="282" spans="1:5" ht="15.75" customHeight="1" x14ac:dyDescent="0.3">
      <c r="A282" s="45" t="str">
        <f t="shared" si="1"/>
        <v>MaceióCuiabáCaminhão</v>
      </c>
      <c r="B282" s="46" t="s">
        <v>25</v>
      </c>
      <c r="C282" s="47" t="s">
        <v>60</v>
      </c>
      <c r="D282" s="47" t="s">
        <v>37</v>
      </c>
      <c r="E282" s="48">
        <v>3</v>
      </c>
    </row>
    <row r="283" spans="1:5" ht="15.75" customHeight="1" x14ac:dyDescent="0.3">
      <c r="A283" s="45" t="str">
        <f t="shared" si="1"/>
        <v>MaceióCuritibaCaminhão</v>
      </c>
      <c r="B283" s="46" t="s">
        <v>25</v>
      </c>
      <c r="C283" s="47" t="s">
        <v>60</v>
      </c>
      <c r="D283" s="47" t="s">
        <v>56</v>
      </c>
      <c r="E283" s="48">
        <v>2</v>
      </c>
    </row>
    <row r="284" spans="1:5" ht="15.75" customHeight="1" x14ac:dyDescent="0.3">
      <c r="A284" s="45" t="str">
        <f t="shared" si="1"/>
        <v>MaceióFortalezaCaminhão</v>
      </c>
      <c r="B284" s="46" t="s">
        <v>25</v>
      </c>
      <c r="C284" s="47" t="s">
        <v>60</v>
      </c>
      <c r="D284" s="47" t="s">
        <v>57</v>
      </c>
      <c r="E284" s="48">
        <v>1</v>
      </c>
    </row>
    <row r="285" spans="1:5" ht="15.75" customHeight="1" x14ac:dyDescent="0.3">
      <c r="A285" s="45" t="str">
        <f t="shared" si="1"/>
        <v>MaceióGoiâniaCaminhão</v>
      </c>
      <c r="B285" s="46" t="s">
        <v>25</v>
      </c>
      <c r="C285" s="47" t="s">
        <v>60</v>
      </c>
      <c r="D285" s="47" t="s">
        <v>58</v>
      </c>
      <c r="E285" s="48">
        <v>2</v>
      </c>
    </row>
    <row r="286" spans="1:5" ht="15.75" customHeight="1" x14ac:dyDescent="0.3">
      <c r="A286" s="45" t="str">
        <f t="shared" si="1"/>
        <v>MaceióJoão PessoaCaminhão</v>
      </c>
      <c r="B286" s="46" t="s">
        <v>25</v>
      </c>
      <c r="C286" s="47" t="s">
        <v>60</v>
      </c>
      <c r="D286" s="47" t="s">
        <v>59</v>
      </c>
      <c r="E286" s="48">
        <v>0</v>
      </c>
    </row>
    <row r="287" spans="1:5" ht="15.75" customHeight="1" x14ac:dyDescent="0.3">
      <c r="A287" s="45" t="str">
        <f t="shared" si="1"/>
        <v>MaceióJoinvilleCaminhão</v>
      </c>
      <c r="B287" s="46" t="s">
        <v>25</v>
      </c>
      <c r="C287" s="47" t="s">
        <v>60</v>
      </c>
      <c r="D287" s="47" t="s">
        <v>28</v>
      </c>
      <c r="E287" s="48">
        <v>2</v>
      </c>
    </row>
    <row r="288" spans="1:5" ht="15.75" customHeight="1" x14ac:dyDescent="0.3">
      <c r="A288" s="45" t="str">
        <f t="shared" si="1"/>
        <v>MaceióMaceióCaminhão</v>
      </c>
      <c r="B288" s="46" t="s">
        <v>25</v>
      </c>
      <c r="C288" s="47" t="s">
        <v>60</v>
      </c>
      <c r="D288" s="47" t="s">
        <v>60</v>
      </c>
      <c r="E288" s="48">
        <v>0</v>
      </c>
    </row>
    <row r="289" spans="1:5" ht="15.75" customHeight="1" x14ac:dyDescent="0.3">
      <c r="A289" s="45" t="str">
        <f t="shared" si="1"/>
        <v>MaceióManausCaminhão</v>
      </c>
      <c r="B289" s="46" t="s">
        <v>25</v>
      </c>
      <c r="C289" s="47" t="s">
        <v>60</v>
      </c>
      <c r="D289" s="47" t="s">
        <v>23</v>
      </c>
      <c r="E289" s="48">
        <v>5</v>
      </c>
    </row>
    <row r="290" spans="1:5" ht="15.75" customHeight="1" x14ac:dyDescent="0.3">
      <c r="A290" s="45" t="str">
        <f t="shared" si="1"/>
        <v>MaceióNatalCaminhão</v>
      </c>
      <c r="B290" s="46" t="s">
        <v>25</v>
      </c>
      <c r="C290" s="47" t="s">
        <v>60</v>
      </c>
      <c r="D290" s="47" t="s">
        <v>61</v>
      </c>
      <c r="E290" s="48">
        <v>0</v>
      </c>
    </row>
    <row r="291" spans="1:5" ht="15.75" customHeight="1" x14ac:dyDescent="0.3">
      <c r="A291" s="45" t="str">
        <f t="shared" si="1"/>
        <v>MaceióPorto AlegreCaminhão</v>
      </c>
      <c r="B291" s="46" t="s">
        <v>25</v>
      </c>
      <c r="C291" s="47" t="s">
        <v>60</v>
      </c>
      <c r="D291" s="47" t="s">
        <v>44</v>
      </c>
      <c r="E291" s="48">
        <v>3</v>
      </c>
    </row>
    <row r="292" spans="1:5" ht="15.75" customHeight="1" x14ac:dyDescent="0.3">
      <c r="A292" s="45" t="str">
        <f t="shared" si="1"/>
        <v>MaceióRecifeCaminhão</v>
      </c>
      <c r="B292" s="46" t="s">
        <v>25</v>
      </c>
      <c r="C292" s="47" t="s">
        <v>60</v>
      </c>
      <c r="D292" s="47" t="s">
        <v>62</v>
      </c>
      <c r="E292" s="48">
        <v>0</v>
      </c>
    </row>
    <row r="293" spans="1:5" ht="15.75" customHeight="1" x14ac:dyDescent="0.3">
      <c r="A293" s="45" t="str">
        <f t="shared" si="1"/>
        <v>MaceióRibeirão PretoCaminhão</v>
      </c>
      <c r="B293" s="46" t="s">
        <v>25</v>
      </c>
      <c r="C293" s="47" t="s">
        <v>60</v>
      </c>
      <c r="D293" s="47" t="s">
        <v>63</v>
      </c>
      <c r="E293" s="48">
        <v>2</v>
      </c>
    </row>
    <row r="294" spans="1:5" ht="15.75" customHeight="1" x14ac:dyDescent="0.3">
      <c r="A294" s="45" t="str">
        <f t="shared" si="1"/>
        <v>MaceióRio de JaneiroCaminhão</v>
      </c>
      <c r="B294" s="46" t="s">
        <v>25</v>
      </c>
      <c r="C294" s="47" t="s">
        <v>60</v>
      </c>
      <c r="D294" s="47" t="s">
        <v>64</v>
      </c>
      <c r="E294" s="48">
        <v>2</v>
      </c>
    </row>
    <row r="295" spans="1:5" ht="15.75" customHeight="1" x14ac:dyDescent="0.3">
      <c r="A295" s="45" t="str">
        <f t="shared" si="1"/>
        <v>MaceióSalvadorCaminhão</v>
      </c>
      <c r="B295" s="46" t="s">
        <v>25</v>
      </c>
      <c r="C295" s="47" t="s">
        <v>60</v>
      </c>
      <c r="D295" s="47" t="s">
        <v>65</v>
      </c>
      <c r="E295" s="48">
        <v>1</v>
      </c>
    </row>
    <row r="296" spans="1:5" ht="15.75" customHeight="1" x14ac:dyDescent="0.3">
      <c r="A296" s="45" t="str">
        <f t="shared" si="1"/>
        <v>MaceióSantosCaminhão</v>
      </c>
      <c r="B296" s="46" t="s">
        <v>25</v>
      </c>
      <c r="C296" s="47" t="s">
        <v>60</v>
      </c>
      <c r="D296" s="47" t="s">
        <v>47</v>
      </c>
      <c r="E296" s="48">
        <v>2</v>
      </c>
    </row>
    <row r="297" spans="1:5" ht="15.75" customHeight="1" x14ac:dyDescent="0.3">
      <c r="A297" s="45" t="str">
        <f t="shared" si="1"/>
        <v>MaceióSão LuísCaminhão</v>
      </c>
      <c r="B297" s="46" t="s">
        <v>25</v>
      </c>
      <c r="C297" s="47" t="s">
        <v>60</v>
      </c>
      <c r="D297" s="47" t="s">
        <v>50</v>
      </c>
      <c r="E297" s="48">
        <v>1</v>
      </c>
    </row>
    <row r="298" spans="1:5" ht="15.75" customHeight="1" x14ac:dyDescent="0.3">
      <c r="A298" s="45" t="str">
        <f t="shared" si="1"/>
        <v>MaceióSão PauloCaminhão</v>
      </c>
      <c r="B298" s="46" t="s">
        <v>25</v>
      </c>
      <c r="C298" s="47" t="s">
        <v>60</v>
      </c>
      <c r="D298" s="47" t="s">
        <v>66</v>
      </c>
      <c r="E298" s="48">
        <v>2</v>
      </c>
    </row>
    <row r="299" spans="1:5" ht="15.75" customHeight="1" x14ac:dyDescent="0.3">
      <c r="A299" s="45" t="str">
        <f t="shared" si="1"/>
        <v>MaceióUberlândiaCaminhão</v>
      </c>
      <c r="B299" s="46" t="s">
        <v>25</v>
      </c>
      <c r="C299" s="47" t="s">
        <v>60</v>
      </c>
      <c r="D299" s="47" t="s">
        <v>67</v>
      </c>
      <c r="E299" s="48">
        <v>2</v>
      </c>
    </row>
    <row r="300" spans="1:5" ht="15.75" customHeight="1" x14ac:dyDescent="0.3">
      <c r="A300" s="45" t="str">
        <f t="shared" si="1"/>
        <v>MaceióVitóriaCaminhão</v>
      </c>
      <c r="B300" s="46" t="s">
        <v>25</v>
      </c>
      <c r="C300" s="47" t="s">
        <v>60</v>
      </c>
      <c r="D300" s="47" t="s">
        <v>68</v>
      </c>
      <c r="E300" s="48">
        <v>1</v>
      </c>
    </row>
    <row r="301" spans="1:5" ht="15.75" customHeight="1" x14ac:dyDescent="0.3">
      <c r="A301" s="45" t="str">
        <f t="shared" si="1"/>
        <v>MaceióVitória da ConquistaCaminhão</v>
      </c>
      <c r="B301" s="46" t="s">
        <v>25</v>
      </c>
      <c r="C301" s="47" t="s">
        <v>60</v>
      </c>
      <c r="D301" s="47" t="s">
        <v>49</v>
      </c>
      <c r="E301" s="48">
        <v>1</v>
      </c>
    </row>
    <row r="302" spans="1:5" ht="15.75" customHeight="1" x14ac:dyDescent="0.3">
      <c r="A302" s="45" t="str">
        <f t="shared" si="1"/>
        <v>ManausBelémCaminhão</v>
      </c>
      <c r="B302" s="46" t="s">
        <v>25</v>
      </c>
      <c r="C302" s="46" t="s">
        <v>23</v>
      </c>
      <c r="D302" s="47" t="s">
        <v>48</v>
      </c>
      <c r="E302" s="48">
        <v>4</v>
      </c>
    </row>
    <row r="303" spans="1:5" ht="15.75" customHeight="1" x14ac:dyDescent="0.3">
      <c r="A303" s="45" t="str">
        <f t="shared" si="1"/>
        <v>ManausBelo HorizonteCaminhão</v>
      </c>
      <c r="B303" s="46" t="s">
        <v>25</v>
      </c>
      <c r="C303" s="46" t="s">
        <v>23</v>
      </c>
      <c r="D303" s="47" t="s">
        <v>52</v>
      </c>
      <c r="E303" s="48">
        <v>3</v>
      </c>
    </row>
    <row r="304" spans="1:5" ht="15.75" customHeight="1" x14ac:dyDescent="0.3">
      <c r="A304" s="45" t="str">
        <f t="shared" si="1"/>
        <v>ManausBrasíliaCaminhão</v>
      </c>
      <c r="B304" s="46" t="s">
        <v>25</v>
      </c>
      <c r="C304" s="46" t="s">
        <v>23</v>
      </c>
      <c r="D304" s="47" t="s">
        <v>53</v>
      </c>
      <c r="E304" s="48">
        <v>3</v>
      </c>
    </row>
    <row r="305" spans="1:5" ht="15.75" customHeight="1" x14ac:dyDescent="0.3">
      <c r="A305" s="45" t="str">
        <f t="shared" si="1"/>
        <v>ManausCampinasCaminhão</v>
      </c>
      <c r="B305" s="46" t="s">
        <v>25</v>
      </c>
      <c r="C305" s="46" t="s">
        <v>23</v>
      </c>
      <c r="D305" s="47" t="s">
        <v>54</v>
      </c>
      <c r="E305" s="48">
        <v>3</v>
      </c>
    </row>
    <row r="306" spans="1:5" ht="15.75" customHeight="1" x14ac:dyDescent="0.3">
      <c r="A306" s="45" t="str">
        <f t="shared" si="1"/>
        <v>ManausCampo GrandeCaminhão</v>
      </c>
      <c r="B306" s="46" t="s">
        <v>25</v>
      </c>
      <c r="C306" s="46" t="s">
        <v>23</v>
      </c>
      <c r="D306" s="47" t="s">
        <v>55</v>
      </c>
      <c r="E306" s="48">
        <v>3</v>
      </c>
    </row>
    <row r="307" spans="1:5" ht="15.75" customHeight="1" x14ac:dyDescent="0.3">
      <c r="A307" s="45" t="str">
        <f t="shared" si="1"/>
        <v>ManausCuiabáCaminhão</v>
      </c>
      <c r="B307" s="46" t="s">
        <v>25</v>
      </c>
      <c r="C307" s="46" t="s">
        <v>23</v>
      </c>
      <c r="D307" s="47" t="s">
        <v>37</v>
      </c>
      <c r="E307" s="48">
        <v>2</v>
      </c>
    </row>
    <row r="308" spans="1:5" ht="15.75" customHeight="1" x14ac:dyDescent="0.3">
      <c r="A308" s="45" t="str">
        <f t="shared" si="1"/>
        <v>ManausCuritibaCaminhão</v>
      </c>
      <c r="B308" s="46" t="s">
        <v>25</v>
      </c>
      <c r="C308" s="46" t="s">
        <v>23</v>
      </c>
      <c r="D308" s="47" t="s">
        <v>56</v>
      </c>
      <c r="E308" s="48">
        <v>3</v>
      </c>
    </row>
    <row r="309" spans="1:5" ht="15.75" customHeight="1" x14ac:dyDescent="0.3">
      <c r="A309" s="45" t="str">
        <f t="shared" si="1"/>
        <v>ManausFortalezaCaminhão</v>
      </c>
      <c r="B309" s="46" t="s">
        <v>25</v>
      </c>
      <c r="C309" s="46" t="s">
        <v>23</v>
      </c>
      <c r="D309" s="47" t="s">
        <v>57</v>
      </c>
      <c r="E309" s="48">
        <v>5</v>
      </c>
    </row>
    <row r="310" spans="1:5" ht="15.75" customHeight="1" x14ac:dyDescent="0.3">
      <c r="A310" s="45" t="str">
        <f t="shared" si="1"/>
        <v>ManausGoiâniaCaminhão</v>
      </c>
      <c r="B310" s="46" t="s">
        <v>25</v>
      </c>
      <c r="C310" s="46" t="s">
        <v>23</v>
      </c>
      <c r="D310" s="47" t="s">
        <v>58</v>
      </c>
      <c r="E310" s="48">
        <v>3</v>
      </c>
    </row>
    <row r="311" spans="1:5" ht="15.75" customHeight="1" x14ac:dyDescent="0.3">
      <c r="A311" s="45" t="str">
        <f t="shared" si="1"/>
        <v>ManausJoão PessoaCaminhão</v>
      </c>
      <c r="B311" s="46" t="s">
        <v>25</v>
      </c>
      <c r="C311" s="46" t="s">
        <v>23</v>
      </c>
      <c r="D311" s="47" t="s">
        <v>59</v>
      </c>
      <c r="E311" s="48">
        <v>5</v>
      </c>
    </row>
    <row r="312" spans="1:5" ht="15.75" customHeight="1" x14ac:dyDescent="0.3">
      <c r="A312" s="45" t="str">
        <f t="shared" si="1"/>
        <v>ManausJoinvilleCaminhão</v>
      </c>
      <c r="B312" s="46" t="s">
        <v>25</v>
      </c>
      <c r="C312" s="46" t="s">
        <v>23</v>
      </c>
      <c r="D312" s="47" t="s">
        <v>28</v>
      </c>
      <c r="E312" s="48">
        <v>3</v>
      </c>
    </row>
    <row r="313" spans="1:5" ht="15.75" customHeight="1" x14ac:dyDescent="0.3">
      <c r="A313" s="45" t="str">
        <f t="shared" si="1"/>
        <v>ManausMaceióCaminhão</v>
      </c>
      <c r="B313" s="46" t="s">
        <v>25</v>
      </c>
      <c r="C313" s="46" t="s">
        <v>23</v>
      </c>
      <c r="D313" s="47" t="s">
        <v>60</v>
      </c>
      <c r="E313" s="48">
        <v>5</v>
      </c>
    </row>
    <row r="314" spans="1:5" ht="15.75" customHeight="1" x14ac:dyDescent="0.3">
      <c r="A314" s="45" t="str">
        <f t="shared" si="1"/>
        <v>ManausManausCaminhão</v>
      </c>
      <c r="B314" s="46" t="s">
        <v>25</v>
      </c>
      <c r="C314" s="46" t="s">
        <v>23</v>
      </c>
      <c r="D314" s="47" t="s">
        <v>23</v>
      </c>
      <c r="E314" s="48">
        <v>0</v>
      </c>
    </row>
    <row r="315" spans="1:5" ht="15.75" customHeight="1" x14ac:dyDescent="0.3">
      <c r="A315" s="45" t="str">
        <f t="shared" si="1"/>
        <v>ManausNatalCaminhão</v>
      </c>
      <c r="B315" s="46" t="s">
        <v>25</v>
      </c>
      <c r="C315" s="46" t="s">
        <v>23</v>
      </c>
      <c r="D315" s="47" t="s">
        <v>61</v>
      </c>
      <c r="E315" s="48">
        <v>5</v>
      </c>
    </row>
    <row r="316" spans="1:5" ht="15.75" customHeight="1" x14ac:dyDescent="0.3">
      <c r="A316" s="45" t="str">
        <f t="shared" si="1"/>
        <v>ManausPorto AlegreCaminhão</v>
      </c>
      <c r="B316" s="46" t="s">
        <v>25</v>
      </c>
      <c r="C316" s="46" t="s">
        <v>23</v>
      </c>
      <c r="D316" s="47" t="s">
        <v>44</v>
      </c>
      <c r="E316" s="48">
        <v>4</v>
      </c>
    </row>
    <row r="317" spans="1:5" ht="15.75" customHeight="1" x14ac:dyDescent="0.3">
      <c r="A317" s="45" t="str">
        <f t="shared" si="1"/>
        <v>ManausRecifeCaminhão</v>
      </c>
      <c r="B317" s="46" t="s">
        <v>25</v>
      </c>
      <c r="C317" s="46" t="s">
        <v>23</v>
      </c>
      <c r="D317" s="47" t="s">
        <v>62</v>
      </c>
      <c r="E317" s="48">
        <v>5</v>
      </c>
    </row>
    <row r="318" spans="1:5" ht="15.75" customHeight="1" x14ac:dyDescent="0.3">
      <c r="A318" s="45" t="str">
        <f t="shared" si="1"/>
        <v>ManausRibeirão PretoCaminhão</v>
      </c>
      <c r="B318" s="46" t="s">
        <v>25</v>
      </c>
      <c r="C318" s="46" t="s">
        <v>23</v>
      </c>
      <c r="D318" s="47" t="s">
        <v>63</v>
      </c>
      <c r="E318" s="48">
        <v>3</v>
      </c>
    </row>
    <row r="319" spans="1:5" ht="15.75" customHeight="1" x14ac:dyDescent="0.3">
      <c r="A319" s="45" t="str">
        <f t="shared" si="1"/>
        <v>ManausRio de JaneiroCaminhão</v>
      </c>
      <c r="B319" s="46" t="s">
        <v>25</v>
      </c>
      <c r="C319" s="46" t="s">
        <v>23</v>
      </c>
      <c r="D319" s="47" t="s">
        <v>64</v>
      </c>
      <c r="E319" s="48">
        <v>4</v>
      </c>
    </row>
    <row r="320" spans="1:5" ht="15.75" customHeight="1" x14ac:dyDescent="0.3">
      <c r="A320" s="45" t="str">
        <f t="shared" si="1"/>
        <v>ManausSalvadorCaminhão</v>
      </c>
      <c r="B320" s="46" t="s">
        <v>25</v>
      </c>
      <c r="C320" s="46" t="s">
        <v>23</v>
      </c>
      <c r="D320" s="47" t="s">
        <v>65</v>
      </c>
      <c r="E320" s="48">
        <v>4</v>
      </c>
    </row>
    <row r="321" spans="1:5" ht="15.75" customHeight="1" x14ac:dyDescent="0.3">
      <c r="A321" s="45" t="str">
        <f t="shared" si="1"/>
        <v>ManausSantosCaminhão</v>
      </c>
      <c r="B321" s="46" t="s">
        <v>25</v>
      </c>
      <c r="C321" s="46" t="s">
        <v>23</v>
      </c>
      <c r="D321" s="47" t="s">
        <v>47</v>
      </c>
      <c r="E321" s="48">
        <v>3</v>
      </c>
    </row>
    <row r="322" spans="1:5" ht="15.75" customHeight="1" x14ac:dyDescent="0.3">
      <c r="A322" s="45" t="str">
        <f t="shared" si="1"/>
        <v>ManausSão LuísCaminhão</v>
      </c>
      <c r="B322" s="46" t="s">
        <v>25</v>
      </c>
      <c r="C322" s="46" t="s">
        <v>23</v>
      </c>
      <c r="D322" s="47" t="s">
        <v>50</v>
      </c>
      <c r="E322" s="48">
        <v>4</v>
      </c>
    </row>
    <row r="323" spans="1:5" ht="15.75" customHeight="1" x14ac:dyDescent="0.3">
      <c r="A323" s="45" t="str">
        <f t="shared" si="1"/>
        <v>ManausSão PauloCaminhão</v>
      </c>
      <c r="B323" s="46" t="s">
        <v>25</v>
      </c>
      <c r="C323" s="46" t="s">
        <v>23</v>
      </c>
      <c r="D323" s="47" t="s">
        <v>66</v>
      </c>
      <c r="E323" s="48">
        <v>3</v>
      </c>
    </row>
    <row r="324" spans="1:5" ht="15.75" customHeight="1" x14ac:dyDescent="0.3">
      <c r="A324" s="45" t="str">
        <f t="shared" si="1"/>
        <v>ManausUberlândiaCaminhão</v>
      </c>
      <c r="B324" s="46" t="s">
        <v>25</v>
      </c>
      <c r="C324" s="46" t="s">
        <v>23</v>
      </c>
      <c r="D324" s="47" t="s">
        <v>67</v>
      </c>
      <c r="E324" s="48">
        <v>3</v>
      </c>
    </row>
    <row r="325" spans="1:5" ht="15.75" customHeight="1" x14ac:dyDescent="0.3">
      <c r="A325" s="45" t="str">
        <f t="shared" si="1"/>
        <v>ManausVitóriaCaminhão</v>
      </c>
      <c r="B325" s="46" t="s">
        <v>25</v>
      </c>
      <c r="C325" s="46" t="s">
        <v>23</v>
      </c>
      <c r="D325" s="47" t="s">
        <v>68</v>
      </c>
      <c r="E325" s="48">
        <v>4</v>
      </c>
    </row>
    <row r="326" spans="1:5" ht="15.75" customHeight="1" x14ac:dyDescent="0.3">
      <c r="A326" s="45" t="str">
        <f t="shared" si="1"/>
        <v>ManausVitória da ConquistaCaminhão</v>
      </c>
      <c r="B326" s="46" t="s">
        <v>25</v>
      </c>
      <c r="C326" s="46" t="s">
        <v>23</v>
      </c>
      <c r="D326" s="47" t="s">
        <v>49</v>
      </c>
      <c r="E326" s="48">
        <v>4</v>
      </c>
    </row>
    <row r="327" spans="1:5" ht="15.75" customHeight="1" x14ac:dyDescent="0.3">
      <c r="A327" s="45" t="str">
        <f t="shared" si="1"/>
        <v>NatalBelémCaminhão</v>
      </c>
      <c r="B327" s="46" t="s">
        <v>25</v>
      </c>
      <c r="C327" s="46" t="s">
        <v>61</v>
      </c>
      <c r="D327" s="47" t="s">
        <v>48</v>
      </c>
      <c r="E327" s="48">
        <v>2</v>
      </c>
    </row>
    <row r="328" spans="1:5" ht="15.75" customHeight="1" x14ac:dyDescent="0.3">
      <c r="A328" s="45" t="str">
        <f t="shared" si="1"/>
        <v>NatalBelo HorizonteCaminhão</v>
      </c>
      <c r="B328" s="46" t="s">
        <v>25</v>
      </c>
      <c r="C328" s="46" t="s">
        <v>61</v>
      </c>
      <c r="D328" s="47" t="s">
        <v>52</v>
      </c>
      <c r="E328" s="48">
        <v>2</v>
      </c>
    </row>
    <row r="329" spans="1:5" ht="15.75" customHeight="1" x14ac:dyDescent="0.3">
      <c r="A329" s="45" t="str">
        <f t="shared" si="1"/>
        <v>NatalBrasíliaCaminhão</v>
      </c>
      <c r="B329" s="46" t="s">
        <v>25</v>
      </c>
      <c r="C329" s="46" t="s">
        <v>61</v>
      </c>
      <c r="D329" s="47" t="s">
        <v>53</v>
      </c>
      <c r="E329" s="48">
        <v>2</v>
      </c>
    </row>
    <row r="330" spans="1:5" ht="15.75" customHeight="1" x14ac:dyDescent="0.3">
      <c r="A330" s="45" t="str">
        <f t="shared" si="1"/>
        <v>NatalCampinasCaminhão</v>
      </c>
      <c r="B330" s="46" t="s">
        <v>25</v>
      </c>
      <c r="C330" s="46" t="s">
        <v>61</v>
      </c>
      <c r="D330" s="47" t="s">
        <v>54</v>
      </c>
      <c r="E330" s="48">
        <v>2</v>
      </c>
    </row>
    <row r="331" spans="1:5" ht="15.75" customHeight="1" x14ac:dyDescent="0.3">
      <c r="A331" s="45" t="str">
        <f t="shared" si="1"/>
        <v>NatalCampo GrandeCaminhão</v>
      </c>
      <c r="B331" s="46" t="s">
        <v>25</v>
      </c>
      <c r="C331" s="46" t="s">
        <v>61</v>
      </c>
      <c r="D331" s="47" t="s">
        <v>55</v>
      </c>
      <c r="E331" s="48">
        <v>3</v>
      </c>
    </row>
    <row r="332" spans="1:5" ht="15.75" customHeight="1" x14ac:dyDescent="0.3">
      <c r="A332" s="45" t="str">
        <f t="shared" si="1"/>
        <v>NatalCuiabáCaminhão</v>
      </c>
      <c r="B332" s="46" t="s">
        <v>25</v>
      </c>
      <c r="C332" s="46" t="s">
        <v>61</v>
      </c>
      <c r="D332" s="47" t="s">
        <v>37</v>
      </c>
      <c r="E332" s="48">
        <v>3</v>
      </c>
    </row>
    <row r="333" spans="1:5" ht="15.75" customHeight="1" x14ac:dyDescent="0.3">
      <c r="A333" s="45" t="str">
        <f t="shared" si="1"/>
        <v>NatalCuritibaCaminhão</v>
      </c>
      <c r="B333" s="46" t="s">
        <v>25</v>
      </c>
      <c r="C333" s="46" t="s">
        <v>61</v>
      </c>
      <c r="D333" s="47" t="s">
        <v>56</v>
      </c>
      <c r="E333" s="48">
        <v>3</v>
      </c>
    </row>
    <row r="334" spans="1:5" ht="15.75" customHeight="1" x14ac:dyDescent="0.3">
      <c r="A334" s="45" t="str">
        <f t="shared" si="1"/>
        <v>NatalFortalezaCaminhão</v>
      </c>
      <c r="B334" s="46" t="s">
        <v>25</v>
      </c>
      <c r="C334" s="46" t="s">
        <v>61</v>
      </c>
      <c r="D334" s="47" t="s">
        <v>57</v>
      </c>
      <c r="E334" s="48">
        <v>0</v>
      </c>
    </row>
    <row r="335" spans="1:5" ht="15.75" customHeight="1" x14ac:dyDescent="0.3">
      <c r="A335" s="45" t="str">
        <f t="shared" si="1"/>
        <v>NatalGoiâniaCaminhão</v>
      </c>
      <c r="B335" s="46" t="s">
        <v>25</v>
      </c>
      <c r="C335" s="46" t="s">
        <v>61</v>
      </c>
      <c r="D335" s="47" t="s">
        <v>58</v>
      </c>
      <c r="E335" s="48">
        <v>2</v>
      </c>
    </row>
    <row r="336" spans="1:5" ht="15.75" customHeight="1" x14ac:dyDescent="0.3">
      <c r="A336" s="45" t="str">
        <f t="shared" si="1"/>
        <v>NatalJoão PessoaCaminhão</v>
      </c>
      <c r="B336" s="46" t="s">
        <v>25</v>
      </c>
      <c r="C336" s="46" t="s">
        <v>61</v>
      </c>
      <c r="D336" s="47" t="s">
        <v>59</v>
      </c>
      <c r="E336" s="48">
        <v>0</v>
      </c>
    </row>
    <row r="337" spans="1:5" ht="15.75" customHeight="1" x14ac:dyDescent="0.3">
      <c r="A337" s="45" t="str">
        <f t="shared" si="1"/>
        <v>NatalJoinvilleCaminhão</v>
      </c>
      <c r="B337" s="46" t="s">
        <v>25</v>
      </c>
      <c r="C337" s="46" t="s">
        <v>61</v>
      </c>
      <c r="D337" s="47" t="s">
        <v>28</v>
      </c>
      <c r="E337" s="48">
        <v>3</v>
      </c>
    </row>
    <row r="338" spans="1:5" ht="15.75" customHeight="1" x14ac:dyDescent="0.3">
      <c r="A338" s="45" t="str">
        <f t="shared" si="1"/>
        <v>NatalMaceióCaminhão</v>
      </c>
      <c r="B338" s="46" t="s">
        <v>25</v>
      </c>
      <c r="C338" s="46" t="s">
        <v>61</v>
      </c>
      <c r="D338" s="47" t="s">
        <v>60</v>
      </c>
      <c r="E338" s="48">
        <v>0</v>
      </c>
    </row>
    <row r="339" spans="1:5" ht="15.75" customHeight="1" x14ac:dyDescent="0.3">
      <c r="A339" s="45" t="str">
        <f t="shared" si="1"/>
        <v>NatalManausCaminhão</v>
      </c>
      <c r="B339" s="46" t="s">
        <v>25</v>
      </c>
      <c r="C339" s="46" t="s">
        <v>61</v>
      </c>
      <c r="D339" s="47" t="s">
        <v>23</v>
      </c>
      <c r="E339" s="48">
        <v>5</v>
      </c>
    </row>
    <row r="340" spans="1:5" ht="15.75" customHeight="1" x14ac:dyDescent="0.3">
      <c r="A340" s="45" t="str">
        <f t="shared" si="1"/>
        <v>NatalNatalCaminhão</v>
      </c>
      <c r="B340" s="46" t="s">
        <v>25</v>
      </c>
      <c r="C340" s="46" t="s">
        <v>61</v>
      </c>
      <c r="D340" s="47" t="s">
        <v>61</v>
      </c>
      <c r="E340" s="48">
        <v>0</v>
      </c>
    </row>
    <row r="341" spans="1:5" ht="15.75" customHeight="1" x14ac:dyDescent="0.3">
      <c r="A341" s="45" t="str">
        <f t="shared" si="1"/>
        <v>NatalPorto AlegreCaminhão</v>
      </c>
      <c r="B341" s="46" t="s">
        <v>25</v>
      </c>
      <c r="C341" s="46" t="s">
        <v>61</v>
      </c>
      <c r="D341" s="47" t="s">
        <v>44</v>
      </c>
      <c r="E341" s="48">
        <v>3</v>
      </c>
    </row>
    <row r="342" spans="1:5" ht="15.75" customHeight="1" x14ac:dyDescent="0.3">
      <c r="A342" s="45" t="str">
        <f t="shared" si="1"/>
        <v>NatalRecifeCaminhão</v>
      </c>
      <c r="B342" s="46" t="s">
        <v>25</v>
      </c>
      <c r="C342" s="46" t="s">
        <v>61</v>
      </c>
      <c r="D342" s="47" t="s">
        <v>62</v>
      </c>
      <c r="E342" s="48">
        <v>0</v>
      </c>
    </row>
    <row r="343" spans="1:5" ht="15.75" customHeight="1" x14ac:dyDescent="0.3">
      <c r="A343" s="45" t="str">
        <f t="shared" si="1"/>
        <v>NatalRibeirão PretoCaminhão</v>
      </c>
      <c r="B343" s="46" t="s">
        <v>25</v>
      </c>
      <c r="C343" s="46" t="s">
        <v>61</v>
      </c>
      <c r="D343" s="47" t="s">
        <v>63</v>
      </c>
      <c r="E343" s="48">
        <v>2</v>
      </c>
    </row>
    <row r="344" spans="1:5" ht="15.75" customHeight="1" x14ac:dyDescent="0.3">
      <c r="A344" s="45" t="str">
        <f t="shared" si="1"/>
        <v>NatalRio de JaneiroCaminhão</v>
      </c>
      <c r="B344" s="46" t="s">
        <v>25</v>
      </c>
      <c r="C344" s="46" t="s">
        <v>61</v>
      </c>
      <c r="D344" s="47" t="s">
        <v>64</v>
      </c>
      <c r="E344" s="48">
        <v>2</v>
      </c>
    </row>
    <row r="345" spans="1:5" ht="15.75" customHeight="1" x14ac:dyDescent="0.3">
      <c r="A345" s="45" t="str">
        <f t="shared" si="1"/>
        <v>NatalSalvadorCaminhão</v>
      </c>
      <c r="B345" s="46" t="s">
        <v>25</v>
      </c>
      <c r="C345" s="46" t="s">
        <v>61</v>
      </c>
      <c r="D345" s="47" t="s">
        <v>65</v>
      </c>
      <c r="E345" s="48">
        <v>1</v>
      </c>
    </row>
    <row r="346" spans="1:5" ht="15.75" customHeight="1" x14ac:dyDescent="0.3">
      <c r="A346" s="45" t="str">
        <f t="shared" si="1"/>
        <v>NatalSantosCaminhão</v>
      </c>
      <c r="B346" s="46" t="s">
        <v>25</v>
      </c>
      <c r="C346" s="46" t="s">
        <v>61</v>
      </c>
      <c r="D346" s="47" t="s">
        <v>47</v>
      </c>
      <c r="E346" s="48">
        <v>3</v>
      </c>
    </row>
    <row r="347" spans="1:5" ht="15.75" customHeight="1" x14ac:dyDescent="0.3">
      <c r="A347" s="45" t="str">
        <f t="shared" si="1"/>
        <v>NatalSão LuísCaminhão</v>
      </c>
      <c r="B347" s="46" t="s">
        <v>25</v>
      </c>
      <c r="C347" s="46" t="s">
        <v>61</v>
      </c>
      <c r="D347" s="47" t="s">
        <v>50</v>
      </c>
      <c r="E347" s="48">
        <v>1</v>
      </c>
    </row>
    <row r="348" spans="1:5" ht="15.75" customHeight="1" x14ac:dyDescent="0.3">
      <c r="A348" s="45" t="str">
        <f t="shared" si="1"/>
        <v>NatalSão PauloCaminhão</v>
      </c>
      <c r="B348" s="46" t="s">
        <v>25</v>
      </c>
      <c r="C348" s="46" t="s">
        <v>61</v>
      </c>
      <c r="D348" s="47" t="s">
        <v>66</v>
      </c>
      <c r="E348" s="48">
        <v>2</v>
      </c>
    </row>
    <row r="349" spans="1:5" ht="15.75" customHeight="1" x14ac:dyDescent="0.3">
      <c r="A349" s="45" t="str">
        <f t="shared" si="1"/>
        <v>NatalUberlândiaCaminhão</v>
      </c>
      <c r="B349" s="46" t="s">
        <v>25</v>
      </c>
      <c r="C349" s="46" t="s">
        <v>61</v>
      </c>
      <c r="D349" s="47" t="s">
        <v>67</v>
      </c>
      <c r="E349" s="48">
        <v>2</v>
      </c>
    </row>
    <row r="350" spans="1:5" ht="15.75" customHeight="1" x14ac:dyDescent="0.3">
      <c r="A350" s="45" t="str">
        <f t="shared" si="1"/>
        <v>NatalVitóriaCaminhão</v>
      </c>
      <c r="B350" s="46" t="s">
        <v>25</v>
      </c>
      <c r="C350" s="46" t="s">
        <v>61</v>
      </c>
      <c r="D350" s="47" t="s">
        <v>68</v>
      </c>
      <c r="E350" s="48">
        <v>2</v>
      </c>
    </row>
    <row r="351" spans="1:5" ht="15.75" customHeight="1" x14ac:dyDescent="0.3">
      <c r="A351" s="45" t="str">
        <f t="shared" si="1"/>
        <v>NatalVitória da ConquistaCaminhão</v>
      </c>
      <c r="B351" s="46" t="s">
        <v>25</v>
      </c>
      <c r="C351" s="46" t="s">
        <v>61</v>
      </c>
      <c r="D351" s="47" t="s">
        <v>49</v>
      </c>
      <c r="E351" s="48">
        <v>1</v>
      </c>
    </row>
    <row r="352" spans="1:5" ht="15.75" customHeight="1" x14ac:dyDescent="0.3">
      <c r="A352" s="45" t="str">
        <f t="shared" si="1"/>
        <v>Porto AlegreBelémCaminhão</v>
      </c>
      <c r="B352" s="46" t="s">
        <v>25</v>
      </c>
      <c r="C352" s="46" t="s">
        <v>44</v>
      </c>
      <c r="D352" s="47" t="s">
        <v>48</v>
      </c>
      <c r="E352" s="48">
        <v>3</v>
      </c>
    </row>
    <row r="353" spans="1:5" ht="15.75" customHeight="1" x14ac:dyDescent="0.3">
      <c r="A353" s="45" t="str">
        <f t="shared" si="1"/>
        <v>Porto AlegreBelo HorizonteCaminhão</v>
      </c>
      <c r="B353" s="46" t="s">
        <v>25</v>
      </c>
      <c r="C353" s="46" t="s">
        <v>44</v>
      </c>
      <c r="D353" s="47" t="s">
        <v>52</v>
      </c>
      <c r="E353" s="48">
        <v>1</v>
      </c>
    </row>
    <row r="354" spans="1:5" ht="15.75" customHeight="1" x14ac:dyDescent="0.3">
      <c r="A354" s="45" t="str">
        <f t="shared" si="1"/>
        <v>Porto AlegreBrasíliaCaminhão</v>
      </c>
      <c r="B354" s="46" t="s">
        <v>25</v>
      </c>
      <c r="C354" s="46" t="s">
        <v>44</v>
      </c>
      <c r="D354" s="47" t="s">
        <v>53</v>
      </c>
      <c r="E354" s="48">
        <v>2</v>
      </c>
    </row>
    <row r="355" spans="1:5" ht="15.75" customHeight="1" x14ac:dyDescent="0.3">
      <c r="A355" s="45" t="str">
        <f t="shared" si="1"/>
        <v>Porto AlegreCampinasCaminhão</v>
      </c>
      <c r="B355" s="46" t="s">
        <v>25</v>
      </c>
      <c r="C355" s="46" t="s">
        <v>44</v>
      </c>
      <c r="D355" s="47" t="s">
        <v>54</v>
      </c>
      <c r="E355" s="48">
        <v>1</v>
      </c>
    </row>
    <row r="356" spans="1:5" ht="15.75" customHeight="1" x14ac:dyDescent="0.3">
      <c r="A356" s="45" t="str">
        <f t="shared" si="1"/>
        <v>Porto AlegreCampo GrandeCaminhão</v>
      </c>
      <c r="B356" s="46" t="s">
        <v>25</v>
      </c>
      <c r="C356" s="46" t="s">
        <v>44</v>
      </c>
      <c r="D356" s="47" t="s">
        <v>55</v>
      </c>
      <c r="E356" s="48">
        <v>1</v>
      </c>
    </row>
    <row r="357" spans="1:5" ht="15.75" customHeight="1" x14ac:dyDescent="0.3">
      <c r="A357" s="45" t="str">
        <f t="shared" si="1"/>
        <v>Porto AlegreCuiabáCaminhão</v>
      </c>
      <c r="B357" s="46" t="s">
        <v>25</v>
      </c>
      <c r="C357" s="46" t="s">
        <v>44</v>
      </c>
      <c r="D357" s="47" t="s">
        <v>37</v>
      </c>
      <c r="E357" s="48">
        <v>2</v>
      </c>
    </row>
    <row r="358" spans="1:5" ht="15.75" customHeight="1" x14ac:dyDescent="0.3">
      <c r="A358" s="45" t="str">
        <f t="shared" si="1"/>
        <v>Porto AlegreCuritibaCaminhão</v>
      </c>
      <c r="B358" s="46" t="s">
        <v>25</v>
      </c>
      <c r="C358" s="46" t="s">
        <v>44</v>
      </c>
      <c r="D358" s="47" t="s">
        <v>56</v>
      </c>
      <c r="E358" s="48">
        <v>1</v>
      </c>
    </row>
    <row r="359" spans="1:5" ht="15.75" customHeight="1" x14ac:dyDescent="0.3">
      <c r="A359" s="45" t="str">
        <f t="shared" si="1"/>
        <v>Porto AlegreFortalezaCaminhão</v>
      </c>
      <c r="B359" s="46" t="s">
        <v>25</v>
      </c>
      <c r="C359" s="46" t="s">
        <v>44</v>
      </c>
      <c r="D359" s="47" t="s">
        <v>57</v>
      </c>
      <c r="E359" s="48">
        <v>4</v>
      </c>
    </row>
    <row r="360" spans="1:5" ht="15.75" customHeight="1" x14ac:dyDescent="0.3">
      <c r="A360" s="45" t="str">
        <f t="shared" si="1"/>
        <v>Porto AlegreGoiâniaCaminhão</v>
      </c>
      <c r="B360" s="46" t="s">
        <v>25</v>
      </c>
      <c r="C360" s="46" t="s">
        <v>44</v>
      </c>
      <c r="D360" s="47" t="s">
        <v>58</v>
      </c>
      <c r="E360" s="48">
        <v>2</v>
      </c>
    </row>
    <row r="361" spans="1:5" ht="15.75" customHeight="1" x14ac:dyDescent="0.3">
      <c r="A361" s="45" t="str">
        <f t="shared" si="1"/>
        <v>Porto AlegreJoão PessoaCaminhão</v>
      </c>
      <c r="B361" s="46" t="s">
        <v>25</v>
      </c>
      <c r="C361" s="46" t="s">
        <v>44</v>
      </c>
      <c r="D361" s="47" t="s">
        <v>59</v>
      </c>
      <c r="E361" s="48">
        <v>3</v>
      </c>
    </row>
    <row r="362" spans="1:5" ht="15.75" customHeight="1" x14ac:dyDescent="0.3">
      <c r="A362" s="45" t="str">
        <f t="shared" si="1"/>
        <v>Porto AlegreJoinvilleCaminhão</v>
      </c>
      <c r="B362" s="46" t="s">
        <v>25</v>
      </c>
      <c r="C362" s="46" t="s">
        <v>44</v>
      </c>
      <c r="D362" s="47" t="s">
        <v>28</v>
      </c>
      <c r="E362" s="48">
        <v>1</v>
      </c>
    </row>
    <row r="363" spans="1:5" ht="15.75" customHeight="1" x14ac:dyDescent="0.3">
      <c r="A363" s="45" t="str">
        <f t="shared" si="1"/>
        <v>Porto AlegreMaceióCaminhão</v>
      </c>
      <c r="B363" s="46" t="s">
        <v>25</v>
      </c>
      <c r="C363" s="46" t="s">
        <v>44</v>
      </c>
      <c r="D363" s="47" t="s">
        <v>60</v>
      </c>
      <c r="E363" s="48">
        <v>3</v>
      </c>
    </row>
    <row r="364" spans="1:5" ht="15.75" customHeight="1" x14ac:dyDescent="0.3">
      <c r="A364" s="45" t="str">
        <f t="shared" si="1"/>
        <v>Porto AlegreManausCaminhão</v>
      </c>
      <c r="B364" s="46" t="s">
        <v>25</v>
      </c>
      <c r="C364" s="46" t="s">
        <v>44</v>
      </c>
      <c r="D364" s="47" t="s">
        <v>23</v>
      </c>
      <c r="E364" s="48">
        <v>4</v>
      </c>
    </row>
    <row r="365" spans="1:5" ht="15.75" customHeight="1" x14ac:dyDescent="0.3">
      <c r="A365" s="45" t="str">
        <f t="shared" si="1"/>
        <v>Porto AlegreNatalCaminhão</v>
      </c>
      <c r="B365" s="46" t="s">
        <v>25</v>
      </c>
      <c r="C365" s="46" t="s">
        <v>44</v>
      </c>
      <c r="D365" s="47" t="s">
        <v>61</v>
      </c>
      <c r="E365" s="48">
        <v>3</v>
      </c>
    </row>
    <row r="366" spans="1:5" ht="15.75" customHeight="1" x14ac:dyDescent="0.3">
      <c r="A366" s="45" t="str">
        <f t="shared" si="1"/>
        <v>Porto AlegrePorto AlegreCaminhão</v>
      </c>
      <c r="B366" s="46" t="s">
        <v>25</v>
      </c>
      <c r="C366" s="46" t="s">
        <v>44</v>
      </c>
      <c r="D366" s="47" t="s">
        <v>44</v>
      </c>
      <c r="E366" s="48">
        <v>0</v>
      </c>
    </row>
    <row r="367" spans="1:5" ht="15.75" customHeight="1" x14ac:dyDescent="0.3">
      <c r="A367" s="45" t="str">
        <f t="shared" si="1"/>
        <v>Porto AlegreRecifeCaminhão</v>
      </c>
      <c r="B367" s="46" t="s">
        <v>25</v>
      </c>
      <c r="C367" s="46" t="s">
        <v>44</v>
      </c>
      <c r="D367" s="47" t="s">
        <v>62</v>
      </c>
      <c r="E367" s="48">
        <v>3</v>
      </c>
    </row>
    <row r="368" spans="1:5" ht="15.75" customHeight="1" x14ac:dyDescent="0.3">
      <c r="A368" s="45" t="str">
        <f t="shared" si="1"/>
        <v>Porto AlegreRibeirão PretoCaminhão</v>
      </c>
      <c r="B368" s="46" t="s">
        <v>25</v>
      </c>
      <c r="C368" s="46" t="s">
        <v>44</v>
      </c>
      <c r="D368" s="47" t="s">
        <v>63</v>
      </c>
      <c r="E368" s="48">
        <v>1</v>
      </c>
    </row>
    <row r="369" spans="1:5" ht="15.75" customHeight="1" x14ac:dyDescent="0.3">
      <c r="A369" s="45" t="str">
        <f t="shared" si="1"/>
        <v>Porto AlegreRio de JaneiroCaminhão</v>
      </c>
      <c r="B369" s="46" t="s">
        <v>25</v>
      </c>
      <c r="C369" s="46" t="s">
        <v>44</v>
      </c>
      <c r="D369" s="47" t="s">
        <v>64</v>
      </c>
      <c r="E369" s="48">
        <v>1</v>
      </c>
    </row>
    <row r="370" spans="1:5" ht="15.75" customHeight="1" x14ac:dyDescent="0.3">
      <c r="A370" s="45" t="str">
        <f t="shared" si="1"/>
        <v>Porto AlegreSalvadorCaminhão</v>
      </c>
      <c r="B370" s="46" t="s">
        <v>25</v>
      </c>
      <c r="C370" s="46" t="s">
        <v>44</v>
      </c>
      <c r="D370" s="47" t="s">
        <v>65</v>
      </c>
      <c r="E370" s="48">
        <v>3</v>
      </c>
    </row>
    <row r="371" spans="1:5" ht="15.75" customHeight="1" x14ac:dyDescent="0.3">
      <c r="A371" s="45" t="str">
        <f t="shared" si="1"/>
        <v>Porto AlegreSantosCaminhão</v>
      </c>
      <c r="B371" s="46" t="s">
        <v>25</v>
      </c>
      <c r="C371" s="46" t="s">
        <v>44</v>
      </c>
      <c r="D371" s="47" t="s">
        <v>47</v>
      </c>
      <c r="E371" s="48">
        <v>1</v>
      </c>
    </row>
    <row r="372" spans="1:5" ht="15.75" customHeight="1" x14ac:dyDescent="0.3">
      <c r="A372" s="45" t="str">
        <f t="shared" si="1"/>
        <v>Porto AlegreSão LuísCaminhão</v>
      </c>
      <c r="B372" s="46" t="s">
        <v>25</v>
      </c>
      <c r="C372" s="46" t="s">
        <v>44</v>
      </c>
      <c r="D372" s="47" t="s">
        <v>50</v>
      </c>
      <c r="E372" s="48">
        <v>3</v>
      </c>
    </row>
    <row r="373" spans="1:5" ht="15.75" customHeight="1" x14ac:dyDescent="0.3">
      <c r="A373" s="45" t="str">
        <f t="shared" si="1"/>
        <v>Porto AlegreSão PauloCaminhão</v>
      </c>
      <c r="B373" s="46" t="s">
        <v>25</v>
      </c>
      <c r="C373" s="46" t="s">
        <v>44</v>
      </c>
      <c r="D373" s="47" t="s">
        <v>66</v>
      </c>
      <c r="E373" s="48">
        <v>1</v>
      </c>
    </row>
    <row r="374" spans="1:5" ht="15.75" customHeight="1" x14ac:dyDescent="0.3">
      <c r="A374" s="45" t="str">
        <f t="shared" si="1"/>
        <v>Porto AlegreUberlândiaCaminhão</v>
      </c>
      <c r="B374" s="46" t="s">
        <v>25</v>
      </c>
      <c r="C374" s="46" t="s">
        <v>44</v>
      </c>
      <c r="D374" s="47" t="s">
        <v>67</v>
      </c>
      <c r="E374" s="48">
        <v>1</v>
      </c>
    </row>
    <row r="375" spans="1:5" ht="15.75" customHeight="1" x14ac:dyDescent="0.3">
      <c r="A375" s="45" t="str">
        <f t="shared" si="1"/>
        <v>Porto AlegreVitóriaCaminhão</v>
      </c>
      <c r="B375" s="46" t="s">
        <v>25</v>
      </c>
      <c r="C375" s="46" t="s">
        <v>44</v>
      </c>
      <c r="D375" s="47" t="s">
        <v>68</v>
      </c>
      <c r="E375" s="48">
        <v>2</v>
      </c>
    </row>
    <row r="376" spans="1:5" ht="15.75" customHeight="1" x14ac:dyDescent="0.3">
      <c r="A376" s="45" t="str">
        <f t="shared" si="1"/>
        <v>Porto AlegreVitória da ConquistaCaminhão</v>
      </c>
      <c r="B376" s="46" t="s">
        <v>25</v>
      </c>
      <c r="C376" s="46" t="s">
        <v>44</v>
      </c>
      <c r="D376" s="47" t="s">
        <v>49</v>
      </c>
      <c r="E376" s="48">
        <v>3</v>
      </c>
    </row>
    <row r="377" spans="1:5" ht="15.75" customHeight="1" x14ac:dyDescent="0.3">
      <c r="A377" s="45" t="str">
        <f t="shared" si="1"/>
        <v>RecifeBelémCaminhão</v>
      </c>
      <c r="B377" s="46" t="s">
        <v>25</v>
      </c>
      <c r="C377" s="46" t="s">
        <v>62</v>
      </c>
      <c r="D377" s="47" t="s">
        <v>48</v>
      </c>
      <c r="E377" s="48">
        <v>2</v>
      </c>
    </row>
    <row r="378" spans="1:5" ht="15.75" customHeight="1" x14ac:dyDescent="0.3">
      <c r="A378" s="45" t="str">
        <f t="shared" si="1"/>
        <v>RecifeBelo HorizonteCaminhão</v>
      </c>
      <c r="B378" s="46" t="s">
        <v>25</v>
      </c>
      <c r="C378" s="46" t="s">
        <v>62</v>
      </c>
      <c r="D378" s="47" t="s">
        <v>52</v>
      </c>
      <c r="E378" s="48">
        <v>2</v>
      </c>
    </row>
    <row r="379" spans="1:5" ht="15.75" customHeight="1" x14ac:dyDescent="0.3">
      <c r="A379" s="45" t="str">
        <f t="shared" si="1"/>
        <v>RecifeBrasíliaCaminhão</v>
      </c>
      <c r="B379" s="46" t="s">
        <v>25</v>
      </c>
      <c r="C379" s="46" t="s">
        <v>62</v>
      </c>
      <c r="D379" s="47" t="s">
        <v>53</v>
      </c>
      <c r="E379" s="48">
        <v>2</v>
      </c>
    </row>
    <row r="380" spans="1:5" ht="15.75" customHeight="1" x14ac:dyDescent="0.3">
      <c r="A380" s="45" t="str">
        <f t="shared" si="1"/>
        <v>RecifeCampinasCaminhão</v>
      </c>
      <c r="B380" s="46" t="s">
        <v>25</v>
      </c>
      <c r="C380" s="46" t="s">
        <v>62</v>
      </c>
      <c r="D380" s="47" t="s">
        <v>54</v>
      </c>
      <c r="E380" s="48">
        <v>2</v>
      </c>
    </row>
    <row r="381" spans="1:5" ht="15.75" customHeight="1" x14ac:dyDescent="0.3">
      <c r="A381" s="45" t="str">
        <f t="shared" si="1"/>
        <v>RecifeCampo GrandeCaminhão</v>
      </c>
      <c r="B381" s="46" t="s">
        <v>25</v>
      </c>
      <c r="C381" s="46" t="s">
        <v>62</v>
      </c>
      <c r="D381" s="47" t="s">
        <v>55</v>
      </c>
      <c r="E381" s="48">
        <v>3</v>
      </c>
    </row>
    <row r="382" spans="1:5" ht="15.75" customHeight="1" x14ac:dyDescent="0.3">
      <c r="A382" s="45" t="str">
        <f t="shared" si="1"/>
        <v>RecifeCuiabáCaminhão</v>
      </c>
      <c r="B382" s="46" t="s">
        <v>25</v>
      </c>
      <c r="C382" s="46" t="s">
        <v>62</v>
      </c>
      <c r="D382" s="47" t="s">
        <v>37</v>
      </c>
      <c r="E382" s="48">
        <v>3</v>
      </c>
    </row>
    <row r="383" spans="1:5" ht="15.75" customHeight="1" x14ac:dyDescent="0.3">
      <c r="A383" s="45" t="str">
        <f t="shared" si="1"/>
        <v>RecifeCuritibaCaminhão</v>
      </c>
      <c r="B383" s="46" t="s">
        <v>25</v>
      </c>
      <c r="C383" s="46" t="s">
        <v>62</v>
      </c>
      <c r="D383" s="47" t="s">
        <v>56</v>
      </c>
      <c r="E383" s="48">
        <v>3</v>
      </c>
    </row>
    <row r="384" spans="1:5" ht="15.75" customHeight="1" x14ac:dyDescent="0.3">
      <c r="A384" s="45" t="str">
        <f t="shared" si="1"/>
        <v>RecifeFortalezaCaminhão</v>
      </c>
      <c r="B384" s="46" t="s">
        <v>25</v>
      </c>
      <c r="C384" s="46" t="s">
        <v>62</v>
      </c>
      <c r="D384" s="47" t="s">
        <v>57</v>
      </c>
      <c r="E384" s="48">
        <v>1</v>
      </c>
    </row>
    <row r="385" spans="1:5" ht="15.75" customHeight="1" x14ac:dyDescent="0.3">
      <c r="A385" s="45" t="str">
        <f t="shared" si="1"/>
        <v>RecifeGoiâniaCaminhão</v>
      </c>
      <c r="B385" s="46" t="s">
        <v>25</v>
      </c>
      <c r="C385" s="46" t="s">
        <v>62</v>
      </c>
      <c r="D385" s="47" t="s">
        <v>58</v>
      </c>
      <c r="E385" s="48">
        <v>2</v>
      </c>
    </row>
    <row r="386" spans="1:5" ht="15.75" customHeight="1" x14ac:dyDescent="0.3">
      <c r="A386" s="45" t="str">
        <f t="shared" si="1"/>
        <v>RecifeJoão PessoaCaminhão</v>
      </c>
      <c r="B386" s="46" t="s">
        <v>25</v>
      </c>
      <c r="C386" s="46" t="s">
        <v>62</v>
      </c>
      <c r="D386" s="47" t="s">
        <v>59</v>
      </c>
      <c r="E386" s="48">
        <v>0</v>
      </c>
    </row>
    <row r="387" spans="1:5" ht="15.75" customHeight="1" x14ac:dyDescent="0.3">
      <c r="A387" s="45" t="str">
        <f t="shared" si="1"/>
        <v>RecifeJoinvilleCaminhão</v>
      </c>
      <c r="B387" s="46" t="s">
        <v>25</v>
      </c>
      <c r="C387" s="46" t="s">
        <v>62</v>
      </c>
      <c r="D387" s="47" t="s">
        <v>28</v>
      </c>
      <c r="E387" s="48">
        <v>3</v>
      </c>
    </row>
    <row r="388" spans="1:5" ht="15.75" customHeight="1" x14ac:dyDescent="0.3">
      <c r="A388" s="45" t="str">
        <f t="shared" si="1"/>
        <v>RecifeMaceióCaminhão</v>
      </c>
      <c r="B388" s="46" t="s">
        <v>25</v>
      </c>
      <c r="C388" s="46" t="s">
        <v>62</v>
      </c>
      <c r="D388" s="47" t="s">
        <v>60</v>
      </c>
      <c r="E388" s="48">
        <v>0</v>
      </c>
    </row>
    <row r="389" spans="1:5" ht="15.75" customHeight="1" x14ac:dyDescent="0.3">
      <c r="A389" s="45" t="str">
        <f t="shared" si="1"/>
        <v>RecifeManausCaminhão</v>
      </c>
      <c r="B389" s="46" t="s">
        <v>25</v>
      </c>
      <c r="C389" s="46" t="s">
        <v>62</v>
      </c>
      <c r="D389" s="47" t="s">
        <v>23</v>
      </c>
      <c r="E389" s="48">
        <v>5</v>
      </c>
    </row>
    <row r="390" spans="1:5" ht="15.75" customHeight="1" x14ac:dyDescent="0.3">
      <c r="A390" s="45" t="str">
        <f t="shared" si="1"/>
        <v>RecifeNatalCaminhão</v>
      </c>
      <c r="B390" s="46" t="s">
        <v>25</v>
      </c>
      <c r="C390" s="46" t="s">
        <v>62</v>
      </c>
      <c r="D390" s="47" t="s">
        <v>61</v>
      </c>
      <c r="E390" s="48">
        <v>0</v>
      </c>
    </row>
    <row r="391" spans="1:5" ht="15.75" customHeight="1" x14ac:dyDescent="0.3">
      <c r="A391" s="45" t="str">
        <f t="shared" si="1"/>
        <v>RecifePorto AlegreCaminhão</v>
      </c>
      <c r="B391" s="46" t="s">
        <v>25</v>
      </c>
      <c r="C391" s="46" t="s">
        <v>62</v>
      </c>
      <c r="D391" s="47" t="s">
        <v>44</v>
      </c>
      <c r="E391" s="48">
        <v>3</v>
      </c>
    </row>
    <row r="392" spans="1:5" ht="15.75" customHeight="1" x14ac:dyDescent="0.3">
      <c r="A392" s="45" t="str">
        <f t="shared" si="1"/>
        <v>RecifeRecifeCaminhão</v>
      </c>
      <c r="B392" s="46" t="s">
        <v>25</v>
      </c>
      <c r="C392" s="46" t="s">
        <v>62</v>
      </c>
      <c r="D392" s="47" t="s">
        <v>62</v>
      </c>
      <c r="E392" s="48">
        <v>0</v>
      </c>
    </row>
    <row r="393" spans="1:5" ht="15.75" customHeight="1" x14ac:dyDescent="0.3">
      <c r="A393" s="45" t="str">
        <f t="shared" si="1"/>
        <v>RecifeRibeirão PretoCaminhão</v>
      </c>
      <c r="B393" s="46" t="s">
        <v>25</v>
      </c>
      <c r="C393" s="46" t="s">
        <v>62</v>
      </c>
      <c r="D393" s="47" t="s">
        <v>63</v>
      </c>
      <c r="E393" s="48">
        <v>2</v>
      </c>
    </row>
    <row r="394" spans="1:5" ht="15.75" customHeight="1" x14ac:dyDescent="0.3">
      <c r="A394" s="45" t="str">
        <f t="shared" si="1"/>
        <v>RecifeRio de JaneiroCaminhão</v>
      </c>
      <c r="B394" s="46" t="s">
        <v>25</v>
      </c>
      <c r="C394" s="46" t="s">
        <v>62</v>
      </c>
      <c r="D394" s="47" t="s">
        <v>64</v>
      </c>
      <c r="E394" s="48">
        <v>2</v>
      </c>
    </row>
    <row r="395" spans="1:5" ht="15.75" customHeight="1" x14ac:dyDescent="0.3">
      <c r="A395" s="45" t="str">
        <f t="shared" si="1"/>
        <v>RecifeSalvadorCaminhão</v>
      </c>
      <c r="B395" s="46" t="s">
        <v>25</v>
      </c>
      <c r="C395" s="46" t="s">
        <v>62</v>
      </c>
      <c r="D395" s="47" t="s">
        <v>65</v>
      </c>
      <c r="E395" s="48">
        <v>1</v>
      </c>
    </row>
    <row r="396" spans="1:5" ht="15.75" customHeight="1" x14ac:dyDescent="0.3">
      <c r="A396" s="45" t="str">
        <f t="shared" si="1"/>
        <v>RecifeSantosCaminhão</v>
      </c>
      <c r="B396" s="46" t="s">
        <v>25</v>
      </c>
      <c r="C396" s="46" t="s">
        <v>62</v>
      </c>
      <c r="D396" s="47" t="s">
        <v>47</v>
      </c>
      <c r="E396" s="48">
        <v>2</v>
      </c>
    </row>
    <row r="397" spans="1:5" ht="15.75" customHeight="1" x14ac:dyDescent="0.3">
      <c r="A397" s="45" t="str">
        <f t="shared" si="1"/>
        <v>RecifeSão LuísCaminhão</v>
      </c>
      <c r="B397" s="46" t="s">
        <v>25</v>
      </c>
      <c r="C397" s="46" t="s">
        <v>62</v>
      </c>
      <c r="D397" s="47" t="s">
        <v>50</v>
      </c>
      <c r="E397" s="48">
        <v>1</v>
      </c>
    </row>
    <row r="398" spans="1:5" ht="15.75" customHeight="1" x14ac:dyDescent="0.3">
      <c r="A398" s="45" t="str">
        <f t="shared" si="1"/>
        <v>RecifeSão PauloCaminhão</v>
      </c>
      <c r="B398" s="46" t="s">
        <v>25</v>
      </c>
      <c r="C398" s="46" t="s">
        <v>62</v>
      </c>
      <c r="D398" s="47" t="s">
        <v>66</v>
      </c>
      <c r="E398" s="48">
        <v>2</v>
      </c>
    </row>
    <row r="399" spans="1:5" ht="15.75" customHeight="1" x14ac:dyDescent="0.3">
      <c r="A399" s="45" t="str">
        <f t="shared" si="1"/>
        <v>RecifeUberlândiaCaminhão</v>
      </c>
      <c r="B399" s="46" t="s">
        <v>25</v>
      </c>
      <c r="C399" s="46" t="s">
        <v>62</v>
      </c>
      <c r="D399" s="47" t="s">
        <v>67</v>
      </c>
      <c r="E399" s="48">
        <v>2</v>
      </c>
    </row>
    <row r="400" spans="1:5" ht="15.75" customHeight="1" x14ac:dyDescent="0.3">
      <c r="A400" s="45" t="str">
        <f t="shared" si="1"/>
        <v>RecifeVitóriaCaminhão</v>
      </c>
      <c r="B400" s="46" t="s">
        <v>25</v>
      </c>
      <c r="C400" s="46" t="s">
        <v>62</v>
      </c>
      <c r="D400" s="47" t="s">
        <v>68</v>
      </c>
      <c r="E400" s="48">
        <v>2</v>
      </c>
    </row>
    <row r="401" spans="1:5" ht="15.75" customHeight="1" x14ac:dyDescent="0.3">
      <c r="A401" s="45" t="str">
        <f t="shared" si="1"/>
        <v>RecifeVitória da ConquistaCaminhão</v>
      </c>
      <c r="B401" s="46" t="s">
        <v>25</v>
      </c>
      <c r="C401" s="46" t="s">
        <v>62</v>
      </c>
      <c r="D401" s="47" t="s">
        <v>49</v>
      </c>
      <c r="E401" s="48">
        <v>1</v>
      </c>
    </row>
    <row r="402" spans="1:5" ht="15.75" customHeight="1" x14ac:dyDescent="0.3">
      <c r="A402" s="45" t="str">
        <f t="shared" si="1"/>
        <v>Ribeirão PretoBelémCaminhão</v>
      </c>
      <c r="B402" s="46" t="s">
        <v>25</v>
      </c>
      <c r="C402" s="47" t="s">
        <v>63</v>
      </c>
      <c r="D402" s="47" t="s">
        <v>48</v>
      </c>
      <c r="E402" s="48">
        <v>2</v>
      </c>
    </row>
    <row r="403" spans="1:5" ht="15.75" customHeight="1" x14ac:dyDescent="0.3">
      <c r="A403" s="45" t="str">
        <f t="shared" si="1"/>
        <v>Ribeirão PretoBelo HorizonteCaminhão</v>
      </c>
      <c r="B403" s="46" t="s">
        <v>25</v>
      </c>
      <c r="C403" s="47" t="s">
        <v>63</v>
      </c>
      <c r="D403" s="47" t="s">
        <v>52</v>
      </c>
      <c r="E403" s="48">
        <v>0</v>
      </c>
    </row>
    <row r="404" spans="1:5" ht="15.75" customHeight="1" x14ac:dyDescent="0.3">
      <c r="A404" s="45" t="str">
        <f t="shared" si="1"/>
        <v>Ribeirão PretoBrasíliaCaminhão</v>
      </c>
      <c r="B404" s="46" t="s">
        <v>25</v>
      </c>
      <c r="C404" s="47" t="s">
        <v>63</v>
      </c>
      <c r="D404" s="47" t="s">
        <v>53</v>
      </c>
      <c r="E404" s="48">
        <v>1</v>
      </c>
    </row>
    <row r="405" spans="1:5" ht="15.75" customHeight="1" x14ac:dyDescent="0.3">
      <c r="A405" s="45" t="str">
        <f t="shared" si="1"/>
        <v>Ribeirão PretoCampinasCaminhão</v>
      </c>
      <c r="B405" s="46" t="s">
        <v>25</v>
      </c>
      <c r="C405" s="47" t="s">
        <v>63</v>
      </c>
      <c r="D405" s="47" t="s">
        <v>54</v>
      </c>
      <c r="E405" s="48">
        <v>0</v>
      </c>
    </row>
    <row r="406" spans="1:5" ht="15.75" customHeight="1" x14ac:dyDescent="0.3">
      <c r="A406" s="45" t="str">
        <f t="shared" si="1"/>
        <v>Ribeirão PretoCampo GrandeCaminhão</v>
      </c>
      <c r="B406" s="46" t="s">
        <v>25</v>
      </c>
      <c r="C406" s="47" t="s">
        <v>63</v>
      </c>
      <c r="D406" s="47" t="s">
        <v>55</v>
      </c>
      <c r="E406" s="48">
        <v>1</v>
      </c>
    </row>
    <row r="407" spans="1:5" ht="15.75" customHeight="1" x14ac:dyDescent="0.3">
      <c r="A407" s="45" t="str">
        <f t="shared" si="1"/>
        <v>Ribeirão PretoCuiabáCaminhão</v>
      </c>
      <c r="B407" s="46" t="s">
        <v>25</v>
      </c>
      <c r="C407" s="47" t="s">
        <v>63</v>
      </c>
      <c r="D407" s="47" t="s">
        <v>37</v>
      </c>
      <c r="E407" s="48">
        <v>1</v>
      </c>
    </row>
    <row r="408" spans="1:5" ht="15.75" customHeight="1" x14ac:dyDescent="0.3">
      <c r="A408" s="45" t="str">
        <f t="shared" si="1"/>
        <v>Ribeirão PretoCuritibaCaminhão</v>
      </c>
      <c r="B408" s="46" t="s">
        <v>25</v>
      </c>
      <c r="C408" s="47" t="s">
        <v>63</v>
      </c>
      <c r="D408" s="47" t="s">
        <v>56</v>
      </c>
      <c r="E408" s="48">
        <v>1</v>
      </c>
    </row>
    <row r="409" spans="1:5" ht="15.75" customHeight="1" x14ac:dyDescent="0.3">
      <c r="A409" s="45" t="str">
        <f t="shared" si="1"/>
        <v>Ribeirão PretoFortalezaCaminhão</v>
      </c>
      <c r="B409" s="46" t="s">
        <v>25</v>
      </c>
      <c r="C409" s="47" t="s">
        <v>63</v>
      </c>
      <c r="D409" s="47" t="s">
        <v>57</v>
      </c>
      <c r="E409" s="48">
        <v>2</v>
      </c>
    </row>
    <row r="410" spans="1:5" ht="15.75" customHeight="1" x14ac:dyDescent="0.3">
      <c r="A410" s="45" t="str">
        <f t="shared" si="1"/>
        <v>Ribeirão PretoGoiâniaCaminhão</v>
      </c>
      <c r="B410" s="46" t="s">
        <v>25</v>
      </c>
      <c r="C410" s="47" t="s">
        <v>63</v>
      </c>
      <c r="D410" s="47" t="s">
        <v>58</v>
      </c>
      <c r="E410" s="48">
        <v>1</v>
      </c>
    </row>
    <row r="411" spans="1:5" ht="15.75" customHeight="1" x14ac:dyDescent="0.3">
      <c r="A411" s="45" t="str">
        <f t="shared" si="1"/>
        <v>Ribeirão PretoJoão PessoaCaminhão</v>
      </c>
      <c r="B411" s="46" t="s">
        <v>25</v>
      </c>
      <c r="C411" s="47" t="s">
        <v>63</v>
      </c>
      <c r="D411" s="47" t="s">
        <v>59</v>
      </c>
      <c r="E411" s="48">
        <v>2</v>
      </c>
    </row>
    <row r="412" spans="1:5" ht="15.75" customHeight="1" x14ac:dyDescent="0.3">
      <c r="A412" s="45" t="str">
        <f t="shared" si="1"/>
        <v>Ribeirão PretoJoinvilleCaminhão</v>
      </c>
      <c r="B412" s="46" t="s">
        <v>25</v>
      </c>
      <c r="C412" s="47" t="s">
        <v>63</v>
      </c>
      <c r="D412" s="47" t="s">
        <v>28</v>
      </c>
      <c r="E412" s="48">
        <v>1</v>
      </c>
    </row>
    <row r="413" spans="1:5" ht="15.75" customHeight="1" x14ac:dyDescent="0.3">
      <c r="A413" s="45" t="str">
        <f t="shared" si="1"/>
        <v>Ribeirão PretoMaceióCaminhão</v>
      </c>
      <c r="B413" s="46" t="s">
        <v>25</v>
      </c>
      <c r="C413" s="47" t="s">
        <v>63</v>
      </c>
      <c r="D413" s="47" t="s">
        <v>60</v>
      </c>
      <c r="E413" s="48">
        <v>2</v>
      </c>
    </row>
    <row r="414" spans="1:5" ht="15.75" customHeight="1" x14ac:dyDescent="0.3">
      <c r="A414" s="45" t="str">
        <f t="shared" si="1"/>
        <v>Ribeirão PretoManausCaminhão</v>
      </c>
      <c r="B414" s="46" t="s">
        <v>25</v>
      </c>
      <c r="C414" s="47" t="s">
        <v>63</v>
      </c>
      <c r="D414" s="47" t="s">
        <v>23</v>
      </c>
      <c r="E414" s="48">
        <v>3</v>
      </c>
    </row>
    <row r="415" spans="1:5" ht="15.75" customHeight="1" x14ac:dyDescent="0.3">
      <c r="A415" s="45" t="str">
        <f t="shared" si="1"/>
        <v>Ribeirão PretoNatalCaminhão</v>
      </c>
      <c r="B415" s="46" t="s">
        <v>25</v>
      </c>
      <c r="C415" s="47" t="s">
        <v>63</v>
      </c>
      <c r="D415" s="47" t="s">
        <v>61</v>
      </c>
      <c r="E415" s="48">
        <v>2</v>
      </c>
    </row>
    <row r="416" spans="1:5" ht="15.75" customHeight="1" x14ac:dyDescent="0.3">
      <c r="A416" s="45" t="str">
        <f t="shared" si="1"/>
        <v>Ribeirão PretoPorto AlegreCaminhão</v>
      </c>
      <c r="B416" s="46" t="s">
        <v>25</v>
      </c>
      <c r="C416" s="47" t="s">
        <v>63</v>
      </c>
      <c r="D416" s="47" t="s">
        <v>44</v>
      </c>
      <c r="E416" s="48">
        <v>1</v>
      </c>
    </row>
    <row r="417" spans="1:5" ht="15.75" customHeight="1" x14ac:dyDescent="0.3">
      <c r="A417" s="45" t="str">
        <f t="shared" si="1"/>
        <v>Ribeirão PretoRecifeCaminhão</v>
      </c>
      <c r="B417" s="46" t="s">
        <v>25</v>
      </c>
      <c r="C417" s="47" t="s">
        <v>63</v>
      </c>
      <c r="D417" s="47" t="s">
        <v>62</v>
      </c>
      <c r="E417" s="48">
        <v>2</v>
      </c>
    </row>
    <row r="418" spans="1:5" ht="15.75" customHeight="1" x14ac:dyDescent="0.3">
      <c r="A418" s="45" t="str">
        <f t="shared" si="1"/>
        <v>Ribeirão PretoRibeirão PretoCaminhão</v>
      </c>
      <c r="B418" s="46" t="s">
        <v>25</v>
      </c>
      <c r="C418" s="47" t="s">
        <v>63</v>
      </c>
      <c r="D418" s="47" t="s">
        <v>63</v>
      </c>
      <c r="E418" s="48">
        <v>0</v>
      </c>
    </row>
    <row r="419" spans="1:5" ht="15.75" customHeight="1" x14ac:dyDescent="0.3">
      <c r="A419" s="45" t="str">
        <f t="shared" si="1"/>
        <v>Ribeirão PretoRio de JaneiroCaminhão</v>
      </c>
      <c r="B419" s="46" t="s">
        <v>25</v>
      </c>
      <c r="C419" s="47" t="s">
        <v>63</v>
      </c>
      <c r="D419" s="47" t="s">
        <v>64</v>
      </c>
      <c r="E419" s="48">
        <v>1</v>
      </c>
    </row>
    <row r="420" spans="1:5" ht="15.75" customHeight="1" x14ac:dyDescent="0.3">
      <c r="A420" s="45" t="str">
        <f t="shared" si="1"/>
        <v>Ribeirão PretoSalvadorCaminhão</v>
      </c>
      <c r="B420" s="46" t="s">
        <v>25</v>
      </c>
      <c r="C420" s="47" t="s">
        <v>63</v>
      </c>
      <c r="D420" s="47" t="s">
        <v>65</v>
      </c>
      <c r="E420" s="48">
        <v>2</v>
      </c>
    </row>
    <row r="421" spans="1:5" ht="15.75" customHeight="1" x14ac:dyDescent="0.3">
      <c r="A421" s="45" t="str">
        <f t="shared" si="1"/>
        <v>Ribeirão PretoSantosCaminhão</v>
      </c>
      <c r="B421" s="46" t="s">
        <v>25</v>
      </c>
      <c r="C421" s="47" t="s">
        <v>63</v>
      </c>
      <c r="D421" s="47" t="s">
        <v>47</v>
      </c>
      <c r="E421" s="48">
        <v>0</v>
      </c>
    </row>
    <row r="422" spans="1:5" ht="15.75" customHeight="1" x14ac:dyDescent="0.3">
      <c r="A422" s="45" t="str">
        <f t="shared" si="1"/>
        <v>Ribeirão PretoSão LuísCaminhão</v>
      </c>
      <c r="B422" s="46" t="s">
        <v>25</v>
      </c>
      <c r="C422" s="47" t="s">
        <v>63</v>
      </c>
      <c r="D422" s="47" t="s">
        <v>50</v>
      </c>
      <c r="E422" s="48">
        <v>2</v>
      </c>
    </row>
    <row r="423" spans="1:5" ht="15.75" customHeight="1" x14ac:dyDescent="0.3">
      <c r="A423" s="45" t="str">
        <f t="shared" si="1"/>
        <v>Ribeirão PretoSão PauloCaminhão</v>
      </c>
      <c r="B423" s="46" t="s">
        <v>25</v>
      </c>
      <c r="C423" s="47" t="s">
        <v>63</v>
      </c>
      <c r="D423" s="47" t="s">
        <v>66</v>
      </c>
      <c r="E423" s="48">
        <v>0</v>
      </c>
    </row>
    <row r="424" spans="1:5" ht="15.75" customHeight="1" x14ac:dyDescent="0.3">
      <c r="A424" s="45" t="str">
        <f t="shared" si="1"/>
        <v>Ribeirão PretoUberlândiaCaminhão</v>
      </c>
      <c r="B424" s="46" t="s">
        <v>25</v>
      </c>
      <c r="C424" s="47" t="s">
        <v>63</v>
      </c>
      <c r="D424" s="47" t="s">
        <v>67</v>
      </c>
      <c r="E424" s="48">
        <v>0</v>
      </c>
    </row>
    <row r="425" spans="1:5" ht="15.75" customHeight="1" x14ac:dyDescent="0.3">
      <c r="A425" s="45" t="str">
        <f t="shared" si="1"/>
        <v>Ribeirão PretoVitóriaCaminhão</v>
      </c>
      <c r="B425" s="46" t="s">
        <v>25</v>
      </c>
      <c r="C425" s="47" t="s">
        <v>63</v>
      </c>
      <c r="D425" s="47" t="s">
        <v>68</v>
      </c>
      <c r="E425" s="48">
        <v>1</v>
      </c>
    </row>
    <row r="426" spans="1:5" ht="15.75" customHeight="1" x14ac:dyDescent="0.3">
      <c r="A426" s="45" t="str">
        <f t="shared" si="1"/>
        <v>Ribeirão PretoVitória da ConquistaCaminhão</v>
      </c>
      <c r="B426" s="46" t="s">
        <v>25</v>
      </c>
      <c r="C426" s="47" t="s">
        <v>63</v>
      </c>
      <c r="D426" s="47" t="s">
        <v>49</v>
      </c>
      <c r="E426" s="48">
        <v>1</v>
      </c>
    </row>
    <row r="427" spans="1:5" ht="15.75" customHeight="1" x14ac:dyDescent="0.3">
      <c r="A427" s="45" t="str">
        <f t="shared" si="1"/>
        <v>Rio de JaneiroBelémCaminhão</v>
      </c>
      <c r="B427" s="46" t="s">
        <v>25</v>
      </c>
      <c r="C427" s="46" t="s">
        <v>64</v>
      </c>
      <c r="D427" s="47" t="s">
        <v>48</v>
      </c>
      <c r="E427" s="48">
        <v>3</v>
      </c>
    </row>
    <row r="428" spans="1:5" ht="15.75" customHeight="1" x14ac:dyDescent="0.3">
      <c r="A428" s="45" t="str">
        <f t="shared" si="1"/>
        <v>Rio de JaneiroBelo HorizonteCaminhão</v>
      </c>
      <c r="B428" s="46" t="s">
        <v>25</v>
      </c>
      <c r="C428" s="46" t="s">
        <v>64</v>
      </c>
      <c r="D428" s="47" t="s">
        <v>52</v>
      </c>
      <c r="E428" s="48">
        <v>0</v>
      </c>
    </row>
    <row r="429" spans="1:5" ht="15.75" customHeight="1" x14ac:dyDescent="0.3">
      <c r="A429" s="45" t="str">
        <f t="shared" si="1"/>
        <v>Rio de JaneiroBrasíliaCaminhão</v>
      </c>
      <c r="B429" s="46" t="s">
        <v>25</v>
      </c>
      <c r="C429" s="46" t="s">
        <v>64</v>
      </c>
      <c r="D429" s="47" t="s">
        <v>53</v>
      </c>
      <c r="E429" s="48">
        <v>1</v>
      </c>
    </row>
    <row r="430" spans="1:5" ht="15.75" customHeight="1" x14ac:dyDescent="0.3">
      <c r="A430" s="45" t="str">
        <f t="shared" si="1"/>
        <v>Rio de JaneiroCampinasCaminhão</v>
      </c>
      <c r="B430" s="46" t="s">
        <v>25</v>
      </c>
      <c r="C430" s="46" t="s">
        <v>64</v>
      </c>
      <c r="D430" s="47" t="s">
        <v>54</v>
      </c>
      <c r="E430" s="48">
        <v>0</v>
      </c>
    </row>
    <row r="431" spans="1:5" ht="15.75" customHeight="1" x14ac:dyDescent="0.3">
      <c r="A431" s="45" t="str">
        <f t="shared" si="1"/>
        <v>Rio de JaneiroCampo GrandeCaminhão</v>
      </c>
      <c r="B431" s="46" t="s">
        <v>25</v>
      </c>
      <c r="C431" s="46" t="s">
        <v>64</v>
      </c>
      <c r="D431" s="47" t="s">
        <v>55</v>
      </c>
      <c r="E431" s="48">
        <v>1</v>
      </c>
    </row>
    <row r="432" spans="1:5" ht="15.75" customHeight="1" x14ac:dyDescent="0.3">
      <c r="A432" s="45" t="str">
        <f t="shared" si="1"/>
        <v>Rio de JaneiroCuiabáCaminhão</v>
      </c>
      <c r="B432" s="46" t="s">
        <v>25</v>
      </c>
      <c r="C432" s="46" t="s">
        <v>64</v>
      </c>
      <c r="D432" s="47" t="s">
        <v>37</v>
      </c>
      <c r="E432" s="48">
        <v>2</v>
      </c>
    </row>
    <row r="433" spans="1:5" ht="15.75" customHeight="1" x14ac:dyDescent="0.3">
      <c r="A433" s="45" t="str">
        <f t="shared" si="1"/>
        <v>Rio de JaneiroCuritibaCaminhão</v>
      </c>
      <c r="B433" s="46" t="s">
        <v>25</v>
      </c>
      <c r="C433" s="46" t="s">
        <v>64</v>
      </c>
      <c r="D433" s="47" t="s">
        <v>56</v>
      </c>
      <c r="E433" s="48">
        <v>1</v>
      </c>
    </row>
    <row r="434" spans="1:5" ht="15.75" customHeight="1" x14ac:dyDescent="0.3">
      <c r="A434" s="45" t="str">
        <f t="shared" si="1"/>
        <v>Rio de JaneiroFortalezaCaminhão</v>
      </c>
      <c r="B434" s="46" t="s">
        <v>25</v>
      </c>
      <c r="C434" s="46" t="s">
        <v>64</v>
      </c>
      <c r="D434" s="47" t="s">
        <v>57</v>
      </c>
      <c r="E434" s="48">
        <v>2</v>
      </c>
    </row>
    <row r="435" spans="1:5" ht="15.75" customHeight="1" x14ac:dyDescent="0.3">
      <c r="A435" s="45" t="str">
        <f t="shared" si="1"/>
        <v>Rio de JaneiroGoiâniaCaminhão</v>
      </c>
      <c r="B435" s="46" t="s">
        <v>25</v>
      </c>
      <c r="C435" s="46" t="s">
        <v>64</v>
      </c>
      <c r="D435" s="47" t="s">
        <v>58</v>
      </c>
      <c r="E435" s="48">
        <v>1</v>
      </c>
    </row>
    <row r="436" spans="1:5" ht="15.75" customHeight="1" x14ac:dyDescent="0.3">
      <c r="A436" s="45" t="str">
        <f t="shared" si="1"/>
        <v>Rio de JaneiroJoão PessoaCaminhão</v>
      </c>
      <c r="B436" s="46" t="s">
        <v>25</v>
      </c>
      <c r="C436" s="46" t="s">
        <v>64</v>
      </c>
      <c r="D436" s="47" t="s">
        <v>59</v>
      </c>
      <c r="E436" s="48">
        <v>2</v>
      </c>
    </row>
    <row r="437" spans="1:5" ht="15.75" customHeight="1" x14ac:dyDescent="0.3">
      <c r="A437" s="45" t="str">
        <f t="shared" si="1"/>
        <v>Rio de JaneiroJoinvilleCaminhão</v>
      </c>
      <c r="B437" s="46" t="s">
        <v>25</v>
      </c>
      <c r="C437" s="46" t="s">
        <v>64</v>
      </c>
      <c r="D437" s="47" t="s">
        <v>28</v>
      </c>
      <c r="E437" s="48">
        <v>1</v>
      </c>
    </row>
    <row r="438" spans="1:5" ht="15.75" customHeight="1" x14ac:dyDescent="0.3">
      <c r="A438" s="45" t="str">
        <f t="shared" si="1"/>
        <v>Rio de JaneiroMaceióCaminhão</v>
      </c>
      <c r="B438" s="46" t="s">
        <v>25</v>
      </c>
      <c r="C438" s="46" t="s">
        <v>64</v>
      </c>
      <c r="D438" s="47" t="s">
        <v>60</v>
      </c>
      <c r="E438" s="48">
        <v>2</v>
      </c>
    </row>
    <row r="439" spans="1:5" ht="15.75" customHeight="1" x14ac:dyDescent="0.3">
      <c r="A439" s="45" t="str">
        <f t="shared" si="1"/>
        <v>Rio de JaneiroManausCaminhão</v>
      </c>
      <c r="B439" s="46" t="s">
        <v>25</v>
      </c>
      <c r="C439" s="46" t="s">
        <v>64</v>
      </c>
      <c r="D439" s="47" t="s">
        <v>23</v>
      </c>
      <c r="E439" s="48">
        <v>4</v>
      </c>
    </row>
    <row r="440" spans="1:5" ht="15.75" customHeight="1" x14ac:dyDescent="0.3">
      <c r="A440" s="45" t="str">
        <f t="shared" si="1"/>
        <v>Rio de JaneiroNatalCaminhão</v>
      </c>
      <c r="B440" s="46" t="s">
        <v>25</v>
      </c>
      <c r="C440" s="46" t="s">
        <v>64</v>
      </c>
      <c r="D440" s="47" t="s">
        <v>61</v>
      </c>
      <c r="E440" s="48">
        <v>2</v>
      </c>
    </row>
    <row r="441" spans="1:5" ht="15.75" customHeight="1" x14ac:dyDescent="0.3">
      <c r="A441" s="45" t="str">
        <f t="shared" si="1"/>
        <v>Rio de JaneiroPorto AlegreCaminhão</v>
      </c>
      <c r="B441" s="46" t="s">
        <v>25</v>
      </c>
      <c r="C441" s="46" t="s">
        <v>64</v>
      </c>
      <c r="D441" s="47" t="s">
        <v>44</v>
      </c>
      <c r="E441" s="48">
        <v>1</v>
      </c>
    </row>
    <row r="442" spans="1:5" ht="15.75" customHeight="1" x14ac:dyDescent="0.3">
      <c r="A442" s="45" t="str">
        <f t="shared" si="1"/>
        <v>Rio de JaneiroRecifeCaminhão</v>
      </c>
      <c r="B442" s="46" t="s">
        <v>25</v>
      </c>
      <c r="C442" s="46" t="s">
        <v>64</v>
      </c>
      <c r="D442" s="47" t="s">
        <v>62</v>
      </c>
      <c r="E442" s="48">
        <v>2</v>
      </c>
    </row>
    <row r="443" spans="1:5" ht="15.75" customHeight="1" x14ac:dyDescent="0.3">
      <c r="A443" s="45" t="str">
        <f t="shared" si="1"/>
        <v>Rio de JaneiroRibeirão PretoCaminhão</v>
      </c>
      <c r="B443" s="46" t="s">
        <v>25</v>
      </c>
      <c r="C443" s="46" t="s">
        <v>64</v>
      </c>
      <c r="D443" s="47" t="s">
        <v>63</v>
      </c>
      <c r="E443" s="48">
        <v>1</v>
      </c>
    </row>
    <row r="444" spans="1:5" ht="15.75" customHeight="1" x14ac:dyDescent="0.3">
      <c r="A444" s="45" t="str">
        <f t="shared" si="1"/>
        <v>Rio de JaneiroRio de JaneiroCaminhão</v>
      </c>
      <c r="B444" s="46" t="s">
        <v>25</v>
      </c>
      <c r="C444" s="46" t="s">
        <v>64</v>
      </c>
      <c r="D444" s="47" t="s">
        <v>64</v>
      </c>
      <c r="E444" s="48">
        <v>0</v>
      </c>
    </row>
    <row r="445" spans="1:5" ht="15.75" customHeight="1" x14ac:dyDescent="0.3">
      <c r="A445" s="45" t="str">
        <f t="shared" si="1"/>
        <v>Rio de JaneiroSalvadorCaminhão</v>
      </c>
      <c r="B445" s="46" t="s">
        <v>25</v>
      </c>
      <c r="C445" s="46" t="s">
        <v>64</v>
      </c>
      <c r="D445" s="47" t="s">
        <v>65</v>
      </c>
      <c r="E445" s="48">
        <v>1</v>
      </c>
    </row>
    <row r="446" spans="1:5" ht="15.75" customHeight="1" x14ac:dyDescent="0.3">
      <c r="A446" s="45" t="str">
        <f t="shared" si="1"/>
        <v>Rio de JaneiroSantosCaminhão</v>
      </c>
      <c r="B446" s="46" t="s">
        <v>25</v>
      </c>
      <c r="C446" s="46" t="s">
        <v>64</v>
      </c>
      <c r="D446" s="47" t="s">
        <v>47</v>
      </c>
      <c r="E446" s="48">
        <v>0</v>
      </c>
    </row>
    <row r="447" spans="1:5" ht="15.75" customHeight="1" x14ac:dyDescent="0.3">
      <c r="A447" s="45" t="str">
        <f t="shared" si="1"/>
        <v>Rio de JaneiroSão LuísCaminhão</v>
      </c>
      <c r="B447" s="46" t="s">
        <v>25</v>
      </c>
      <c r="C447" s="46" t="s">
        <v>64</v>
      </c>
      <c r="D447" s="47" t="s">
        <v>50</v>
      </c>
      <c r="E447" s="48">
        <v>3</v>
      </c>
    </row>
    <row r="448" spans="1:5" ht="15.75" customHeight="1" x14ac:dyDescent="0.3">
      <c r="A448" s="45" t="str">
        <f t="shared" si="1"/>
        <v>Rio de JaneiroSão PauloCaminhão</v>
      </c>
      <c r="B448" s="46" t="s">
        <v>25</v>
      </c>
      <c r="C448" s="46" t="s">
        <v>64</v>
      </c>
      <c r="D448" s="47" t="s">
        <v>66</v>
      </c>
      <c r="E448" s="48">
        <v>0</v>
      </c>
    </row>
    <row r="449" spans="1:5" ht="15.75" customHeight="1" x14ac:dyDescent="0.3">
      <c r="A449" s="45" t="str">
        <f t="shared" si="1"/>
        <v>Rio de JaneiroUberlândiaCaminhão</v>
      </c>
      <c r="B449" s="46" t="s">
        <v>25</v>
      </c>
      <c r="C449" s="46" t="s">
        <v>64</v>
      </c>
      <c r="D449" s="47" t="s">
        <v>67</v>
      </c>
      <c r="E449" s="48">
        <v>1</v>
      </c>
    </row>
    <row r="450" spans="1:5" ht="15.75" customHeight="1" x14ac:dyDescent="0.3">
      <c r="A450" s="45" t="str">
        <f t="shared" si="1"/>
        <v>Rio de JaneiroVitóriaCaminhão</v>
      </c>
      <c r="B450" s="46" t="s">
        <v>25</v>
      </c>
      <c r="C450" s="46" t="s">
        <v>64</v>
      </c>
      <c r="D450" s="47" t="s">
        <v>68</v>
      </c>
      <c r="E450" s="48">
        <v>0</v>
      </c>
    </row>
    <row r="451" spans="1:5" ht="15.75" customHeight="1" x14ac:dyDescent="0.3">
      <c r="A451" s="45" t="str">
        <f t="shared" si="1"/>
        <v>Rio de JaneiroVitória da ConquistaCaminhão</v>
      </c>
      <c r="B451" s="46" t="s">
        <v>25</v>
      </c>
      <c r="C451" s="46" t="s">
        <v>64</v>
      </c>
      <c r="D451" s="47" t="s">
        <v>49</v>
      </c>
      <c r="E451" s="48">
        <v>1</v>
      </c>
    </row>
    <row r="452" spans="1:5" ht="15.75" customHeight="1" x14ac:dyDescent="0.3">
      <c r="A452" s="45" t="str">
        <f t="shared" si="1"/>
        <v>SalvadorBelémCaminhão</v>
      </c>
      <c r="B452" s="46" t="s">
        <v>25</v>
      </c>
      <c r="C452" s="46" t="s">
        <v>65</v>
      </c>
      <c r="D452" s="47" t="s">
        <v>48</v>
      </c>
      <c r="E452" s="48">
        <v>2</v>
      </c>
    </row>
    <row r="453" spans="1:5" ht="15.75" customHeight="1" x14ac:dyDescent="0.3">
      <c r="A453" s="45" t="str">
        <f t="shared" si="1"/>
        <v>SalvadorBelo HorizonteCaminhão</v>
      </c>
      <c r="B453" s="46" t="s">
        <v>25</v>
      </c>
      <c r="C453" s="46" t="s">
        <v>65</v>
      </c>
      <c r="D453" s="47" t="s">
        <v>52</v>
      </c>
      <c r="E453" s="48">
        <v>1</v>
      </c>
    </row>
    <row r="454" spans="1:5" ht="15.75" customHeight="1" x14ac:dyDescent="0.3">
      <c r="A454" s="45" t="str">
        <f t="shared" si="1"/>
        <v>SalvadorBrasíliaCaminhão</v>
      </c>
      <c r="B454" s="46" t="s">
        <v>25</v>
      </c>
      <c r="C454" s="46" t="s">
        <v>65</v>
      </c>
      <c r="D454" s="47" t="s">
        <v>53</v>
      </c>
      <c r="E454" s="48">
        <v>1</v>
      </c>
    </row>
    <row r="455" spans="1:5" ht="15.75" customHeight="1" x14ac:dyDescent="0.3">
      <c r="A455" s="45" t="str">
        <f t="shared" si="1"/>
        <v>SalvadorCampinasCaminhão</v>
      </c>
      <c r="B455" s="46" t="s">
        <v>25</v>
      </c>
      <c r="C455" s="46" t="s">
        <v>65</v>
      </c>
      <c r="D455" s="47" t="s">
        <v>54</v>
      </c>
      <c r="E455" s="48">
        <v>2</v>
      </c>
    </row>
    <row r="456" spans="1:5" ht="15.75" customHeight="1" x14ac:dyDescent="0.3">
      <c r="A456" s="45" t="str">
        <f t="shared" si="1"/>
        <v>SalvadorCampo GrandeCaminhão</v>
      </c>
      <c r="B456" s="46" t="s">
        <v>25</v>
      </c>
      <c r="C456" s="46" t="s">
        <v>65</v>
      </c>
      <c r="D456" s="47" t="s">
        <v>55</v>
      </c>
      <c r="E456" s="48">
        <v>2</v>
      </c>
    </row>
    <row r="457" spans="1:5" ht="15.75" customHeight="1" x14ac:dyDescent="0.3">
      <c r="A457" s="45" t="str">
        <f t="shared" si="1"/>
        <v>SalvadorCuiabáCaminhão</v>
      </c>
      <c r="B457" s="46" t="s">
        <v>25</v>
      </c>
      <c r="C457" s="46" t="s">
        <v>65</v>
      </c>
      <c r="D457" s="47" t="s">
        <v>37</v>
      </c>
      <c r="E457" s="48">
        <v>2</v>
      </c>
    </row>
    <row r="458" spans="1:5" ht="15.75" customHeight="1" x14ac:dyDescent="0.3">
      <c r="A458" s="45" t="str">
        <f t="shared" si="1"/>
        <v>SalvadorCuritibaCaminhão</v>
      </c>
      <c r="B458" s="46" t="s">
        <v>25</v>
      </c>
      <c r="C458" s="46" t="s">
        <v>65</v>
      </c>
      <c r="D458" s="47" t="s">
        <v>56</v>
      </c>
      <c r="E458" s="48">
        <v>2</v>
      </c>
    </row>
    <row r="459" spans="1:5" ht="15.75" customHeight="1" x14ac:dyDescent="0.3">
      <c r="A459" s="45" t="str">
        <f t="shared" si="1"/>
        <v>SalvadorFortalezaCaminhão</v>
      </c>
      <c r="B459" s="46" t="s">
        <v>25</v>
      </c>
      <c r="C459" s="46" t="s">
        <v>65</v>
      </c>
      <c r="D459" s="47" t="s">
        <v>57</v>
      </c>
      <c r="E459" s="48">
        <v>1</v>
      </c>
    </row>
    <row r="460" spans="1:5" ht="15.75" customHeight="1" x14ac:dyDescent="0.3">
      <c r="A460" s="45" t="str">
        <f t="shared" si="1"/>
        <v>SalvadorGoiâniaCaminhão</v>
      </c>
      <c r="B460" s="46" t="s">
        <v>25</v>
      </c>
      <c r="C460" s="46" t="s">
        <v>65</v>
      </c>
      <c r="D460" s="47" t="s">
        <v>58</v>
      </c>
      <c r="E460" s="48">
        <v>1</v>
      </c>
    </row>
    <row r="461" spans="1:5" ht="15.75" customHeight="1" x14ac:dyDescent="0.3">
      <c r="A461" s="45" t="str">
        <f t="shared" si="1"/>
        <v>SalvadorJoão PessoaCaminhão</v>
      </c>
      <c r="B461" s="46" t="s">
        <v>25</v>
      </c>
      <c r="C461" s="46" t="s">
        <v>65</v>
      </c>
      <c r="D461" s="47" t="s">
        <v>59</v>
      </c>
      <c r="E461" s="48">
        <v>1</v>
      </c>
    </row>
    <row r="462" spans="1:5" ht="15.75" customHeight="1" x14ac:dyDescent="0.3">
      <c r="A462" s="45" t="str">
        <f t="shared" si="1"/>
        <v>SalvadorJoinvilleCaminhão</v>
      </c>
      <c r="B462" s="46" t="s">
        <v>25</v>
      </c>
      <c r="C462" s="46" t="s">
        <v>65</v>
      </c>
      <c r="D462" s="47" t="s">
        <v>28</v>
      </c>
      <c r="E462" s="48">
        <v>2</v>
      </c>
    </row>
    <row r="463" spans="1:5" ht="15.75" customHeight="1" x14ac:dyDescent="0.3">
      <c r="A463" s="45" t="str">
        <f t="shared" si="1"/>
        <v>SalvadorMaceióCaminhão</v>
      </c>
      <c r="B463" s="46" t="s">
        <v>25</v>
      </c>
      <c r="C463" s="46" t="s">
        <v>65</v>
      </c>
      <c r="D463" s="47" t="s">
        <v>60</v>
      </c>
      <c r="E463" s="48">
        <v>1</v>
      </c>
    </row>
    <row r="464" spans="1:5" ht="15.75" customHeight="1" x14ac:dyDescent="0.3">
      <c r="A464" s="45" t="str">
        <f t="shared" si="1"/>
        <v>SalvadorManausCaminhão</v>
      </c>
      <c r="B464" s="46" t="s">
        <v>25</v>
      </c>
      <c r="C464" s="46" t="s">
        <v>65</v>
      </c>
      <c r="D464" s="47" t="s">
        <v>23</v>
      </c>
      <c r="E464" s="48">
        <v>4</v>
      </c>
    </row>
    <row r="465" spans="1:5" ht="15.75" customHeight="1" x14ac:dyDescent="0.3">
      <c r="A465" s="45" t="str">
        <f t="shared" si="1"/>
        <v>SalvadorNatalCaminhão</v>
      </c>
      <c r="B465" s="46" t="s">
        <v>25</v>
      </c>
      <c r="C465" s="46" t="s">
        <v>65</v>
      </c>
      <c r="D465" s="47" t="s">
        <v>61</v>
      </c>
      <c r="E465" s="48">
        <v>1</v>
      </c>
    </row>
    <row r="466" spans="1:5" ht="15.75" customHeight="1" x14ac:dyDescent="0.3">
      <c r="A466" s="45" t="str">
        <f t="shared" si="1"/>
        <v>SalvadorPorto AlegreCaminhão</v>
      </c>
      <c r="B466" s="46" t="s">
        <v>25</v>
      </c>
      <c r="C466" s="46" t="s">
        <v>65</v>
      </c>
      <c r="D466" s="47" t="s">
        <v>44</v>
      </c>
      <c r="E466" s="48">
        <v>3</v>
      </c>
    </row>
    <row r="467" spans="1:5" ht="15.75" customHeight="1" x14ac:dyDescent="0.3">
      <c r="A467" s="45" t="str">
        <f t="shared" si="1"/>
        <v>SalvadorRecifeCaminhão</v>
      </c>
      <c r="B467" s="46" t="s">
        <v>25</v>
      </c>
      <c r="C467" s="46" t="s">
        <v>65</v>
      </c>
      <c r="D467" s="47" t="s">
        <v>62</v>
      </c>
      <c r="E467" s="48">
        <v>1</v>
      </c>
    </row>
    <row r="468" spans="1:5" ht="15.75" customHeight="1" x14ac:dyDescent="0.3">
      <c r="A468" s="45" t="str">
        <f t="shared" si="1"/>
        <v>SalvadorRibeirão PretoCaminhão</v>
      </c>
      <c r="B468" s="46" t="s">
        <v>25</v>
      </c>
      <c r="C468" s="46" t="s">
        <v>65</v>
      </c>
      <c r="D468" s="47" t="s">
        <v>63</v>
      </c>
      <c r="E468" s="48">
        <v>2</v>
      </c>
    </row>
    <row r="469" spans="1:5" ht="15.75" customHeight="1" x14ac:dyDescent="0.3">
      <c r="A469" s="45" t="str">
        <f t="shared" si="1"/>
        <v>SalvadorRio de JaneiroCaminhão</v>
      </c>
      <c r="B469" s="46" t="s">
        <v>25</v>
      </c>
      <c r="C469" s="46" t="s">
        <v>65</v>
      </c>
      <c r="D469" s="47" t="s">
        <v>64</v>
      </c>
      <c r="E469" s="48">
        <v>1</v>
      </c>
    </row>
    <row r="470" spans="1:5" ht="15.75" customHeight="1" x14ac:dyDescent="0.3">
      <c r="A470" s="45" t="str">
        <f t="shared" si="1"/>
        <v>SalvadorSalvadorCaminhão</v>
      </c>
      <c r="B470" s="46" t="s">
        <v>25</v>
      </c>
      <c r="C470" s="46" t="s">
        <v>65</v>
      </c>
      <c r="D470" s="47" t="s">
        <v>65</v>
      </c>
      <c r="E470" s="48">
        <v>0</v>
      </c>
    </row>
    <row r="471" spans="1:5" ht="15.75" customHeight="1" x14ac:dyDescent="0.3">
      <c r="A471" s="45" t="str">
        <f t="shared" si="1"/>
        <v>SalvadorSantosCaminhão</v>
      </c>
      <c r="B471" s="46" t="s">
        <v>25</v>
      </c>
      <c r="C471" s="46" t="s">
        <v>65</v>
      </c>
      <c r="D471" s="47" t="s">
        <v>47</v>
      </c>
      <c r="E471" s="48">
        <v>2</v>
      </c>
    </row>
    <row r="472" spans="1:5" ht="15.75" customHeight="1" x14ac:dyDescent="0.3">
      <c r="A472" s="45" t="str">
        <f t="shared" si="1"/>
        <v>SalvadorSão LuísCaminhão</v>
      </c>
      <c r="B472" s="46" t="s">
        <v>25</v>
      </c>
      <c r="C472" s="46" t="s">
        <v>65</v>
      </c>
      <c r="D472" s="47" t="s">
        <v>50</v>
      </c>
      <c r="E472" s="48">
        <v>1</v>
      </c>
    </row>
    <row r="473" spans="1:5" ht="15.75" customHeight="1" x14ac:dyDescent="0.3">
      <c r="A473" s="45" t="str">
        <f t="shared" si="1"/>
        <v>SalvadorSão PauloCaminhão</v>
      </c>
      <c r="B473" s="46" t="s">
        <v>25</v>
      </c>
      <c r="C473" s="46" t="s">
        <v>65</v>
      </c>
      <c r="D473" s="47" t="s">
        <v>66</v>
      </c>
      <c r="E473" s="48">
        <v>2</v>
      </c>
    </row>
    <row r="474" spans="1:5" ht="15.75" customHeight="1" x14ac:dyDescent="0.3">
      <c r="A474" s="45" t="str">
        <f t="shared" si="1"/>
        <v>SalvadorUberlândiaCaminhão</v>
      </c>
      <c r="B474" s="46" t="s">
        <v>25</v>
      </c>
      <c r="C474" s="46" t="s">
        <v>65</v>
      </c>
      <c r="D474" s="47" t="s">
        <v>67</v>
      </c>
      <c r="E474" s="48">
        <v>2</v>
      </c>
    </row>
    <row r="475" spans="1:5" ht="15.75" customHeight="1" x14ac:dyDescent="0.3">
      <c r="A475" s="45" t="str">
        <f t="shared" si="1"/>
        <v>SalvadorVitóriaCaminhão</v>
      </c>
      <c r="B475" s="46" t="s">
        <v>25</v>
      </c>
      <c r="C475" s="46" t="s">
        <v>65</v>
      </c>
      <c r="D475" s="47" t="s">
        <v>68</v>
      </c>
      <c r="E475" s="48">
        <v>1</v>
      </c>
    </row>
    <row r="476" spans="1:5" ht="15.75" customHeight="1" x14ac:dyDescent="0.3">
      <c r="A476" s="45" t="str">
        <f t="shared" si="1"/>
        <v>SalvadorVitória da ConquistaCaminhão</v>
      </c>
      <c r="B476" s="46" t="s">
        <v>25</v>
      </c>
      <c r="C476" s="46" t="s">
        <v>65</v>
      </c>
      <c r="D476" s="47" t="s">
        <v>49</v>
      </c>
      <c r="E476" s="48">
        <v>0</v>
      </c>
    </row>
    <row r="477" spans="1:5" ht="15.75" customHeight="1" x14ac:dyDescent="0.3">
      <c r="A477" s="45" t="str">
        <f t="shared" si="1"/>
        <v>SantosBelémCaminhão</v>
      </c>
      <c r="B477" s="46" t="s">
        <v>25</v>
      </c>
      <c r="C477" s="46" t="s">
        <v>47</v>
      </c>
      <c r="D477" s="47" t="s">
        <v>48</v>
      </c>
      <c r="E477" s="48">
        <v>3</v>
      </c>
    </row>
    <row r="478" spans="1:5" ht="15.75" customHeight="1" x14ac:dyDescent="0.3">
      <c r="A478" s="45" t="str">
        <f t="shared" si="1"/>
        <v>SantosBelo HorizonteCaminhão</v>
      </c>
      <c r="B478" s="46" t="s">
        <v>25</v>
      </c>
      <c r="C478" s="46" t="s">
        <v>47</v>
      </c>
      <c r="D478" s="47" t="s">
        <v>52</v>
      </c>
      <c r="E478" s="48">
        <v>1</v>
      </c>
    </row>
    <row r="479" spans="1:5" ht="15.75" customHeight="1" x14ac:dyDescent="0.3">
      <c r="A479" s="45" t="str">
        <f t="shared" si="1"/>
        <v>SantosBrasíliaCaminhão</v>
      </c>
      <c r="B479" s="46" t="s">
        <v>25</v>
      </c>
      <c r="C479" s="46" t="s">
        <v>47</v>
      </c>
      <c r="D479" s="47" t="s">
        <v>53</v>
      </c>
      <c r="E479" s="48">
        <v>1</v>
      </c>
    </row>
    <row r="480" spans="1:5" ht="15.75" customHeight="1" x14ac:dyDescent="0.3">
      <c r="A480" s="45" t="str">
        <f t="shared" si="1"/>
        <v>SantosCampinasCaminhão</v>
      </c>
      <c r="B480" s="46" t="s">
        <v>25</v>
      </c>
      <c r="C480" s="46" t="s">
        <v>47</v>
      </c>
      <c r="D480" s="47" t="s">
        <v>54</v>
      </c>
      <c r="E480" s="48">
        <v>0</v>
      </c>
    </row>
    <row r="481" spans="1:5" ht="15.75" customHeight="1" x14ac:dyDescent="0.3">
      <c r="A481" s="45" t="str">
        <f t="shared" si="1"/>
        <v>SantosCampo GrandeCaminhão</v>
      </c>
      <c r="B481" s="46" t="s">
        <v>25</v>
      </c>
      <c r="C481" s="46" t="s">
        <v>47</v>
      </c>
      <c r="D481" s="47" t="s">
        <v>55</v>
      </c>
      <c r="E481" s="48">
        <v>1</v>
      </c>
    </row>
    <row r="482" spans="1:5" ht="15.75" customHeight="1" x14ac:dyDescent="0.3">
      <c r="A482" s="45" t="str">
        <f t="shared" si="1"/>
        <v>SantosCuiabáCaminhão</v>
      </c>
      <c r="B482" s="46" t="s">
        <v>25</v>
      </c>
      <c r="C482" s="46" t="s">
        <v>47</v>
      </c>
      <c r="D482" s="47" t="s">
        <v>37</v>
      </c>
      <c r="E482" s="48">
        <v>1</v>
      </c>
    </row>
    <row r="483" spans="1:5" ht="15.75" customHeight="1" x14ac:dyDescent="0.3">
      <c r="A483" s="45" t="str">
        <f t="shared" si="1"/>
        <v>SantosCuritibaCaminhão</v>
      </c>
      <c r="B483" s="46" t="s">
        <v>25</v>
      </c>
      <c r="C483" s="46" t="s">
        <v>47</v>
      </c>
      <c r="D483" s="47" t="s">
        <v>56</v>
      </c>
      <c r="E483" s="48">
        <v>0</v>
      </c>
    </row>
    <row r="484" spans="1:5" ht="15.75" customHeight="1" x14ac:dyDescent="0.3">
      <c r="A484" s="45" t="str">
        <f t="shared" si="1"/>
        <v>SantosFortalezaCaminhão</v>
      </c>
      <c r="B484" s="46" t="s">
        <v>25</v>
      </c>
      <c r="C484" s="46" t="s">
        <v>47</v>
      </c>
      <c r="D484" s="47" t="s">
        <v>57</v>
      </c>
      <c r="E484" s="48">
        <v>3</v>
      </c>
    </row>
    <row r="485" spans="1:5" ht="15.75" customHeight="1" x14ac:dyDescent="0.3">
      <c r="A485" s="45" t="str">
        <f t="shared" si="1"/>
        <v>SantosGoiâniaCaminhão</v>
      </c>
      <c r="B485" s="46" t="s">
        <v>25</v>
      </c>
      <c r="C485" s="46" t="s">
        <v>47</v>
      </c>
      <c r="D485" s="47" t="s">
        <v>58</v>
      </c>
      <c r="E485" s="48">
        <v>1</v>
      </c>
    </row>
    <row r="486" spans="1:5" ht="15.75" customHeight="1" x14ac:dyDescent="0.3">
      <c r="A486" s="45" t="str">
        <f t="shared" si="1"/>
        <v>SantosJoão PessoaCaminhão</v>
      </c>
      <c r="B486" s="46" t="s">
        <v>25</v>
      </c>
      <c r="C486" s="46" t="s">
        <v>47</v>
      </c>
      <c r="D486" s="47" t="s">
        <v>59</v>
      </c>
      <c r="E486" s="48">
        <v>2</v>
      </c>
    </row>
    <row r="487" spans="1:5" ht="15.75" customHeight="1" x14ac:dyDescent="0.3">
      <c r="A487" s="45" t="str">
        <f t="shared" si="1"/>
        <v>SantosJoinvilleCaminhão</v>
      </c>
      <c r="B487" s="46" t="s">
        <v>25</v>
      </c>
      <c r="C487" s="46" t="s">
        <v>47</v>
      </c>
      <c r="D487" s="47" t="s">
        <v>28</v>
      </c>
      <c r="E487" s="48">
        <v>1</v>
      </c>
    </row>
    <row r="488" spans="1:5" ht="15.75" customHeight="1" x14ac:dyDescent="0.3">
      <c r="A488" s="45" t="str">
        <f t="shared" si="1"/>
        <v>SantosMaceióCaminhão</v>
      </c>
      <c r="B488" s="46" t="s">
        <v>25</v>
      </c>
      <c r="C488" s="46" t="s">
        <v>47</v>
      </c>
      <c r="D488" s="47" t="s">
        <v>60</v>
      </c>
      <c r="E488" s="48">
        <v>2</v>
      </c>
    </row>
    <row r="489" spans="1:5" ht="15.75" customHeight="1" x14ac:dyDescent="0.3">
      <c r="A489" s="45" t="str">
        <f t="shared" si="1"/>
        <v>SantosManausCaminhão</v>
      </c>
      <c r="B489" s="46" t="s">
        <v>25</v>
      </c>
      <c r="C489" s="46" t="s">
        <v>47</v>
      </c>
      <c r="D489" s="47" t="s">
        <v>23</v>
      </c>
      <c r="E489" s="48">
        <v>3</v>
      </c>
    </row>
    <row r="490" spans="1:5" ht="15.75" customHeight="1" x14ac:dyDescent="0.3">
      <c r="A490" s="45" t="str">
        <f t="shared" si="1"/>
        <v>SantosNatalCaminhão</v>
      </c>
      <c r="B490" s="46" t="s">
        <v>25</v>
      </c>
      <c r="C490" s="46" t="s">
        <v>47</v>
      </c>
      <c r="D490" s="47" t="s">
        <v>61</v>
      </c>
      <c r="E490" s="48">
        <v>3</v>
      </c>
    </row>
    <row r="491" spans="1:5" ht="15.75" customHeight="1" x14ac:dyDescent="0.3">
      <c r="A491" s="45" t="str">
        <f t="shared" si="1"/>
        <v>SantosPorto AlegreCaminhão</v>
      </c>
      <c r="B491" s="46" t="s">
        <v>25</v>
      </c>
      <c r="C491" s="46" t="s">
        <v>47</v>
      </c>
      <c r="D491" s="47" t="s">
        <v>44</v>
      </c>
      <c r="E491" s="48">
        <v>1</v>
      </c>
    </row>
    <row r="492" spans="1:5" ht="15.75" customHeight="1" x14ac:dyDescent="0.3">
      <c r="A492" s="45" t="str">
        <f t="shared" si="1"/>
        <v>SantosRecifeCaminhão</v>
      </c>
      <c r="B492" s="46" t="s">
        <v>25</v>
      </c>
      <c r="C492" s="46" t="s">
        <v>47</v>
      </c>
      <c r="D492" s="47" t="s">
        <v>62</v>
      </c>
      <c r="E492" s="48">
        <v>2</v>
      </c>
    </row>
    <row r="493" spans="1:5" ht="15.75" customHeight="1" x14ac:dyDescent="0.3">
      <c r="A493" s="45" t="str">
        <f t="shared" si="1"/>
        <v>SantosRibeirão PretoCaminhão</v>
      </c>
      <c r="B493" s="46" t="s">
        <v>25</v>
      </c>
      <c r="C493" s="46" t="s">
        <v>47</v>
      </c>
      <c r="D493" s="47" t="s">
        <v>63</v>
      </c>
      <c r="E493" s="48">
        <v>0</v>
      </c>
    </row>
    <row r="494" spans="1:5" ht="15.75" customHeight="1" x14ac:dyDescent="0.3">
      <c r="A494" s="45" t="str">
        <f t="shared" si="1"/>
        <v>SantosRio de JaneiroCaminhão</v>
      </c>
      <c r="B494" s="46" t="s">
        <v>25</v>
      </c>
      <c r="C494" s="46" t="s">
        <v>47</v>
      </c>
      <c r="D494" s="47" t="s">
        <v>64</v>
      </c>
      <c r="E494" s="48">
        <v>0</v>
      </c>
    </row>
    <row r="495" spans="1:5" ht="15.75" customHeight="1" x14ac:dyDescent="0.3">
      <c r="A495" s="45" t="str">
        <f t="shared" si="1"/>
        <v>SantosSalvadorCaminhão</v>
      </c>
      <c r="B495" s="46" t="s">
        <v>25</v>
      </c>
      <c r="C495" s="46" t="s">
        <v>47</v>
      </c>
      <c r="D495" s="47" t="s">
        <v>65</v>
      </c>
      <c r="E495" s="48">
        <v>2</v>
      </c>
    </row>
    <row r="496" spans="1:5" ht="15.75" customHeight="1" x14ac:dyDescent="0.3">
      <c r="A496" s="45" t="str">
        <f t="shared" si="1"/>
        <v>SantosSantosCaminhão</v>
      </c>
      <c r="B496" s="46" t="s">
        <v>25</v>
      </c>
      <c r="C496" s="46" t="s">
        <v>47</v>
      </c>
      <c r="D496" s="47" t="s">
        <v>47</v>
      </c>
      <c r="E496" s="48">
        <v>0</v>
      </c>
    </row>
    <row r="497" spans="1:5" ht="15.75" customHeight="1" x14ac:dyDescent="0.3">
      <c r="A497" s="45" t="str">
        <f t="shared" si="1"/>
        <v>SantosSão LuísCaminhão</v>
      </c>
      <c r="B497" s="46" t="s">
        <v>25</v>
      </c>
      <c r="C497" s="46" t="s">
        <v>47</v>
      </c>
      <c r="D497" s="47" t="s">
        <v>50</v>
      </c>
      <c r="E497" s="48">
        <v>3</v>
      </c>
    </row>
    <row r="498" spans="1:5" ht="15.75" customHeight="1" x14ac:dyDescent="0.3">
      <c r="A498" s="45" t="str">
        <f t="shared" si="1"/>
        <v>SantosSão PauloCaminhão</v>
      </c>
      <c r="B498" s="46" t="s">
        <v>25</v>
      </c>
      <c r="C498" s="46" t="s">
        <v>47</v>
      </c>
      <c r="D498" s="47" t="s">
        <v>66</v>
      </c>
      <c r="E498" s="48">
        <v>0</v>
      </c>
    </row>
    <row r="499" spans="1:5" ht="15.75" customHeight="1" x14ac:dyDescent="0.3">
      <c r="A499" s="45" t="str">
        <f t="shared" si="1"/>
        <v>SantosUberlândiaCaminhão</v>
      </c>
      <c r="B499" s="46" t="s">
        <v>25</v>
      </c>
      <c r="C499" s="46" t="s">
        <v>47</v>
      </c>
      <c r="D499" s="47" t="s">
        <v>67</v>
      </c>
      <c r="E499" s="48">
        <v>1</v>
      </c>
    </row>
    <row r="500" spans="1:5" ht="15.75" customHeight="1" x14ac:dyDescent="0.3">
      <c r="A500" s="45" t="str">
        <f t="shared" si="1"/>
        <v>SantosVitóriaCaminhão</v>
      </c>
      <c r="B500" s="46" t="s">
        <v>25</v>
      </c>
      <c r="C500" s="46" t="s">
        <v>47</v>
      </c>
      <c r="D500" s="47" t="s">
        <v>68</v>
      </c>
      <c r="E500" s="48">
        <v>1</v>
      </c>
    </row>
    <row r="501" spans="1:5" ht="15.75" customHeight="1" x14ac:dyDescent="0.3">
      <c r="A501" s="45" t="str">
        <f t="shared" si="1"/>
        <v>SantosVitória da ConquistaCaminhão</v>
      </c>
      <c r="B501" s="46" t="s">
        <v>25</v>
      </c>
      <c r="C501" s="46" t="s">
        <v>47</v>
      </c>
      <c r="D501" s="47" t="s">
        <v>49</v>
      </c>
      <c r="E501" s="48">
        <v>1</v>
      </c>
    </row>
    <row r="502" spans="1:5" ht="15.75" customHeight="1" x14ac:dyDescent="0.3">
      <c r="A502" s="45" t="str">
        <f t="shared" si="1"/>
        <v>São LuísBelémCaminhão</v>
      </c>
      <c r="B502" s="46" t="s">
        <v>25</v>
      </c>
      <c r="C502" s="47" t="s">
        <v>50</v>
      </c>
      <c r="D502" s="47" t="s">
        <v>48</v>
      </c>
      <c r="E502" s="48">
        <v>1</v>
      </c>
    </row>
    <row r="503" spans="1:5" ht="15.75" customHeight="1" x14ac:dyDescent="0.3">
      <c r="A503" s="45" t="str">
        <f t="shared" si="1"/>
        <v>São LuísBelo HorizonteCaminhão</v>
      </c>
      <c r="B503" s="46" t="s">
        <v>25</v>
      </c>
      <c r="C503" s="47" t="s">
        <v>50</v>
      </c>
      <c r="D503" s="47" t="s">
        <v>52</v>
      </c>
      <c r="E503" s="48">
        <v>2</v>
      </c>
    </row>
    <row r="504" spans="1:5" ht="15.75" customHeight="1" x14ac:dyDescent="0.3">
      <c r="A504" s="45" t="str">
        <f t="shared" si="1"/>
        <v>São LuísBrasíliaCaminhão</v>
      </c>
      <c r="B504" s="46" t="s">
        <v>25</v>
      </c>
      <c r="C504" s="47" t="s">
        <v>50</v>
      </c>
      <c r="D504" s="47" t="s">
        <v>53</v>
      </c>
      <c r="E504" s="48">
        <v>2</v>
      </c>
    </row>
    <row r="505" spans="1:5" ht="15.75" customHeight="1" x14ac:dyDescent="0.3">
      <c r="A505" s="45" t="str">
        <f t="shared" si="1"/>
        <v>São LuísCampinasCaminhão</v>
      </c>
      <c r="B505" s="46" t="s">
        <v>25</v>
      </c>
      <c r="C505" s="47" t="s">
        <v>50</v>
      </c>
      <c r="D505" s="47" t="s">
        <v>54</v>
      </c>
      <c r="E505" s="48">
        <v>2</v>
      </c>
    </row>
    <row r="506" spans="1:5" ht="15.75" customHeight="1" x14ac:dyDescent="0.3">
      <c r="A506" s="45" t="str">
        <f t="shared" si="1"/>
        <v>São LuísCampo GrandeCaminhão</v>
      </c>
      <c r="B506" s="46" t="s">
        <v>25</v>
      </c>
      <c r="C506" s="47" t="s">
        <v>50</v>
      </c>
      <c r="D506" s="47" t="s">
        <v>55</v>
      </c>
      <c r="E506" s="48">
        <v>2</v>
      </c>
    </row>
    <row r="507" spans="1:5" ht="15.75" customHeight="1" x14ac:dyDescent="0.3">
      <c r="A507" s="45" t="str">
        <f t="shared" si="1"/>
        <v>São LuísCuiabáCaminhão</v>
      </c>
      <c r="B507" s="46" t="s">
        <v>25</v>
      </c>
      <c r="C507" s="47" t="s">
        <v>50</v>
      </c>
      <c r="D507" s="47" t="s">
        <v>37</v>
      </c>
      <c r="E507" s="48">
        <v>2</v>
      </c>
    </row>
    <row r="508" spans="1:5" ht="15.75" customHeight="1" x14ac:dyDescent="0.3">
      <c r="A508" s="45" t="str">
        <f t="shared" si="1"/>
        <v>São LuísCuritibaCaminhão</v>
      </c>
      <c r="B508" s="46" t="s">
        <v>25</v>
      </c>
      <c r="C508" s="47" t="s">
        <v>50</v>
      </c>
      <c r="D508" s="47" t="s">
        <v>56</v>
      </c>
      <c r="E508" s="48">
        <v>3</v>
      </c>
    </row>
    <row r="509" spans="1:5" ht="15.75" customHeight="1" x14ac:dyDescent="0.3">
      <c r="A509" s="45" t="str">
        <f t="shared" si="1"/>
        <v>São LuísFortalezaCaminhão</v>
      </c>
      <c r="B509" s="46" t="s">
        <v>25</v>
      </c>
      <c r="C509" s="47" t="s">
        <v>50</v>
      </c>
      <c r="D509" s="47" t="s">
        <v>57</v>
      </c>
      <c r="E509" s="48">
        <v>1</v>
      </c>
    </row>
    <row r="510" spans="1:5" ht="15.75" customHeight="1" x14ac:dyDescent="0.3">
      <c r="A510" s="45" t="str">
        <f t="shared" si="1"/>
        <v>São LuísGoiâniaCaminhão</v>
      </c>
      <c r="B510" s="46" t="s">
        <v>25</v>
      </c>
      <c r="C510" s="47" t="s">
        <v>50</v>
      </c>
      <c r="D510" s="47" t="s">
        <v>58</v>
      </c>
      <c r="E510" s="48">
        <v>2</v>
      </c>
    </row>
    <row r="511" spans="1:5" ht="15.75" customHeight="1" x14ac:dyDescent="0.3">
      <c r="A511" s="45" t="str">
        <f t="shared" si="1"/>
        <v>São LuísJoão PessoaCaminhão</v>
      </c>
      <c r="B511" s="46" t="s">
        <v>25</v>
      </c>
      <c r="C511" s="47" t="s">
        <v>50</v>
      </c>
      <c r="D511" s="47" t="s">
        <v>59</v>
      </c>
      <c r="E511" s="48">
        <v>1</v>
      </c>
    </row>
    <row r="512" spans="1:5" ht="15.75" customHeight="1" x14ac:dyDescent="0.3">
      <c r="A512" s="45" t="str">
        <f t="shared" ref="A512:A766" si="2">C512&amp;D512&amp;B512</f>
        <v>São LuísJoinvilleCaminhão</v>
      </c>
      <c r="B512" s="46" t="s">
        <v>25</v>
      </c>
      <c r="C512" s="47" t="s">
        <v>50</v>
      </c>
      <c r="D512" s="47" t="s">
        <v>28</v>
      </c>
      <c r="E512" s="48">
        <v>3</v>
      </c>
    </row>
    <row r="513" spans="1:5" ht="15.75" customHeight="1" x14ac:dyDescent="0.3">
      <c r="A513" s="45" t="str">
        <f t="shared" si="2"/>
        <v>São LuísMaceióCaminhão</v>
      </c>
      <c r="B513" s="46" t="s">
        <v>25</v>
      </c>
      <c r="C513" s="47" t="s">
        <v>50</v>
      </c>
      <c r="D513" s="47" t="s">
        <v>60</v>
      </c>
      <c r="E513" s="48">
        <v>1</v>
      </c>
    </row>
    <row r="514" spans="1:5" ht="15.75" customHeight="1" x14ac:dyDescent="0.3">
      <c r="A514" s="45" t="str">
        <f t="shared" si="2"/>
        <v>São LuísManausCaminhão</v>
      </c>
      <c r="B514" s="46" t="s">
        <v>25</v>
      </c>
      <c r="C514" s="47" t="s">
        <v>50</v>
      </c>
      <c r="D514" s="47" t="s">
        <v>23</v>
      </c>
      <c r="E514" s="48">
        <v>4</v>
      </c>
    </row>
    <row r="515" spans="1:5" ht="15.75" customHeight="1" x14ac:dyDescent="0.3">
      <c r="A515" s="45" t="str">
        <f t="shared" si="2"/>
        <v>São LuísNatalCaminhão</v>
      </c>
      <c r="B515" s="46" t="s">
        <v>25</v>
      </c>
      <c r="C515" s="47" t="s">
        <v>50</v>
      </c>
      <c r="D515" s="47" t="s">
        <v>61</v>
      </c>
      <c r="E515" s="48">
        <v>1</v>
      </c>
    </row>
    <row r="516" spans="1:5" ht="15.75" customHeight="1" x14ac:dyDescent="0.3">
      <c r="A516" s="45" t="str">
        <f t="shared" si="2"/>
        <v>São LuísPorto AlegreCaminhão</v>
      </c>
      <c r="B516" s="46" t="s">
        <v>25</v>
      </c>
      <c r="C516" s="47" t="s">
        <v>50</v>
      </c>
      <c r="D516" s="47" t="s">
        <v>44</v>
      </c>
      <c r="E516" s="48">
        <v>3</v>
      </c>
    </row>
    <row r="517" spans="1:5" ht="15.75" customHeight="1" x14ac:dyDescent="0.3">
      <c r="A517" s="45" t="str">
        <f t="shared" si="2"/>
        <v>São LuísRecifeCaminhão</v>
      </c>
      <c r="B517" s="46" t="s">
        <v>25</v>
      </c>
      <c r="C517" s="47" t="s">
        <v>50</v>
      </c>
      <c r="D517" s="47" t="s">
        <v>62</v>
      </c>
      <c r="E517" s="48">
        <v>1</v>
      </c>
    </row>
    <row r="518" spans="1:5" ht="15.75" customHeight="1" x14ac:dyDescent="0.3">
      <c r="A518" s="45" t="str">
        <f t="shared" si="2"/>
        <v>São LuísRibeirão PretoCaminhão</v>
      </c>
      <c r="B518" s="46" t="s">
        <v>25</v>
      </c>
      <c r="C518" s="47" t="s">
        <v>50</v>
      </c>
      <c r="D518" s="47" t="s">
        <v>63</v>
      </c>
      <c r="E518" s="48">
        <v>2</v>
      </c>
    </row>
    <row r="519" spans="1:5" ht="15.75" customHeight="1" x14ac:dyDescent="0.3">
      <c r="A519" s="45" t="str">
        <f t="shared" si="2"/>
        <v>São LuísRio de JaneiroCaminhão</v>
      </c>
      <c r="B519" s="46" t="s">
        <v>25</v>
      </c>
      <c r="C519" s="47" t="s">
        <v>50</v>
      </c>
      <c r="D519" s="47" t="s">
        <v>64</v>
      </c>
      <c r="E519" s="48">
        <v>3</v>
      </c>
    </row>
    <row r="520" spans="1:5" ht="15.75" customHeight="1" x14ac:dyDescent="0.3">
      <c r="A520" s="45" t="str">
        <f t="shared" si="2"/>
        <v>São LuísSalvadorCaminhão</v>
      </c>
      <c r="B520" s="46" t="s">
        <v>25</v>
      </c>
      <c r="C520" s="47" t="s">
        <v>50</v>
      </c>
      <c r="D520" s="47" t="s">
        <v>65</v>
      </c>
      <c r="E520" s="48">
        <v>1</v>
      </c>
    </row>
    <row r="521" spans="1:5" ht="15.75" customHeight="1" x14ac:dyDescent="0.3">
      <c r="A521" s="45" t="str">
        <f t="shared" si="2"/>
        <v>São LuísSantosCaminhão</v>
      </c>
      <c r="B521" s="46" t="s">
        <v>25</v>
      </c>
      <c r="C521" s="47" t="s">
        <v>50</v>
      </c>
      <c r="D521" s="47" t="s">
        <v>47</v>
      </c>
      <c r="E521" s="48">
        <v>3</v>
      </c>
    </row>
    <row r="522" spans="1:5" ht="15.75" customHeight="1" x14ac:dyDescent="0.3">
      <c r="A522" s="45" t="str">
        <f t="shared" si="2"/>
        <v>São LuísSão LuísCaminhão</v>
      </c>
      <c r="B522" s="46" t="s">
        <v>25</v>
      </c>
      <c r="C522" s="47" t="s">
        <v>50</v>
      </c>
      <c r="D522" s="47" t="s">
        <v>50</v>
      </c>
      <c r="E522" s="48">
        <v>0</v>
      </c>
    </row>
    <row r="523" spans="1:5" ht="15.75" customHeight="1" x14ac:dyDescent="0.3">
      <c r="A523" s="45" t="str">
        <f t="shared" si="2"/>
        <v>São LuísSão PauloCaminhão</v>
      </c>
      <c r="B523" s="46" t="s">
        <v>25</v>
      </c>
      <c r="C523" s="47" t="s">
        <v>50</v>
      </c>
      <c r="D523" s="47" t="s">
        <v>66</v>
      </c>
      <c r="E523" s="48">
        <v>2</v>
      </c>
    </row>
    <row r="524" spans="1:5" ht="15.75" customHeight="1" x14ac:dyDescent="0.3">
      <c r="A524" s="45" t="str">
        <f t="shared" si="2"/>
        <v>São LuísUberlândiaCaminhão</v>
      </c>
      <c r="B524" s="46" t="s">
        <v>25</v>
      </c>
      <c r="C524" s="47" t="s">
        <v>50</v>
      </c>
      <c r="D524" s="47" t="s">
        <v>67</v>
      </c>
      <c r="E524" s="48">
        <v>2</v>
      </c>
    </row>
    <row r="525" spans="1:5" ht="15.75" customHeight="1" x14ac:dyDescent="0.3">
      <c r="A525" s="45" t="str">
        <f t="shared" si="2"/>
        <v>São LuísVitóriaCaminhão</v>
      </c>
      <c r="B525" s="46" t="s">
        <v>25</v>
      </c>
      <c r="C525" s="47" t="s">
        <v>50</v>
      </c>
      <c r="D525" s="47" t="s">
        <v>68</v>
      </c>
      <c r="E525" s="48">
        <v>2</v>
      </c>
    </row>
    <row r="526" spans="1:5" ht="15.75" customHeight="1" x14ac:dyDescent="0.3">
      <c r="A526" s="45" t="str">
        <f t="shared" si="2"/>
        <v>São LuísVitória da ConquistaCaminhão</v>
      </c>
      <c r="B526" s="46" t="s">
        <v>25</v>
      </c>
      <c r="C526" s="47" t="s">
        <v>50</v>
      </c>
      <c r="D526" s="47" t="s">
        <v>49</v>
      </c>
      <c r="E526" s="48">
        <v>2</v>
      </c>
    </row>
    <row r="527" spans="1:5" ht="15.75" customHeight="1" x14ac:dyDescent="0.3">
      <c r="A527" s="45" t="str">
        <f t="shared" si="2"/>
        <v>São PauloBelémCaminhão</v>
      </c>
      <c r="B527" s="46" t="s">
        <v>25</v>
      </c>
      <c r="C527" s="46" t="s">
        <v>66</v>
      </c>
      <c r="D527" s="47" t="s">
        <v>48</v>
      </c>
      <c r="E527" s="48">
        <v>2</v>
      </c>
    </row>
    <row r="528" spans="1:5" ht="15.75" customHeight="1" x14ac:dyDescent="0.3">
      <c r="A528" s="45" t="str">
        <f t="shared" si="2"/>
        <v>São PauloBelo HorizonteCaminhão</v>
      </c>
      <c r="B528" s="46" t="s">
        <v>25</v>
      </c>
      <c r="C528" s="46" t="s">
        <v>66</v>
      </c>
      <c r="D528" s="47" t="s">
        <v>52</v>
      </c>
      <c r="E528" s="48">
        <v>0</v>
      </c>
    </row>
    <row r="529" spans="1:5" ht="15.75" customHeight="1" x14ac:dyDescent="0.3">
      <c r="A529" s="45" t="str">
        <f t="shared" si="2"/>
        <v>São PauloBrasíliaCaminhão</v>
      </c>
      <c r="B529" s="46" t="s">
        <v>25</v>
      </c>
      <c r="C529" s="46" t="s">
        <v>66</v>
      </c>
      <c r="D529" s="47" t="s">
        <v>53</v>
      </c>
      <c r="E529" s="48">
        <v>1</v>
      </c>
    </row>
    <row r="530" spans="1:5" ht="15.75" customHeight="1" x14ac:dyDescent="0.3">
      <c r="A530" s="45" t="str">
        <f t="shared" si="2"/>
        <v>São PauloCampinasCaminhão</v>
      </c>
      <c r="B530" s="46" t="s">
        <v>25</v>
      </c>
      <c r="C530" s="46" t="s">
        <v>66</v>
      </c>
      <c r="D530" s="47" t="s">
        <v>54</v>
      </c>
      <c r="E530" s="48">
        <v>0</v>
      </c>
    </row>
    <row r="531" spans="1:5" ht="15.75" customHeight="1" x14ac:dyDescent="0.3">
      <c r="A531" s="45" t="str">
        <f t="shared" si="2"/>
        <v>São PauloCampo GrandeCaminhão</v>
      </c>
      <c r="B531" s="46" t="s">
        <v>25</v>
      </c>
      <c r="C531" s="46" t="s">
        <v>66</v>
      </c>
      <c r="D531" s="47" t="s">
        <v>55</v>
      </c>
      <c r="E531" s="48">
        <v>1</v>
      </c>
    </row>
    <row r="532" spans="1:5" ht="15.75" customHeight="1" x14ac:dyDescent="0.3">
      <c r="A532" s="45" t="str">
        <f t="shared" si="2"/>
        <v>São PauloCuiabáCaminhão</v>
      </c>
      <c r="B532" s="46" t="s">
        <v>25</v>
      </c>
      <c r="C532" s="46" t="s">
        <v>66</v>
      </c>
      <c r="D532" s="47" t="s">
        <v>37</v>
      </c>
      <c r="E532" s="48">
        <v>1</v>
      </c>
    </row>
    <row r="533" spans="1:5" ht="15.75" customHeight="1" x14ac:dyDescent="0.3">
      <c r="A533" s="45" t="str">
        <f t="shared" si="2"/>
        <v>São PauloCuritibaCaminhão</v>
      </c>
      <c r="B533" s="46" t="s">
        <v>25</v>
      </c>
      <c r="C533" s="46" t="s">
        <v>66</v>
      </c>
      <c r="D533" s="47" t="s">
        <v>56</v>
      </c>
      <c r="E533" s="48">
        <v>0</v>
      </c>
    </row>
    <row r="534" spans="1:5" ht="15.75" customHeight="1" x14ac:dyDescent="0.3">
      <c r="A534" s="45" t="str">
        <f t="shared" si="2"/>
        <v>São PauloFortalezaCaminhão</v>
      </c>
      <c r="B534" s="46" t="s">
        <v>25</v>
      </c>
      <c r="C534" s="46" t="s">
        <v>66</v>
      </c>
      <c r="D534" s="47" t="s">
        <v>57</v>
      </c>
      <c r="E534" s="48">
        <v>3</v>
      </c>
    </row>
    <row r="535" spans="1:5" ht="15.75" customHeight="1" x14ac:dyDescent="0.3">
      <c r="A535" s="45" t="str">
        <f t="shared" si="2"/>
        <v>São PauloGoiâniaCaminhão</v>
      </c>
      <c r="B535" s="46" t="s">
        <v>25</v>
      </c>
      <c r="C535" s="46" t="s">
        <v>66</v>
      </c>
      <c r="D535" s="47" t="s">
        <v>58</v>
      </c>
      <c r="E535" s="48">
        <v>1</v>
      </c>
    </row>
    <row r="536" spans="1:5" ht="15.75" customHeight="1" x14ac:dyDescent="0.3">
      <c r="A536" s="45" t="str">
        <f t="shared" si="2"/>
        <v>São PauloJoão PessoaCaminhão</v>
      </c>
      <c r="B536" s="46" t="s">
        <v>25</v>
      </c>
      <c r="C536" s="46" t="s">
        <v>66</v>
      </c>
      <c r="D536" s="47" t="s">
        <v>59</v>
      </c>
      <c r="E536" s="48">
        <v>2</v>
      </c>
    </row>
    <row r="537" spans="1:5" ht="15.75" customHeight="1" x14ac:dyDescent="0.3">
      <c r="A537" s="45" t="str">
        <f t="shared" si="2"/>
        <v>São PauloJoinvilleCaminhão</v>
      </c>
      <c r="B537" s="46" t="s">
        <v>25</v>
      </c>
      <c r="C537" s="46" t="s">
        <v>66</v>
      </c>
      <c r="D537" s="47" t="s">
        <v>28</v>
      </c>
      <c r="E537" s="48">
        <v>0</v>
      </c>
    </row>
    <row r="538" spans="1:5" ht="15.75" customHeight="1" x14ac:dyDescent="0.3">
      <c r="A538" s="45" t="str">
        <f t="shared" si="2"/>
        <v>São PauloMaceióCaminhão</v>
      </c>
      <c r="B538" s="46" t="s">
        <v>25</v>
      </c>
      <c r="C538" s="46" t="s">
        <v>66</v>
      </c>
      <c r="D538" s="47" t="s">
        <v>60</v>
      </c>
      <c r="E538" s="48">
        <v>2</v>
      </c>
    </row>
    <row r="539" spans="1:5" ht="15.75" customHeight="1" x14ac:dyDescent="0.3">
      <c r="A539" s="45" t="str">
        <f t="shared" si="2"/>
        <v>São PauloManausCaminhão</v>
      </c>
      <c r="B539" s="46" t="s">
        <v>25</v>
      </c>
      <c r="C539" s="46" t="s">
        <v>66</v>
      </c>
      <c r="D539" s="47" t="s">
        <v>23</v>
      </c>
      <c r="E539" s="48">
        <v>3</v>
      </c>
    </row>
    <row r="540" spans="1:5" ht="15.75" customHeight="1" x14ac:dyDescent="0.3">
      <c r="A540" s="45" t="str">
        <f t="shared" si="2"/>
        <v>São PauloNatalCaminhão</v>
      </c>
      <c r="B540" s="46" t="s">
        <v>25</v>
      </c>
      <c r="C540" s="46" t="s">
        <v>66</v>
      </c>
      <c r="D540" s="47" t="s">
        <v>61</v>
      </c>
      <c r="E540" s="48">
        <v>2</v>
      </c>
    </row>
    <row r="541" spans="1:5" ht="15.75" customHeight="1" x14ac:dyDescent="0.3">
      <c r="A541" s="45" t="str">
        <f t="shared" si="2"/>
        <v>São PauloPorto AlegreCaminhão</v>
      </c>
      <c r="B541" s="46" t="s">
        <v>25</v>
      </c>
      <c r="C541" s="46" t="s">
        <v>66</v>
      </c>
      <c r="D541" s="47" t="s">
        <v>44</v>
      </c>
      <c r="E541" s="48">
        <v>1</v>
      </c>
    </row>
    <row r="542" spans="1:5" ht="15.75" customHeight="1" x14ac:dyDescent="0.3">
      <c r="A542" s="45" t="str">
        <f t="shared" si="2"/>
        <v>São PauloRecifeCaminhão</v>
      </c>
      <c r="B542" s="46" t="s">
        <v>25</v>
      </c>
      <c r="C542" s="46" t="s">
        <v>66</v>
      </c>
      <c r="D542" s="47" t="s">
        <v>62</v>
      </c>
      <c r="E542" s="48">
        <v>2</v>
      </c>
    </row>
    <row r="543" spans="1:5" ht="15.75" customHeight="1" x14ac:dyDescent="0.3">
      <c r="A543" s="45" t="str">
        <f t="shared" si="2"/>
        <v>São PauloRibeirão PretoCaminhão</v>
      </c>
      <c r="B543" s="46" t="s">
        <v>25</v>
      </c>
      <c r="C543" s="46" t="s">
        <v>66</v>
      </c>
      <c r="D543" s="47" t="s">
        <v>63</v>
      </c>
      <c r="E543" s="48">
        <v>0</v>
      </c>
    </row>
    <row r="544" spans="1:5" ht="15.75" customHeight="1" x14ac:dyDescent="0.3">
      <c r="A544" s="45" t="str">
        <f t="shared" si="2"/>
        <v>São PauloRio de JaneiroCaminhão</v>
      </c>
      <c r="B544" s="46" t="s">
        <v>25</v>
      </c>
      <c r="C544" s="46" t="s">
        <v>66</v>
      </c>
      <c r="D544" s="47" t="s">
        <v>64</v>
      </c>
      <c r="E544" s="48">
        <v>0</v>
      </c>
    </row>
    <row r="545" spans="1:5" ht="15.75" customHeight="1" x14ac:dyDescent="0.3">
      <c r="A545" s="45" t="str">
        <f t="shared" si="2"/>
        <v>São PauloSalvadorCaminhão</v>
      </c>
      <c r="B545" s="46" t="s">
        <v>25</v>
      </c>
      <c r="C545" s="46" t="s">
        <v>66</v>
      </c>
      <c r="D545" s="47" t="s">
        <v>65</v>
      </c>
      <c r="E545" s="48">
        <v>2</v>
      </c>
    </row>
    <row r="546" spans="1:5" ht="15.75" customHeight="1" x14ac:dyDescent="0.3">
      <c r="A546" s="45" t="str">
        <f t="shared" si="2"/>
        <v>São PauloSantosCaminhão</v>
      </c>
      <c r="B546" s="46" t="s">
        <v>25</v>
      </c>
      <c r="C546" s="46" t="s">
        <v>66</v>
      </c>
      <c r="D546" s="47" t="s">
        <v>47</v>
      </c>
      <c r="E546" s="48">
        <v>0</v>
      </c>
    </row>
    <row r="547" spans="1:5" ht="15.75" customHeight="1" x14ac:dyDescent="0.3">
      <c r="A547" s="45" t="str">
        <f t="shared" si="2"/>
        <v>São PauloSão LuísCaminhão</v>
      </c>
      <c r="B547" s="46" t="s">
        <v>25</v>
      </c>
      <c r="C547" s="46" t="s">
        <v>66</v>
      </c>
      <c r="D547" s="47" t="s">
        <v>50</v>
      </c>
      <c r="E547" s="48">
        <v>2</v>
      </c>
    </row>
    <row r="548" spans="1:5" ht="15.75" customHeight="1" x14ac:dyDescent="0.3">
      <c r="A548" s="45" t="str">
        <f t="shared" si="2"/>
        <v>São PauloSão PauloCaminhão</v>
      </c>
      <c r="B548" s="46" t="s">
        <v>25</v>
      </c>
      <c r="C548" s="46" t="s">
        <v>66</v>
      </c>
      <c r="D548" s="47" t="s">
        <v>66</v>
      </c>
      <c r="E548" s="48">
        <v>0</v>
      </c>
    </row>
    <row r="549" spans="1:5" ht="15.75" customHeight="1" x14ac:dyDescent="0.3">
      <c r="A549" s="45" t="str">
        <f t="shared" si="2"/>
        <v>São PauloUberlândiaCaminhão</v>
      </c>
      <c r="B549" s="46" t="s">
        <v>25</v>
      </c>
      <c r="C549" s="46" t="s">
        <v>66</v>
      </c>
      <c r="D549" s="47" t="s">
        <v>67</v>
      </c>
      <c r="E549" s="48">
        <v>0</v>
      </c>
    </row>
    <row r="550" spans="1:5" ht="15.75" customHeight="1" x14ac:dyDescent="0.3">
      <c r="A550" s="45" t="str">
        <f t="shared" si="2"/>
        <v>São PauloVitóriaCaminhão</v>
      </c>
      <c r="B550" s="46" t="s">
        <v>25</v>
      </c>
      <c r="C550" s="46" t="s">
        <v>66</v>
      </c>
      <c r="D550" s="47" t="s">
        <v>68</v>
      </c>
      <c r="E550" s="48">
        <v>1</v>
      </c>
    </row>
    <row r="551" spans="1:5" ht="15.75" customHeight="1" x14ac:dyDescent="0.3">
      <c r="A551" s="45" t="str">
        <f t="shared" si="2"/>
        <v>São PauloVitória da ConquistaCaminhão</v>
      </c>
      <c r="B551" s="46" t="s">
        <v>25</v>
      </c>
      <c r="C551" s="46" t="s">
        <v>66</v>
      </c>
      <c r="D551" s="47" t="s">
        <v>49</v>
      </c>
      <c r="E551" s="48">
        <v>1</v>
      </c>
    </row>
    <row r="552" spans="1:5" ht="15.75" customHeight="1" x14ac:dyDescent="0.3">
      <c r="A552" s="45" t="str">
        <f t="shared" si="2"/>
        <v>UberlândiaBelémCaminhão</v>
      </c>
      <c r="B552" s="46" t="s">
        <v>25</v>
      </c>
      <c r="C552" s="46" t="s">
        <v>67</v>
      </c>
      <c r="D552" s="47" t="s">
        <v>48</v>
      </c>
      <c r="E552" s="48">
        <v>2</v>
      </c>
    </row>
    <row r="553" spans="1:5" ht="15.75" customHeight="1" x14ac:dyDescent="0.3">
      <c r="A553" s="45" t="str">
        <f t="shared" si="2"/>
        <v>UberlândiaBelo HorizonteCaminhão</v>
      </c>
      <c r="B553" s="46" t="s">
        <v>25</v>
      </c>
      <c r="C553" s="46" t="s">
        <v>67</v>
      </c>
      <c r="D553" s="47" t="s">
        <v>52</v>
      </c>
      <c r="E553" s="48">
        <v>0</v>
      </c>
    </row>
    <row r="554" spans="1:5" ht="15.75" customHeight="1" x14ac:dyDescent="0.3">
      <c r="A554" s="45" t="str">
        <f t="shared" si="2"/>
        <v>UberlândiaBrasíliaCaminhão</v>
      </c>
      <c r="B554" s="46" t="s">
        <v>25</v>
      </c>
      <c r="C554" s="46" t="s">
        <v>67</v>
      </c>
      <c r="D554" s="47" t="s">
        <v>53</v>
      </c>
      <c r="E554" s="48">
        <v>0</v>
      </c>
    </row>
    <row r="555" spans="1:5" ht="15.75" customHeight="1" x14ac:dyDescent="0.3">
      <c r="A555" s="45" t="str">
        <f t="shared" si="2"/>
        <v>UberlândiaCampinasCaminhão</v>
      </c>
      <c r="B555" s="46" t="s">
        <v>25</v>
      </c>
      <c r="C555" s="46" t="s">
        <v>67</v>
      </c>
      <c r="D555" s="47" t="s">
        <v>54</v>
      </c>
      <c r="E555" s="48">
        <v>0</v>
      </c>
    </row>
    <row r="556" spans="1:5" ht="15.75" customHeight="1" x14ac:dyDescent="0.3">
      <c r="A556" s="45" t="str">
        <f t="shared" si="2"/>
        <v>UberlândiaCampo GrandeCaminhão</v>
      </c>
      <c r="B556" s="46" t="s">
        <v>25</v>
      </c>
      <c r="C556" s="46" t="s">
        <v>67</v>
      </c>
      <c r="D556" s="47" t="s">
        <v>55</v>
      </c>
      <c r="E556" s="48">
        <v>1</v>
      </c>
    </row>
    <row r="557" spans="1:5" ht="15.75" customHeight="1" x14ac:dyDescent="0.3">
      <c r="A557" s="45" t="str">
        <f t="shared" si="2"/>
        <v>UberlândiaCuiabáCaminhão</v>
      </c>
      <c r="B557" s="46" t="s">
        <v>25</v>
      </c>
      <c r="C557" s="46" t="s">
        <v>67</v>
      </c>
      <c r="D557" s="47" t="s">
        <v>37</v>
      </c>
      <c r="E557" s="48">
        <v>1</v>
      </c>
    </row>
    <row r="558" spans="1:5" ht="15.75" customHeight="1" x14ac:dyDescent="0.3">
      <c r="A558" s="45" t="str">
        <f t="shared" si="2"/>
        <v>UberlândiaCuritibaCaminhão</v>
      </c>
      <c r="B558" s="46" t="s">
        <v>25</v>
      </c>
      <c r="C558" s="46" t="s">
        <v>67</v>
      </c>
      <c r="D558" s="47" t="s">
        <v>56</v>
      </c>
      <c r="E558" s="48">
        <v>1</v>
      </c>
    </row>
    <row r="559" spans="1:5" ht="15.75" customHeight="1" x14ac:dyDescent="0.3">
      <c r="A559" s="45" t="str">
        <f t="shared" si="2"/>
        <v>UberlândiaFortalezaCaminhão</v>
      </c>
      <c r="B559" s="46" t="s">
        <v>25</v>
      </c>
      <c r="C559" s="46" t="s">
        <v>67</v>
      </c>
      <c r="D559" s="47" t="s">
        <v>57</v>
      </c>
      <c r="E559" s="48">
        <v>2</v>
      </c>
    </row>
    <row r="560" spans="1:5" ht="15.75" customHeight="1" x14ac:dyDescent="0.3">
      <c r="A560" s="45" t="str">
        <f t="shared" si="2"/>
        <v>UberlândiaGoiâniaCaminhão</v>
      </c>
      <c r="B560" s="46" t="s">
        <v>25</v>
      </c>
      <c r="C560" s="46" t="s">
        <v>67</v>
      </c>
      <c r="D560" s="47" t="s">
        <v>58</v>
      </c>
      <c r="E560" s="48">
        <v>0</v>
      </c>
    </row>
    <row r="561" spans="1:5" ht="15.75" customHeight="1" x14ac:dyDescent="0.3">
      <c r="A561" s="45" t="str">
        <f t="shared" si="2"/>
        <v>UberlândiaJoão PessoaCaminhão</v>
      </c>
      <c r="B561" s="46" t="s">
        <v>25</v>
      </c>
      <c r="C561" s="46" t="s">
        <v>67</v>
      </c>
      <c r="D561" s="47" t="s">
        <v>59</v>
      </c>
      <c r="E561" s="48">
        <v>2</v>
      </c>
    </row>
    <row r="562" spans="1:5" ht="15.75" customHeight="1" x14ac:dyDescent="0.3">
      <c r="A562" s="45" t="str">
        <f t="shared" si="2"/>
        <v>UberlândiaJoinvilleCaminhão</v>
      </c>
      <c r="B562" s="46" t="s">
        <v>25</v>
      </c>
      <c r="C562" s="46" t="s">
        <v>67</v>
      </c>
      <c r="D562" s="47" t="s">
        <v>28</v>
      </c>
      <c r="E562" s="48">
        <v>1</v>
      </c>
    </row>
    <row r="563" spans="1:5" ht="15.75" customHeight="1" x14ac:dyDescent="0.3">
      <c r="A563" s="45" t="str">
        <f t="shared" si="2"/>
        <v>UberlândiaMaceióCaminhão</v>
      </c>
      <c r="B563" s="46" t="s">
        <v>25</v>
      </c>
      <c r="C563" s="46" t="s">
        <v>67</v>
      </c>
      <c r="D563" s="47" t="s">
        <v>60</v>
      </c>
      <c r="E563" s="48">
        <v>2</v>
      </c>
    </row>
    <row r="564" spans="1:5" ht="15.75" customHeight="1" x14ac:dyDescent="0.3">
      <c r="A564" s="45" t="str">
        <f t="shared" si="2"/>
        <v>UberlândiaManausCaminhão</v>
      </c>
      <c r="B564" s="46" t="s">
        <v>25</v>
      </c>
      <c r="C564" s="46" t="s">
        <v>67</v>
      </c>
      <c r="D564" s="47" t="s">
        <v>23</v>
      </c>
      <c r="E564" s="48">
        <v>3</v>
      </c>
    </row>
    <row r="565" spans="1:5" ht="15.75" customHeight="1" x14ac:dyDescent="0.3">
      <c r="A565" s="45" t="str">
        <f t="shared" si="2"/>
        <v>UberlândiaNatalCaminhão</v>
      </c>
      <c r="B565" s="46" t="s">
        <v>25</v>
      </c>
      <c r="C565" s="46" t="s">
        <v>67</v>
      </c>
      <c r="D565" s="47" t="s">
        <v>61</v>
      </c>
      <c r="E565" s="48">
        <v>2</v>
      </c>
    </row>
    <row r="566" spans="1:5" ht="15.75" customHeight="1" x14ac:dyDescent="0.3">
      <c r="A566" s="45" t="str">
        <f t="shared" si="2"/>
        <v>UberlândiaPorto AlegreCaminhão</v>
      </c>
      <c r="B566" s="46" t="s">
        <v>25</v>
      </c>
      <c r="C566" s="46" t="s">
        <v>67</v>
      </c>
      <c r="D566" s="47" t="s">
        <v>44</v>
      </c>
      <c r="E566" s="48">
        <v>1</v>
      </c>
    </row>
    <row r="567" spans="1:5" ht="15.75" customHeight="1" x14ac:dyDescent="0.3">
      <c r="A567" s="45" t="str">
        <f t="shared" si="2"/>
        <v>UberlândiaRecifeCaminhão</v>
      </c>
      <c r="B567" s="46" t="s">
        <v>25</v>
      </c>
      <c r="C567" s="46" t="s">
        <v>67</v>
      </c>
      <c r="D567" s="47" t="s">
        <v>62</v>
      </c>
      <c r="E567" s="48">
        <v>2</v>
      </c>
    </row>
    <row r="568" spans="1:5" ht="15.75" customHeight="1" x14ac:dyDescent="0.3">
      <c r="A568" s="45" t="str">
        <f t="shared" si="2"/>
        <v>UberlândiaRibeirão PretoCaminhão</v>
      </c>
      <c r="B568" s="46" t="s">
        <v>25</v>
      </c>
      <c r="C568" s="46" t="s">
        <v>67</v>
      </c>
      <c r="D568" s="47" t="s">
        <v>63</v>
      </c>
      <c r="E568" s="48">
        <v>0</v>
      </c>
    </row>
    <row r="569" spans="1:5" ht="15.75" customHeight="1" x14ac:dyDescent="0.3">
      <c r="A569" s="45" t="str">
        <f t="shared" si="2"/>
        <v>UberlândiaRio de JaneiroCaminhão</v>
      </c>
      <c r="B569" s="46" t="s">
        <v>25</v>
      </c>
      <c r="C569" s="46" t="s">
        <v>67</v>
      </c>
      <c r="D569" s="47" t="s">
        <v>64</v>
      </c>
      <c r="E569" s="48">
        <v>1</v>
      </c>
    </row>
    <row r="570" spans="1:5" ht="15.75" customHeight="1" x14ac:dyDescent="0.3">
      <c r="A570" s="45" t="str">
        <f t="shared" si="2"/>
        <v>UberlândiaSalvadorCaminhão</v>
      </c>
      <c r="B570" s="46" t="s">
        <v>25</v>
      </c>
      <c r="C570" s="46" t="s">
        <v>67</v>
      </c>
      <c r="D570" s="47" t="s">
        <v>65</v>
      </c>
      <c r="E570" s="48">
        <v>2</v>
      </c>
    </row>
    <row r="571" spans="1:5" ht="15.75" customHeight="1" x14ac:dyDescent="0.3">
      <c r="A571" s="45" t="str">
        <f t="shared" si="2"/>
        <v>UberlândiaSantosCaminhão</v>
      </c>
      <c r="B571" s="46" t="s">
        <v>25</v>
      </c>
      <c r="C571" s="46" t="s">
        <v>67</v>
      </c>
      <c r="D571" s="47" t="s">
        <v>47</v>
      </c>
      <c r="E571" s="48">
        <v>1</v>
      </c>
    </row>
    <row r="572" spans="1:5" ht="15.75" customHeight="1" x14ac:dyDescent="0.3">
      <c r="A572" s="45" t="str">
        <f t="shared" si="2"/>
        <v>UberlândiaSão LuísCaminhão</v>
      </c>
      <c r="B572" s="46" t="s">
        <v>25</v>
      </c>
      <c r="C572" s="46" t="s">
        <v>67</v>
      </c>
      <c r="D572" s="47" t="s">
        <v>50</v>
      </c>
      <c r="E572" s="48">
        <v>2</v>
      </c>
    </row>
    <row r="573" spans="1:5" ht="15.75" customHeight="1" x14ac:dyDescent="0.3">
      <c r="A573" s="45" t="str">
        <f t="shared" si="2"/>
        <v>UberlândiaSão PauloCaminhão</v>
      </c>
      <c r="B573" s="46" t="s">
        <v>25</v>
      </c>
      <c r="C573" s="46" t="s">
        <v>67</v>
      </c>
      <c r="D573" s="47" t="s">
        <v>66</v>
      </c>
      <c r="E573" s="48">
        <v>0</v>
      </c>
    </row>
    <row r="574" spans="1:5" ht="15.75" customHeight="1" x14ac:dyDescent="0.3">
      <c r="A574" s="45" t="str">
        <f t="shared" si="2"/>
        <v>UberlândiaUberlândiaCaminhão</v>
      </c>
      <c r="B574" s="46" t="s">
        <v>25</v>
      </c>
      <c r="C574" s="46" t="s">
        <v>67</v>
      </c>
      <c r="D574" s="47" t="s">
        <v>67</v>
      </c>
      <c r="E574" s="48">
        <v>0</v>
      </c>
    </row>
    <row r="575" spans="1:5" ht="15.75" customHeight="1" x14ac:dyDescent="0.3">
      <c r="A575" s="45" t="str">
        <f t="shared" si="2"/>
        <v>UberlândiaVitóriaCaminhão</v>
      </c>
      <c r="B575" s="46" t="s">
        <v>25</v>
      </c>
      <c r="C575" s="46" t="s">
        <v>67</v>
      </c>
      <c r="D575" s="47" t="s">
        <v>68</v>
      </c>
      <c r="E575" s="48">
        <v>1</v>
      </c>
    </row>
    <row r="576" spans="1:5" ht="15.75" customHeight="1" x14ac:dyDescent="0.3">
      <c r="A576" s="45" t="str">
        <f t="shared" si="2"/>
        <v>UberlândiaVitória da ConquistaCaminhão</v>
      </c>
      <c r="B576" s="46" t="s">
        <v>25</v>
      </c>
      <c r="C576" s="46" t="s">
        <v>67</v>
      </c>
      <c r="D576" s="47" t="s">
        <v>49</v>
      </c>
      <c r="E576" s="48">
        <v>1</v>
      </c>
    </row>
    <row r="577" spans="1:5" ht="15.75" customHeight="1" x14ac:dyDescent="0.3">
      <c r="A577" s="45" t="str">
        <f t="shared" si="2"/>
        <v>VitóriaBelémCaminhão</v>
      </c>
      <c r="B577" s="46" t="s">
        <v>25</v>
      </c>
      <c r="C577" s="46" t="s">
        <v>68</v>
      </c>
      <c r="D577" s="47" t="s">
        <v>48</v>
      </c>
      <c r="E577" s="48">
        <v>3</v>
      </c>
    </row>
    <row r="578" spans="1:5" ht="15.75" customHeight="1" x14ac:dyDescent="0.3">
      <c r="A578" s="45" t="str">
        <f t="shared" si="2"/>
        <v>VitóriaBelo HorizonteCaminhão</v>
      </c>
      <c r="B578" s="46" t="s">
        <v>25</v>
      </c>
      <c r="C578" s="46" t="s">
        <v>68</v>
      </c>
      <c r="D578" s="47" t="s">
        <v>52</v>
      </c>
      <c r="E578" s="48">
        <v>0</v>
      </c>
    </row>
    <row r="579" spans="1:5" ht="15.75" customHeight="1" x14ac:dyDescent="0.3">
      <c r="A579" s="45" t="str">
        <f t="shared" si="2"/>
        <v>VitóriaBrasíliaCaminhão</v>
      </c>
      <c r="B579" s="46" t="s">
        <v>25</v>
      </c>
      <c r="C579" s="46" t="s">
        <v>68</v>
      </c>
      <c r="D579" s="47" t="s">
        <v>53</v>
      </c>
      <c r="E579" s="48">
        <v>1</v>
      </c>
    </row>
    <row r="580" spans="1:5" ht="15.75" customHeight="1" x14ac:dyDescent="0.3">
      <c r="A580" s="45" t="str">
        <f t="shared" si="2"/>
        <v>VitóriaCampinasCaminhão</v>
      </c>
      <c r="B580" s="46" t="s">
        <v>25</v>
      </c>
      <c r="C580" s="46" t="s">
        <v>68</v>
      </c>
      <c r="D580" s="47" t="s">
        <v>54</v>
      </c>
      <c r="E580" s="48">
        <v>1</v>
      </c>
    </row>
    <row r="581" spans="1:5" ht="15.75" customHeight="1" x14ac:dyDescent="0.3">
      <c r="A581" s="45" t="str">
        <f t="shared" si="2"/>
        <v>VitóriaCampo GrandeCaminhão</v>
      </c>
      <c r="B581" s="46" t="s">
        <v>25</v>
      </c>
      <c r="C581" s="46" t="s">
        <v>68</v>
      </c>
      <c r="D581" s="47" t="s">
        <v>55</v>
      </c>
      <c r="E581" s="48">
        <v>2</v>
      </c>
    </row>
    <row r="582" spans="1:5" ht="15.75" customHeight="1" x14ac:dyDescent="0.3">
      <c r="A582" s="45" t="str">
        <f t="shared" si="2"/>
        <v>VitóriaCuiabáCaminhão</v>
      </c>
      <c r="B582" s="46" t="s">
        <v>25</v>
      </c>
      <c r="C582" s="46" t="s">
        <v>68</v>
      </c>
      <c r="D582" s="47" t="s">
        <v>37</v>
      </c>
      <c r="E582" s="48">
        <v>2</v>
      </c>
    </row>
    <row r="583" spans="1:5" ht="15.75" customHeight="1" x14ac:dyDescent="0.3">
      <c r="A583" s="45" t="str">
        <f t="shared" si="2"/>
        <v>VitóriaCuritibaCaminhão</v>
      </c>
      <c r="B583" s="46" t="s">
        <v>25</v>
      </c>
      <c r="C583" s="46" t="s">
        <v>68</v>
      </c>
      <c r="D583" s="47" t="s">
        <v>56</v>
      </c>
      <c r="E583" s="48">
        <v>1</v>
      </c>
    </row>
    <row r="584" spans="1:5" ht="15.75" customHeight="1" x14ac:dyDescent="0.3">
      <c r="A584" s="45" t="str">
        <f t="shared" si="2"/>
        <v>VitóriaFortalezaCaminhão</v>
      </c>
      <c r="B584" s="46" t="s">
        <v>25</v>
      </c>
      <c r="C584" s="46" t="s">
        <v>68</v>
      </c>
      <c r="D584" s="47" t="s">
        <v>57</v>
      </c>
      <c r="E584" s="48">
        <v>2</v>
      </c>
    </row>
    <row r="585" spans="1:5" ht="15.75" customHeight="1" x14ac:dyDescent="0.3">
      <c r="A585" s="45" t="str">
        <f t="shared" si="2"/>
        <v>VitóriaGoiâniaCaminhão</v>
      </c>
      <c r="B585" s="46" t="s">
        <v>25</v>
      </c>
      <c r="C585" s="46" t="s">
        <v>68</v>
      </c>
      <c r="D585" s="47" t="s">
        <v>58</v>
      </c>
      <c r="E585" s="48">
        <v>1</v>
      </c>
    </row>
    <row r="586" spans="1:5" ht="15.75" customHeight="1" x14ac:dyDescent="0.3">
      <c r="A586" s="45" t="str">
        <f t="shared" si="2"/>
        <v>VitóriaJoão PessoaCaminhão</v>
      </c>
      <c r="B586" s="46" t="s">
        <v>25</v>
      </c>
      <c r="C586" s="46" t="s">
        <v>68</v>
      </c>
      <c r="D586" s="47" t="s">
        <v>59</v>
      </c>
      <c r="E586" s="48">
        <v>2</v>
      </c>
    </row>
    <row r="587" spans="1:5" ht="15.75" customHeight="1" x14ac:dyDescent="0.3">
      <c r="A587" s="45" t="str">
        <f t="shared" si="2"/>
        <v>VitóriaJoinvilleCaminhão</v>
      </c>
      <c r="B587" s="46" t="s">
        <v>25</v>
      </c>
      <c r="C587" s="46" t="s">
        <v>68</v>
      </c>
      <c r="D587" s="47" t="s">
        <v>28</v>
      </c>
      <c r="E587" s="48">
        <v>1</v>
      </c>
    </row>
    <row r="588" spans="1:5" ht="15.75" customHeight="1" x14ac:dyDescent="0.3">
      <c r="A588" s="45" t="str">
        <f t="shared" si="2"/>
        <v>VitóriaMaceióCaminhão</v>
      </c>
      <c r="B588" s="46" t="s">
        <v>25</v>
      </c>
      <c r="C588" s="46" t="s">
        <v>68</v>
      </c>
      <c r="D588" s="47" t="s">
        <v>60</v>
      </c>
      <c r="E588" s="48">
        <v>1</v>
      </c>
    </row>
    <row r="589" spans="1:5" ht="15.75" customHeight="1" x14ac:dyDescent="0.3">
      <c r="A589" s="45" t="str">
        <f t="shared" si="2"/>
        <v>VitóriaManausCaminhão</v>
      </c>
      <c r="B589" s="46" t="s">
        <v>25</v>
      </c>
      <c r="C589" s="46" t="s">
        <v>68</v>
      </c>
      <c r="D589" s="47" t="s">
        <v>23</v>
      </c>
      <c r="E589" s="48">
        <v>4</v>
      </c>
    </row>
    <row r="590" spans="1:5" ht="15.75" customHeight="1" x14ac:dyDescent="0.3">
      <c r="A590" s="45" t="str">
        <f t="shared" si="2"/>
        <v>VitóriaNatalCaminhão</v>
      </c>
      <c r="B590" s="46" t="s">
        <v>25</v>
      </c>
      <c r="C590" s="46" t="s">
        <v>68</v>
      </c>
      <c r="D590" s="47" t="s">
        <v>61</v>
      </c>
      <c r="E590" s="48">
        <v>2</v>
      </c>
    </row>
    <row r="591" spans="1:5" ht="15.75" customHeight="1" x14ac:dyDescent="0.3">
      <c r="A591" s="45" t="str">
        <f t="shared" si="2"/>
        <v>VitóriaPorto AlegreCaminhão</v>
      </c>
      <c r="B591" s="46" t="s">
        <v>25</v>
      </c>
      <c r="C591" s="46" t="s">
        <v>68</v>
      </c>
      <c r="D591" s="47" t="s">
        <v>44</v>
      </c>
      <c r="E591" s="48">
        <v>2</v>
      </c>
    </row>
    <row r="592" spans="1:5" ht="15.75" customHeight="1" x14ac:dyDescent="0.3">
      <c r="A592" s="45" t="str">
        <f t="shared" si="2"/>
        <v>VitóriaRecifeCaminhão</v>
      </c>
      <c r="B592" s="46" t="s">
        <v>25</v>
      </c>
      <c r="C592" s="46" t="s">
        <v>68</v>
      </c>
      <c r="D592" s="47" t="s">
        <v>62</v>
      </c>
      <c r="E592" s="48">
        <v>2</v>
      </c>
    </row>
    <row r="593" spans="1:5" ht="15.75" customHeight="1" x14ac:dyDescent="0.3">
      <c r="A593" s="45" t="str">
        <f t="shared" si="2"/>
        <v>VitóriaRibeirão PretoCaminhão</v>
      </c>
      <c r="B593" s="46" t="s">
        <v>25</v>
      </c>
      <c r="C593" s="46" t="s">
        <v>68</v>
      </c>
      <c r="D593" s="47" t="s">
        <v>63</v>
      </c>
      <c r="E593" s="48">
        <v>1</v>
      </c>
    </row>
    <row r="594" spans="1:5" ht="15.75" customHeight="1" x14ac:dyDescent="0.3">
      <c r="A594" s="45" t="str">
        <f t="shared" si="2"/>
        <v>VitóriaRio de JaneiroCaminhão</v>
      </c>
      <c r="B594" s="46" t="s">
        <v>25</v>
      </c>
      <c r="C594" s="46" t="s">
        <v>68</v>
      </c>
      <c r="D594" s="47" t="s">
        <v>64</v>
      </c>
      <c r="E594" s="48">
        <v>0</v>
      </c>
    </row>
    <row r="595" spans="1:5" ht="15.75" customHeight="1" x14ac:dyDescent="0.3">
      <c r="A595" s="45" t="str">
        <f t="shared" si="2"/>
        <v>VitóriaSalvadorCaminhão</v>
      </c>
      <c r="B595" s="46" t="s">
        <v>25</v>
      </c>
      <c r="C595" s="46" t="s">
        <v>68</v>
      </c>
      <c r="D595" s="47" t="s">
        <v>65</v>
      </c>
      <c r="E595" s="48">
        <v>1</v>
      </c>
    </row>
    <row r="596" spans="1:5" ht="15.75" customHeight="1" x14ac:dyDescent="0.3">
      <c r="A596" s="45" t="str">
        <f t="shared" si="2"/>
        <v>VitóriaSantosCaminhão</v>
      </c>
      <c r="B596" s="46" t="s">
        <v>25</v>
      </c>
      <c r="C596" s="46" t="s">
        <v>68</v>
      </c>
      <c r="D596" s="47" t="s">
        <v>47</v>
      </c>
      <c r="E596" s="48">
        <v>1</v>
      </c>
    </row>
    <row r="597" spans="1:5" ht="15.75" customHeight="1" x14ac:dyDescent="0.3">
      <c r="A597" s="45" t="str">
        <f t="shared" si="2"/>
        <v>VitóriaSão LuísCaminhão</v>
      </c>
      <c r="B597" s="46" t="s">
        <v>25</v>
      </c>
      <c r="C597" s="46" t="s">
        <v>68</v>
      </c>
      <c r="D597" s="47" t="s">
        <v>50</v>
      </c>
      <c r="E597" s="48">
        <v>2</v>
      </c>
    </row>
    <row r="598" spans="1:5" ht="15.75" customHeight="1" x14ac:dyDescent="0.3">
      <c r="A598" s="45" t="str">
        <f t="shared" si="2"/>
        <v>VitóriaSão PauloCaminhão</v>
      </c>
      <c r="B598" s="46" t="s">
        <v>25</v>
      </c>
      <c r="C598" s="46" t="s">
        <v>68</v>
      </c>
      <c r="D598" s="47" t="s">
        <v>66</v>
      </c>
      <c r="E598" s="48">
        <v>1</v>
      </c>
    </row>
    <row r="599" spans="1:5" ht="15.75" customHeight="1" x14ac:dyDescent="0.3">
      <c r="A599" s="45" t="str">
        <f t="shared" si="2"/>
        <v>VitóriaUberlândiaCaminhão</v>
      </c>
      <c r="B599" s="46" t="s">
        <v>25</v>
      </c>
      <c r="C599" s="46" t="s">
        <v>68</v>
      </c>
      <c r="D599" s="47" t="s">
        <v>67</v>
      </c>
      <c r="E599" s="48">
        <v>1</v>
      </c>
    </row>
    <row r="600" spans="1:5" ht="15.75" customHeight="1" x14ac:dyDescent="0.3">
      <c r="A600" s="45" t="str">
        <f t="shared" si="2"/>
        <v>VitóriaVitóriaCaminhão</v>
      </c>
      <c r="B600" s="46" t="s">
        <v>25</v>
      </c>
      <c r="C600" s="46" t="s">
        <v>68</v>
      </c>
      <c r="D600" s="47" t="s">
        <v>68</v>
      </c>
      <c r="E600" s="48">
        <v>0</v>
      </c>
    </row>
    <row r="601" spans="1:5" ht="15.75" customHeight="1" x14ac:dyDescent="0.3">
      <c r="A601" s="45" t="str">
        <f t="shared" si="2"/>
        <v>VitóriaVitória da ConquistaCaminhão</v>
      </c>
      <c r="B601" s="46" t="s">
        <v>25</v>
      </c>
      <c r="C601" s="46" t="s">
        <v>68</v>
      </c>
      <c r="D601" s="47" t="s">
        <v>49</v>
      </c>
      <c r="E601" s="48">
        <v>1</v>
      </c>
    </row>
    <row r="602" spans="1:5" ht="15.75" customHeight="1" x14ac:dyDescent="0.3">
      <c r="A602" s="45" t="str">
        <f t="shared" si="2"/>
        <v>Vitória da ConquistaBelémCaminhão</v>
      </c>
      <c r="B602" s="46" t="s">
        <v>25</v>
      </c>
      <c r="C602" s="46" t="s">
        <v>49</v>
      </c>
      <c r="D602" s="47" t="s">
        <v>48</v>
      </c>
      <c r="E602" s="48">
        <v>2</v>
      </c>
    </row>
    <row r="603" spans="1:5" ht="15.75" customHeight="1" x14ac:dyDescent="0.3">
      <c r="A603" s="45" t="str">
        <f t="shared" si="2"/>
        <v>Vitória da ConquistaBelo HorizonteCaminhão</v>
      </c>
      <c r="B603" s="46" t="s">
        <v>25</v>
      </c>
      <c r="C603" s="46" t="s">
        <v>49</v>
      </c>
      <c r="D603" s="47" t="s">
        <v>52</v>
      </c>
      <c r="E603" s="48">
        <v>1</v>
      </c>
    </row>
    <row r="604" spans="1:5" ht="15.75" customHeight="1" x14ac:dyDescent="0.3">
      <c r="A604" s="45" t="str">
        <f t="shared" si="2"/>
        <v>Vitória da ConquistaBrasíliaCaminhão</v>
      </c>
      <c r="B604" s="46" t="s">
        <v>25</v>
      </c>
      <c r="C604" s="46" t="s">
        <v>49</v>
      </c>
      <c r="D604" s="47" t="s">
        <v>53</v>
      </c>
      <c r="E604" s="48">
        <v>1</v>
      </c>
    </row>
    <row r="605" spans="1:5" ht="15.75" customHeight="1" x14ac:dyDescent="0.3">
      <c r="A605" s="45" t="str">
        <f t="shared" si="2"/>
        <v>Vitória da ConquistaCampinasCaminhão</v>
      </c>
      <c r="B605" s="46" t="s">
        <v>25</v>
      </c>
      <c r="C605" s="46" t="s">
        <v>49</v>
      </c>
      <c r="D605" s="47" t="s">
        <v>54</v>
      </c>
      <c r="E605" s="48">
        <v>1</v>
      </c>
    </row>
    <row r="606" spans="1:5" ht="15.75" customHeight="1" x14ac:dyDescent="0.3">
      <c r="A606" s="45" t="str">
        <f t="shared" si="2"/>
        <v>Vitória da ConquistaCampo GrandeCaminhão</v>
      </c>
      <c r="B606" s="46" t="s">
        <v>25</v>
      </c>
      <c r="C606" s="46" t="s">
        <v>49</v>
      </c>
      <c r="D606" s="47" t="s">
        <v>55</v>
      </c>
      <c r="E606" s="48">
        <v>2</v>
      </c>
    </row>
    <row r="607" spans="1:5" ht="15.75" customHeight="1" x14ac:dyDescent="0.3">
      <c r="A607" s="45" t="str">
        <f t="shared" si="2"/>
        <v>Vitória da ConquistaCuiabáCaminhão</v>
      </c>
      <c r="B607" s="46" t="s">
        <v>25</v>
      </c>
      <c r="C607" s="46" t="s">
        <v>49</v>
      </c>
      <c r="D607" s="47" t="s">
        <v>37</v>
      </c>
      <c r="E607" s="48">
        <v>2</v>
      </c>
    </row>
    <row r="608" spans="1:5" ht="15.75" customHeight="1" x14ac:dyDescent="0.3">
      <c r="A608" s="45" t="str">
        <f t="shared" si="2"/>
        <v>Vitória da ConquistaCuritibaCaminhão</v>
      </c>
      <c r="B608" s="46" t="s">
        <v>25</v>
      </c>
      <c r="C608" s="46" t="s">
        <v>49</v>
      </c>
      <c r="D608" s="47" t="s">
        <v>56</v>
      </c>
      <c r="E608" s="48">
        <v>2</v>
      </c>
    </row>
    <row r="609" spans="1:5" ht="15.75" customHeight="1" x14ac:dyDescent="0.3">
      <c r="A609" s="45" t="str">
        <f t="shared" si="2"/>
        <v>Vitória da ConquistaFortalezaCaminhão</v>
      </c>
      <c r="B609" s="46" t="s">
        <v>25</v>
      </c>
      <c r="C609" s="46" t="s">
        <v>49</v>
      </c>
      <c r="D609" s="47" t="s">
        <v>57</v>
      </c>
      <c r="E609" s="48">
        <v>1</v>
      </c>
    </row>
    <row r="610" spans="1:5" ht="15.75" customHeight="1" x14ac:dyDescent="0.3">
      <c r="A610" s="45" t="str">
        <f t="shared" si="2"/>
        <v>Vitória da ConquistaGoiâniaCaminhão</v>
      </c>
      <c r="B610" s="46" t="s">
        <v>25</v>
      </c>
      <c r="C610" s="46" t="s">
        <v>49</v>
      </c>
      <c r="D610" s="47" t="s">
        <v>58</v>
      </c>
      <c r="E610" s="48">
        <v>1</v>
      </c>
    </row>
    <row r="611" spans="1:5" ht="15.75" customHeight="1" x14ac:dyDescent="0.3">
      <c r="A611" s="45" t="str">
        <f t="shared" si="2"/>
        <v>Vitória da ConquistaJoão PessoaCaminhão</v>
      </c>
      <c r="B611" s="46" t="s">
        <v>25</v>
      </c>
      <c r="C611" s="46" t="s">
        <v>49</v>
      </c>
      <c r="D611" s="47" t="s">
        <v>59</v>
      </c>
      <c r="E611" s="48">
        <v>1</v>
      </c>
    </row>
    <row r="612" spans="1:5" ht="15.75" customHeight="1" x14ac:dyDescent="0.3">
      <c r="A612" s="45" t="str">
        <f t="shared" si="2"/>
        <v>Vitória da ConquistaJoinvilleCaminhão</v>
      </c>
      <c r="B612" s="46" t="s">
        <v>25</v>
      </c>
      <c r="C612" s="46" t="s">
        <v>49</v>
      </c>
      <c r="D612" s="47" t="s">
        <v>28</v>
      </c>
      <c r="E612" s="48">
        <v>2</v>
      </c>
    </row>
    <row r="613" spans="1:5" ht="15.75" customHeight="1" x14ac:dyDescent="0.3">
      <c r="A613" s="45" t="str">
        <f t="shared" si="2"/>
        <v>Vitória da ConquistaMaceióCaminhão</v>
      </c>
      <c r="B613" s="46" t="s">
        <v>25</v>
      </c>
      <c r="C613" s="46" t="s">
        <v>49</v>
      </c>
      <c r="D613" s="47" t="s">
        <v>60</v>
      </c>
      <c r="E613" s="48">
        <v>1</v>
      </c>
    </row>
    <row r="614" spans="1:5" ht="15.75" customHeight="1" x14ac:dyDescent="0.3">
      <c r="A614" s="45" t="str">
        <f t="shared" si="2"/>
        <v>Vitória da ConquistaManausCaminhão</v>
      </c>
      <c r="B614" s="46" t="s">
        <v>25</v>
      </c>
      <c r="C614" s="46" t="s">
        <v>49</v>
      </c>
      <c r="D614" s="47" t="s">
        <v>23</v>
      </c>
      <c r="E614" s="48">
        <v>4</v>
      </c>
    </row>
    <row r="615" spans="1:5" ht="15.75" customHeight="1" x14ac:dyDescent="0.3">
      <c r="A615" s="45" t="str">
        <f t="shared" si="2"/>
        <v>Vitória da ConquistaNatalCaminhão</v>
      </c>
      <c r="B615" s="46" t="s">
        <v>25</v>
      </c>
      <c r="C615" s="46" t="s">
        <v>49</v>
      </c>
      <c r="D615" s="47" t="s">
        <v>61</v>
      </c>
      <c r="E615" s="48">
        <v>1</v>
      </c>
    </row>
    <row r="616" spans="1:5" ht="15.75" customHeight="1" x14ac:dyDescent="0.3">
      <c r="A616" s="45" t="str">
        <f t="shared" si="2"/>
        <v>Vitória da ConquistaPorto AlegreCaminhão</v>
      </c>
      <c r="B616" s="46" t="s">
        <v>25</v>
      </c>
      <c r="C616" s="46" t="s">
        <v>49</v>
      </c>
      <c r="D616" s="47" t="s">
        <v>44</v>
      </c>
      <c r="E616" s="48">
        <v>3</v>
      </c>
    </row>
    <row r="617" spans="1:5" ht="15.75" customHeight="1" x14ac:dyDescent="0.3">
      <c r="A617" s="45" t="str">
        <f t="shared" si="2"/>
        <v>Vitória da ConquistaRecifeCaminhão</v>
      </c>
      <c r="B617" s="46" t="s">
        <v>25</v>
      </c>
      <c r="C617" s="46" t="s">
        <v>49</v>
      </c>
      <c r="D617" s="47" t="s">
        <v>62</v>
      </c>
      <c r="E617" s="48">
        <v>1</v>
      </c>
    </row>
    <row r="618" spans="1:5" ht="15.75" customHeight="1" x14ac:dyDescent="0.3">
      <c r="A618" s="45" t="str">
        <f t="shared" si="2"/>
        <v>Vitória da ConquistaRibeirão PretoCaminhão</v>
      </c>
      <c r="B618" s="46" t="s">
        <v>25</v>
      </c>
      <c r="C618" s="46" t="s">
        <v>49</v>
      </c>
      <c r="D618" s="47" t="s">
        <v>63</v>
      </c>
      <c r="E618" s="48">
        <v>1</v>
      </c>
    </row>
    <row r="619" spans="1:5" ht="15.75" customHeight="1" x14ac:dyDescent="0.3">
      <c r="A619" s="45" t="str">
        <f t="shared" si="2"/>
        <v>Vitória da ConquistaRio de JaneiroCaminhão</v>
      </c>
      <c r="B619" s="46" t="s">
        <v>25</v>
      </c>
      <c r="C619" s="46" t="s">
        <v>49</v>
      </c>
      <c r="D619" s="47" t="s">
        <v>64</v>
      </c>
      <c r="E619" s="48">
        <v>1</v>
      </c>
    </row>
    <row r="620" spans="1:5" ht="15.75" customHeight="1" x14ac:dyDescent="0.3">
      <c r="A620" s="45" t="str">
        <f t="shared" si="2"/>
        <v>Vitória da ConquistaSalvadorCaminhão</v>
      </c>
      <c r="B620" s="46" t="s">
        <v>25</v>
      </c>
      <c r="C620" s="46" t="s">
        <v>49</v>
      </c>
      <c r="D620" s="47" t="s">
        <v>65</v>
      </c>
      <c r="E620" s="48">
        <v>0</v>
      </c>
    </row>
    <row r="621" spans="1:5" ht="15.75" customHeight="1" x14ac:dyDescent="0.3">
      <c r="A621" s="45" t="str">
        <f t="shared" si="2"/>
        <v>Vitória da ConquistaSantosCaminhão</v>
      </c>
      <c r="B621" s="46" t="s">
        <v>25</v>
      </c>
      <c r="C621" s="46" t="s">
        <v>49</v>
      </c>
      <c r="D621" s="47" t="s">
        <v>47</v>
      </c>
      <c r="E621" s="48">
        <v>1</v>
      </c>
    </row>
    <row r="622" spans="1:5" ht="15.75" customHeight="1" x14ac:dyDescent="0.3">
      <c r="A622" s="45" t="str">
        <f t="shared" si="2"/>
        <v>Vitória da ConquistaSão LuísCaminhão</v>
      </c>
      <c r="B622" s="46" t="s">
        <v>25</v>
      </c>
      <c r="C622" s="46" t="s">
        <v>49</v>
      </c>
      <c r="D622" s="47" t="s">
        <v>50</v>
      </c>
      <c r="E622" s="48">
        <v>2</v>
      </c>
    </row>
    <row r="623" spans="1:5" ht="15.75" customHeight="1" x14ac:dyDescent="0.3">
      <c r="A623" s="45" t="str">
        <f t="shared" si="2"/>
        <v>Vitória da ConquistaSão PauloCaminhão</v>
      </c>
      <c r="B623" s="46" t="s">
        <v>25</v>
      </c>
      <c r="C623" s="46" t="s">
        <v>49</v>
      </c>
      <c r="D623" s="47" t="s">
        <v>66</v>
      </c>
      <c r="E623" s="48">
        <v>1</v>
      </c>
    </row>
    <row r="624" spans="1:5" ht="15.75" customHeight="1" x14ac:dyDescent="0.3">
      <c r="A624" s="45" t="str">
        <f t="shared" si="2"/>
        <v>Vitória da ConquistaUberlândiaCaminhão</v>
      </c>
      <c r="B624" s="46" t="s">
        <v>25</v>
      </c>
      <c r="C624" s="46" t="s">
        <v>49</v>
      </c>
      <c r="D624" s="47" t="s">
        <v>67</v>
      </c>
      <c r="E624" s="48">
        <v>1</v>
      </c>
    </row>
    <row r="625" spans="1:5" ht="15.75" customHeight="1" x14ac:dyDescent="0.3">
      <c r="A625" s="45" t="str">
        <f t="shared" si="2"/>
        <v>Vitória da ConquistaVitóriaCaminhão</v>
      </c>
      <c r="B625" s="46" t="s">
        <v>25</v>
      </c>
      <c r="C625" s="46" t="s">
        <v>49</v>
      </c>
      <c r="D625" s="47" t="s">
        <v>68</v>
      </c>
      <c r="E625" s="48">
        <v>1</v>
      </c>
    </row>
    <row r="626" spans="1:5" ht="15.75" customHeight="1" x14ac:dyDescent="0.3">
      <c r="A626" s="45" t="str">
        <f t="shared" si="2"/>
        <v>Vitória da ConquistaVitória da ConquistaCaminhão</v>
      </c>
      <c r="B626" s="46" t="s">
        <v>25</v>
      </c>
      <c r="C626" s="46" t="s">
        <v>49</v>
      </c>
      <c r="D626" s="47" t="s">
        <v>49</v>
      </c>
      <c r="E626" s="48">
        <v>0</v>
      </c>
    </row>
    <row r="627" spans="1:5" ht="15.75" customHeight="1" x14ac:dyDescent="0.3">
      <c r="A627" s="45" t="str">
        <f t="shared" si="2"/>
        <v>BelémBelémNavio</v>
      </c>
      <c r="B627" s="46" t="s">
        <v>32</v>
      </c>
      <c r="C627" s="47" t="s">
        <v>48</v>
      </c>
      <c r="D627" s="47" t="s">
        <v>48</v>
      </c>
      <c r="E627" s="48">
        <v>0</v>
      </c>
    </row>
    <row r="628" spans="1:5" ht="15.75" customHeight="1" x14ac:dyDescent="0.3">
      <c r="A628" s="45" t="str">
        <f t="shared" si="2"/>
        <v>BelémBelo HorizonteNavio</v>
      </c>
      <c r="B628" s="46" t="s">
        <v>32</v>
      </c>
      <c r="C628" s="47" t="s">
        <v>48</v>
      </c>
      <c r="D628" s="47" t="s">
        <v>52</v>
      </c>
      <c r="E628" s="48" t="s">
        <v>101</v>
      </c>
    </row>
    <row r="629" spans="1:5" ht="15.75" customHeight="1" x14ac:dyDescent="0.3">
      <c r="A629" s="45" t="str">
        <f t="shared" si="2"/>
        <v>BelémBrasíliaNavio</v>
      </c>
      <c r="B629" s="46" t="s">
        <v>32</v>
      </c>
      <c r="C629" s="47" t="s">
        <v>48</v>
      </c>
      <c r="D629" s="47" t="s">
        <v>53</v>
      </c>
      <c r="E629" s="48" t="s">
        <v>101</v>
      </c>
    </row>
    <row r="630" spans="1:5" ht="15.75" customHeight="1" x14ac:dyDescent="0.3">
      <c r="A630" s="45" t="str">
        <f t="shared" si="2"/>
        <v>BelémCampinasNavio</v>
      </c>
      <c r="B630" s="46" t="s">
        <v>32</v>
      </c>
      <c r="C630" s="47" t="s">
        <v>48</v>
      </c>
      <c r="D630" s="47" t="s">
        <v>54</v>
      </c>
      <c r="E630" s="48" t="s">
        <v>101</v>
      </c>
    </row>
    <row r="631" spans="1:5" ht="15.75" customHeight="1" x14ac:dyDescent="0.3">
      <c r="A631" s="45" t="str">
        <f t="shared" si="2"/>
        <v>BelémCampo GrandeNavio</v>
      </c>
      <c r="B631" s="46" t="s">
        <v>32</v>
      </c>
      <c r="C631" s="47" t="s">
        <v>48</v>
      </c>
      <c r="D631" s="47" t="s">
        <v>55</v>
      </c>
      <c r="E631" s="48" t="s">
        <v>101</v>
      </c>
    </row>
    <row r="632" spans="1:5" ht="15.75" customHeight="1" x14ac:dyDescent="0.3">
      <c r="A632" s="45" t="str">
        <f t="shared" si="2"/>
        <v>BelémCuiabáNavio</v>
      </c>
      <c r="B632" s="46" t="s">
        <v>32</v>
      </c>
      <c r="C632" s="47" t="s">
        <v>48</v>
      </c>
      <c r="D632" s="47" t="s">
        <v>37</v>
      </c>
      <c r="E632" s="48" t="s">
        <v>101</v>
      </c>
    </row>
    <row r="633" spans="1:5" ht="15.75" customHeight="1" x14ac:dyDescent="0.3">
      <c r="A633" s="45" t="str">
        <f t="shared" si="2"/>
        <v>BelémCuritibaNavio</v>
      </c>
      <c r="B633" s="46" t="s">
        <v>32</v>
      </c>
      <c r="C633" s="47" t="s">
        <v>48</v>
      </c>
      <c r="D633" s="47" t="s">
        <v>56</v>
      </c>
      <c r="E633" s="48">
        <v>7</v>
      </c>
    </row>
    <row r="634" spans="1:5" ht="15.75" customHeight="1" x14ac:dyDescent="0.3">
      <c r="A634" s="45" t="str">
        <f t="shared" si="2"/>
        <v>BelémFortalezaNavio</v>
      </c>
      <c r="B634" s="46" t="s">
        <v>32</v>
      </c>
      <c r="C634" s="47" t="s">
        <v>48</v>
      </c>
      <c r="D634" s="47" t="s">
        <v>57</v>
      </c>
      <c r="E634" s="48">
        <v>1</v>
      </c>
    </row>
    <row r="635" spans="1:5" ht="15.75" customHeight="1" x14ac:dyDescent="0.3">
      <c r="A635" s="45" t="str">
        <f t="shared" si="2"/>
        <v>BelémGoiâniaNavio</v>
      </c>
      <c r="B635" s="46" t="s">
        <v>32</v>
      </c>
      <c r="C635" s="47" t="s">
        <v>48</v>
      </c>
      <c r="D635" s="47" t="s">
        <v>58</v>
      </c>
      <c r="E635" s="48" t="s">
        <v>101</v>
      </c>
    </row>
    <row r="636" spans="1:5" ht="15.75" customHeight="1" x14ac:dyDescent="0.3">
      <c r="A636" s="45" t="str">
        <f t="shared" si="2"/>
        <v>BelémJoão PessoaNavio</v>
      </c>
      <c r="B636" s="46" t="s">
        <v>32</v>
      </c>
      <c r="C636" s="47" t="s">
        <v>48</v>
      </c>
      <c r="D636" s="47" t="s">
        <v>59</v>
      </c>
      <c r="E636" s="48">
        <v>3</v>
      </c>
    </row>
    <row r="637" spans="1:5" ht="15.75" customHeight="1" x14ac:dyDescent="0.3">
      <c r="A637" s="45" t="str">
        <f t="shared" si="2"/>
        <v>BelémJoinvilleNavio</v>
      </c>
      <c r="B637" s="46" t="s">
        <v>32</v>
      </c>
      <c r="C637" s="47" t="s">
        <v>48</v>
      </c>
      <c r="D637" s="47" t="s">
        <v>28</v>
      </c>
      <c r="E637" s="48">
        <v>7</v>
      </c>
    </row>
    <row r="638" spans="1:5" ht="15.75" customHeight="1" x14ac:dyDescent="0.3">
      <c r="A638" s="45" t="str">
        <f t="shared" si="2"/>
        <v>BelémMaceióNavio</v>
      </c>
      <c r="B638" s="46" t="s">
        <v>32</v>
      </c>
      <c r="C638" s="47" t="s">
        <v>48</v>
      </c>
      <c r="D638" s="47" t="s">
        <v>60</v>
      </c>
      <c r="E638" s="48">
        <v>3</v>
      </c>
    </row>
    <row r="639" spans="1:5" ht="15.75" customHeight="1" x14ac:dyDescent="0.3">
      <c r="A639" s="45" t="str">
        <f t="shared" si="2"/>
        <v>BelémManausNavio</v>
      </c>
      <c r="B639" s="46" t="s">
        <v>32</v>
      </c>
      <c r="C639" s="47" t="s">
        <v>48</v>
      </c>
      <c r="D639" s="47" t="s">
        <v>23</v>
      </c>
      <c r="E639" s="48">
        <v>2</v>
      </c>
    </row>
    <row r="640" spans="1:5" ht="15.75" customHeight="1" x14ac:dyDescent="0.3">
      <c r="A640" s="45" t="str">
        <f t="shared" si="2"/>
        <v>BelémNatalNavio</v>
      </c>
      <c r="B640" s="46" t="s">
        <v>32</v>
      </c>
      <c r="C640" s="47" t="s">
        <v>48</v>
      </c>
      <c r="D640" s="47" t="s">
        <v>61</v>
      </c>
      <c r="E640" s="48">
        <v>3</v>
      </c>
    </row>
    <row r="641" spans="1:5" ht="15.75" customHeight="1" x14ac:dyDescent="0.3">
      <c r="A641" s="45" t="str">
        <f t="shared" si="2"/>
        <v>BelémPorto AlegreNavio</v>
      </c>
      <c r="B641" s="46" t="s">
        <v>32</v>
      </c>
      <c r="C641" s="47" t="s">
        <v>48</v>
      </c>
      <c r="D641" s="47" t="s">
        <v>44</v>
      </c>
      <c r="E641" s="48">
        <v>8</v>
      </c>
    </row>
    <row r="642" spans="1:5" ht="15.75" customHeight="1" x14ac:dyDescent="0.3">
      <c r="A642" s="45" t="str">
        <f t="shared" si="2"/>
        <v>BelémRecifeNavio</v>
      </c>
      <c r="B642" s="46" t="s">
        <v>32</v>
      </c>
      <c r="C642" s="47" t="s">
        <v>48</v>
      </c>
      <c r="D642" s="47" t="s">
        <v>62</v>
      </c>
      <c r="E642" s="48">
        <v>3</v>
      </c>
    </row>
    <row r="643" spans="1:5" ht="15.75" customHeight="1" x14ac:dyDescent="0.3">
      <c r="A643" s="45" t="str">
        <f t="shared" si="2"/>
        <v>BelémRibeirão PretoNavio</v>
      </c>
      <c r="B643" s="46" t="s">
        <v>32</v>
      </c>
      <c r="C643" s="47" t="s">
        <v>48</v>
      </c>
      <c r="D643" s="47" t="s">
        <v>63</v>
      </c>
      <c r="E643" s="48" t="s">
        <v>101</v>
      </c>
    </row>
    <row r="644" spans="1:5" ht="15.75" customHeight="1" x14ac:dyDescent="0.3">
      <c r="A644" s="45" t="str">
        <f t="shared" si="2"/>
        <v>BelémRio de JaneiroNavio</v>
      </c>
      <c r="B644" s="46" t="s">
        <v>32</v>
      </c>
      <c r="C644" s="47" t="s">
        <v>48</v>
      </c>
      <c r="D644" s="47" t="s">
        <v>64</v>
      </c>
      <c r="E644" s="48">
        <v>6</v>
      </c>
    </row>
    <row r="645" spans="1:5" ht="15.75" customHeight="1" x14ac:dyDescent="0.3">
      <c r="A645" s="45" t="str">
        <f t="shared" si="2"/>
        <v>BelémSalvadorNavio</v>
      </c>
      <c r="B645" s="46" t="s">
        <v>32</v>
      </c>
      <c r="C645" s="47" t="s">
        <v>48</v>
      </c>
      <c r="D645" s="47" t="s">
        <v>65</v>
      </c>
      <c r="E645" s="48">
        <v>4</v>
      </c>
    </row>
    <row r="646" spans="1:5" ht="15.75" customHeight="1" x14ac:dyDescent="0.3">
      <c r="A646" s="45" t="str">
        <f t="shared" si="2"/>
        <v>BelémSantosNavio</v>
      </c>
      <c r="B646" s="46" t="s">
        <v>32</v>
      </c>
      <c r="C646" s="47" t="s">
        <v>48</v>
      </c>
      <c r="D646" s="47" t="s">
        <v>47</v>
      </c>
      <c r="E646" s="48">
        <v>6</v>
      </c>
    </row>
    <row r="647" spans="1:5" ht="15.75" customHeight="1" x14ac:dyDescent="0.3">
      <c r="A647" s="45" t="str">
        <f t="shared" si="2"/>
        <v>BelémSão LuísNavio</v>
      </c>
      <c r="B647" s="46" t="s">
        <v>32</v>
      </c>
      <c r="C647" s="47" t="s">
        <v>48</v>
      </c>
      <c r="D647" s="47" t="s">
        <v>50</v>
      </c>
      <c r="E647" s="48">
        <v>1</v>
      </c>
    </row>
    <row r="648" spans="1:5" ht="15.75" customHeight="1" x14ac:dyDescent="0.3">
      <c r="A648" s="45" t="str">
        <f t="shared" si="2"/>
        <v>BelémSão PauloNavio</v>
      </c>
      <c r="B648" s="46" t="s">
        <v>32</v>
      </c>
      <c r="C648" s="47" t="s">
        <v>48</v>
      </c>
      <c r="D648" s="47" t="s">
        <v>66</v>
      </c>
      <c r="E648" s="48" t="s">
        <v>101</v>
      </c>
    </row>
    <row r="649" spans="1:5" ht="15.75" customHeight="1" x14ac:dyDescent="0.3">
      <c r="A649" s="45" t="str">
        <f t="shared" si="2"/>
        <v>BelémUberlândiaNavio</v>
      </c>
      <c r="B649" s="46" t="s">
        <v>32</v>
      </c>
      <c r="C649" s="47" t="s">
        <v>48</v>
      </c>
      <c r="D649" s="47" t="s">
        <v>67</v>
      </c>
      <c r="E649" s="48" t="s">
        <v>101</v>
      </c>
    </row>
    <row r="650" spans="1:5" ht="15.75" customHeight="1" x14ac:dyDescent="0.3">
      <c r="A650" s="45" t="str">
        <f t="shared" si="2"/>
        <v>BelémVitóriaNavio</v>
      </c>
      <c r="B650" s="46" t="s">
        <v>32</v>
      </c>
      <c r="C650" s="47" t="s">
        <v>48</v>
      </c>
      <c r="D650" s="47" t="s">
        <v>68</v>
      </c>
      <c r="E650" s="48">
        <v>5</v>
      </c>
    </row>
    <row r="651" spans="1:5" ht="15.75" customHeight="1" x14ac:dyDescent="0.3">
      <c r="A651" s="45" t="str">
        <f t="shared" si="2"/>
        <v>BelémVitória da ConquistaNavio</v>
      </c>
      <c r="B651" s="46" t="s">
        <v>32</v>
      </c>
      <c r="C651" s="47" t="s">
        <v>48</v>
      </c>
      <c r="D651" s="47" t="s">
        <v>49</v>
      </c>
      <c r="E651" s="48" t="s">
        <v>101</v>
      </c>
    </row>
    <row r="652" spans="1:5" ht="15.75" customHeight="1" x14ac:dyDescent="0.3">
      <c r="A652" s="45" t="str">
        <f t="shared" si="2"/>
        <v>Belo HorizonteBelémNavio</v>
      </c>
      <c r="B652" s="46" t="s">
        <v>32</v>
      </c>
      <c r="C652" s="46" t="s">
        <v>52</v>
      </c>
      <c r="D652" s="47" t="s">
        <v>48</v>
      </c>
      <c r="E652" s="48" t="s">
        <v>101</v>
      </c>
    </row>
    <row r="653" spans="1:5" ht="15.75" customHeight="1" x14ac:dyDescent="0.3">
      <c r="A653" s="45" t="str">
        <f t="shared" si="2"/>
        <v>Belo HorizonteBelo HorizonteNavio</v>
      </c>
      <c r="B653" s="46" t="s">
        <v>32</v>
      </c>
      <c r="C653" s="46" t="s">
        <v>52</v>
      </c>
      <c r="D653" s="47" t="s">
        <v>52</v>
      </c>
      <c r="E653" s="48" t="s">
        <v>101</v>
      </c>
    </row>
    <row r="654" spans="1:5" ht="15.75" customHeight="1" x14ac:dyDescent="0.3">
      <c r="A654" s="45" t="str">
        <f t="shared" si="2"/>
        <v>Belo HorizonteBrasíliaNavio</v>
      </c>
      <c r="B654" s="46" t="s">
        <v>32</v>
      </c>
      <c r="C654" s="46" t="s">
        <v>52</v>
      </c>
      <c r="D654" s="47" t="s">
        <v>53</v>
      </c>
      <c r="E654" s="48" t="s">
        <v>101</v>
      </c>
    </row>
    <row r="655" spans="1:5" ht="15.75" customHeight="1" x14ac:dyDescent="0.3">
      <c r="A655" s="45" t="str">
        <f t="shared" si="2"/>
        <v>Belo HorizonteCampinasNavio</v>
      </c>
      <c r="B655" s="46" t="s">
        <v>32</v>
      </c>
      <c r="C655" s="46" t="s">
        <v>52</v>
      </c>
      <c r="D655" s="47" t="s">
        <v>54</v>
      </c>
      <c r="E655" s="48" t="s">
        <v>101</v>
      </c>
    </row>
    <row r="656" spans="1:5" ht="15.75" customHeight="1" x14ac:dyDescent="0.3">
      <c r="A656" s="45" t="str">
        <f t="shared" si="2"/>
        <v>Belo HorizonteCampo GrandeNavio</v>
      </c>
      <c r="B656" s="46" t="s">
        <v>32</v>
      </c>
      <c r="C656" s="46" t="s">
        <v>52</v>
      </c>
      <c r="D656" s="47" t="s">
        <v>55</v>
      </c>
      <c r="E656" s="48" t="s">
        <v>101</v>
      </c>
    </row>
    <row r="657" spans="1:5" ht="15.75" customHeight="1" x14ac:dyDescent="0.3">
      <c r="A657" s="45" t="str">
        <f t="shared" si="2"/>
        <v>Belo HorizonteCuiabáNavio</v>
      </c>
      <c r="B657" s="46" t="s">
        <v>32</v>
      </c>
      <c r="C657" s="46" t="s">
        <v>52</v>
      </c>
      <c r="D657" s="47" t="s">
        <v>37</v>
      </c>
      <c r="E657" s="48" t="s">
        <v>101</v>
      </c>
    </row>
    <row r="658" spans="1:5" ht="15.75" customHeight="1" x14ac:dyDescent="0.3">
      <c r="A658" s="45" t="str">
        <f t="shared" si="2"/>
        <v>Belo HorizonteCuritibaNavio</v>
      </c>
      <c r="B658" s="46" t="s">
        <v>32</v>
      </c>
      <c r="C658" s="46" t="s">
        <v>52</v>
      </c>
      <c r="D658" s="47" t="s">
        <v>56</v>
      </c>
      <c r="E658" s="48" t="s">
        <v>101</v>
      </c>
    </row>
    <row r="659" spans="1:5" ht="15.75" customHeight="1" x14ac:dyDescent="0.3">
      <c r="A659" s="45" t="str">
        <f t="shared" si="2"/>
        <v>Belo HorizonteFortalezaNavio</v>
      </c>
      <c r="B659" s="46" t="s">
        <v>32</v>
      </c>
      <c r="C659" s="46" t="s">
        <v>52</v>
      </c>
      <c r="D659" s="47" t="s">
        <v>57</v>
      </c>
      <c r="E659" s="48" t="s">
        <v>101</v>
      </c>
    </row>
    <row r="660" spans="1:5" ht="15.75" customHeight="1" x14ac:dyDescent="0.3">
      <c r="A660" s="45" t="str">
        <f t="shared" si="2"/>
        <v>Belo HorizonteGoiâniaNavio</v>
      </c>
      <c r="B660" s="46" t="s">
        <v>32</v>
      </c>
      <c r="C660" s="46" t="s">
        <v>52</v>
      </c>
      <c r="D660" s="47" t="s">
        <v>58</v>
      </c>
      <c r="E660" s="48" t="s">
        <v>101</v>
      </c>
    </row>
    <row r="661" spans="1:5" ht="15.75" customHeight="1" x14ac:dyDescent="0.3">
      <c r="A661" s="45" t="str">
        <f t="shared" si="2"/>
        <v>Belo HorizonteJoão PessoaNavio</v>
      </c>
      <c r="B661" s="46" t="s">
        <v>32</v>
      </c>
      <c r="C661" s="46" t="s">
        <v>52</v>
      </c>
      <c r="D661" s="47" t="s">
        <v>59</v>
      </c>
      <c r="E661" s="48" t="s">
        <v>101</v>
      </c>
    </row>
    <row r="662" spans="1:5" ht="15.75" customHeight="1" x14ac:dyDescent="0.3">
      <c r="A662" s="45" t="str">
        <f t="shared" si="2"/>
        <v>Belo HorizonteJoinvilleNavio</v>
      </c>
      <c r="B662" s="46" t="s">
        <v>32</v>
      </c>
      <c r="C662" s="46" t="s">
        <v>52</v>
      </c>
      <c r="D662" s="47" t="s">
        <v>28</v>
      </c>
      <c r="E662" s="48" t="s">
        <v>101</v>
      </c>
    </row>
    <row r="663" spans="1:5" ht="15.75" customHeight="1" x14ac:dyDescent="0.3">
      <c r="A663" s="45" t="str">
        <f t="shared" si="2"/>
        <v>Belo HorizonteMaceióNavio</v>
      </c>
      <c r="B663" s="46" t="s">
        <v>32</v>
      </c>
      <c r="C663" s="46" t="s">
        <v>52</v>
      </c>
      <c r="D663" s="47" t="s">
        <v>60</v>
      </c>
      <c r="E663" s="48" t="s">
        <v>101</v>
      </c>
    </row>
    <row r="664" spans="1:5" ht="15.75" customHeight="1" x14ac:dyDescent="0.3">
      <c r="A664" s="45" t="str">
        <f t="shared" si="2"/>
        <v>Belo HorizonteManausNavio</v>
      </c>
      <c r="B664" s="46" t="s">
        <v>32</v>
      </c>
      <c r="C664" s="46" t="s">
        <v>52</v>
      </c>
      <c r="D664" s="47" t="s">
        <v>23</v>
      </c>
      <c r="E664" s="48" t="s">
        <v>101</v>
      </c>
    </row>
    <row r="665" spans="1:5" ht="15.75" customHeight="1" x14ac:dyDescent="0.3">
      <c r="A665" s="45" t="str">
        <f t="shared" si="2"/>
        <v>Belo HorizonteNatalNavio</v>
      </c>
      <c r="B665" s="46" t="s">
        <v>32</v>
      </c>
      <c r="C665" s="46" t="s">
        <v>52</v>
      </c>
      <c r="D665" s="47" t="s">
        <v>61</v>
      </c>
      <c r="E665" s="48" t="s">
        <v>101</v>
      </c>
    </row>
    <row r="666" spans="1:5" ht="15.75" customHeight="1" x14ac:dyDescent="0.3">
      <c r="A666" s="45" t="str">
        <f t="shared" si="2"/>
        <v>Belo HorizontePorto AlegreNavio</v>
      </c>
      <c r="B666" s="46" t="s">
        <v>32</v>
      </c>
      <c r="C666" s="46" t="s">
        <v>52</v>
      </c>
      <c r="D666" s="47" t="s">
        <v>44</v>
      </c>
      <c r="E666" s="48" t="s">
        <v>101</v>
      </c>
    </row>
    <row r="667" spans="1:5" ht="15.75" customHeight="1" x14ac:dyDescent="0.3">
      <c r="A667" s="45" t="str">
        <f t="shared" si="2"/>
        <v>Belo HorizonteRecifeNavio</v>
      </c>
      <c r="B667" s="46" t="s">
        <v>32</v>
      </c>
      <c r="C667" s="46" t="s">
        <v>52</v>
      </c>
      <c r="D667" s="47" t="s">
        <v>62</v>
      </c>
      <c r="E667" s="48" t="s">
        <v>101</v>
      </c>
    </row>
    <row r="668" spans="1:5" ht="15.75" customHeight="1" x14ac:dyDescent="0.3">
      <c r="A668" s="45" t="str">
        <f t="shared" si="2"/>
        <v>Belo HorizonteRibeirão PretoNavio</v>
      </c>
      <c r="B668" s="46" t="s">
        <v>32</v>
      </c>
      <c r="C668" s="46" t="s">
        <v>52</v>
      </c>
      <c r="D668" s="47" t="s">
        <v>63</v>
      </c>
      <c r="E668" s="48" t="s">
        <v>101</v>
      </c>
    </row>
    <row r="669" spans="1:5" ht="15.75" customHeight="1" x14ac:dyDescent="0.3">
      <c r="A669" s="45" t="str">
        <f t="shared" si="2"/>
        <v>Belo HorizonteRio de JaneiroNavio</v>
      </c>
      <c r="B669" s="46" t="s">
        <v>32</v>
      </c>
      <c r="C669" s="46" t="s">
        <v>52</v>
      </c>
      <c r="D669" s="47" t="s">
        <v>64</v>
      </c>
      <c r="E669" s="48" t="s">
        <v>101</v>
      </c>
    </row>
    <row r="670" spans="1:5" ht="15.75" customHeight="1" x14ac:dyDescent="0.3">
      <c r="A670" s="45" t="str">
        <f t="shared" si="2"/>
        <v>Belo HorizonteSalvadorNavio</v>
      </c>
      <c r="B670" s="46" t="s">
        <v>32</v>
      </c>
      <c r="C670" s="46" t="s">
        <v>52</v>
      </c>
      <c r="D670" s="47" t="s">
        <v>65</v>
      </c>
      <c r="E670" s="48" t="s">
        <v>101</v>
      </c>
    </row>
    <row r="671" spans="1:5" ht="15.75" customHeight="1" x14ac:dyDescent="0.3">
      <c r="A671" s="45" t="str">
        <f t="shared" si="2"/>
        <v>Belo HorizonteSantosNavio</v>
      </c>
      <c r="B671" s="46" t="s">
        <v>32</v>
      </c>
      <c r="C671" s="46" t="s">
        <v>52</v>
      </c>
      <c r="D671" s="47" t="s">
        <v>47</v>
      </c>
      <c r="E671" s="48" t="s">
        <v>101</v>
      </c>
    </row>
    <row r="672" spans="1:5" ht="15.75" customHeight="1" x14ac:dyDescent="0.3">
      <c r="A672" s="45" t="str">
        <f t="shared" si="2"/>
        <v>Belo HorizonteSão LuísNavio</v>
      </c>
      <c r="B672" s="46" t="s">
        <v>32</v>
      </c>
      <c r="C672" s="46" t="s">
        <v>52</v>
      </c>
      <c r="D672" s="47" t="s">
        <v>50</v>
      </c>
      <c r="E672" s="48" t="s">
        <v>101</v>
      </c>
    </row>
    <row r="673" spans="1:5" ht="15.75" customHeight="1" x14ac:dyDescent="0.3">
      <c r="A673" s="45" t="str">
        <f t="shared" si="2"/>
        <v>Belo HorizonteSão PauloNavio</v>
      </c>
      <c r="B673" s="46" t="s">
        <v>32</v>
      </c>
      <c r="C673" s="46" t="s">
        <v>52</v>
      </c>
      <c r="D673" s="47" t="s">
        <v>66</v>
      </c>
      <c r="E673" s="48" t="s">
        <v>101</v>
      </c>
    </row>
    <row r="674" spans="1:5" ht="15.75" customHeight="1" x14ac:dyDescent="0.3">
      <c r="A674" s="45" t="str">
        <f t="shared" si="2"/>
        <v>Belo HorizonteUberlândiaNavio</v>
      </c>
      <c r="B674" s="46" t="s">
        <v>32</v>
      </c>
      <c r="C674" s="46" t="s">
        <v>52</v>
      </c>
      <c r="D674" s="47" t="s">
        <v>67</v>
      </c>
      <c r="E674" s="48" t="s">
        <v>101</v>
      </c>
    </row>
    <row r="675" spans="1:5" ht="15.75" customHeight="1" x14ac:dyDescent="0.3">
      <c r="A675" s="45" t="str">
        <f t="shared" si="2"/>
        <v>Belo HorizonteVitóriaNavio</v>
      </c>
      <c r="B675" s="46" t="s">
        <v>32</v>
      </c>
      <c r="C675" s="46" t="s">
        <v>52</v>
      </c>
      <c r="D675" s="47" t="s">
        <v>68</v>
      </c>
      <c r="E675" s="48" t="s">
        <v>101</v>
      </c>
    </row>
    <row r="676" spans="1:5" ht="15.75" customHeight="1" x14ac:dyDescent="0.3">
      <c r="A676" s="45" t="str">
        <f t="shared" si="2"/>
        <v>Belo HorizonteVitória da ConquistaNavio</v>
      </c>
      <c r="B676" s="46" t="s">
        <v>32</v>
      </c>
      <c r="C676" s="46" t="s">
        <v>52</v>
      </c>
      <c r="D676" s="47" t="s">
        <v>49</v>
      </c>
      <c r="E676" s="48" t="s">
        <v>101</v>
      </c>
    </row>
    <row r="677" spans="1:5" ht="15.75" customHeight="1" x14ac:dyDescent="0.3">
      <c r="A677" s="45" t="str">
        <f t="shared" si="2"/>
        <v>BrasíliaBelémNavio</v>
      </c>
      <c r="B677" s="46" t="s">
        <v>32</v>
      </c>
      <c r="C677" s="47" t="s">
        <v>53</v>
      </c>
      <c r="D677" s="47" t="s">
        <v>48</v>
      </c>
      <c r="E677" s="48" t="s">
        <v>101</v>
      </c>
    </row>
    <row r="678" spans="1:5" ht="15.75" customHeight="1" x14ac:dyDescent="0.3">
      <c r="A678" s="45" t="str">
        <f t="shared" si="2"/>
        <v>BrasíliaBelo HorizonteNavio</v>
      </c>
      <c r="B678" s="46" t="s">
        <v>32</v>
      </c>
      <c r="C678" s="47" t="s">
        <v>53</v>
      </c>
      <c r="D678" s="47" t="s">
        <v>52</v>
      </c>
      <c r="E678" s="48" t="s">
        <v>101</v>
      </c>
    </row>
    <row r="679" spans="1:5" ht="15.75" customHeight="1" x14ac:dyDescent="0.3">
      <c r="A679" s="45" t="str">
        <f t="shared" si="2"/>
        <v>BrasíliaBrasíliaNavio</v>
      </c>
      <c r="B679" s="46" t="s">
        <v>32</v>
      </c>
      <c r="C679" s="47" t="s">
        <v>53</v>
      </c>
      <c r="D679" s="47" t="s">
        <v>53</v>
      </c>
      <c r="E679" s="48" t="s">
        <v>101</v>
      </c>
    </row>
    <row r="680" spans="1:5" ht="15.75" customHeight="1" x14ac:dyDescent="0.3">
      <c r="A680" s="45" t="str">
        <f t="shared" si="2"/>
        <v>BrasíliaCampinasNavio</v>
      </c>
      <c r="B680" s="46" t="s">
        <v>32</v>
      </c>
      <c r="C680" s="47" t="s">
        <v>53</v>
      </c>
      <c r="D680" s="47" t="s">
        <v>54</v>
      </c>
      <c r="E680" s="48" t="s">
        <v>101</v>
      </c>
    </row>
    <row r="681" spans="1:5" ht="15.75" customHeight="1" x14ac:dyDescent="0.3">
      <c r="A681" s="45" t="str">
        <f t="shared" si="2"/>
        <v>BrasíliaCampo GrandeNavio</v>
      </c>
      <c r="B681" s="46" t="s">
        <v>32</v>
      </c>
      <c r="C681" s="47" t="s">
        <v>53</v>
      </c>
      <c r="D681" s="47" t="s">
        <v>55</v>
      </c>
      <c r="E681" s="48" t="s">
        <v>101</v>
      </c>
    </row>
    <row r="682" spans="1:5" ht="15.75" customHeight="1" x14ac:dyDescent="0.3">
      <c r="A682" s="45" t="str">
        <f t="shared" si="2"/>
        <v>BrasíliaCuiabáNavio</v>
      </c>
      <c r="B682" s="46" t="s">
        <v>32</v>
      </c>
      <c r="C682" s="47" t="s">
        <v>53</v>
      </c>
      <c r="D682" s="47" t="s">
        <v>37</v>
      </c>
      <c r="E682" s="48" t="s">
        <v>101</v>
      </c>
    </row>
    <row r="683" spans="1:5" ht="15.75" customHeight="1" x14ac:dyDescent="0.3">
      <c r="A683" s="45" t="str">
        <f t="shared" si="2"/>
        <v>BrasíliaCuritibaNavio</v>
      </c>
      <c r="B683" s="46" t="s">
        <v>32</v>
      </c>
      <c r="C683" s="47" t="s">
        <v>53</v>
      </c>
      <c r="D683" s="47" t="s">
        <v>56</v>
      </c>
      <c r="E683" s="48" t="s">
        <v>101</v>
      </c>
    </row>
    <row r="684" spans="1:5" ht="15.75" customHeight="1" x14ac:dyDescent="0.3">
      <c r="A684" s="45" t="str">
        <f t="shared" si="2"/>
        <v>BrasíliaFortalezaNavio</v>
      </c>
      <c r="B684" s="46" t="s">
        <v>32</v>
      </c>
      <c r="C684" s="47" t="s">
        <v>53</v>
      </c>
      <c r="D684" s="47" t="s">
        <v>57</v>
      </c>
      <c r="E684" s="48" t="s">
        <v>101</v>
      </c>
    </row>
    <row r="685" spans="1:5" ht="15.75" customHeight="1" x14ac:dyDescent="0.3">
      <c r="A685" s="45" t="str">
        <f t="shared" si="2"/>
        <v>BrasíliaGoiâniaNavio</v>
      </c>
      <c r="B685" s="46" t="s">
        <v>32</v>
      </c>
      <c r="C685" s="47" t="s">
        <v>53</v>
      </c>
      <c r="D685" s="47" t="s">
        <v>58</v>
      </c>
      <c r="E685" s="48" t="s">
        <v>101</v>
      </c>
    </row>
    <row r="686" spans="1:5" ht="15.75" customHeight="1" x14ac:dyDescent="0.3">
      <c r="A686" s="45" t="str">
        <f t="shared" si="2"/>
        <v>BrasíliaJoão PessoaNavio</v>
      </c>
      <c r="B686" s="46" t="s">
        <v>32</v>
      </c>
      <c r="C686" s="47" t="s">
        <v>53</v>
      </c>
      <c r="D686" s="47" t="s">
        <v>59</v>
      </c>
      <c r="E686" s="48" t="s">
        <v>101</v>
      </c>
    </row>
    <row r="687" spans="1:5" ht="15.75" customHeight="1" x14ac:dyDescent="0.3">
      <c r="A687" s="45" t="str">
        <f t="shared" si="2"/>
        <v>BrasíliaJoinvilleNavio</v>
      </c>
      <c r="B687" s="46" t="s">
        <v>32</v>
      </c>
      <c r="C687" s="47" t="s">
        <v>53</v>
      </c>
      <c r="D687" s="47" t="s">
        <v>28</v>
      </c>
      <c r="E687" s="48" t="s">
        <v>101</v>
      </c>
    </row>
    <row r="688" spans="1:5" ht="15.75" customHeight="1" x14ac:dyDescent="0.3">
      <c r="A688" s="45" t="str">
        <f t="shared" si="2"/>
        <v>BrasíliaMaceióNavio</v>
      </c>
      <c r="B688" s="46" t="s">
        <v>32</v>
      </c>
      <c r="C688" s="47" t="s">
        <v>53</v>
      </c>
      <c r="D688" s="47" t="s">
        <v>60</v>
      </c>
      <c r="E688" s="48" t="s">
        <v>101</v>
      </c>
    </row>
    <row r="689" spans="1:5" ht="15.75" customHeight="1" x14ac:dyDescent="0.3">
      <c r="A689" s="45" t="str">
        <f t="shared" si="2"/>
        <v>BrasíliaManausNavio</v>
      </c>
      <c r="B689" s="46" t="s">
        <v>32</v>
      </c>
      <c r="C689" s="47" t="s">
        <v>53</v>
      </c>
      <c r="D689" s="47" t="s">
        <v>23</v>
      </c>
      <c r="E689" s="48" t="s">
        <v>101</v>
      </c>
    </row>
    <row r="690" spans="1:5" ht="15.75" customHeight="1" x14ac:dyDescent="0.3">
      <c r="A690" s="45" t="str">
        <f t="shared" si="2"/>
        <v>BrasíliaNatalNavio</v>
      </c>
      <c r="B690" s="46" t="s">
        <v>32</v>
      </c>
      <c r="C690" s="47" t="s">
        <v>53</v>
      </c>
      <c r="D690" s="47" t="s">
        <v>61</v>
      </c>
      <c r="E690" s="48" t="s">
        <v>101</v>
      </c>
    </row>
    <row r="691" spans="1:5" ht="15.75" customHeight="1" x14ac:dyDescent="0.3">
      <c r="A691" s="45" t="str">
        <f t="shared" si="2"/>
        <v>BrasíliaPorto AlegreNavio</v>
      </c>
      <c r="B691" s="46" t="s">
        <v>32</v>
      </c>
      <c r="C691" s="47" t="s">
        <v>53</v>
      </c>
      <c r="D691" s="47" t="s">
        <v>44</v>
      </c>
      <c r="E691" s="48" t="s">
        <v>101</v>
      </c>
    </row>
    <row r="692" spans="1:5" ht="15.75" customHeight="1" x14ac:dyDescent="0.3">
      <c r="A692" s="45" t="str">
        <f t="shared" si="2"/>
        <v>BrasíliaRecifeNavio</v>
      </c>
      <c r="B692" s="46" t="s">
        <v>32</v>
      </c>
      <c r="C692" s="47" t="s">
        <v>53</v>
      </c>
      <c r="D692" s="47" t="s">
        <v>62</v>
      </c>
      <c r="E692" s="48" t="s">
        <v>101</v>
      </c>
    </row>
    <row r="693" spans="1:5" ht="15.75" customHeight="1" x14ac:dyDescent="0.3">
      <c r="A693" s="45" t="str">
        <f t="shared" si="2"/>
        <v>BrasíliaRibeirão PretoNavio</v>
      </c>
      <c r="B693" s="46" t="s">
        <v>32</v>
      </c>
      <c r="C693" s="47" t="s">
        <v>53</v>
      </c>
      <c r="D693" s="47" t="s">
        <v>63</v>
      </c>
      <c r="E693" s="48" t="s">
        <v>101</v>
      </c>
    </row>
    <row r="694" spans="1:5" ht="15.75" customHeight="1" x14ac:dyDescent="0.3">
      <c r="A694" s="45" t="str">
        <f t="shared" si="2"/>
        <v>BrasíliaRio de JaneiroNavio</v>
      </c>
      <c r="B694" s="46" t="s">
        <v>32</v>
      </c>
      <c r="C694" s="47" t="s">
        <v>53</v>
      </c>
      <c r="D694" s="47" t="s">
        <v>64</v>
      </c>
      <c r="E694" s="48" t="s">
        <v>101</v>
      </c>
    </row>
    <row r="695" spans="1:5" ht="15.75" customHeight="1" x14ac:dyDescent="0.3">
      <c r="A695" s="45" t="str">
        <f t="shared" si="2"/>
        <v>BrasíliaSalvadorNavio</v>
      </c>
      <c r="B695" s="46" t="s">
        <v>32</v>
      </c>
      <c r="C695" s="47" t="s">
        <v>53</v>
      </c>
      <c r="D695" s="47" t="s">
        <v>65</v>
      </c>
      <c r="E695" s="48" t="s">
        <v>101</v>
      </c>
    </row>
    <row r="696" spans="1:5" ht="15.75" customHeight="1" x14ac:dyDescent="0.3">
      <c r="A696" s="45" t="str">
        <f t="shared" si="2"/>
        <v>BrasíliaSantosNavio</v>
      </c>
      <c r="B696" s="46" t="s">
        <v>32</v>
      </c>
      <c r="C696" s="47" t="s">
        <v>53</v>
      </c>
      <c r="D696" s="47" t="s">
        <v>47</v>
      </c>
      <c r="E696" s="48" t="s">
        <v>101</v>
      </c>
    </row>
    <row r="697" spans="1:5" ht="15.75" customHeight="1" x14ac:dyDescent="0.3">
      <c r="A697" s="45" t="str">
        <f t="shared" si="2"/>
        <v>BrasíliaSão LuísNavio</v>
      </c>
      <c r="B697" s="46" t="s">
        <v>32</v>
      </c>
      <c r="C697" s="47" t="s">
        <v>53</v>
      </c>
      <c r="D697" s="47" t="s">
        <v>50</v>
      </c>
      <c r="E697" s="48" t="s">
        <v>101</v>
      </c>
    </row>
    <row r="698" spans="1:5" ht="15.75" customHeight="1" x14ac:dyDescent="0.3">
      <c r="A698" s="45" t="str">
        <f t="shared" si="2"/>
        <v>BrasíliaSão PauloNavio</v>
      </c>
      <c r="B698" s="46" t="s">
        <v>32</v>
      </c>
      <c r="C698" s="47" t="s">
        <v>53</v>
      </c>
      <c r="D698" s="47" t="s">
        <v>66</v>
      </c>
      <c r="E698" s="48" t="s">
        <v>101</v>
      </c>
    </row>
    <row r="699" spans="1:5" ht="15.75" customHeight="1" x14ac:dyDescent="0.3">
      <c r="A699" s="45" t="str">
        <f t="shared" si="2"/>
        <v>BrasíliaUberlândiaNavio</v>
      </c>
      <c r="B699" s="46" t="s">
        <v>32</v>
      </c>
      <c r="C699" s="47" t="s">
        <v>53</v>
      </c>
      <c r="D699" s="47" t="s">
        <v>67</v>
      </c>
      <c r="E699" s="48" t="s">
        <v>101</v>
      </c>
    </row>
    <row r="700" spans="1:5" ht="15.75" customHeight="1" x14ac:dyDescent="0.3">
      <c r="A700" s="45" t="str">
        <f t="shared" si="2"/>
        <v>BrasíliaVitóriaNavio</v>
      </c>
      <c r="B700" s="46" t="s">
        <v>32</v>
      </c>
      <c r="C700" s="47" t="s">
        <v>53</v>
      </c>
      <c r="D700" s="47" t="s">
        <v>68</v>
      </c>
      <c r="E700" s="48" t="s">
        <v>101</v>
      </c>
    </row>
    <row r="701" spans="1:5" ht="15.75" customHeight="1" x14ac:dyDescent="0.3">
      <c r="A701" s="45" t="str">
        <f t="shared" si="2"/>
        <v>BrasíliaVitória da ConquistaNavio</v>
      </c>
      <c r="B701" s="46" t="s">
        <v>32</v>
      </c>
      <c r="C701" s="47" t="s">
        <v>53</v>
      </c>
      <c r="D701" s="47" t="s">
        <v>49</v>
      </c>
      <c r="E701" s="48" t="s">
        <v>101</v>
      </c>
    </row>
    <row r="702" spans="1:5" ht="15.75" customHeight="1" x14ac:dyDescent="0.3">
      <c r="A702" s="45" t="str">
        <f t="shared" si="2"/>
        <v>CampinasBelémNavio</v>
      </c>
      <c r="B702" s="46" t="s">
        <v>32</v>
      </c>
      <c r="C702" s="46" t="s">
        <v>54</v>
      </c>
      <c r="D702" s="47" t="s">
        <v>48</v>
      </c>
      <c r="E702" s="48" t="s">
        <v>101</v>
      </c>
    </row>
    <row r="703" spans="1:5" ht="15.75" customHeight="1" x14ac:dyDescent="0.3">
      <c r="A703" s="45" t="str">
        <f t="shared" si="2"/>
        <v>CampinasBelo HorizonteNavio</v>
      </c>
      <c r="B703" s="46" t="s">
        <v>32</v>
      </c>
      <c r="C703" s="46" t="s">
        <v>54</v>
      </c>
      <c r="D703" s="47" t="s">
        <v>52</v>
      </c>
      <c r="E703" s="48" t="s">
        <v>101</v>
      </c>
    </row>
    <row r="704" spans="1:5" ht="15.75" customHeight="1" x14ac:dyDescent="0.3">
      <c r="A704" s="45" t="str">
        <f t="shared" si="2"/>
        <v>CampinasBrasíliaNavio</v>
      </c>
      <c r="B704" s="46" t="s">
        <v>32</v>
      </c>
      <c r="C704" s="46" t="s">
        <v>54</v>
      </c>
      <c r="D704" s="47" t="s">
        <v>53</v>
      </c>
      <c r="E704" s="48" t="s">
        <v>101</v>
      </c>
    </row>
    <row r="705" spans="1:5" ht="15.75" customHeight="1" x14ac:dyDescent="0.3">
      <c r="A705" s="45" t="str">
        <f t="shared" si="2"/>
        <v>CampinasCampinasNavio</v>
      </c>
      <c r="B705" s="46" t="s">
        <v>32</v>
      </c>
      <c r="C705" s="46" t="s">
        <v>54</v>
      </c>
      <c r="D705" s="47" t="s">
        <v>54</v>
      </c>
      <c r="E705" s="48" t="s">
        <v>101</v>
      </c>
    </row>
    <row r="706" spans="1:5" ht="15.75" customHeight="1" x14ac:dyDescent="0.3">
      <c r="A706" s="45" t="str">
        <f t="shared" si="2"/>
        <v>CampinasCampo GrandeNavio</v>
      </c>
      <c r="B706" s="46" t="s">
        <v>32</v>
      </c>
      <c r="C706" s="46" t="s">
        <v>54</v>
      </c>
      <c r="D706" s="47" t="s">
        <v>55</v>
      </c>
      <c r="E706" s="48" t="s">
        <v>101</v>
      </c>
    </row>
    <row r="707" spans="1:5" ht="15.75" customHeight="1" x14ac:dyDescent="0.3">
      <c r="A707" s="45" t="str">
        <f t="shared" si="2"/>
        <v>CampinasCuiabáNavio</v>
      </c>
      <c r="B707" s="46" t="s">
        <v>32</v>
      </c>
      <c r="C707" s="46" t="s">
        <v>54</v>
      </c>
      <c r="D707" s="47" t="s">
        <v>37</v>
      </c>
      <c r="E707" s="48" t="s">
        <v>101</v>
      </c>
    </row>
    <row r="708" spans="1:5" ht="15.75" customHeight="1" x14ac:dyDescent="0.3">
      <c r="A708" s="45" t="str">
        <f t="shared" si="2"/>
        <v>CampinasCuritibaNavio</v>
      </c>
      <c r="B708" s="46" t="s">
        <v>32</v>
      </c>
      <c r="C708" s="46" t="s">
        <v>54</v>
      </c>
      <c r="D708" s="47" t="s">
        <v>56</v>
      </c>
      <c r="E708" s="48" t="s">
        <v>101</v>
      </c>
    </row>
    <row r="709" spans="1:5" ht="15.75" customHeight="1" x14ac:dyDescent="0.3">
      <c r="A709" s="45" t="str">
        <f t="shared" si="2"/>
        <v>CampinasFortalezaNavio</v>
      </c>
      <c r="B709" s="46" t="s">
        <v>32</v>
      </c>
      <c r="C709" s="46" t="s">
        <v>54</v>
      </c>
      <c r="D709" s="47" t="s">
        <v>57</v>
      </c>
      <c r="E709" s="48" t="s">
        <v>101</v>
      </c>
    </row>
    <row r="710" spans="1:5" ht="15.75" customHeight="1" x14ac:dyDescent="0.3">
      <c r="A710" s="45" t="str">
        <f t="shared" si="2"/>
        <v>CampinasGoiâniaNavio</v>
      </c>
      <c r="B710" s="46" t="s">
        <v>32</v>
      </c>
      <c r="C710" s="46" t="s">
        <v>54</v>
      </c>
      <c r="D710" s="47" t="s">
        <v>58</v>
      </c>
      <c r="E710" s="48" t="s">
        <v>101</v>
      </c>
    </row>
    <row r="711" spans="1:5" ht="15.75" customHeight="1" x14ac:dyDescent="0.3">
      <c r="A711" s="45" t="str">
        <f t="shared" si="2"/>
        <v>CampinasJoão PessoaNavio</v>
      </c>
      <c r="B711" s="46" t="s">
        <v>32</v>
      </c>
      <c r="C711" s="46" t="s">
        <v>54</v>
      </c>
      <c r="D711" s="47" t="s">
        <v>59</v>
      </c>
      <c r="E711" s="48" t="s">
        <v>101</v>
      </c>
    </row>
    <row r="712" spans="1:5" ht="15.75" customHeight="1" x14ac:dyDescent="0.3">
      <c r="A712" s="45" t="str">
        <f t="shared" si="2"/>
        <v>CampinasJoinvilleNavio</v>
      </c>
      <c r="B712" s="46" t="s">
        <v>32</v>
      </c>
      <c r="C712" s="46" t="s">
        <v>54</v>
      </c>
      <c r="D712" s="47" t="s">
        <v>28</v>
      </c>
      <c r="E712" s="48" t="s">
        <v>101</v>
      </c>
    </row>
    <row r="713" spans="1:5" ht="15.75" customHeight="1" x14ac:dyDescent="0.3">
      <c r="A713" s="45" t="str">
        <f t="shared" si="2"/>
        <v>CampinasMaceióNavio</v>
      </c>
      <c r="B713" s="46" t="s">
        <v>32</v>
      </c>
      <c r="C713" s="46" t="s">
        <v>54</v>
      </c>
      <c r="D713" s="47" t="s">
        <v>60</v>
      </c>
      <c r="E713" s="48" t="s">
        <v>101</v>
      </c>
    </row>
    <row r="714" spans="1:5" ht="15.75" customHeight="1" x14ac:dyDescent="0.3">
      <c r="A714" s="45" t="str">
        <f t="shared" si="2"/>
        <v>CampinasManausNavio</v>
      </c>
      <c r="B714" s="46" t="s">
        <v>32</v>
      </c>
      <c r="C714" s="46" t="s">
        <v>54</v>
      </c>
      <c r="D714" s="47" t="s">
        <v>23</v>
      </c>
      <c r="E714" s="48" t="s">
        <v>101</v>
      </c>
    </row>
    <row r="715" spans="1:5" ht="15.75" customHeight="1" x14ac:dyDescent="0.3">
      <c r="A715" s="45" t="str">
        <f t="shared" si="2"/>
        <v>CampinasNatalNavio</v>
      </c>
      <c r="B715" s="46" t="s">
        <v>32</v>
      </c>
      <c r="C715" s="46" t="s">
        <v>54</v>
      </c>
      <c r="D715" s="47" t="s">
        <v>61</v>
      </c>
      <c r="E715" s="48" t="s">
        <v>101</v>
      </c>
    </row>
    <row r="716" spans="1:5" ht="15.75" customHeight="1" x14ac:dyDescent="0.3">
      <c r="A716" s="45" t="str">
        <f t="shared" si="2"/>
        <v>CampinasPorto AlegreNavio</v>
      </c>
      <c r="B716" s="46" t="s">
        <v>32</v>
      </c>
      <c r="C716" s="46" t="s">
        <v>54</v>
      </c>
      <c r="D716" s="47" t="s">
        <v>44</v>
      </c>
      <c r="E716" s="48" t="s">
        <v>101</v>
      </c>
    </row>
    <row r="717" spans="1:5" ht="15.75" customHeight="1" x14ac:dyDescent="0.3">
      <c r="A717" s="45" t="str">
        <f t="shared" si="2"/>
        <v>CampinasRecifeNavio</v>
      </c>
      <c r="B717" s="46" t="s">
        <v>32</v>
      </c>
      <c r="C717" s="46" t="s">
        <v>54</v>
      </c>
      <c r="D717" s="47" t="s">
        <v>62</v>
      </c>
      <c r="E717" s="48" t="s">
        <v>101</v>
      </c>
    </row>
    <row r="718" spans="1:5" ht="15.75" customHeight="1" x14ac:dyDescent="0.3">
      <c r="A718" s="45" t="str">
        <f t="shared" si="2"/>
        <v>CampinasRibeirão PretoNavio</v>
      </c>
      <c r="B718" s="46" t="s">
        <v>32</v>
      </c>
      <c r="C718" s="46" t="s">
        <v>54</v>
      </c>
      <c r="D718" s="47" t="s">
        <v>63</v>
      </c>
      <c r="E718" s="48" t="s">
        <v>101</v>
      </c>
    </row>
    <row r="719" spans="1:5" ht="15.75" customHeight="1" x14ac:dyDescent="0.3">
      <c r="A719" s="45" t="str">
        <f t="shared" si="2"/>
        <v>CampinasRio de JaneiroNavio</v>
      </c>
      <c r="B719" s="46" t="s">
        <v>32</v>
      </c>
      <c r="C719" s="46" t="s">
        <v>54</v>
      </c>
      <c r="D719" s="47" t="s">
        <v>64</v>
      </c>
      <c r="E719" s="48" t="s">
        <v>101</v>
      </c>
    </row>
    <row r="720" spans="1:5" ht="15.75" customHeight="1" x14ac:dyDescent="0.3">
      <c r="A720" s="45" t="str">
        <f t="shared" si="2"/>
        <v>CampinasSalvadorNavio</v>
      </c>
      <c r="B720" s="46" t="s">
        <v>32</v>
      </c>
      <c r="C720" s="46" t="s">
        <v>54</v>
      </c>
      <c r="D720" s="47" t="s">
        <v>65</v>
      </c>
      <c r="E720" s="48" t="s">
        <v>101</v>
      </c>
    </row>
    <row r="721" spans="1:5" ht="15.75" customHeight="1" x14ac:dyDescent="0.3">
      <c r="A721" s="45" t="str">
        <f t="shared" si="2"/>
        <v>CampinasSantosNavio</v>
      </c>
      <c r="B721" s="46" t="s">
        <v>32</v>
      </c>
      <c r="C721" s="46" t="s">
        <v>54</v>
      </c>
      <c r="D721" s="47" t="s">
        <v>47</v>
      </c>
      <c r="E721" s="48" t="s">
        <v>101</v>
      </c>
    </row>
    <row r="722" spans="1:5" ht="15.75" customHeight="1" x14ac:dyDescent="0.3">
      <c r="A722" s="45" t="str">
        <f t="shared" si="2"/>
        <v>CampinasSão LuísNavio</v>
      </c>
      <c r="B722" s="46" t="s">
        <v>32</v>
      </c>
      <c r="C722" s="46" t="s">
        <v>54</v>
      </c>
      <c r="D722" s="47" t="s">
        <v>50</v>
      </c>
      <c r="E722" s="48" t="s">
        <v>101</v>
      </c>
    </row>
    <row r="723" spans="1:5" ht="15.75" customHeight="1" x14ac:dyDescent="0.3">
      <c r="A723" s="45" t="str">
        <f t="shared" si="2"/>
        <v>CampinasSão PauloNavio</v>
      </c>
      <c r="B723" s="46" t="s">
        <v>32</v>
      </c>
      <c r="C723" s="46" t="s">
        <v>54</v>
      </c>
      <c r="D723" s="47" t="s">
        <v>66</v>
      </c>
      <c r="E723" s="48" t="s">
        <v>101</v>
      </c>
    </row>
    <row r="724" spans="1:5" ht="15.75" customHeight="1" x14ac:dyDescent="0.3">
      <c r="A724" s="45" t="str">
        <f t="shared" si="2"/>
        <v>CampinasUberlândiaNavio</v>
      </c>
      <c r="B724" s="46" t="s">
        <v>32</v>
      </c>
      <c r="C724" s="46" t="s">
        <v>54</v>
      </c>
      <c r="D724" s="47" t="s">
        <v>67</v>
      </c>
      <c r="E724" s="48" t="s">
        <v>101</v>
      </c>
    </row>
    <row r="725" spans="1:5" ht="15.75" customHeight="1" x14ac:dyDescent="0.3">
      <c r="A725" s="45" t="str">
        <f t="shared" si="2"/>
        <v>CampinasVitóriaNavio</v>
      </c>
      <c r="B725" s="46" t="s">
        <v>32</v>
      </c>
      <c r="C725" s="46" t="s">
        <v>54</v>
      </c>
      <c r="D725" s="47" t="s">
        <v>68</v>
      </c>
      <c r="E725" s="48" t="s">
        <v>101</v>
      </c>
    </row>
    <row r="726" spans="1:5" ht="15.75" customHeight="1" x14ac:dyDescent="0.3">
      <c r="A726" s="45" t="str">
        <f t="shared" si="2"/>
        <v>CampinasVitória da ConquistaNavio</v>
      </c>
      <c r="B726" s="46" t="s">
        <v>32</v>
      </c>
      <c r="C726" s="46" t="s">
        <v>54</v>
      </c>
      <c r="D726" s="47" t="s">
        <v>49</v>
      </c>
      <c r="E726" s="48" t="s">
        <v>101</v>
      </c>
    </row>
    <row r="727" spans="1:5" ht="15.75" customHeight="1" x14ac:dyDescent="0.3">
      <c r="A727" s="45" t="str">
        <f t="shared" si="2"/>
        <v>Campo GrandeBelémNavio</v>
      </c>
      <c r="B727" s="46" t="s">
        <v>32</v>
      </c>
      <c r="C727" s="46" t="s">
        <v>55</v>
      </c>
      <c r="D727" s="47" t="s">
        <v>48</v>
      </c>
      <c r="E727" s="48" t="s">
        <v>101</v>
      </c>
    </row>
    <row r="728" spans="1:5" ht="15.75" customHeight="1" x14ac:dyDescent="0.3">
      <c r="A728" s="45" t="str">
        <f t="shared" si="2"/>
        <v>Campo GrandeBelo HorizonteNavio</v>
      </c>
      <c r="B728" s="46" t="s">
        <v>32</v>
      </c>
      <c r="C728" s="46" t="s">
        <v>55</v>
      </c>
      <c r="D728" s="47" t="s">
        <v>52</v>
      </c>
      <c r="E728" s="48" t="s">
        <v>101</v>
      </c>
    </row>
    <row r="729" spans="1:5" ht="15.75" customHeight="1" x14ac:dyDescent="0.3">
      <c r="A729" s="45" t="str">
        <f t="shared" si="2"/>
        <v>Campo GrandeBrasíliaNavio</v>
      </c>
      <c r="B729" s="46" t="s">
        <v>32</v>
      </c>
      <c r="C729" s="46" t="s">
        <v>55</v>
      </c>
      <c r="D729" s="47" t="s">
        <v>53</v>
      </c>
      <c r="E729" s="48" t="s">
        <v>101</v>
      </c>
    </row>
    <row r="730" spans="1:5" ht="15.75" customHeight="1" x14ac:dyDescent="0.3">
      <c r="A730" s="45" t="str">
        <f t="shared" si="2"/>
        <v>Campo GrandeCampinasNavio</v>
      </c>
      <c r="B730" s="46" t="s">
        <v>32</v>
      </c>
      <c r="C730" s="46" t="s">
        <v>55</v>
      </c>
      <c r="D730" s="47" t="s">
        <v>54</v>
      </c>
      <c r="E730" s="48" t="s">
        <v>101</v>
      </c>
    </row>
    <row r="731" spans="1:5" ht="15.75" customHeight="1" x14ac:dyDescent="0.3">
      <c r="A731" s="45" t="str">
        <f t="shared" si="2"/>
        <v>Campo GrandeCampo GrandeNavio</v>
      </c>
      <c r="B731" s="46" t="s">
        <v>32</v>
      </c>
      <c r="C731" s="46" t="s">
        <v>55</v>
      </c>
      <c r="D731" s="47" t="s">
        <v>55</v>
      </c>
      <c r="E731" s="48" t="s">
        <v>101</v>
      </c>
    </row>
    <row r="732" spans="1:5" ht="15.75" customHeight="1" x14ac:dyDescent="0.3">
      <c r="A732" s="45" t="str">
        <f t="shared" si="2"/>
        <v>Campo GrandeCuiabáNavio</v>
      </c>
      <c r="B732" s="46" t="s">
        <v>32</v>
      </c>
      <c r="C732" s="46" t="s">
        <v>55</v>
      </c>
      <c r="D732" s="47" t="s">
        <v>37</v>
      </c>
      <c r="E732" s="48" t="s">
        <v>101</v>
      </c>
    </row>
    <row r="733" spans="1:5" ht="15.75" customHeight="1" x14ac:dyDescent="0.3">
      <c r="A733" s="45" t="str">
        <f t="shared" si="2"/>
        <v>Campo GrandeCuritibaNavio</v>
      </c>
      <c r="B733" s="46" t="s">
        <v>32</v>
      </c>
      <c r="C733" s="46" t="s">
        <v>55</v>
      </c>
      <c r="D733" s="47" t="s">
        <v>56</v>
      </c>
      <c r="E733" s="48" t="s">
        <v>101</v>
      </c>
    </row>
    <row r="734" spans="1:5" ht="15.75" customHeight="1" x14ac:dyDescent="0.3">
      <c r="A734" s="45" t="str">
        <f t="shared" si="2"/>
        <v>Campo GrandeFortalezaNavio</v>
      </c>
      <c r="B734" s="46" t="s">
        <v>32</v>
      </c>
      <c r="C734" s="46" t="s">
        <v>55</v>
      </c>
      <c r="D734" s="47" t="s">
        <v>57</v>
      </c>
      <c r="E734" s="48" t="s">
        <v>101</v>
      </c>
    </row>
    <row r="735" spans="1:5" ht="15.75" customHeight="1" x14ac:dyDescent="0.3">
      <c r="A735" s="45" t="str">
        <f t="shared" si="2"/>
        <v>Campo GrandeGoiâniaNavio</v>
      </c>
      <c r="B735" s="46" t="s">
        <v>32</v>
      </c>
      <c r="C735" s="46" t="s">
        <v>55</v>
      </c>
      <c r="D735" s="47" t="s">
        <v>58</v>
      </c>
      <c r="E735" s="48" t="s">
        <v>101</v>
      </c>
    </row>
    <row r="736" spans="1:5" ht="15.75" customHeight="1" x14ac:dyDescent="0.3">
      <c r="A736" s="45" t="str">
        <f t="shared" si="2"/>
        <v>Campo GrandeJoão PessoaNavio</v>
      </c>
      <c r="B736" s="46" t="s">
        <v>32</v>
      </c>
      <c r="C736" s="46" t="s">
        <v>55</v>
      </c>
      <c r="D736" s="47" t="s">
        <v>59</v>
      </c>
      <c r="E736" s="48" t="s">
        <v>101</v>
      </c>
    </row>
    <row r="737" spans="1:5" ht="15.75" customHeight="1" x14ac:dyDescent="0.3">
      <c r="A737" s="45" t="str">
        <f t="shared" si="2"/>
        <v>Campo GrandeJoinvilleNavio</v>
      </c>
      <c r="B737" s="46" t="s">
        <v>32</v>
      </c>
      <c r="C737" s="46" t="s">
        <v>55</v>
      </c>
      <c r="D737" s="47" t="s">
        <v>28</v>
      </c>
      <c r="E737" s="48" t="s">
        <v>101</v>
      </c>
    </row>
    <row r="738" spans="1:5" ht="15.75" customHeight="1" x14ac:dyDescent="0.3">
      <c r="A738" s="45" t="str">
        <f t="shared" si="2"/>
        <v>Campo GrandeMaceióNavio</v>
      </c>
      <c r="B738" s="46" t="s">
        <v>32</v>
      </c>
      <c r="C738" s="46" t="s">
        <v>55</v>
      </c>
      <c r="D738" s="47" t="s">
        <v>60</v>
      </c>
      <c r="E738" s="48" t="s">
        <v>101</v>
      </c>
    </row>
    <row r="739" spans="1:5" ht="15.75" customHeight="1" x14ac:dyDescent="0.3">
      <c r="A739" s="45" t="str">
        <f t="shared" si="2"/>
        <v>Campo GrandeManausNavio</v>
      </c>
      <c r="B739" s="46" t="s">
        <v>32</v>
      </c>
      <c r="C739" s="46" t="s">
        <v>55</v>
      </c>
      <c r="D739" s="47" t="s">
        <v>23</v>
      </c>
      <c r="E739" s="48" t="s">
        <v>101</v>
      </c>
    </row>
    <row r="740" spans="1:5" ht="15.75" customHeight="1" x14ac:dyDescent="0.3">
      <c r="A740" s="45" t="str">
        <f t="shared" si="2"/>
        <v>Campo GrandeNatalNavio</v>
      </c>
      <c r="B740" s="46" t="s">
        <v>32</v>
      </c>
      <c r="C740" s="46" t="s">
        <v>55</v>
      </c>
      <c r="D740" s="47" t="s">
        <v>61</v>
      </c>
      <c r="E740" s="48" t="s">
        <v>101</v>
      </c>
    </row>
    <row r="741" spans="1:5" ht="15.75" customHeight="1" x14ac:dyDescent="0.3">
      <c r="A741" s="45" t="str">
        <f t="shared" si="2"/>
        <v>Campo GrandePorto AlegreNavio</v>
      </c>
      <c r="B741" s="46" t="s">
        <v>32</v>
      </c>
      <c r="C741" s="46" t="s">
        <v>55</v>
      </c>
      <c r="D741" s="47" t="s">
        <v>44</v>
      </c>
      <c r="E741" s="48" t="s">
        <v>101</v>
      </c>
    </row>
    <row r="742" spans="1:5" ht="15.75" customHeight="1" x14ac:dyDescent="0.3">
      <c r="A742" s="45" t="str">
        <f t="shared" si="2"/>
        <v>Campo GrandeRecifeNavio</v>
      </c>
      <c r="B742" s="46" t="s">
        <v>32</v>
      </c>
      <c r="C742" s="46" t="s">
        <v>55</v>
      </c>
      <c r="D742" s="47" t="s">
        <v>62</v>
      </c>
      <c r="E742" s="48" t="s">
        <v>101</v>
      </c>
    </row>
    <row r="743" spans="1:5" ht="15.75" customHeight="1" x14ac:dyDescent="0.3">
      <c r="A743" s="45" t="str">
        <f t="shared" si="2"/>
        <v>Campo GrandeRibeirão PretoNavio</v>
      </c>
      <c r="B743" s="46" t="s">
        <v>32</v>
      </c>
      <c r="C743" s="46" t="s">
        <v>55</v>
      </c>
      <c r="D743" s="47" t="s">
        <v>63</v>
      </c>
      <c r="E743" s="48" t="s">
        <v>101</v>
      </c>
    </row>
    <row r="744" spans="1:5" ht="15.75" customHeight="1" x14ac:dyDescent="0.3">
      <c r="A744" s="45" t="str">
        <f t="shared" si="2"/>
        <v>Campo GrandeRio de JaneiroNavio</v>
      </c>
      <c r="B744" s="46" t="s">
        <v>32</v>
      </c>
      <c r="C744" s="46" t="s">
        <v>55</v>
      </c>
      <c r="D744" s="47" t="s">
        <v>64</v>
      </c>
      <c r="E744" s="48" t="s">
        <v>101</v>
      </c>
    </row>
    <row r="745" spans="1:5" ht="15.75" customHeight="1" x14ac:dyDescent="0.3">
      <c r="A745" s="45" t="str">
        <f t="shared" si="2"/>
        <v>Campo GrandeSalvadorNavio</v>
      </c>
      <c r="B745" s="46" t="s">
        <v>32</v>
      </c>
      <c r="C745" s="46" t="s">
        <v>55</v>
      </c>
      <c r="D745" s="47" t="s">
        <v>65</v>
      </c>
      <c r="E745" s="48" t="s">
        <v>101</v>
      </c>
    </row>
    <row r="746" spans="1:5" ht="15.75" customHeight="1" x14ac:dyDescent="0.3">
      <c r="A746" s="45" t="str">
        <f t="shared" si="2"/>
        <v>Campo GrandeSantosNavio</v>
      </c>
      <c r="B746" s="46" t="s">
        <v>32</v>
      </c>
      <c r="C746" s="46" t="s">
        <v>55</v>
      </c>
      <c r="D746" s="47" t="s">
        <v>47</v>
      </c>
      <c r="E746" s="48" t="s">
        <v>101</v>
      </c>
    </row>
    <row r="747" spans="1:5" ht="15.75" customHeight="1" x14ac:dyDescent="0.3">
      <c r="A747" s="45" t="str">
        <f t="shared" si="2"/>
        <v>Campo GrandeSão LuísNavio</v>
      </c>
      <c r="B747" s="46" t="s">
        <v>32</v>
      </c>
      <c r="C747" s="46" t="s">
        <v>55</v>
      </c>
      <c r="D747" s="47" t="s">
        <v>50</v>
      </c>
      <c r="E747" s="48" t="s">
        <v>101</v>
      </c>
    </row>
    <row r="748" spans="1:5" ht="15.75" customHeight="1" x14ac:dyDescent="0.3">
      <c r="A748" s="45" t="str">
        <f t="shared" si="2"/>
        <v>Campo GrandeSão PauloNavio</v>
      </c>
      <c r="B748" s="46" t="s">
        <v>32</v>
      </c>
      <c r="C748" s="46" t="s">
        <v>55</v>
      </c>
      <c r="D748" s="47" t="s">
        <v>66</v>
      </c>
      <c r="E748" s="48" t="s">
        <v>101</v>
      </c>
    </row>
    <row r="749" spans="1:5" ht="15.75" customHeight="1" x14ac:dyDescent="0.3">
      <c r="A749" s="45" t="str">
        <f t="shared" si="2"/>
        <v>Campo GrandeUberlândiaNavio</v>
      </c>
      <c r="B749" s="46" t="s">
        <v>32</v>
      </c>
      <c r="C749" s="46" t="s">
        <v>55</v>
      </c>
      <c r="D749" s="47" t="s">
        <v>67</v>
      </c>
      <c r="E749" s="48" t="s">
        <v>101</v>
      </c>
    </row>
    <row r="750" spans="1:5" ht="15.75" customHeight="1" x14ac:dyDescent="0.3">
      <c r="A750" s="45" t="str">
        <f t="shared" si="2"/>
        <v>Campo GrandeVitóriaNavio</v>
      </c>
      <c r="B750" s="46" t="s">
        <v>32</v>
      </c>
      <c r="C750" s="46" t="s">
        <v>55</v>
      </c>
      <c r="D750" s="47" t="s">
        <v>68</v>
      </c>
      <c r="E750" s="48" t="s">
        <v>101</v>
      </c>
    </row>
    <row r="751" spans="1:5" ht="15.75" customHeight="1" x14ac:dyDescent="0.3">
      <c r="A751" s="45" t="str">
        <f t="shared" si="2"/>
        <v>Campo GrandeVitória da ConquistaNavio</v>
      </c>
      <c r="B751" s="46" t="s">
        <v>32</v>
      </c>
      <c r="C751" s="46" t="s">
        <v>55</v>
      </c>
      <c r="D751" s="47" t="s">
        <v>49</v>
      </c>
      <c r="E751" s="48" t="s">
        <v>101</v>
      </c>
    </row>
    <row r="752" spans="1:5" ht="15.75" customHeight="1" x14ac:dyDescent="0.3">
      <c r="A752" s="45" t="str">
        <f t="shared" si="2"/>
        <v>CuiabáBelémNavio</v>
      </c>
      <c r="B752" s="46" t="s">
        <v>32</v>
      </c>
      <c r="C752" s="47" t="s">
        <v>37</v>
      </c>
      <c r="D752" s="47" t="s">
        <v>48</v>
      </c>
      <c r="E752" s="48" t="s">
        <v>101</v>
      </c>
    </row>
    <row r="753" spans="1:5" ht="15.75" customHeight="1" x14ac:dyDescent="0.3">
      <c r="A753" s="45" t="str">
        <f t="shared" si="2"/>
        <v>CuiabáBelo HorizonteNavio</v>
      </c>
      <c r="B753" s="46" t="s">
        <v>32</v>
      </c>
      <c r="C753" s="47" t="s">
        <v>37</v>
      </c>
      <c r="D753" s="47" t="s">
        <v>52</v>
      </c>
      <c r="E753" s="48" t="s">
        <v>101</v>
      </c>
    </row>
    <row r="754" spans="1:5" ht="15.75" customHeight="1" x14ac:dyDescent="0.3">
      <c r="A754" s="45" t="str">
        <f t="shared" si="2"/>
        <v>CuiabáBrasíliaNavio</v>
      </c>
      <c r="B754" s="46" t="s">
        <v>32</v>
      </c>
      <c r="C754" s="47" t="s">
        <v>37</v>
      </c>
      <c r="D754" s="47" t="s">
        <v>53</v>
      </c>
      <c r="E754" s="48" t="s">
        <v>101</v>
      </c>
    </row>
    <row r="755" spans="1:5" ht="15.75" customHeight="1" x14ac:dyDescent="0.3">
      <c r="A755" s="45" t="str">
        <f t="shared" si="2"/>
        <v>CuiabáCampinasNavio</v>
      </c>
      <c r="B755" s="46" t="s">
        <v>32</v>
      </c>
      <c r="C755" s="47" t="s">
        <v>37</v>
      </c>
      <c r="D755" s="47" t="s">
        <v>54</v>
      </c>
      <c r="E755" s="48" t="s">
        <v>101</v>
      </c>
    </row>
    <row r="756" spans="1:5" ht="15.75" customHeight="1" x14ac:dyDescent="0.3">
      <c r="A756" s="45" t="str">
        <f t="shared" si="2"/>
        <v>CuiabáCampo GrandeNavio</v>
      </c>
      <c r="B756" s="46" t="s">
        <v>32</v>
      </c>
      <c r="C756" s="47" t="s">
        <v>37</v>
      </c>
      <c r="D756" s="47" t="s">
        <v>55</v>
      </c>
      <c r="E756" s="48" t="s">
        <v>101</v>
      </c>
    </row>
    <row r="757" spans="1:5" ht="15.75" customHeight="1" x14ac:dyDescent="0.3">
      <c r="A757" s="45" t="str">
        <f t="shared" si="2"/>
        <v>CuiabáCuiabáNavio</v>
      </c>
      <c r="B757" s="46" t="s">
        <v>32</v>
      </c>
      <c r="C757" s="47" t="s">
        <v>37</v>
      </c>
      <c r="D757" s="47" t="s">
        <v>37</v>
      </c>
      <c r="E757" s="48" t="s">
        <v>101</v>
      </c>
    </row>
    <row r="758" spans="1:5" ht="15.75" customHeight="1" x14ac:dyDescent="0.3">
      <c r="A758" s="45" t="str">
        <f t="shared" si="2"/>
        <v>CuiabáCuritibaNavio</v>
      </c>
      <c r="B758" s="46" t="s">
        <v>32</v>
      </c>
      <c r="C758" s="47" t="s">
        <v>37</v>
      </c>
      <c r="D758" s="47" t="s">
        <v>56</v>
      </c>
      <c r="E758" s="48" t="s">
        <v>101</v>
      </c>
    </row>
    <row r="759" spans="1:5" ht="15.75" customHeight="1" x14ac:dyDescent="0.3">
      <c r="A759" s="45" t="str">
        <f t="shared" si="2"/>
        <v>CuiabáFortalezaNavio</v>
      </c>
      <c r="B759" s="46" t="s">
        <v>32</v>
      </c>
      <c r="C759" s="47" t="s">
        <v>37</v>
      </c>
      <c r="D759" s="47" t="s">
        <v>57</v>
      </c>
      <c r="E759" s="48" t="s">
        <v>101</v>
      </c>
    </row>
    <row r="760" spans="1:5" ht="15.75" customHeight="1" x14ac:dyDescent="0.3">
      <c r="A760" s="45" t="str">
        <f t="shared" si="2"/>
        <v>CuiabáGoiâniaNavio</v>
      </c>
      <c r="B760" s="46" t="s">
        <v>32</v>
      </c>
      <c r="C760" s="47" t="s">
        <v>37</v>
      </c>
      <c r="D760" s="47" t="s">
        <v>58</v>
      </c>
      <c r="E760" s="48" t="s">
        <v>101</v>
      </c>
    </row>
    <row r="761" spans="1:5" ht="15.75" customHeight="1" x14ac:dyDescent="0.3">
      <c r="A761" s="45" t="str">
        <f t="shared" si="2"/>
        <v>CuiabáJoão PessoaNavio</v>
      </c>
      <c r="B761" s="46" t="s">
        <v>32</v>
      </c>
      <c r="C761" s="47" t="s">
        <v>37</v>
      </c>
      <c r="D761" s="47" t="s">
        <v>59</v>
      </c>
      <c r="E761" s="48" t="s">
        <v>101</v>
      </c>
    </row>
    <row r="762" spans="1:5" ht="15.75" customHeight="1" x14ac:dyDescent="0.3">
      <c r="A762" s="45" t="str">
        <f t="shared" si="2"/>
        <v>CuiabáJoinvilleNavio</v>
      </c>
      <c r="B762" s="46" t="s">
        <v>32</v>
      </c>
      <c r="C762" s="47" t="s">
        <v>37</v>
      </c>
      <c r="D762" s="47" t="s">
        <v>28</v>
      </c>
      <c r="E762" s="48" t="s">
        <v>101</v>
      </c>
    </row>
    <row r="763" spans="1:5" ht="15.75" customHeight="1" x14ac:dyDescent="0.3">
      <c r="A763" s="45" t="str">
        <f t="shared" si="2"/>
        <v>CuiabáMaceióNavio</v>
      </c>
      <c r="B763" s="46" t="s">
        <v>32</v>
      </c>
      <c r="C763" s="47" t="s">
        <v>37</v>
      </c>
      <c r="D763" s="47" t="s">
        <v>60</v>
      </c>
      <c r="E763" s="48" t="s">
        <v>101</v>
      </c>
    </row>
    <row r="764" spans="1:5" ht="15.75" customHeight="1" x14ac:dyDescent="0.3">
      <c r="A764" s="45" t="str">
        <f t="shared" si="2"/>
        <v>CuiabáManausNavio</v>
      </c>
      <c r="B764" s="46" t="s">
        <v>32</v>
      </c>
      <c r="C764" s="47" t="s">
        <v>37</v>
      </c>
      <c r="D764" s="47" t="s">
        <v>23</v>
      </c>
      <c r="E764" s="48" t="s">
        <v>101</v>
      </c>
    </row>
    <row r="765" spans="1:5" ht="15.75" customHeight="1" x14ac:dyDescent="0.3">
      <c r="A765" s="45" t="str">
        <f t="shared" si="2"/>
        <v>CuiabáNatalNavio</v>
      </c>
      <c r="B765" s="46" t="s">
        <v>32</v>
      </c>
      <c r="C765" s="47" t="s">
        <v>37</v>
      </c>
      <c r="D765" s="47" t="s">
        <v>61</v>
      </c>
      <c r="E765" s="48" t="s">
        <v>101</v>
      </c>
    </row>
    <row r="766" spans="1:5" ht="15.75" customHeight="1" x14ac:dyDescent="0.3">
      <c r="A766" s="45" t="str">
        <f t="shared" si="2"/>
        <v>CuiabáPorto AlegreNavio</v>
      </c>
      <c r="B766" s="46" t="s">
        <v>32</v>
      </c>
      <c r="C766" s="47" t="s">
        <v>37</v>
      </c>
      <c r="D766" s="47" t="s">
        <v>44</v>
      </c>
      <c r="E766" s="48" t="s">
        <v>101</v>
      </c>
    </row>
    <row r="767" spans="1:5" ht="15.75" customHeight="1" x14ac:dyDescent="0.3">
      <c r="A767" s="45" t="str">
        <f t="shared" ref="A767:A1021" si="3">C767&amp;D767&amp;B767</f>
        <v>CuiabáRecifeNavio</v>
      </c>
      <c r="B767" s="46" t="s">
        <v>32</v>
      </c>
      <c r="C767" s="47" t="s">
        <v>37</v>
      </c>
      <c r="D767" s="47" t="s">
        <v>62</v>
      </c>
      <c r="E767" s="48" t="s">
        <v>101</v>
      </c>
    </row>
    <row r="768" spans="1:5" ht="15.75" customHeight="1" x14ac:dyDescent="0.3">
      <c r="A768" s="45" t="str">
        <f t="shared" si="3"/>
        <v>CuiabáRibeirão PretoNavio</v>
      </c>
      <c r="B768" s="46" t="s">
        <v>32</v>
      </c>
      <c r="C768" s="47" t="s">
        <v>37</v>
      </c>
      <c r="D768" s="47" t="s">
        <v>63</v>
      </c>
      <c r="E768" s="48" t="s">
        <v>101</v>
      </c>
    </row>
    <row r="769" spans="1:5" ht="15.75" customHeight="1" x14ac:dyDescent="0.3">
      <c r="A769" s="45" t="str">
        <f t="shared" si="3"/>
        <v>CuiabáRio de JaneiroNavio</v>
      </c>
      <c r="B769" s="46" t="s">
        <v>32</v>
      </c>
      <c r="C769" s="47" t="s">
        <v>37</v>
      </c>
      <c r="D769" s="47" t="s">
        <v>64</v>
      </c>
      <c r="E769" s="48" t="s">
        <v>101</v>
      </c>
    </row>
    <row r="770" spans="1:5" ht="15.75" customHeight="1" x14ac:dyDescent="0.3">
      <c r="A770" s="45" t="str">
        <f t="shared" si="3"/>
        <v>CuiabáSalvadorNavio</v>
      </c>
      <c r="B770" s="46" t="s">
        <v>32</v>
      </c>
      <c r="C770" s="47" t="s">
        <v>37</v>
      </c>
      <c r="D770" s="47" t="s">
        <v>65</v>
      </c>
      <c r="E770" s="48" t="s">
        <v>101</v>
      </c>
    </row>
    <row r="771" spans="1:5" ht="15.75" customHeight="1" x14ac:dyDescent="0.3">
      <c r="A771" s="45" t="str">
        <f t="shared" si="3"/>
        <v>CuiabáSantosNavio</v>
      </c>
      <c r="B771" s="46" t="s">
        <v>32</v>
      </c>
      <c r="C771" s="47" t="s">
        <v>37</v>
      </c>
      <c r="D771" s="47" t="s">
        <v>47</v>
      </c>
      <c r="E771" s="48" t="s">
        <v>101</v>
      </c>
    </row>
    <row r="772" spans="1:5" ht="15.75" customHeight="1" x14ac:dyDescent="0.3">
      <c r="A772" s="45" t="str">
        <f t="shared" si="3"/>
        <v>CuiabáSão LuísNavio</v>
      </c>
      <c r="B772" s="46" t="s">
        <v>32</v>
      </c>
      <c r="C772" s="47" t="s">
        <v>37</v>
      </c>
      <c r="D772" s="47" t="s">
        <v>50</v>
      </c>
      <c r="E772" s="48" t="s">
        <v>101</v>
      </c>
    </row>
    <row r="773" spans="1:5" ht="15.75" customHeight="1" x14ac:dyDescent="0.3">
      <c r="A773" s="45" t="str">
        <f t="shared" si="3"/>
        <v>CuiabáSão PauloNavio</v>
      </c>
      <c r="B773" s="46" t="s">
        <v>32</v>
      </c>
      <c r="C773" s="47" t="s">
        <v>37</v>
      </c>
      <c r="D773" s="47" t="s">
        <v>66</v>
      </c>
      <c r="E773" s="48" t="s">
        <v>101</v>
      </c>
    </row>
    <row r="774" spans="1:5" ht="15.75" customHeight="1" x14ac:dyDescent="0.3">
      <c r="A774" s="45" t="str">
        <f t="shared" si="3"/>
        <v>CuiabáUberlândiaNavio</v>
      </c>
      <c r="B774" s="46" t="s">
        <v>32</v>
      </c>
      <c r="C774" s="47" t="s">
        <v>37</v>
      </c>
      <c r="D774" s="47" t="s">
        <v>67</v>
      </c>
      <c r="E774" s="48" t="s">
        <v>101</v>
      </c>
    </row>
    <row r="775" spans="1:5" ht="15.75" customHeight="1" x14ac:dyDescent="0.3">
      <c r="A775" s="45" t="str">
        <f t="shared" si="3"/>
        <v>CuiabáVitóriaNavio</v>
      </c>
      <c r="B775" s="46" t="s">
        <v>32</v>
      </c>
      <c r="C775" s="47" t="s">
        <v>37</v>
      </c>
      <c r="D775" s="47" t="s">
        <v>68</v>
      </c>
      <c r="E775" s="48" t="s">
        <v>101</v>
      </c>
    </row>
    <row r="776" spans="1:5" ht="15.75" customHeight="1" x14ac:dyDescent="0.3">
      <c r="A776" s="45" t="str">
        <f t="shared" si="3"/>
        <v>CuiabáVitória da ConquistaNavio</v>
      </c>
      <c r="B776" s="46" t="s">
        <v>32</v>
      </c>
      <c r="C776" s="47" t="s">
        <v>37</v>
      </c>
      <c r="D776" s="47" t="s">
        <v>49</v>
      </c>
      <c r="E776" s="48" t="s">
        <v>101</v>
      </c>
    </row>
    <row r="777" spans="1:5" ht="15.75" customHeight="1" x14ac:dyDescent="0.3">
      <c r="A777" s="45" t="str">
        <f t="shared" si="3"/>
        <v>CuritibaBelémNavio</v>
      </c>
      <c r="B777" s="46" t="s">
        <v>32</v>
      </c>
      <c r="C777" s="46" t="s">
        <v>56</v>
      </c>
      <c r="D777" s="47" t="s">
        <v>48</v>
      </c>
      <c r="E777" s="48">
        <v>7</v>
      </c>
    </row>
    <row r="778" spans="1:5" ht="15.75" customHeight="1" x14ac:dyDescent="0.3">
      <c r="A778" s="45" t="str">
        <f t="shared" si="3"/>
        <v>CuritibaBelo HorizonteNavio</v>
      </c>
      <c r="B778" s="46" t="s">
        <v>32</v>
      </c>
      <c r="C778" s="46" t="s">
        <v>56</v>
      </c>
      <c r="D778" s="47" t="s">
        <v>52</v>
      </c>
      <c r="E778" s="48" t="s">
        <v>101</v>
      </c>
    </row>
    <row r="779" spans="1:5" ht="15.75" customHeight="1" x14ac:dyDescent="0.3">
      <c r="A779" s="45" t="str">
        <f t="shared" si="3"/>
        <v>CuritibaBrasíliaNavio</v>
      </c>
      <c r="B779" s="46" t="s">
        <v>32</v>
      </c>
      <c r="C779" s="46" t="s">
        <v>56</v>
      </c>
      <c r="D779" s="47" t="s">
        <v>53</v>
      </c>
      <c r="E779" s="48" t="s">
        <v>101</v>
      </c>
    </row>
    <row r="780" spans="1:5" ht="15.75" customHeight="1" x14ac:dyDescent="0.3">
      <c r="A780" s="45" t="str">
        <f t="shared" si="3"/>
        <v>CuritibaCampinasNavio</v>
      </c>
      <c r="B780" s="46" t="s">
        <v>32</v>
      </c>
      <c r="C780" s="46" t="s">
        <v>56</v>
      </c>
      <c r="D780" s="47" t="s">
        <v>54</v>
      </c>
      <c r="E780" s="48" t="s">
        <v>101</v>
      </c>
    </row>
    <row r="781" spans="1:5" ht="15.75" customHeight="1" x14ac:dyDescent="0.3">
      <c r="A781" s="45" t="str">
        <f t="shared" si="3"/>
        <v>CuritibaCampo GrandeNavio</v>
      </c>
      <c r="B781" s="46" t="s">
        <v>32</v>
      </c>
      <c r="C781" s="46" t="s">
        <v>56</v>
      </c>
      <c r="D781" s="47" t="s">
        <v>55</v>
      </c>
      <c r="E781" s="48" t="s">
        <v>101</v>
      </c>
    </row>
    <row r="782" spans="1:5" ht="15.75" customHeight="1" x14ac:dyDescent="0.3">
      <c r="A782" s="45" t="str">
        <f t="shared" si="3"/>
        <v>CuritibaCuiabáNavio</v>
      </c>
      <c r="B782" s="46" t="s">
        <v>32</v>
      </c>
      <c r="C782" s="46" t="s">
        <v>56</v>
      </c>
      <c r="D782" s="47" t="s">
        <v>37</v>
      </c>
      <c r="E782" s="48" t="s">
        <v>101</v>
      </c>
    </row>
    <row r="783" spans="1:5" ht="15.75" customHeight="1" x14ac:dyDescent="0.3">
      <c r="A783" s="45" t="str">
        <f t="shared" si="3"/>
        <v>CuritibaCuritibaNavio</v>
      </c>
      <c r="B783" s="46" t="s">
        <v>32</v>
      </c>
      <c r="C783" s="46" t="s">
        <v>56</v>
      </c>
      <c r="D783" s="47" t="s">
        <v>56</v>
      </c>
      <c r="E783" s="48">
        <v>0</v>
      </c>
    </row>
    <row r="784" spans="1:5" ht="15.75" customHeight="1" x14ac:dyDescent="0.3">
      <c r="A784" s="45" t="str">
        <f t="shared" si="3"/>
        <v>CuritibaFortalezaNavio</v>
      </c>
      <c r="B784" s="46" t="s">
        <v>32</v>
      </c>
      <c r="C784" s="46" t="s">
        <v>56</v>
      </c>
      <c r="D784" s="47" t="s">
        <v>57</v>
      </c>
      <c r="E784" s="48">
        <v>5</v>
      </c>
    </row>
    <row r="785" spans="1:5" ht="15.75" customHeight="1" x14ac:dyDescent="0.3">
      <c r="A785" s="45" t="str">
        <f t="shared" si="3"/>
        <v>CuritibaGoiâniaNavio</v>
      </c>
      <c r="B785" s="46" t="s">
        <v>32</v>
      </c>
      <c r="C785" s="46" t="s">
        <v>56</v>
      </c>
      <c r="D785" s="47" t="s">
        <v>58</v>
      </c>
      <c r="E785" s="48" t="s">
        <v>101</v>
      </c>
    </row>
    <row r="786" spans="1:5" ht="15.75" customHeight="1" x14ac:dyDescent="0.3">
      <c r="A786" s="45" t="str">
        <f t="shared" si="3"/>
        <v>CuritibaJoão PessoaNavio</v>
      </c>
      <c r="B786" s="46" t="s">
        <v>32</v>
      </c>
      <c r="C786" s="46" t="s">
        <v>56</v>
      </c>
      <c r="D786" s="47" t="s">
        <v>59</v>
      </c>
      <c r="E786" s="48" t="s">
        <v>101</v>
      </c>
    </row>
    <row r="787" spans="1:5" ht="15.75" customHeight="1" x14ac:dyDescent="0.3">
      <c r="A787" s="45" t="str">
        <f t="shared" si="3"/>
        <v>CuritibaJoinvilleNavio</v>
      </c>
      <c r="B787" s="46" t="s">
        <v>32</v>
      </c>
      <c r="C787" s="46" t="s">
        <v>56</v>
      </c>
      <c r="D787" s="47" t="s">
        <v>28</v>
      </c>
      <c r="E787" s="48" t="s">
        <v>101</v>
      </c>
    </row>
    <row r="788" spans="1:5" ht="15.75" customHeight="1" x14ac:dyDescent="0.3">
      <c r="A788" s="45" t="str">
        <f t="shared" si="3"/>
        <v>CuritibaMaceióNavio</v>
      </c>
      <c r="B788" s="46" t="s">
        <v>32</v>
      </c>
      <c r="C788" s="46" t="s">
        <v>56</v>
      </c>
      <c r="D788" s="47" t="s">
        <v>60</v>
      </c>
      <c r="E788" s="48">
        <v>3</v>
      </c>
    </row>
    <row r="789" spans="1:5" ht="15.75" customHeight="1" x14ac:dyDescent="0.3">
      <c r="A789" s="45" t="str">
        <f t="shared" si="3"/>
        <v>CuritibaManausNavio</v>
      </c>
      <c r="B789" s="46" t="s">
        <v>32</v>
      </c>
      <c r="C789" s="46" t="s">
        <v>56</v>
      </c>
      <c r="D789" s="47" t="s">
        <v>23</v>
      </c>
      <c r="E789" s="48">
        <v>9</v>
      </c>
    </row>
    <row r="790" spans="1:5" ht="15.75" customHeight="1" x14ac:dyDescent="0.3">
      <c r="A790" s="45" t="str">
        <f t="shared" si="3"/>
        <v>CuritibaNatalNavio</v>
      </c>
      <c r="B790" s="46" t="s">
        <v>32</v>
      </c>
      <c r="C790" s="46" t="s">
        <v>56</v>
      </c>
      <c r="D790" s="47" t="s">
        <v>61</v>
      </c>
      <c r="E790" s="48">
        <v>4</v>
      </c>
    </row>
    <row r="791" spans="1:5" ht="15.75" customHeight="1" x14ac:dyDescent="0.3">
      <c r="A791" s="45" t="str">
        <f t="shared" si="3"/>
        <v>CuritibaPorto AlegreNavio</v>
      </c>
      <c r="B791" s="46" t="s">
        <v>32</v>
      </c>
      <c r="C791" s="46" t="s">
        <v>56</v>
      </c>
      <c r="D791" s="47" t="s">
        <v>44</v>
      </c>
      <c r="E791" s="48">
        <v>2</v>
      </c>
    </row>
    <row r="792" spans="1:5" ht="15.75" customHeight="1" x14ac:dyDescent="0.3">
      <c r="A792" s="45" t="str">
        <f t="shared" si="3"/>
        <v>CuritibaRecifeNavio</v>
      </c>
      <c r="B792" s="46" t="s">
        <v>32</v>
      </c>
      <c r="C792" s="46" t="s">
        <v>56</v>
      </c>
      <c r="D792" s="47" t="s">
        <v>62</v>
      </c>
      <c r="E792" s="48">
        <v>4</v>
      </c>
    </row>
    <row r="793" spans="1:5" ht="15.75" customHeight="1" x14ac:dyDescent="0.3">
      <c r="A793" s="45" t="str">
        <f t="shared" si="3"/>
        <v>CuritibaRibeirão PretoNavio</v>
      </c>
      <c r="B793" s="46" t="s">
        <v>32</v>
      </c>
      <c r="C793" s="46" t="s">
        <v>56</v>
      </c>
      <c r="D793" s="47" t="s">
        <v>63</v>
      </c>
      <c r="E793" s="48" t="s">
        <v>101</v>
      </c>
    </row>
    <row r="794" spans="1:5" ht="15.75" customHeight="1" x14ac:dyDescent="0.3">
      <c r="A794" s="45" t="str">
        <f t="shared" si="3"/>
        <v>CuritibaRio de JaneiroNavio</v>
      </c>
      <c r="B794" s="46" t="s">
        <v>32</v>
      </c>
      <c r="C794" s="46" t="s">
        <v>56</v>
      </c>
      <c r="D794" s="47" t="s">
        <v>64</v>
      </c>
      <c r="E794" s="48">
        <v>1</v>
      </c>
    </row>
    <row r="795" spans="1:5" ht="15.75" customHeight="1" x14ac:dyDescent="0.3">
      <c r="A795" s="45" t="str">
        <f t="shared" si="3"/>
        <v>CuritibaSalvadorNavio</v>
      </c>
      <c r="B795" s="46" t="s">
        <v>32</v>
      </c>
      <c r="C795" s="46" t="s">
        <v>56</v>
      </c>
      <c r="D795" s="47" t="s">
        <v>65</v>
      </c>
      <c r="E795" s="48">
        <v>3</v>
      </c>
    </row>
    <row r="796" spans="1:5" ht="15.75" customHeight="1" x14ac:dyDescent="0.3">
      <c r="A796" s="45" t="str">
        <f t="shared" si="3"/>
        <v>CuritibaSantosNavio</v>
      </c>
      <c r="B796" s="46" t="s">
        <v>32</v>
      </c>
      <c r="C796" s="46" t="s">
        <v>56</v>
      </c>
      <c r="D796" s="47" t="s">
        <v>47</v>
      </c>
      <c r="E796" s="48">
        <v>0</v>
      </c>
    </row>
    <row r="797" spans="1:5" ht="15.75" customHeight="1" x14ac:dyDescent="0.3">
      <c r="A797" s="45" t="str">
        <f t="shared" si="3"/>
        <v>CuritibaSão LuísNavio</v>
      </c>
      <c r="B797" s="46" t="s">
        <v>32</v>
      </c>
      <c r="C797" s="46" t="s">
        <v>56</v>
      </c>
      <c r="D797" s="47" t="s">
        <v>50</v>
      </c>
      <c r="E797" s="48">
        <v>6</v>
      </c>
    </row>
    <row r="798" spans="1:5" ht="15.75" customHeight="1" x14ac:dyDescent="0.3">
      <c r="A798" s="45" t="str">
        <f t="shared" si="3"/>
        <v>CuritibaSão PauloNavio</v>
      </c>
      <c r="B798" s="46" t="s">
        <v>32</v>
      </c>
      <c r="C798" s="46" t="s">
        <v>56</v>
      </c>
      <c r="D798" s="47" t="s">
        <v>66</v>
      </c>
      <c r="E798" s="48" t="s">
        <v>101</v>
      </c>
    </row>
    <row r="799" spans="1:5" ht="15.75" customHeight="1" x14ac:dyDescent="0.3">
      <c r="A799" s="45" t="str">
        <f t="shared" si="3"/>
        <v>CuritibaUberlândiaNavio</v>
      </c>
      <c r="B799" s="46" t="s">
        <v>32</v>
      </c>
      <c r="C799" s="46" t="s">
        <v>56</v>
      </c>
      <c r="D799" s="47" t="s">
        <v>67</v>
      </c>
      <c r="E799" s="48" t="s">
        <v>101</v>
      </c>
    </row>
    <row r="800" spans="1:5" ht="15.75" customHeight="1" x14ac:dyDescent="0.3">
      <c r="A800" s="45" t="str">
        <f t="shared" si="3"/>
        <v>CuritibaVitóriaNavio</v>
      </c>
      <c r="B800" s="46" t="s">
        <v>32</v>
      </c>
      <c r="C800" s="46" t="s">
        <v>56</v>
      </c>
      <c r="D800" s="47" t="s">
        <v>68</v>
      </c>
      <c r="E800" s="48">
        <v>2</v>
      </c>
    </row>
    <row r="801" spans="1:5" ht="15.75" customHeight="1" x14ac:dyDescent="0.3">
      <c r="A801" s="45" t="str">
        <f t="shared" si="3"/>
        <v>CuritibaVitória da ConquistaNavio</v>
      </c>
      <c r="B801" s="46" t="s">
        <v>32</v>
      </c>
      <c r="C801" s="46" t="s">
        <v>56</v>
      </c>
      <c r="D801" s="47" t="s">
        <v>49</v>
      </c>
      <c r="E801" s="48" t="s">
        <v>101</v>
      </c>
    </row>
    <row r="802" spans="1:5" ht="15.75" customHeight="1" x14ac:dyDescent="0.3">
      <c r="A802" s="45" t="str">
        <f t="shared" si="3"/>
        <v>FortalezaBelémNavio</v>
      </c>
      <c r="B802" s="46" t="s">
        <v>32</v>
      </c>
      <c r="C802" s="46" t="s">
        <v>57</v>
      </c>
      <c r="D802" s="47" t="s">
        <v>48</v>
      </c>
      <c r="E802" s="48">
        <v>1</v>
      </c>
    </row>
    <row r="803" spans="1:5" ht="15.75" customHeight="1" x14ac:dyDescent="0.3">
      <c r="A803" s="45" t="str">
        <f t="shared" si="3"/>
        <v>FortalezaBelo HorizonteNavio</v>
      </c>
      <c r="B803" s="46" t="s">
        <v>32</v>
      </c>
      <c r="C803" s="46" t="s">
        <v>57</v>
      </c>
      <c r="D803" s="47" t="s">
        <v>52</v>
      </c>
      <c r="E803" s="48" t="s">
        <v>101</v>
      </c>
    </row>
    <row r="804" spans="1:5" ht="15.75" customHeight="1" x14ac:dyDescent="0.3">
      <c r="A804" s="45" t="str">
        <f t="shared" si="3"/>
        <v>FortalezaBrasíliaNavio</v>
      </c>
      <c r="B804" s="46" t="s">
        <v>32</v>
      </c>
      <c r="C804" s="46" t="s">
        <v>57</v>
      </c>
      <c r="D804" s="47" t="s">
        <v>53</v>
      </c>
      <c r="E804" s="48" t="s">
        <v>101</v>
      </c>
    </row>
    <row r="805" spans="1:5" ht="15.75" customHeight="1" x14ac:dyDescent="0.3">
      <c r="A805" s="45" t="str">
        <f t="shared" si="3"/>
        <v>FortalezaCampinasNavio</v>
      </c>
      <c r="B805" s="46" t="s">
        <v>32</v>
      </c>
      <c r="C805" s="46" t="s">
        <v>57</v>
      </c>
      <c r="D805" s="47" t="s">
        <v>54</v>
      </c>
      <c r="E805" s="48" t="s">
        <v>101</v>
      </c>
    </row>
    <row r="806" spans="1:5" ht="15.75" customHeight="1" x14ac:dyDescent="0.3">
      <c r="A806" s="45" t="str">
        <f t="shared" si="3"/>
        <v>FortalezaCampo GrandeNavio</v>
      </c>
      <c r="B806" s="46" t="s">
        <v>32</v>
      </c>
      <c r="C806" s="46" t="s">
        <v>57</v>
      </c>
      <c r="D806" s="47" t="s">
        <v>55</v>
      </c>
      <c r="E806" s="48" t="s">
        <v>101</v>
      </c>
    </row>
    <row r="807" spans="1:5" ht="15.75" customHeight="1" x14ac:dyDescent="0.3">
      <c r="A807" s="45" t="str">
        <f t="shared" si="3"/>
        <v>FortalezaCuiabáNavio</v>
      </c>
      <c r="B807" s="46" t="s">
        <v>32</v>
      </c>
      <c r="C807" s="46" t="s">
        <v>57</v>
      </c>
      <c r="D807" s="47" t="s">
        <v>37</v>
      </c>
      <c r="E807" s="48" t="s">
        <v>101</v>
      </c>
    </row>
    <row r="808" spans="1:5" ht="15.75" customHeight="1" x14ac:dyDescent="0.3">
      <c r="A808" s="45" t="str">
        <f t="shared" si="3"/>
        <v>FortalezaCuritibaNavio</v>
      </c>
      <c r="B808" s="46" t="s">
        <v>32</v>
      </c>
      <c r="C808" s="46" t="s">
        <v>57</v>
      </c>
      <c r="D808" s="47" t="s">
        <v>56</v>
      </c>
      <c r="E808" s="48">
        <v>5</v>
      </c>
    </row>
    <row r="809" spans="1:5" ht="15.75" customHeight="1" x14ac:dyDescent="0.3">
      <c r="A809" s="45" t="str">
        <f t="shared" si="3"/>
        <v>FortalezaFortalezaNavio</v>
      </c>
      <c r="B809" s="46" t="s">
        <v>32</v>
      </c>
      <c r="C809" s="46" t="s">
        <v>57</v>
      </c>
      <c r="D809" s="47" t="s">
        <v>57</v>
      </c>
      <c r="E809" s="48">
        <v>0</v>
      </c>
    </row>
    <row r="810" spans="1:5" ht="15.75" customHeight="1" x14ac:dyDescent="0.3">
      <c r="A810" s="45" t="str">
        <f t="shared" si="3"/>
        <v>FortalezaGoiâniaNavio</v>
      </c>
      <c r="B810" s="46" t="s">
        <v>32</v>
      </c>
      <c r="C810" s="46" t="s">
        <v>57</v>
      </c>
      <c r="D810" s="47" t="s">
        <v>58</v>
      </c>
      <c r="E810" s="48" t="s">
        <v>101</v>
      </c>
    </row>
    <row r="811" spans="1:5" ht="15.75" customHeight="1" x14ac:dyDescent="0.3">
      <c r="A811" s="45" t="str">
        <f t="shared" si="3"/>
        <v>FortalezaJoão PessoaNavio</v>
      </c>
      <c r="B811" s="46" t="s">
        <v>32</v>
      </c>
      <c r="C811" s="46" t="s">
        <v>57</v>
      </c>
      <c r="D811" s="47" t="s">
        <v>59</v>
      </c>
      <c r="E811" s="48">
        <v>1</v>
      </c>
    </row>
    <row r="812" spans="1:5" ht="15.75" customHeight="1" x14ac:dyDescent="0.3">
      <c r="A812" s="45" t="str">
        <f t="shared" si="3"/>
        <v>FortalezaJoinvilleNavio</v>
      </c>
      <c r="B812" s="46" t="s">
        <v>32</v>
      </c>
      <c r="C812" s="46" t="s">
        <v>57</v>
      </c>
      <c r="D812" s="47" t="s">
        <v>28</v>
      </c>
      <c r="E812" s="48">
        <v>5</v>
      </c>
    </row>
    <row r="813" spans="1:5" ht="15.75" customHeight="1" x14ac:dyDescent="0.3">
      <c r="A813" s="45" t="str">
        <f t="shared" si="3"/>
        <v>FortalezaMaceióNavio</v>
      </c>
      <c r="B813" s="46" t="s">
        <v>32</v>
      </c>
      <c r="C813" s="46" t="s">
        <v>57</v>
      </c>
      <c r="D813" s="47" t="s">
        <v>60</v>
      </c>
      <c r="E813" s="48">
        <v>1</v>
      </c>
    </row>
    <row r="814" spans="1:5" ht="15.75" customHeight="1" x14ac:dyDescent="0.3">
      <c r="A814" s="45" t="str">
        <f t="shared" si="3"/>
        <v>FortalezaManausNavio</v>
      </c>
      <c r="B814" s="46" t="s">
        <v>32</v>
      </c>
      <c r="C814" s="46" t="s">
        <v>57</v>
      </c>
      <c r="D814" s="47" t="s">
        <v>23</v>
      </c>
      <c r="E814" s="48">
        <v>4</v>
      </c>
    </row>
    <row r="815" spans="1:5" ht="15.75" customHeight="1" x14ac:dyDescent="0.3">
      <c r="A815" s="45" t="str">
        <f t="shared" si="3"/>
        <v>FortalezaNatalNavio</v>
      </c>
      <c r="B815" s="46" t="s">
        <v>32</v>
      </c>
      <c r="C815" s="46" t="s">
        <v>57</v>
      </c>
      <c r="D815" s="47" t="s">
        <v>61</v>
      </c>
      <c r="E815" s="48">
        <v>1</v>
      </c>
    </row>
    <row r="816" spans="1:5" ht="15.75" customHeight="1" x14ac:dyDescent="0.3">
      <c r="A816" s="45" t="str">
        <f t="shared" si="3"/>
        <v>FortalezaPorto AlegreNavio</v>
      </c>
      <c r="B816" s="46" t="s">
        <v>32</v>
      </c>
      <c r="C816" s="46" t="s">
        <v>57</v>
      </c>
      <c r="D816" s="47" t="s">
        <v>44</v>
      </c>
      <c r="E816" s="48">
        <v>6</v>
      </c>
    </row>
    <row r="817" spans="1:5" ht="15.75" customHeight="1" x14ac:dyDescent="0.3">
      <c r="A817" s="45" t="str">
        <f t="shared" si="3"/>
        <v>FortalezaRecifeNavio</v>
      </c>
      <c r="B817" s="46" t="s">
        <v>32</v>
      </c>
      <c r="C817" s="46" t="s">
        <v>57</v>
      </c>
      <c r="D817" s="47" t="s">
        <v>62</v>
      </c>
      <c r="E817" s="48">
        <v>1</v>
      </c>
    </row>
    <row r="818" spans="1:5" ht="15.75" customHeight="1" x14ac:dyDescent="0.3">
      <c r="A818" s="45" t="str">
        <f t="shared" si="3"/>
        <v>FortalezaRibeirão PretoNavio</v>
      </c>
      <c r="B818" s="46" t="s">
        <v>32</v>
      </c>
      <c r="C818" s="46" t="s">
        <v>57</v>
      </c>
      <c r="D818" s="47" t="s">
        <v>63</v>
      </c>
      <c r="E818" s="48" t="s">
        <v>101</v>
      </c>
    </row>
    <row r="819" spans="1:5" ht="15.75" customHeight="1" x14ac:dyDescent="0.3">
      <c r="A819" s="45" t="str">
        <f t="shared" si="3"/>
        <v>FortalezaRio de JaneiroNavio</v>
      </c>
      <c r="B819" s="46" t="s">
        <v>32</v>
      </c>
      <c r="C819" s="46" t="s">
        <v>57</v>
      </c>
      <c r="D819" s="47" t="s">
        <v>64</v>
      </c>
      <c r="E819" s="48">
        <v>4</v>
      </c>
    </row>
    <row r="820" spans="1:5" ht="15.75" customHeight="1" x14ac:dyDescent="0.3">
      <c r="A820" s="45" t="str">
        <f t="shared" si="3"/>
        <v>FortalezaSalvadorNavio</v>
      </c>
      <c r="B820" s="46" t="s">
        <v>32</v>
      </c>
      <c r="C820" s="46" t="s">
        <v>57</v>
      </c>
      <c r="D820" s="47" t="s">
        <v>65</v>
      </c>
      <c r="E820" s="48" t="s">
        <v>101</v>
      </c>
    </row>
    <row r="821" spans="1:5" ht="15.75" customHeight="1" x14ac:dyDescent="0.3">
      <c r="A821" s="45" t="str">
        <f t="shared" si="3"/>
        <v>FortalezaSantosNavio</v>
      </c>
      <c r="B821" s="46" t="s">
        <v>32</v>
      </c>
      <c r="C821" s="46" t="s">
        <v>57</v>
      </c>
      <c r="D821" s="47" t="s">
        <v>47</v>
      </c>
      <c r="E821" s="48">
        <v>4</v>
      </c>
    </row>
    <row r="822" spans="1:5" ht="15.75" customHeight="1" x14ac:dyDescent="0.3">
      <c r="A822" s="45" t="str">
        <f t="shared" si="3"/>
        <v>FortalezaSão LuísNavio</v>
      </c>
      <c r="B822" s="46" t="s">
        <v>32</v>
      </c>
      <c r="C822" s="46" t="s">
        <v>57</v>
      </c>
      <c r="D822" s="47" t="s">
        <v>50</v>
      </c>
      <c r="E822" s="48">
        <v>1</v>
      </c>
    </row>
    <row r="823" spans="1:5" ht="15.75" customHeight="1" x14ac:dyDescent="0.3">
      <c r="A823" s="45" t="str">
        <f t="shared" si="3"/>
        <v>FortalezaSão PauloNavio</v>
      </c>
      <c r="B823" s="46" t="s">
        <v>32</v>
      </c>
      <c r="C823" s="46" t="s">
        <v>57</v>
      </c>
      <c r="D823" s="47" t="s">
        <v>66</v>
      </c>
      <c r="E823" s="48" t="s">
        <v>101</v>
      </c>
    </row>
    <row r="824" spans="1:5" ht="15.75" customHeight="1" x14ac:dyDescent="0.3">
      <c r="A824" s="45" t="str">
        <f t="shared" si="3"/>
        <v>FortalezaUberlândiaNavio</v>
      </c>
      <c r="B824" s="46" t="s">
        <v>32</v>
      </c>
      <c r="C824" s="46" t="s">
        <v>57</v>
      </c>
      <c r="D824" s="47" t="s">
        <v>67</v>
      </c>
      <c r="E824" s="48" t="s">
        <v>101</v>
      </c>
    </row>
    <row r="825" spans="1:5" ht="15.75" customHeight="1" x14ac:dyDescent="0.3">
      <c r="A825" s="45" t="str">
        <f t="shared" si="3"/>
        <v>FortalezaVitóriaNavio</v>
      </c>
      <c r="B825" s="46" t="s">
        <v>32</v>
      </c>
      <c r="C825" s="46" t="s">
        <v>57</v>
      </c>
      <c r="D825" s="47" t="s">
        <v>68</v>
      </c>
      <c r="E825" s="48">
        <v>3</v>
      </c>
    </row>
    <row r="826" spans="1:5" ht="15.75" customHeight="1" x14ac:dyDescent="0.3">
      <c r="A826" s="45" t="str">
        <f t="shared" si="3"/>
        <v>FortalezaVitória da ConquistaNavio</v>
      </c>
      <c r="B826" s="46" t="s">
        <v>32</v>
      </c>
      <c r="C826" s="46" t="s">
        <v>57</v>
      </c>
      <c r="D826" s="47" t="s">
        <v>49</v>
      </c>
      <c r="E826" s="48" t="s">
        <v>101</v>
      </c>
    </row>
    <row r="827" spans="1:5" ht="15.75" customHeight="1" x14ac:dyDescent="0.3">
      <c r="A827" s="45" t="str">
        <f t="shared" si="3"/>
        <v>GoiâniaBelémNavio</v>
      </c>
      <c r="B827" s="46" t="s">
        <v>32</v>
      </c>
      <c r="C827" s="47" t="s">
        <v>58</v>
      </c>
      <c r="D827" s="47" t="s">
        <v>48</v>
      </c>
      <c r="E827" s="48" t="s">
        <v>101</v>
      </c>
    </row>
    <row r="828" spans="1:5" ht="15.75" customHeight="1" x14ac:dyDescent="0.3">
      <c r="A828" s="45" t="str">
        <f t="shared" si="3"/>
        <v>GoiâniaBelo HorizonteNavio</v>
      </c>
      <c r="B828" s="46" t="s">
        <v>32</v>
      </c>
      <c r="C828" s="47" t="s">
        <v>58</v>
      </c>
      <c r="D828" s="47" t="s">
        <v>52</v>
      </c>
      <c r="E828" s="48" t="s">
        <v>101</v>
      </c>
    </row>
    <row r="829" spans="1:5" ht="15.75" customHeight="1" x14ac:dyDescent="0.3">
      <c r="A829" s="45" t="str">
        <f t="shared" si="3"/>
        <v>GoiâniaBrasíliaNavio</v>
      </c>
      <c r="B829" s="46" t="s">
        <v>32</v>
      </c>
      <c r="C829" s="47" t="s">
        <v>58</v>
      </c>
      <c r="D829" s="47" t="s">
        <v>53</v>
      </c>
      <c r="E829" s="48" t="s">
        <v>101</v>
      </c>
    </row>
    <row r="830" spans="1:5" ht="15.75" customHeight="1" x14ac:dyDescent="0.3">
      <c r="A830" s="45" t="str">
        <f t="shared" si="3"/>
        <v>GoiâniaCampinasNavio</v>
      </c>
      <c r="B830" s="46" t="s">
        <v>32</v>
      </c>
      <c r="C830" s="47" t="s">
        <v>58</v>
      </c>
      <c r="D830" s="47" t="s">
        <v>54</v>
      </c>
      <c r="E830" s="48" t="s">
        <v>101</v>
      </c>
    </row>
    <row r="831" spans="1:5" ht="15.75" customHeight="1" x14ac:dyDescent="0.3">
      <c r="A831" s="45" t="str">
        <f t="shared" si="3"/>
        <v>GoiâniaCampo GrandeNavio</v>
      </c>
      <c r="B831" s="46" t="s">
        <v>32</v>
      </c>
      <c r="C831" s="47" t="s">
        <v>58</v>
      </c>
      <c r="D831" s="47" t="s">
        <v>55</v>
      </c>
      <c r="E831" s="48" t="s">
        <v>101</v>
      </c>
    </row>
    <row r="832" spans="1:5" ht="15.75" customHeight="1" x14ac:dyDescent="0.3">
      <c r="A832" s="45" t="str">
        <f t="shared" si="3"/>
        <v>GoiâniaCuiabáNavio</v>
      </c>
      <c r="B832" s="46" t="s">
        <v>32</v>
      </c>
      <c r="C832" s="47" t="s">
        <v>58</v>
      </c>
      <c r="D832" s="47" t="s">
        <v>37</v>
      </c>
      <c r="E832" s="48" t="s">
        <v>101</v>
      </c>
    </row>
    <row r="833" spans="1:5" ht="15.75" customHeight="1" x14ac:dyDescent="0.3">
      <c r="A833" s="45" t="str">
        <f t="shared" si="3"/>
        <v>GoiâniaCuritibaNavio</v>
      </c>
      <c r="B833" s="46" t="s">
        <v>32</v>
      </c>
      <c r="C833" s="47" t="s">
        <v>58</v>
      </c>
      <c r="D833" s="47" t="s">
        <v>56</v>
      </c>
      <c r="E833" s="48" t="s">
        <v>101</v>
      </c>
    </row>
    <row r="834" spans="1:5" ht="15.75" customHeight="1" x14ac:dyDescent="0.3">
      <c r="A834" s="45" t="str">
        <f t="shared" si="3"/>
        <v>GoiâniaFortalezaNavio</v>
      </c>
      <c r="B834" s="46" t="s">
        <v>32</v>
      </c>
      <c r="C834" s="47" t="s">
        <v>58</v>
      </c>
      <c r="D834" s="47" t="s">
        <v>57</v>
      </c>
      <c r="E834" s="48" t="s">
        <v>101</v>
      </c>
    </row>
    <row r="835" spans="1:5" ht="15.75" customHeight="1" x14ac:dyDescent="0.3">
      <c r="A835" s="45" t="str">
        <f t="shared" si="3"/>
        <v>GoiâniaGoiâniaNavio</v>
      </c>
      <c r="B835" s="46" t="s">
        <v>32</v>
      </c>
      <c r="C835" s="47" t="s">
        <v>58</v>
      </c>
      <c r="D835" s="47" t="s">
        <v>58</v>
      </c>
      <c r="E835" s="48" t="s">
        <v>101</v>
      </c>
    </row>
    <row r="836" spans="1:5" ht="15.75" customHeight="1" x14ac:dyDescent="0.3">
      <c r="A836" s="45" t="str">
        <f t="shared" si="3"/>
        <v>GoiâniaJoão PessoaNavio</v>
      </c>
      <c r="B836" s="46" t="s">
        <v>32</v>
      </c>
      <c r="C836" s="47" t="s">
        <v>58</v>
      </c>
      <c r="D836" s="47" t="s">
        <v>59</v>
      </c>
      <c r="E836" s="48" t="s">
        <v>101</v>
      </c>
    </row>
    <row r="837" spans="1:5" ht="15.75" customHeight="1" x14ac:dyDescent="0.3">
      <c r="A837" s="45" t="str">
        <f t="shared" si="3"/>
        <v>GoiâniaJoinvilleNavio</v>
      </c>
      <c r="B837" s="46" t="s">
        <v>32</v>
      </c>
      <c r="C837" s="47" t="s">
        <v>58</v>
      </c>
      <c r="D837" s="47" t="s">
        <v>28</v>
      </c>
      <c r="E837" s="48" t="s">
        <v>101</v>
      </c>
    </row>
    <row r="838" spans="1:5" ht="15.75" customHeight="1" x14ac:dyDescent="0.3">
      <c r="A838" s="45" t="str">
        <f t="shared" si="3"/>
        <v>GoiâniaMaceióNavio</v>
      </c>
      <c r="B838" s="46" t="s">
        <v>32</v>
      </c>
      <c r="C838" s="47" t="s">
        <v>58</v>
      </c>
      <c r="D838" s="47" t="s">
        <v>60</v>
      </c>
      <c r="E838" s="48" t="s">
        <v>101</v>
      </c>
    </row>
    <row r="839" spans="1:5" ht="15.75" customHeight="1" x14ac:dyDescent="0.3">
      <c r="A839" s="45" t="str">
        <f t="shared" si="3"/>
        <v>GoiâniaManausNavio</v>
      </c>
      <c r="B839" s="46" t="s">
        <v>32</v>
      </c>
      <c r="C839" s="47" t="s">
        <v>58</v>
      </c>
      <c r="D839" s="47" t="s">
        <v>23</v>
      </c>
      <c r="E839" s="48" t="s">
        <v>101</v>
      </c>
    </row>
    <row r="840" spans="1:5" ht="15.75" customHeight="1" x14ac:dyDescent="0.3">
      <c r="A840" s="45" t="str">
        <f t="shared" si="3"/>
        <v>GoiâniaNatalNavio</v>
      </c>
      <c r="B840" s="46" t="s">
        <v>32</v>
      </c>
      <c r="C840" s="47" t="s">
        <v>58</v>
      </c>
      <c r="D840" s="47" t="s">
        <v>61</v>
      </c>
      <c r="E840" s="48" t="s">
        <v>101</v>
      </c>
    </row>
    <row r="841" spans="1:5" ht="15.75" customHeight="1" x14ac:dyDescent="0.3">
      <c r="A841" s="45" t="str">
        <f t="shared" si="3"/>
        <v>GoiâniaPorto AlegreNavio</v>
      </c>
      <c r="B841" s="46" t="s">
        <v>32</v>
      </c>
      <c r="C841" s="47" t="s">
        <v>58</v>
      </c>
      <c r="D841" s="47" t="s">
        <v>44</v>
      </c>
      <c r="E841" s="48" t="s">
        <v>101</v>
      </c>
    </row>
    <row r="842" spans="1:5" ht="15.75" customHeight="1" x14ac:dyDescent="0.3">
      <c r="A842" s="45" t="str">
        <f t="shared" si="3"/>
        <v>GoiâniaRecifeNavio</v>
      </c>
      <c r="B842" s="46" t="s">
        <v>32</v>
      </c>
      <c r="C842" s="47" t="s">
        <v>58</v>
      </c>
      <c r="D842" s="47" t="s">
        <v>62</v>
      </c>
      <c r="E842" s="48" t="s">
        <v>101</v>
      </c>
    </row>
    <row r="843" spans="1:5" ht="15.75" customHeight="1" x14ac:dyDescent="0.3">
      <c r="A843" s="45" t="str">
        <f t="shared" si="3"/>
        <v>GoiâniaRibeirão PretoNavio</v>
      </c>
      <c r="B843" s="46" t="s">
        <v>32</v>
      </c>
      <c r="C843" s="47" t="s">
        <v>58</v>
      </c>
      <c r="D843" s="47" t="s">
        <v>63</v>
      </c>
      <c r="E843" s="48" t="s">
        <v>101</v>
      </c>
    </row>
    <row r="844" spans="1:5" ht="15.75" customHeight="1" x14ac:dyDescent="0.3">
      <c r="A844" s="45" t="str">
        <f t="shared" si="3"/>
        <v>GoiâniaRio de JaneiroNavio</v>
      </c>
      <c r="B844" s="46" t="s">
        <v>32</v>
      </c>
      <c r="C844" s="47" t="s">
        <v>58</v>
      </c>
      <c r="D844" s="47" t="s">
        <v>64</v>
      </c>
      <c r="E844" s="48" t="s">
        <v>101</v>
      </c>
    </row>
    <row r="845" spans="1:5" ht="15.75" customHeight="1" x14ac:dyDescent="0.3">
      <c r="A845" s="45" t="str">
        <f t="shared" si="3"/>
        <v>GoiâniaSalvadorNavio</v>
      </c>
      <c r="B845" s="46" t="s">
        <v>32</v>
      </c>
      <c r="C845" s="47" t="s">
        <v>58</v>
      </c>
      <c r="D845" s="47" t="s">
        <v>65</v>
      </c>
      <c r="E845" s="48" t="s">
        <v>101</v>
      </c>
    </row>
    <row r="846" spans="1:5" ht="15.75" customHeight="1" x14ac:dyDescent="0.3">
      <c r="A846" s="45" t="str">
        <f t="shared" si="3"/>
        <v>GoiâniaSantosNavio</v>
      </c>
      <c r="B846" s="46" t="s">
        <v>32</v>
      </c>
      <c r="C846" s="47" t="s">
        <v>58</v>
      </c>
      <c r="D846" s="47" t="s">
        <v>47</v>
      </c>
      <c r="E846" s="48" t="s">
        <v>101</v>
      </c>
    </row>
    <row r="847" spans="1:5" ht="15.75" customHeight="1" x14ac:dyDescent="0.3">
      <c r="A847" s="45" t="str">
        <f t="shared" si="3"/>
        <v>GoiâniaSão LuísNavio</v>
      </c>
      <c r="B847" s="46" t="s">
        <v>32</v>
      </c>
      <c r="C847" s="47" t="s">
        <v>58</v>
      </c>
      <c r="D847" s="47" t="s">
        <v>50</v>
      </c>
      <c r="E847" s="48" t="s">
        <v>101</v>
      </c>
    </row>
    <row r="848" spans="1:5" ht="15.75" customHeight="1" x14ac:dyDescent="0.3">
      <c r="A848" s="45" t="str">
        <f t="shared" si="3"/>
        <v>GoiâniaSão PauloNavio</v>
      </c>
      <c r="B848" s="46" t="s">
        <v>32</v>
      </c>
      <c r="C848" s="47" t="s">
        <v>58</v>
      </c>
      <c r="D848" s="47" t="s">
        <v>66</v>
      </c>
      <c r="E848" s="48" t="s">
        <v>101</v>
      </c>
    </row>
    <row r="849" spans="1:5" ht="15.75" customHeight="1" x14ac:dyDescent="0.3">
      <c r="A849" s="45" t="str">
        <f t="shared" si="3"/>
        <v>GoiâniaUberlândiaNavio</v>
      </c>
      <c r="B849" s="46" t="s">
        <v>32</v>
      </c>
      <c r="C849" s="47" t="s">
        <v>58</v>
      </c>
      <c r="D849" s="47" t="s">
        <v>67</v>
      </c>
      <c r="E849" s="48" t="s">
        <v>101</v>
      </c>
    </row>
    <row r="850" spans="1:5" ht="15.75" customHeight="1" x14ac:dyDescent="0.3">
      <c r="A850" s="45" t="str">
        <f t="shared" si="3"/>
        <v>GoiâniaVitóriaNavio</v>
      </c>
      <c r="B850" s="46" t="s">
        <v>32</v>
      </c>
      <c r="C850" s="47" t="s">
        <v>58</v>
      </c>
      <c r="D850" s="47" t="s">
        <v>68</v>
      </c>
      <c r="E850" s="48" t="s">
        <v>101</v>
      </c>
    </row>
    <row r="851" spans="1:5" ht="15.75" customHeight="1" x14ac:dyDescent="0.3">
      <c r="A851" s="45" t="str">
        <f t="shared" si="3"/>
        <v>GoiâniaVitória da ConquistaNavio</v>
      </c>
      <c r="B851" s="46" t="s">
        <v>32</v>
      </c>
      <c r="C851" s="47" t="s">
        <v>58</v>
      </c>
      <c r="D851" s="47" t="s">
        <v>49</v>
      </c>
      <c r="E851" s="48" t="s">
        <v>101</v>
      </c>
    </row>
    <row r="852" spans="1:5" ht="15.75" customHeight="1" x14ac:dyDescent="0.3">
      <c r="A852" s="45" t="str">
        <f t="shared" si="3"/>
        <v>João PessoaBelémNavio</v>
      </c>
      <c r="B852" s="46" t="s">
        <v>32</v>
      </c>
      <c r="C852" s="47" t="s">
        <v>59</v>
      </c>
      <c r="D852" s="47" t="s">
        <v>48</v>
      </c>
      <c r="E852" s="48">
        <v>3</v>
      </c>
    </row>
    <row r="853" spans="1:5" ht="15.75" customHeight="1" x14ac:dyDescent="0.3">
      <c r="A853" s="45" t="str">
        <f t="shared" si="3"/>
        <v>João PessoaBelo HorizonteNavio</v>
      </c>
      <c r="B853" s="46" t="s">
        <v>32</v>
      </c>
      <c r="C853" s="47" t="s">
        <v>59</v>
      </c>
      <c r="D853" s="47" t="s">
        <v>52</v>
      </c>
      <c r="E853" s="48" t="s">
        <v>101</v>
      </c>
    </row>
    <row r="854" spans="1:5" ht="15.75" customHeight="1" x14ac:dyDescent="0.3">
      <c r="A854" s="45" t="str">
        <f t="shared" si="3"/>
        <v>João PessoaBrasíliaNavio</v>
      </c>
      <c r="B854" s="46" t="s">
        <v>32</v>
      </c>
      <c r="C854" s="47" t="s">
        <v>59</v>
      </c>
      <c r="D854" s="47" t="s">
        <v>53</v>
      </c>
      <c r="E854" s="48" t="s">
        <v>101</v>
      </c>
    </row>
    <row r="855" spans="1:5" ht="15.75" customHeight="1" x14ac:dyDescent="0.3">
      <c r="A855" s="45" t="str">
        <f t="shared" si="3"/>
        <v>João PessoaCampinasNavio</v>
      </c>
      <c r="B855" s="46" t="s">
        <v>32</v>
      </c>
      <c r="C855" s="47" t="s">
        <v>59</v>
      </c>
      <c r="D855" s="47" t="s">
        <v>54</v>
      </c>
      <c r="E855" s="48" t="s">
        <v>101</v>
      </c>
    </row>
    <row r="856" spans="1:5" ht="15.75" customHeight="1" x14ac:dyDescent="0.3">
      <c r="A856" s="45" t="str">
        <f t="shared" si="3"/>
        <v>João PessoaCampo GrandeNavio</v>
      </c>
      <c r="B856" s="46" t="s">
        <v>32</v>
      </c>
      <c r="C856" s="47" t="s">
        <v>59</v>
      </c>
      <c r="D856" s="47" t="s">
        <v>55</v>
      </c>
      <c r="E856" s="48" t="s">
        <v>101</v>
      </c>
    </row>
    <row r="857" spans="1:5" ht="15.75" customHeight="1" x14ac:dyDescent="0.3">
      <c r="A857" s="45" t="str">
        <f t="shared" si="3"/>
        <v>João PessoaCuiabáNavio</v>
      </c>
      <c r="B857" s="46" t="s">
        <v>32</v>
      </c>
      <c r="C857" s="47" t="s">
        <v>59</v>
      </c>
      <c r="D857" s="47" t="s">
        <v>37</v>
      </c>
      <c r="E857" s="48" t="s">
        <v>101</v>
      </c>
    </row>
    <row r="858" spans="1:5" ht="15.75" customHeight="1" x14ac:dyDescent="0.3">
      <c r="A858" s="45" t="str">
        <f t="shared" si="3"/>
        <v>João PessoaCuritibaNavio</v>
      </c>
      <c r="B858" s="46" t="s">
        <v>32</v>
      </c>
      <c r="C858" s="47" t="s">
        <v>59</v>
      </c>
      <c r="D858" s="47" t="s">
        <v>56</v>
      </c>
      <c r="E858" s="48" t="s">
        <v>101</v>
      </c>
    </row>
    <row r="859" spans="1:5" ht="15.75" customHeight="1" x14ac:dyDescent="0.3">
      <c r="A859" s="45" t="str">
        <f t="shared" si="3"/>
        <v>João PessoaFortalezaNavio</v>
      </c>
      <c r="B859" s="46" t="s">
        <v>32</v>
      </c>
      <c r="C859" s="47" t="s">
        <v>59</v>
      </c>
      <c r="D859" s="47" t="s">
        <v>57</v>
      </c>
      <c r="E859" s="48">
        <v>1</v>
      </c>
    </row>
    <row r="860" spans="1:5" ht="15.75" customHeight="1" x14ac:dyDescent="0.3">
      <c r="A860" s="45" t="str">
        <f t="shared" si="3"/>
        <v>João PessoaGoiâniaNavio</v>
      </c>
      <c r="B860" s="46" t="s">
        <v>32</v>
      </c>
      <c r="C860" s="47" t="s">
        <v>59</v>
      </c>
      <c r="D860" s="47" t="s">
        <v>58</v>
      </c>
      <c r="E860" s="48" t="s">
        <v>101</v>
      </c>
    </row>
    <row r="861" spans="1:5" ht="15.75" customHeight="1" x14ac:dyDescent="0.3">
      <c r="A861" s="45" t="str">
        <f t="shared" si="3"/>
        <v>João PessoaJoão PessoaNavio</v>
      </c>
      <c r="B861" s="46" t="s">
        <v>32</v>
      </c>
      <c r="C861" s="47" t="s">
        <v>59</v>
      </c>
      <c r="D861" s="47" t="s">
        <v>59</v>
      </c>
      <c r="E861" s="48">
        <v>0</v>
      </c>
    </row>
    <row r="862" spans="1:5" ht="15.75" customHeight="1" x14ac:dyDescent="0.3">
      <c r="A862" s="45" t="str">
        <f t="shared" si="3"/>
        <v>João PessoaJoinvilleNavio</v>
      </c>
      <c r="B862" s="46" t="s">
        <v>32</v>
      </c>
      <c r="C862" s="47" t="s">
        <v>59</v>
      </c>
      <c r="D862" s="47" t="s">
        <v>28</v>
      </c>
      <c r="E862" s="48" t="s">
        <v>101</v>
      </c>
    </row>
    <row r="863" spans="1:5" ht="15.75" customHeight="1" x14ac:dyDescent="0.3">
      <c r="A863" s="45" t="str">
        <f t="shared" si="3"/>
        <v>João PessoaMaceióNavio</v>
      </c>
      <c r="B863" s="46" t="s">
        <v>32</v>
      </c>
      <c r="C863" s="47" t="s">
        <v>59</v>
      </c>
      <c r="D863" s="47" t="s">
        <v>60</v>
      </c>
      <c r="E863" s="48" t="s">
        <v>101</v>
      </c>
    </row>
    <row r="864" spans="1:5" ht="15.75" customHeight="1" x14ac:dyDescent="0.3">
      <c r="A864" s="45" t="str">
        <f t="shared" si="3"/>
        <v>João PessoaManausNavio</v>
      </c>
      <c r="B864" s="46" t="s">
        <v>32</v>
      </c>
      <c r="C864" s="47" t="s">
        <v>59</v>
      </c>
      <c r="D864" s="47" t="s">
        <v>23</v>
      </c>
      <c r="E864" s="48">
        <v>5</v>
      </c>
    </row>
    <row r="865" spans="1:5" ht="15.75" customHeight="1" x14ac:dyDescent="0.3">
      <c r="A865" s="45" t="str">
        <f t="shared" si="3"/>
        <v>João PessoaNatalNavio</v>
      </c>
      <c r="B865" s="46" t="s">
        <v>32</v>
      </c>
      <c r="C865" s="47" t="s">
        <v>59</v>
      </c>
      <c r="D865" s="47" t="s">
        <v>61</v>
      </c>
      <c r="E865" s="48">
        <v>0</v>
      </c>
    </row>
    <row r="866" spans="1:5" ht="15.75" customHeight="1" x14ac:dyDescent="0.3">
      <c r="A866" s="45" t="str">
        <f t="shared" si="3"/>
        <v>João PessoaPorto AlegreNavio</v>
      </c>
      <c r="B866" s="46" t="s">
        <v>32</v>
      </c>
      <c r="C866" s="47" t="s">
        <v>59</v>
      </c>
      <c r="D866" s="47" t="s">
        <v>44</v>
      </c>
      <c r="E866" s="48" t="s">
        <v>101</v>
      </c>
    </row>
    <row r="867" spans="1:5" ht="15.75" customHeight="1" x14ac:dyDescent="0.3">
      <c r="A867" s="45" t="str">
        <f t="shared" si="3"/>
        <v>João PessoaRecifeNavio</v>
      </c>
      <c r="B867" s="46" t="s">
        <v>32</v>
      </c>
      <c r="C867" s="47" t="s">
        <v>59</v>
      </c>
      <c r="D867" s="47" t="s">
        <v>62</v>
      </c>
      <c r="E867" s="48" t="s">
        <v>101</v>
      </c>
    </row>
    <row r="868" spans="1:5" ht="15.75" customHeight="1" x14ac:dyDescent="0.3">
      <c r="A868" s="45" t="str">
        <f t="shared" si="3"/>
        <v>João PessoaRibeirão PretoNavio</v>
      </c>
      <c r="B868" s="46" t="s">
        <v>32</v>
      </c>
      <c r="C868" s="47" t="s">
        <v>59</v>
      </c>
      <c r="D868" s="47" t="s">
        <v>63</v>
      </c>
      <c r="E868" s="48" t="s">
        <v>101</v>
      </c>
    </row>
    <row r="869" spans="1:5" ht="15.75" customHeight="1" x14ac:dyDescent="0.3">
      <c r="A869" s="45" t="str">
        <f t="shared" si="3"/>
        <v>João PessoaRio de JaneiroNavio</v>
      </c>
      <c r="B869" s="46" t="s">
        <v>32</v>
      </c>
      <c r="C869" s="47" t="s">
        <v>59</v>
      </c>
      <c r="D869" s="47" t="s">
        <v>64</v>
      </c>
      <c r="E869" s="48">
        <v>3</v>
      </c>
    </row>
    <row r="870" spans="1:5" ht="15.75" customHeight="1" x14ac:dyDescent="0.3">
      <c r="A870" s="45" t="str">
        <f t="shared" si="3"/>
        <v>João PessoaSalvadorNavio</v>
      </c>
      <c r="B870" s="46" t="s">
        <v>32</v>
      </c>
      <c r="C870" s="47" t="s">
        <v>59</v>
      </c>
      <c r="D870" s="47" t="s">
        <v>65</v>
      </c>
      <c r="E870" s="48" t="s">
        <v>101</v>
      </c>
    </row>
    <row r="871" spans="1:5" ht="15.75" customHeight="1" x14ac:dyDescent="0.3">
      <c r="A871" s="45" t="str">
        <f t="shared" si="3"/>
        <v>João PessoaSantosNavio</v>
      </c>
      <c r="B871" s="46" t="s">
        <v>32</v>
      </c>
      <c r="C871" s="47" t="s">
        <v>59</v>
      </c>
      <c r="D871" s="47" t="s">
        <v>47</v>
      </c>
      <c r="E871" s="48" t="s">
        <v>101</v>
      </c>
    </row>
    <row r="872" spans="1:5" ht="15.75" customHeight="1" x14ac:dyDescent="0.3">
      <c r="A872" s="45" t="str">
        <f t="shared" si="3"/>
        <v>João PessoaSão LuísNavio</v>
      </c>
      <c r="B872" s="46" t="s">
        <v>32</v>
      </c>
      <c r="C872" s="47" t="s">
        <v>59</v>
      </c>
      <c r="D872" s="47" t="s">
        <v>50</v>
      </c>
      <c r="E872" s="48">
        <v>2</v>
      </c>
    </row>
    <row r="873" spans="1:5" ht="15.75" customHeight="1" x14ac:dyDescent="0.3">
      <c r="A873" s="45" t="str">
        <f t="shared" si="3"/>
        <v>João PessoaSão PauloNavio</v>
      </c>
      <c r="B873" s="46" t="s">
        <v>32</v>
      </c>
      <c r="C873" s="47" t="s">
        <v>59</v>
      </c>
      <c r="D873" s="47" t="s">
        <v>66</v>
      </c>
      <c r="E873" s="48" t="s">
        <v>101</v>
      </c>
    </row>
    <row r="874" spans="1:5" ht="15.75" customHeight="1" x14ac:dyDescent="0.3">
      <c r="A874" s="45" t="str">
        <f t="shared" si="3"/>
        <v>João PessoaUberlândiaNavio</v>
      </c>
      <c r="B874" s="46" t="s">
        <v>32</v>
      </c>
      <c r="C874" s="47" t="s">
        <v>59</v>
      </c>
      <c r="D874" s="47" t="s">
        <v>67</v>
      </c>
      <c r="E874" s="48" t="s">
        <v>101</v>
      </c>
    </row>
    <row r="875" spans="1:5" ht="15.75" customHeight="1" x14ac:dyDescent="0.3">
      <c r="A875" s="45" t="str">
        <f t="shared" si="3"/>
        <v>João PessoaVitóriaNavio</v>
      </c>
      <c r="B875" s="46" t="s">
        <v>32</v>
      </c>
      <c r="C875" s="47" t="s">
        <v>59</v>
      </c>
      <c r="D875" s="47" t="s">
        <v>68</v>
      </c>
      <c r="E875" s="48" t="s">
        <v>101</v>
      </c>
    </row>
    <row r="876" spans="1:5" ht="15.75" customHeight="1" x14ac:dyDescent="0.3">
      <c r="A876" s="45" t="str">
        <f t="shared" si="3"/>
        <v>João PessoaVitória da ConquistaNavio</v>
      </c>
      <c r="B876" s="46" t="s">
        <v>32</v>
      </c>
      <c r="C876" s="47" t="s">
        <v>59</v>
      </c>
      <c r="D876" s="47" t="s">
        <v>49</v>
      </c>
      <c r="E876" s="48" t="s">
        <v>101</v>
      </c>
    </row>
    <row r="877" spans="1:5" ht="15.75" customHeight="1" x14ac:dyDescent="0.3">
      <c r="A877" s="45" t="str">
        <f t="shared" si="3"/>
        <v>JoinvilleBelémNavio</v>
      </c>
      <c r="B877" s="46" t="s">
        <v>32</v>
      </c>
      <c r="C877" s="46" t="s">
        <v>28</v>
      </c>
      <c r="D877" s="47" t="s">
        <v>48</v>
      </c>
      <c r="E877" s="48">
        <v>7</v>
      </c>
    </row>
    <row r="878" spans="1:5" ht="15.75" customHeight="1" x14ac:dyDescent="0.3">
      <c r="A878" s="45" t="str">
        <f t="shared" si="3"/>
        <v>JoinvilleBelo HorizonteNavio</v>
      </c>
      <c r="B878" s="46" t="s">
        <v>32</v>
      </c>
      <c r="C878" s="46" t="s">
        <v>28</v>
      </c>
      <c r="D878" s="47" t="s">
        <v>52</v>
      </c>
      <c r="E878" s="48" t="s">
        <v>101</v>
      </c>
    </row>
    <row r="879" spans="1:5" ht="15.75" customHeight="1" x14ac:dyDescent="0.3">
      <c r="A879" s="45" t="str">
        <f t="shared" si="3"/>
        <v>JoinvilleBrasíliaNavio</v>
      </c>
      <c r="B879" s="46" t="s">
        <v>32</v>
      </c>
      <c r="C879" s="46" t="s">
        <v>28</v>
      </c>
      <c r="D879" s="47" t="s">
        <v>53</v>
      </c>
      <c r="E879" s="48" t="s">
        <v>101</v>
      </c>
    </row>
    <row r="880" spans="1:5" ht="15.75" customHeight="1" x14ac:dyDescent="0.3">
      <c r="A880" s="45" t="str">
        <f t="shared" si="3"/>
        <v>JoinvilleCampinasNavio</v>
      </c>
      <c r="B880" s="46" t="s">
        <v>32</v>
      </c>
      <c r="C880" s="46" t="s">
        <v>28</v>
      </c>
      <c r="D880" s="47" t="s">
        <v>54</v>
      </c>
      <c r="E880" s="48" t="s">
        <v>101</v>
      </c>
    </row>
    <row r="881" spans="1:5" ht="15.75" customHeight="1" x14ac:dyDescent="0.3">
      <c r="A881" s="45" t="str">
        <f t="shared" si="3"/>
        <v>JoinvilleCampo GrandeNavio</v>
      </c>
      <c r="B881" s="46" t="s">
        <v>32</v>
      </c>
      <c r="C881" s="46" t="s">
        <v>28</v>
      </c>
      <c r="D881" s="47" t="s">
        <v>55</v>
      </c>
      <c r="E881" s="48" t="s">
        <v>101</v>
      </c>
    </row>
    <row r="882" spans="1:5" ht="15.75" customHeight="1" x14ac:dyDescent="0.3">
      <c r="A882" s="45" t="str">
        <f t="shared" si="3"/>
        <v>JoinvilleCuiabáNavio</v>
      </c>
      <c r="B882" s="46" t="s">
        <v>32</v>
      </c>
      <c r="C882" s="46" t="s">
        <v>28</v>
      </c>
      <c r="D882" s="47" t="s">
        <v>37</v>
      </c>
      <c r="E882" s="48" t="s">
        <v>101</v>
      </c>
    </row>
    <row r="883" spans="1:5" ht="15.75" customHeight="1" x14ac:dyDescent="0.3">
      <c r="A883" s="45" t="str">
        <f t="shared" si="3"/>
        <v>JoinvilleCuritibaNavio</v>
      </c>
      <c r="B883" s="46" t="s">
        <v>32</v>
      </c>
      <c r="C883" s="46" t="s">
        <v>28</v>
      </c>
      <c r="D883" s="47" t="s">
        <v>56</v>
      </c>
      <c r="E883" s="48" t="s">
        <v>101</v>
      </c>
    </row>
    <row r="884" spans="1:5" ht="15.75" customHeight="1" x14ac:dyDescent="0.3">
      <c r="A884" s="45" t="str">
        <f t="shared" si="3"/>
        <v>JoinvilleFortalezaNavio</v>
      </c>
      <c r="B884" s="46" t="s">
        <v>32</v>
      </c>
      <c r="C884" s="46" t="s">
        <v>28</v>
      </c>
      <c r="D884" s="47" t="s">
        <v>57</v>
      </c>
      <c r="E884" s="48">
        <v>5</v>
      </c>
    </row>
    <row r="885" spans="1:5" ht="15.75" customHeight="1" x14ac:dyDescent="0.3">
      <c r="A885" s="45" t="str">
        <f t="shared" si="3"/>
        <v>JoinvilleGoiâniaNavio</v>
      </c>
      <c r="B885" s="46" t="s">
        <v>32</v>
      </c>
      <c r="C885" s="46" t="s">
        <v>28</v>
      </c>
      <c r="D885" s="47" t="s">
        <v>58</v>
      </c>
      <c r="E885" s="48" t="s">
        <v>101</v>
      </c>
    </row>
    <row r="886" spans="1:5" ht="15.75" customHeight="1" x14ac:dyDescent="0.3">
      <c r="A886" s="45" t="str">
        <f t="shared" si="3"/>
        <v>JoinvilleJoão PessoaNavio</v>
      </c>
      <c r="B886" s="46" t="s">
        <v>32</v>
      </c>
      <c r="C886" s="46" t="s">
        <v>28</v>
      </c>
      <c r="D886" s="47" t="s">
        <v>59</v>
      </c>
      <c r="E886" s="48" t="s">
        <v>101</v>
      </c>
    </row>
    <row r="887" spans="1:5" ht="15.75" customHeight="1" x14ac:dyDescent="0.3">
      <c r="A887" s="45" t="str">
        <f t="shared" si="3"/>
        <v>JoinvilleJoinvilleNavio</v>
      </c>
      <c r="B887" s="46" t="s">
        <v>32</v>
      </c>
      <c r="C887" s="46" t="s">
        <v>28</v>
      </c>
      <c r="D887" s="47" t="s">
        <v>28</v>
      </c>
      <c r="E887" s="48">
        <v>0</v>
      </c>
    </row>
    <row r="888" spans="1:5" ht="15.75" customHeight="1" x14ac:dyDescent="0.3">
      <c r="A888" s="45" t="str">
        <f t="shared" si="3"/>
        <v>JoinvilleMaceióNavio</v>
      </c>
      <c r="B888" s="46" t="s">
        <v>32</v>
      </c>
      <c r="C888" s="46" t="s">
        <v>28</v>
      </c>
      <c r="D888" s="47" t="s">
        <v>60</v>
      </c>
      <c r="E888" s="48">
        <v>3</v>
      </c>
    </row>
    <row r="889" spans="1:5" ht="15.75" customHeight="1" x14ac:dyDescent="0.3">
      <c r="A889" s="45" t="str">
        <f t="shared" si="3"/>
        <v>JoinvilleManausNavio</v>
      </c>
      <c r="B889" s="46" t="s">
        <v>32</v>
      </c>
      <c r="C889" s="46" t="s">
        <v>28</v>
      </c>
      <c r="D889" s="47" t="s">
        <v>23</v>
      </c>
      <c r="E889" s="48">
        <v>9</v>
      </c>
    </row>
    <row r="890" spans="1:5" ht="15.75" customHeight="1" x14ac:dyDescent="0.3">
      <c r="A890" s="45" t="str">
        <f t="shared" si="3"/>
        <v>JoinvilleNatalNavio</v>
      </c>
      <c r="B890" s="46" t="s">
        <v>32</v>
      </c>
      <c r="C890" s="46" t="s">
        <v>28</v>
      </c>
      <c r="D890" s="47" t="s">
        <v>61</v>
      </c>
      <c r="E890" s="48">
        <v>4</v>
      </c>
    </row>
    <row r="891" spans="1:5" ht="15.75" customHeight="1" x14ac:dyDescent="0.3">
      <c r="A891" s="45" t="str">
        <f t="shared" si="3"/>
        <v>JoinvillePorto AlegreNavio</v>
      </c>
      <c r="B891" s="46" t="s">
        <v>32</v>
      </c>
      <c r="C891" s="46" t="s">
        <v>28</v>
      </c>
      <c r="D891" s="47" t="s">
        <v>44</v>
      </c>
      <c r="E891" s="48">
        <v>1</v>
      </c>
    </row>
    <row r="892" spans="1:5" ht="15.75" customHeight="1" x14ac:dyDescent="0.3">
      <c r="A892" s="45" t="str">
        <f t="shared" si="3"/>
        <v>JoinvilleRecifeNavio</v>
      </c>
      <c r="B892" s="46" t="s">
        <v>32</v>
      </c>
      <c r="C892" s="46" t="s">
        <v>28</v>
      </c>
      <c r="D892" s="47" t="s">
        <v>62</v>
      </c>
      <c r="E892" s="48">
        <v>4</v>
      </c>
    </row>
    <row r="893" spans="1:5" ht="15.75" customHeight="1" x14ac:dyDescent="0.3">
      <c r="A893" s="45" t="str">
        <f t="shared" si="3"/>
        <v>JoinvilleRibeirão PretoNavio</v>
      </c>
      <c r="B893" s="46" t="s">
        <v>32</v>
      </c>
      <c r="C893" s="46" t="s">
        <v>28</v>
      </c>
      <c r="D893" s="47" t="s">
        <v>63</v>
      </c>
      <c r="E893" s="48" t="s">
        <v>101</v>
      </c>
    </row>
    <row r="894" spans="1:5" ht="15.75" customHeight="1" x14ac:dyDescent="0.3">
      <c r="A894" s="45" t="str">
        <f t="shared" si="3"/>
        <v>JoinvilleRio de JaneiroNavio</v>
      </c>
      <c r="B894" s="46" t="s">
        <v>32</v>
      </c>
      <c r="C894" s="46" t="s">
        <v>28</v>
      </c>
      <c r="D894" s="47" t="s">
        <v>64</v>
      </c>
      <c r="E894" s="48">
        <v>1</v>
      </c>
    </row>
    <row r="895" spans="1:5" ht="15.75" customHeight="1" x14ac:dyDescent="0.3">
      <c r="A895" s="45" t="str">
        <f t="shared" si="3"/>
        <v>JoinvilleSalvadorNavio</v>
      </c>
      <c r="B895" s="46" t="s">
        <v>32</v>
      </c>
      <c r="C895" s="46" t="s">
        <v>28</v>
      </c>
      <c r="D895" s="47" t="s">
        <v>65</v>
      </c>
      <c r="E895" s="48">
        <v>3</v>
      </c>
    </row>
    <row r="896" spans="1:5" ht="15.75" customHeight="1" x14ac:dyDescent="0.3">
      <c r="A896" s="45" t="str">
        <f t="shared" si="3"/>
        <v>JoinvilleSantosNavio</v>
      </c>
      <c r="B896" s="46" t="s">
        <v>32</v>
      </c>
      <c r="C896" s="46" t="s">
        <v>28</v>
      </c>
      <c r="D896" s="47" t="s">
        <v>47</v>
      </c>
      <c r="E896" s="48">
        <v>1</v>
      </c>
    </row>
    <row r="897" spans="1:5" ht="15.75" customHeight="1" x14ac:dyDescent="0.3">
      <c r="A897" s="45" t="str">
        <f t="shared" si="3"/>
        <v>JoinvilleSão LuísNavio</v>
      </c>
      <c r="B897" s="46" t="s">
        <v>32</v>
      </c>
      <c r="C897" s="46" t="s">
        <v>28</v>
      </c>
      <c r="D897" s="47" t="s">
        <v>50</v>
      </c>
      <c r="E897" s="48">
        <v>6</v>
      </c>
    </row>
    <row r="898" spans="1:5" ht="15.75" customHeight="1" x14ac:dyDescent="0.3">
      <c r="A898" s="45" t="str">
        <f t="shared" si="3"/>
        <v>JoinvilleSão PauloNavio</v>
      </c>
      <c r="B898" s="46" t="s">
        <v>32</v>
      </c>
      <c r="C898" s="46" t="s">
        <v>28</v>
      </c>
      <c r="D898" s="47" t="s">
        <v>66</v>
      </c>
      <c r="E898" s="48" t="s">
        <v>101</v>
      </c>
    </row>
    <row r="899" spans="1:5" ht="15.75" customHeight="1" x14ac:dyDescent="0.3">
      <c r="A899" s="45" t="str">
        <f t="shared" si="3"/>
        <v>JoinvilleUberlândiaNavio</v>
      </c>
      <c r="B899" s="46" t="s">
        <v>32</v>
      </c>
      <c r="C899" s="46" t="s">
        <v>28</v>
      </c>
      <c r="D899" s="47" t="s">
        <v>67</v>
      </c>
      <c r="E899" s="48" t="s">
        <v>101</v>
      </c>
    </row>
    <row r="900" spans="1:5" ht="15.75" customHeight="1" x14ac:dyDescent="0.3">
      <c r="A900" s="45" t="str">
        <f t="shared" si="3"/>
        <v>JoinvilleVitóriaNavio</v>
      </c>
      <c r="B900" s="46" t="s">
        <v>32</v>
      </c>
      <c r="C900" s="46" t="s">
        <v>28</v>
      </c>
      <c r="D900" s="47" t="s">
        <v>68</v>
      </c>
      <c r="E900" s="48" t="s">
        <v>101</v>
      </c>
    </row>
    <row r="901" spans="1:5" ht="15.75" customHeight="1" x14ac:dyDescent="0.3">
      <c r="A901" s="45" t="str">
        <f t="shared" si="3"/>
        <v>JoinvilleVitória da ConquistaNavio</v>
      </c>
      <c r="B901" s="46" t="s">
        <v>32</v>
      </c>
      <c r="C901" s="46" t="s">
        <v>28</v>
      </c>
      <c r="D901" s="47" t="s">
        <v>49</v>
      </c>
      <c r="E901" s="48" t="s">
        <v>101</v>
      </c>
    </row>
    <row r="902" spans="1:5" ht="15.75" customHeight="1" x14ac:dyDescent="0.3">
      <c r="A902" s="45" t="str">
        <f t="shared" si="3"/>
        <v>MaceióBelémNavio</v>
      </c>
      <c r="B902" s="46" t="s">
        <v>32</v>
      </c>
      <c r="C902" s="47" t="s">
        <v>60</v>
      </c>
      <c r="D902" s="47" t="s">
        <v>48</v>
      </c>
      <c r="E902" s="48">
        <v>3</v>
      </c>
    </row>
    <row r="903" spans="1:5" ht="15.75" customHeight="1" x14ac:dyDescent="0.3">
      <c r="A903" s="45" t="str">
        <f t="shared" si="3"/>
        <v>MaceióBelo HorizonteNavio</v>
      </c>
      <c r="B903" s="46" t="s">
        <v>32</v>
      </c>
      <c r="C903" s="47" t="s">
        <v>60</v>
      </c>
      <c r="D903" s="47" t="s">
        <v>52</v>
      </c>
      <c r="E903" s="48" t="s">
        <v>101</v>
      </c>
    </row>
    <row r="904" spans="1:5" ht="15.75" customHeight="1" x14ac:dyDescent="0.3">
      <c r="A904" s="45" t="str">
        <f t="shared" si="3"/>
        <v>MaceióBrasíliaNavio</v>
      </c>
      <c r="B904" s="46" t="s">
        <v>32</v>
      </c>
      <c r="C904" s="47" t="s">
        <v>60</v>
      </c>
      <c r="D904" s="47" t="s">
        <v>53</v>
      </c>
      <c r="E904" s="48" t="s">
        <v>101</v>
      </c>
    </row>
    <row r="905" spans="1:5" ht="15.75" customHeight="1" x14ac:dyDescent="0.3">
      <c r="A905" s="45" t="str">
        <f t="shared" si="3"/>
        <v>MaceióCampinasNavio</v>
      </c>
      <c r="B905" s="46" t="s">
        <v>32</v>
      </c>
      <c r="C905" s="47" t="s">
        <v>60</v>
      </c>
      <c r="D905" s="47" t="s">
        <v>54</v>
      </c>
      <c r="E905" s="48" t="s">
        <v>101</v>
      </c>
    </row>
    <row r="906" spans="1:5" ht="15.75" customHeight="1" x14ac:dyDescent="0.3">
      <c r="A906" s="45" t="str">
        <f t="shared" si="3"/>
        <v>MaceióCampo GrandeNavio</v>
      </c>
      <c r="B906" s="46" t="s">
        <v>32</v>
      </c>
      <c r="C906" s="47" t="s">
        <v>60</v>
      </c>
      <c r="D906" s="47" t="s">
        <v>55</v>
      </c>
      <c r="E906" s="48" t="s">
        <v>101</v>
      </c>
    </row>
    <row r="907" spans="1:5" ht="15.75" customHeight="1" x14ac:dyDescent="0.3">
      <c r="A907" s="45" t="str">
        <f t="shared" si="3"/>
        <v>MaceióCuiabáNavio</v>
      </c>
      <c r="B907" s="46" t="s">
        <v>32</v>
      </c>
      <c r="C907" s="47" t="s">
        <v>60</v>
      </c>
      <c r="D907" s="47" t="s">
        <v>37</v>
      </c>
      <c r="E907" s="48" t="s">
        <v>101</v>
      </c>
    </row>
    <row r="908" spans="1:5" ht="15.75" customHeight="1" x14ac:dyDescent="0.3">
      <c r="A908" s="45" t="str">
        <f t="shared" si="3"/>
        <v>MaceióCuritibaNavio</v>
      </c>
      <c r="B908" s="46" t="s">
        <v>32</v>
      </c>
      <c r="C908" s="47" t="s">
        <v>60</v>
      </c>
      <c r="D908" s="47" t="s">
        <v>56</v>
      </c>
      <c r="E908" s="48">
        <v>3</v>
      </c>
    </row>
    <row r="909" spans="1:5" ht="15.75" customHeight="1" x14ac:dyDescent="0.3">
      <c r="A909" s="45" t="str">
        <f t="shared" si="3"/>
        <v>MaceióFortalezaNavio</v>
      </c>
      <c r="B909" s="46" t="s">
        <v>32</v>
      </c>
      <c r="C909" s="47" t="s">
        <v>60</v>
      </c>
      <c r="D909" s="47" t="s">
        <v>57</v>
      </c>
      <c r="E909" s="48">
        <v>1</v>
      </c>
    </row>
    <row r="910" spans="1:5" ht="15.75" customHeight="1" x14ac:dyDescent="0.3">
      <c r="A910" s="45" t="str">
        <f t="shared" si="3"/>
        <v>MaceióGoiâniaNavio</v>
      </c>
      <c r="B910" s="46" t="s">
        <v>32</v>
      </c>
      <c r="C910" s="47" t="s">
        <v>60</v>
      </c>
      <c r="D910" s="47" t="s">
        <v>58</v>
      </c>
      <c r="E910" s="48" t="s">
        <v>101</v>
      </c>
    </row>
    <row r="911" spans="1:5" ht="15.75" customHeight="1" x14ac:dyDescent="0.3">
      <c r="A911" s="45" t="str">
        <f t="shared" si="3"/>
        <v>MaceióJoão PessoaNavio</v>
      </c>
      <c r="B911" s="46" t="s">
        <v>32</v>
      </c>
      <c r="C911" s="47" t="s">
        <v>60</v>
      </c>
      <c r="D911" s="47" t="s">
        <v>59</v>
      </c>
      <c r="E911" s="48" t="s">
        <v>101</v>
      </c>
    </row>
    <row r="912" spans="1:5" ht="15.75" customHeight="1" x14ac:dyDescent="0.3">
      <c r="A912" s="45" t="str">
        <f t="shared" si="3"/>
        <v>MaceióJoinvilleNavio</v>
      </c>
      <c r="B912" s="46" t="s">
        <v>32</v>
      </c>
      <c r="C912" s="47" t="s">
        <v>60</v>
      </c>
      <c r="D912" s="47" t="s">
        <v>28</v>
      </c>
      <c r="E912" s="48">
        <v>3</v>
      </c>
    </row>
    <row r="913" spans="1:5" ht="15.75" customHeight="1" x14ac:dyDescent="0.3">
      <c r="A913" s="45" t="str">
        <f t="shared" si="3"/>
        <v>MaceióMaceióNavio</v>
      </c>
      <c r="B913" s="46" t="s">
        <v>32</v>
      </c>
      <c r="C913" s="47" t="s">
        <v>60</v>
      </c>
      <c r="D913" s="47" t="s">
        <v>60</v>
      </c>
      <c r="E913" s="48">
        <v>0</v>
      </c>
    </row>
    <row r="914" spans="1:5" ht="15.75" customHeight="1" x14ac:dyDescent="0.3">
      <c r="A914" s="45" t="str">
        <f t="shared" si="3"/>
        <v>MaceióManausNavio</v>
      </c>
      <c r="B914" s="46" t="s">
        <v>32</v>
      </c>
      <c r="C914" s="47" t="s">
        <v>60</v>
      </c>
      <c r="D914" s="47" t="s">
        <v>23</v>
      </c>
      <c r="E914" s="48">
        <v>5</v>
      </c>
    </row>
    <row r="915" spans="1:5" ht="15.75" customHeight="1" x14ac:dyDescent="0.3">
      <c r="A915" s="45" t="str">
        <f t="shared" si="3"/>
        <v>MaceióNatalNavio</v>
      </c>
      <c r="B915" s="46" t="s">
        <v>32</v>
      </c>
      <c r="C915" s="47" t="s">
        <v>60</v>
      </c>
      <c r="D915" s="47" t="s">
        <v>61</v>
      </c>
      <c r="E915" s="48">
        <v>1</v>
      </c>
    </row>
    <row r="916" spans="1:5" ht="15.75" customHeight="1" x14ac:dyDescent="0.3">
      <c r="A916" s="45" t="str">
        <f t="shared" si="3"/>
        <v>MaceióPorto AlegreNavio</v>
      </c>
      <c r="B916" s="46" t="s">
        <v>32</v>
      </c>
      <c r="C916" s="47" t="s">
        <v>60</v>
      </c>
      <c r="D916" s="47" t="s">
        <v>44</v>
      </c>
      <c r="E916" s="48">
        <v>5</v>
      </c>
    </row>
    <row r="917" spans="1:5" ht="15.75" customHeight="1" x14ac:dyDescent="0.3">
      <c r="A917" s="45" t="str">
        <f t="shared" si="3"/>
        <v>MaceióRecifeNavio</v>
      </c>
      <c r="B917" s="46" t="s">
        <v>32</v>
      </c>
      <c r="C917" s="47" t="s">
        <v>60</v>
      </c>
      <c r="D917" s="47" t="s">
        <v>62</v>
      </c>
      <c r="E917" s="48">
        <v>0</v>
      </c>
    </row>
    <row r="918" spans="1:5" ht="15.75" customHeight="1" x14ac:dyDescent="0.3">
      <c r="A918" s="45" t="str">
        <f t="shared" si="3"/>
        <v>MaceióRibeirão PretoNavio</v>
      </c>
      <c r="B918" s="46" t="s">
        <v>32</v>
      </c>
      <c r="C918" s="47" t="s">
        <v>60</v>
      </c>
      <c r="D918" s="47" t="s">
        <v>63</v>
      </c>
      <c r="E918" s="48" t="s">
        <v>101</v>
      </c>
    </row>
    <row r="919" spans="1:5" ht="15.75" customHeight="1" x14ac:dyDescent="0.3">
      <c r="A919" s="45" t="str">
        <f t="shared" si="3"/>
        <v>MaceióRio de JaneiroNavio</v>
      </c>
      <c r="B919" s="46" t="s">
        <v>32</v>
      </c>
      <c r="C919" s="47" t="s">
        <v>60</v>
      </c>
      <c r="D919" s="47" t="s">
        <v>64</v>
      </c>
      <c r="E919" s="48">
        <v>3</v>
      </c>
    </row>
    <row r="920" spans="1:5" ht="15.75" customHeight="1" x14ac:dyDescent="0.3">
      <c r="A920" s="45" t="str">
        <f t="shared" si="3"/>
        <v>MaceióSalvadorNavio</v>
      </c>
      <c r="B920" s="46" t="s">
        <v>32</v>
      </c>
      <c r="C920" s="47" t="s">
        <v>60</v>
      </c>
      <c r="D920" s="47" t="s">
        <v>65</v>
      </c>
      <c r="E920" s="48">
        <v>1</v>
      </c>
    </row>
    <row r="921" spans="1:5" ht="15.75" customHeight="1" x14ac:dyDescent="0.3">
      <c r="A921" s="45" t="str">
        <f t="shared" si="3"/>
        <v>MaceióSantosNavio</v>
      </c>
      <c r="B921" s="46" t="s">
        <v>32</v>
      </c>
      <c r="C921" s="47" t="s">
        <v>60</v>
      </c>
      <c r="D921" s="47" t="s">
        <v>47</v>
      </c>
      <c r="E921" s="48">
        <v>3</v>
      </c>
    </row>
    <row r="922" spans="1:5" ht="15.75" customHeight="1" x14ac:dyDescent="0.3">
      <c r="A922" s="45" t="str">
        <f t="shared" si="3"/>
        <v>MaceióSão LuísNavio</v>
      </c>
      <c r="B922" s="46" t="s">
        <v>32</v>
      </c>
      <c r="C922" s="47" t="s">
        <v>60</v>
      </c>
      <c r="D922" s="47" t="s">
        <v>50</v>
      </c>
      <c r="E922" s="48">
        <v>2</v>
      </c>
    </row>
    <row r="923" spans="1:5" ht="15.75" customHeight="1" x14ac:dyDescent="0.3">
      <c r="A923" s="45" t="str">
        <f t="shared" si="3"/>
        <v>MaceióSão PauloNavio</v>
      </c>
      <c r="B923" s="46" t="s">
        <v>32</v>
      </c>
      <c r="C923" s="47" t="s">
        <v>60</v>
      </c>
      <c r="D923" s="47" t="s">
        <v>66</v>
      </c>
      <c r="E923" s="48" t="s">
        <v>101</v>
      </c>
    </row>
    <row r="924" spans="1:5" ht="15.75" customHeight="1" x14ac:dyDescent="0.3">
      <c r="A924" s="45" t="str">
        <f t="shared" si="3"/>
        <v>MaceióUberlândiaNavio</v>
      </c>
      <c r="B924" s="46" t="s">
        <v>32</v>
      </c>
      <c r="C924" s="47" t="s">
        <v>60</v>
      </c>
      <c r="D924" s="47" t="s">
        <v>67</v>
      </c>
      <c r="E924" s="48" t="s">
        <v>101</v>
      </c>
    </row>
    <row r="925" spans="1:5" ht="15.75" customHeight="1" x14ac:dyDescent="0.3">
      <c r="A925" s="45" t="str">
        <f t="shared" si="3"/>
        <v>MaceióVitóriaNavio</v>
      </c>
      <c r="B925" s="46" t="s">
        <v>32</v>
      </c>
      <c r="C925" s="47" t="s">
        <v>60</v>
      </c>
      <c r="D925" s="47" t="s">
        <v>68</v>
      </c>
      <c r="E925" s="48">
        <v>2</v>
      </c>
    </row>
    <row r="926" spans="1:5" ht="15.75" customHeight="1" x14ac:dyDescent="0.3">
      <c r="A926" s="45" t="str">
        <f t="shared" si="3"/>
        <v>MaceióVitória da ConquistaNavio</v>
      </c>
      <c r="B926" s="46" t="s">
        <v>32</v>
      </c>
      <c r="C926" s="47" t="s">
        <v>60</v>
      </c>
      <c r="D926" s="47" t="s">
        <v>49</v>
      </c>
      <c r="E926" s="48" t="s">
        <v>101</v>
      </c>
    </row>
    <row r="927" spans="1:5" ht="15.75" customHeight="1" x14ac:dyDescent="0.3">
      <c r="A927" s="45" t="str">
        <f t="shared" si="3"/>
        <v>ManausBelémNavio</v>
      </c>
      <c r="B927" s="46" t="s">
        <v>32</v>
      </c>
      <c r="C927" s="46" t="s">
        <v>23</v>
      </c>
      <c r="D927" s="47" t="s">
        <v>48</v>
      </c>
      <c r="E927" s="48">
        <v>2</v>
      </c>
    </row>
    <row r="928" spans="1:5" ht="15.75" customHeight="1" x14ac:dyDescent="0.3">
      <c r="A928" s="45" t="str">
        <f t="shared" si="3"/>
        <v>ManausBelo HorizonteNavio</v>
      </c>
      <c r="B928" s="46" t="s">
        <v>32</v>
      </c>
      <c r="C928" s="46" t="s">
        <v>23</v>
      </c>
      <c r="D928" s="47" t="s">
        <v>52</v>
      </c>
      <c r="E928" s="48" t="s">
        <v>101</v>
      </c>
    </row>
    <row r="929" spans="1:5" ht="15.75" customHeight="1" x14ac:dyDescent="0.3">
      <c r="A929" s="45" t="str">
        <f t="shared" si="3"/>
        <v>ManausBrasíliaNavio</v>
      </c>
      <c r="B929" s="46" t="s">
        <v>32</v>
      </c>
      <c r="C929" s="46" t="s">
        <v>23</v>
      </c>
      <c r="D929" s="47" t="s">
        <v>53</v>
      </c>
      <c r="E929" s="48" t="s">
        <v>101</v>
      </c>
    </row>
    <row r="930" spans="1:5" ht="15.75" customHeight="1" x14ac:dyDescent="0.3">
      <c r="A930" s="45" t="str">
        <f t="shared" si="3"/>
        <v>ManausCampinasNavio</v>
      </c>
      <c r="B930" s="46" t="s">
        <v>32</v>
      </c>
      <c r="C930" s="46" t="s">
        <v>23</v>
      </c>
      <c r="D930" s="47" t="s">
        <v>54</v>
      </c>
      <c r="E930" s="48" t="s">
        <v>101</v>
      </c>
    </row>
    <row r="931" spans="1:5" ht="15.75" customHeight="1" x14ac:dyDescent="0.3">
      <c r="A931" s="45" t="str">
        <f t="shared" si="3"/>
        <v>ManausCampo GrandeNavio</v>
      </c>
      <c r="B931" s="46" t="s">
        <v>32</v>
      </c>
      <c r="C931" s="46" t="s">
        <v>23</v>
      </c>
      <c r="D931" s="47" t="s">
        <v>55</v>
      </c>
      <c r="E931" s="48" t="s">
        <v>101</v>
      </c>
    </row>
    <row r="932" spans="1:5" ht="15.75" customHeight="1" x14ac:dyDescent="0.3">
      <c r="A932" s="45" t="str">
        <f t="shared" si="3"/>
        <v>ManausCuiabáNavio</v>
      </c>
      <c r="B932" s="46" t="s">
        <v>32</v>
      </c>
      <c r="C932" s="46" t="s">
        <v>23</v>
      </c>
      <c r="D932" s="47" t="s">
        <v>37</v>
      </c>
      <c r="E932" s="48" t="s">
        <v>101</v>
      </c>
    </row>
    <row r="933" spans="1:5" ht="15.75" customHeight="1" x14ac:dyDescent="0.3">
      <c r="A933" s="45" t="str">
        <f t="shared" si="3"/>
        <v>ManausCuritibaNavio</v>
      </c>
      <c r="B933" s="46" t="s">
        <v>32</v>
      </c>
      <c r="C933" s="46" t="s">
        <v>23</v>
      </c>
      <c r="D933" s="47" t="s">
        <v>56</v>
      </c>
      <c r="E933" s="48">
        <v>9</v>
      </c>
    </row>
    <row r="934" spans="1:5" ht="15.75" customHeight="1" x14ac:dyDescent="0.3">
      <c r="A934" s="45" t="str">
        <f t="shared" si="3"/>
        <v>ManausFortalezaNavio</v>
      </c>
      <c r="B934" s="46" t="s">
        <v>32</v>
      </c>
      <c r="C934" s="46" t="s">
        <v>23</v>
      </c>
      <c r="D934" s="47" t="s">
        <v>57</v>
      </c>
      <c r="E934" s="48">
        <v>4</v>
      </c>
    </row>
    <row r="935" spans="1:5" ht="15.75" customHeight="1" x14ac:dyDescent="0.3">
      <c r="A935" s="45" t="str">
        <f t="shared" si="3"/>
        <v>ManausGoiâniaNavio</v>
      </c>
      <c r="B935" s="46" t="s">
        <v>32</v>
      </c>
      <c r="C935" s="46" t="s">
        <v>23</v>
      </c>
      <c r="D935" s="47" t="s">
        <v>58</v>
      </c>
      <c r="E935" s="48" t="s">
        <v>101</v>
      </c>
    </row>
    <row r="936" spans="1:5" ht="15.75" customHeight="1" x14ac:dyDescent="0.3">
      <c r="A936" s="45" t="str">
        <f t="shared" si="3"/>
        <v>ManausJoão PessoaNavio</v>
      </c>
      <c r="B936" s="46" t="s">
        <v>32</v>
      </c>
      <c r="C936" s="46" t="s">
        <v>23</v>
      </c>
      <c r="D936" s="47" t="s">
        <v>59</v>
      </c>
      <c r="E936" s="48">
        <v>5</v>
      </c>
    </row>
    <row r="937" spans="1:5" ht="15.75" customHeight="1" x14ac:dyDescent="0.3">
      <c r="A937" s="45" t="str">
        <f t="shared" si="3"/>
        <v>ManausJoinvilleNavio</v>
      </c>
      <c r="B937" s="46" t="s">
        <v>32</v>
      </c>
      <c r="C937" s="46" t="s">
        <v>23</v>
      </c>
      <c r="D937" s="47" t="s">
        <v>28</v>
      </c>
      <c r="E937" s="48">
        <v>9</v>
      </c>
    </row>
    <row r="938" spans="1:5" ht="15.75" customHeight="1" x14ac:dyDescent="0.3">
      <c r="A938" s="45" t="str">
        <f t="shared" si="3"/>
        <v>ManausMaceióNavio</v>
      </c>
      <c r="B938" s="46" t="s">
        <v>32</v>
      </c>
      <c r="C938" s="46" t="s">
        <v>23</v>
      </c>
      <c r="D938" s="47" t="s">
        <v>60</v>
      </c>
      <c r="E938" s="48">
        <v>5</v>
      </c>
    </row>
    <row r="939" spans="1:5" ht="15.75" customHeight="1" x14ac:dyDescent="0.3">
      <c r="A939" s="45" t="str">
        <f t="shared" si="3"/>
        <v>ManausManausNavio</v>
      </c>
      <c r="B939" s="46" t="s">
        <v>32</v>
      </c>
      <c r="C939" s="46" t="s">
        <v>23</v>
      </c>
      <c r="D939" s="47" t="s">
        <v>23</v>
      </c>
      <c r="E939" s="48">
        <v>0</v>
      </c>
    </row>
    <row r="940" spans="1:5" ht="15.75" customHeight="1" x14ac:dyDescent="0.3">
      <c r="A940" s="45" t="str">
        <f t="shared" si="3"/>
        <v>ManausNatalNavio</v>
      </c>
      <c r="B940" s="46" t="s">
        <v>32</v>
      </c>
      <c r="C940" s="46" t="s">
        <v>23</v>
      </c>
      <c r="D940" s="47" t="s">
        <v>61</v>
      </c>
      <c r="E940" s="48">
        <v>5</v>
      </c>
    </row>
    <row r="941" spans="1:5" ht="15.75" customHeight="1" x14ac:dyDescent="0.3">
      <c r="A941" s="45" t="str">
        <f t="shared" si="3"/>
        <v>ManausPorto AlegreNavio</v>
      </c>
      <c r="B941" s="46" t="s">
        <v>32</v>
      </c>
      <c r="C941" s="46" t="s">
        <v>23</v>
      </c>
      <c r="D941" s="47" t="s">
        <v>44</v>
      </c>
      <c r="E941" s="48">
        <v>10</v>
      </c>
    </row>
    <row r="942" spans="1:5" ht="15.75" customHeight="1" x14ac:dyDescent="0.3">
      <c r="A942" s="45" t="str">
        <f t="shared" si="3"/>
        <v>ManausRecifeNavio</v>
      </c>
      <c r="B942" s="46" t="s">
        <v>32</v>
      </c>
      <c r="C942" s="46" t="s">
        <v>23</v>
      </c>
      <c r="D942" s="47" t="s">
        <v>62</v>
      </c>
      <c r="E942" s="48">
        <v>5</v>
      </c>
    </row>
    <row r="943" spans="1:5" ht="15.75" customHeight="1" x14ac:dyDescent="0.3">
      <c r="A943" s="45" t="str">
        <f t="shared" si="3"/>
        <v>ManausRibeirão PretoNavio</v>
      </c>
      <c r="B943" s="46" t="s">
        <v>32</v>
      </c>
      <c r="C943" s="46" t="s">
        <v>23</v>
      </c>
      <c r="D943" s="47" t="s">
        <v>63</v>
      </c>
      <c r="E943" s="48" t="s">
        <v>101</v>
      </c>
    </row>
    <row r="944" spans="1:5" ht="15.75" customHeight="1" x14ac:dyDescent="0.3">
      <c r="A944" s="45" t="str">
        <f t="shared" si="3"/>
        <v>ManausRio de JaneiroNavio</v>
      </c>
      <c r="B944" s="46" t="s">
        <v>32</v>
      </c>
      <c r="C944" s="46" t="s">
        <v>23</v>
      </c>
      <c r="D944" s="47" t="s">
        <v>64</v>
      </c>
      <c r="E944" s="48">
        <v>8</v>
      </c>
    </row>
    <row r="945" spans="1:5" ht="15.75" customHeight="1" x14ac:dyDescent="0.3">
      <c r="A945" s="45" t="str">
        <f t="shared" si="3"/>
        <v>ManausSalvadorNavio</v>
      </c>
      <c r="B945" s="46" t="s">
        <v>32</v>
      </c>
      <c r="C945" s="46" t="s">
        <v>23</v>
      </c>
      <c r="D945" s="47" t="s">
        <v>65</v>
      </c>
      <c r="E945" s="48">
        <v>6</v>
      </c>
    </row>
    <row r="946" spans="1:5" ht="15.75" customHeight="1" x14ac:dyDescent="0.3">
      <c r="A946" s="45" t="str">
        <f t="shared" si="3"/>
        <v>ManausSantosNavio</v>
      </c>
      <c r="B946" s="46" t="s">
        <v>32</v>
      </c>
      <c r="C946" s="46" t="s">
        <v>23</v>
      </c>
      <c r="D946" s="47" t="s">
        <v>47</v>
      </c>
      <c r="E946" s="48">
        <v>8</v>
      </c>
    </row>
    <row r="947" spans="1:5" ht="15.75" customHeight="1" x14ac:dyDescent="0.3">
      <c r="A947" s="45" t="str">
        <f t="shared" si="3"/>
        <v>ManausSão LuísNavio</v>
      </c>
      <c r="B947" s="46" t="s">
        <v>32</v>
      </c>
      <c r="C947" s="46" t="s">
        <v>23</v>
      </c>
      <c r="D947" s="47" t="s">
        <v>50</v>
      </c>
      <c r="E947" s="48">
        <v>3</v>
      </c>
    </row>
    <row r="948" spans="1:5" ht="15.75" customHeight="1" x14ac:dyDescent="0.3">
      <c r="A948" s="45" t="str">
        <f t="shared" si="3"/>
        <v>ManausSão PauloNavio</v>
      </c>
      <c r="B948" s="46" t="s">
        <v>32</v>
      </c>
      <c r="C948" s="46" t="s">
        <v>23</v>
      </c>
      <c r="D948" s="47" t="s">
        <v>66</v>
      </c>
      <c r="E948" s="48" t="s">
        <v>101</v>
      </c>
    </row>
    <row r="949" spans="1:5" ht="15.75" customHeight="1" x14ac:dyDescent="0.3">
      <c r="A949" s="45" t="str">
        <f t="shared" si="3"/>
        <v>ManausUberlândiaNavio</v>
      </c>
      <c r="B949" s="46" t="s">
        <v>32</v>
      </c>
      <c r="C949" s="46" t="s">
        <v>23</v>
      </c>
      <c r="D949" s="47" t="s">
        <v>67</v>
      </c>
      <c r="E949" s="48" t="s">
        <v>101</v>
      </c>
    </row>
    <row r="950" spans="1:5" ht="15.75" customHeight="1" x14ac:dyDescent="0.3">
      <c r="A950" s="45" t="str">
        <f t="shared" si="3"/>
        <v>ManausVitóriaNavio</v>
      </c>
      <c r="B950" s="46" t="s">
        <v>32</v>
      </c>
      <c r="C950" s="46" t="s">
        <v>23</v>
      </c>
      <c r="D950" s="47" t="s">
        <v>68</v>
      </c>
      <c r="E950" s="48">
        <v>7</v>
      </c>
    </row>
    <row r="951" spans="1:5" ht="15.75" customHeight="1" x14ac:dyDescent="0.3">
      <c r="A951" s="45" t="str">
        <f t="shared" si="3"/>
        <v>ManausVitória da ConquistaNavio</v>
      </c>
      <c r="B951" s="46" t="s">
        <v>32</v>
      </c>
      <c r="C951" s="46" t="s">
        <v>23</v>
      </c>
      <c r="D951" s="47" t="s">
        <v>49</v>
      </c>
      <c r="E951" s="48" t="s">
        <v>101</v>
      </c>
    </row>
    <row r="952" spans="1:5" ht="15.75" customHeight="1" x14ac:dyDescent="0.3">
      <c r="A952" s="45" t="str">
        <f t="shared" si="3"/>
        <v>NatalBelémNavio</v>
      </c>
      <c r="B952" s="46" t="s">
        <v>32</v>
      </c>
      <c r="C952" s="46" t="s">
        <v>61</v>
      </c>
      <c r="D952" s="47" t="s">
        <v>48</v>
      </c>
      <c r="E952" s="48">
        <v>3</v>
      </c>
    </row>
    <row r="953" spans="1:5" ht="15.75" customHeight="1" x14ac:dyDescent="0.3">
      <c r="A953" s="45" t="str">
        <f t="shared" si="3"/>
        <v>NatalBelo HorizonteNavio</v>
      </c>
      <c r="B953" s="46" t="s">
        <v>32</v>
      </c>
      <c r="C953" s="46" t="s">
        <v>61</v>
      </c>
      <c r="D953" s="47" t="s">
        <v>52</v>
      </c>
      <c r="E953" s="48" t="s">
        <v>101</v>
      </c>
    </row>
    <row r="954" spans="1:5" ht="15.75" customHeight="1" x14ac:dyDescent="0.3">
      <c r="A954" s="45" t="str">
        <f t="shared" si="3"/>
        <v>NatalBrasíliaNavio</v>
      </c>
      <c r="B954" s="46" t="s">
        <v>32</v>
      </c>
      <c r="C954" s="46" t="s">
        <v>61</v>
      </c>
      <c r="D954" s="47" t="s">
        <v>53</v>
      </c>
      <c r="E954" s="48" t="s">
        <v>101</v>
      </c>
    </row>
    <row r="955" spans="1:5" ht="15.75" customHeight="1" x14ac:dyDescent="0.3">
      <c r="A955" s="45" t="str">
        <f t="shared" si="3"/>
        <v>NatalCampinasNavio</v>
      </c>
      <c r="B955" s="46" t="s">
        <v>32</v>
      </c>
      <c r="C955" s="46" t="s">
        <v>61</v>
      </c>
      <c r="D955" s="47" t="s">
        <v>54</v>
      </c>
      <c r="E955" s="48" t="s">
        <v>101</v>
      </c>
    </row>
    <row r="956" spans="1:5" ht="15.75" customHeight="1" x14ac:dyDescent="0.3">
      <c r="A956" s="45" t="str">
        <f t="shared" si="3"/>
        <v>NatalCampo GrandeNavio</v>
      </c>
      <c r="B956" s="46" t="s">
        <v>32</v>
      </c>
      <c r="C956" s="46" t="s">
        <v>61</v>
      </c>
      <c r="D956" s="47" t="s">
        <v>55</v>
      </c>
      <c r="E956" s="48" t="s">
        <v>101</v>
      </c>
    </row>
    <row r="957" spans="1:5" ht="15.75" customHeight="1" x14ac:dyDescent="0.3">
      <c r="A957" s="45" t="str">
        <f t="shared" si="3"/>
        <v>NatalCuiabáNavio</v>
      </c>
      <c r="B957" s="46" t="s">
        <v>32</v>
      </c>
      <c r="C957" s="46" t="s">
        <v>61</v>
      </c>
      <c r="D957" s="47" t="s">
        <v>37</v>
      </c>
      <c r="E957" s="48" t="s">
        <v>101</v>
      </c>
    </row>
    <row r="958" spans="1:5" ht="15.75" customHeight="1" x14ac:dyDescent="0.3">
      <c r="A958" s="45" t="str">
        <f t="shared" si="3"/>
        <v>NatalCuritibaNavio</v>
      </c>
      <c r="B958" s="46" t="s">
        <v>32</v>
      </c>
      <c r="C958" s="46" t="s">
        <v>61</v>
      </c>
      <c r="D958" s="47" t="s">
        <v>56</v>
      </c>
      <c r="E958" s="48">
        <v>4</v>
      </c>
    </row>
    <row r="959" spans="1:5" ht="15.75" customHeight="1" x14ac:dyDescent="0.3">
      <c r="A959" s="45" t="str">
        <f t="shared" si="3"/>
        <v>NatalFortalezaNavio</v>
      </c>
      <c r="B959" s="46" t="s">
        <v>32</v>
      </c>
      <c r="C959" s="46" t="s">
        <v>61</v>
      </c>
      <c r="D959" s="47" t="s">
        <v>57</v>
      </c>
      <c r="E959" s="48">
        <v>1</v>
      </c>
    </row>
    <row r="960" spans="1:5" ht="15.75" customHeight="1" x14ac:dyDescent="0.3">
      <c r="A960" s="45" t="str">
        <f t="shared" si="3"/>
        <v>NatalGoiâniaNavio</v>
      </c>
      <c r="B960" s="46" t="s">
        <v>32</v>
      </c>
      <c r="C960" s="46" t="s">
        <v>61</v>
      </c>
      <c r="D960" s="47" t="s">
        <v>58</v>
      </c>
      <c r="E960" s="48" t="s">
        <v>101</v>
      </c>
    </row>
    <row r="961" spans="1:5" ht="15.75" customHeight="1" x14ac:dyDescent="0.3">
      <c r="A961" s="45" t="str">
        <f t="shared" si="3"/>
        <v>NatalJoão PessoaNavio</v>
      </c>
      <c r="B961" s="46" t="s">
        <v>32</v>
      </c>
      <c r="C961" s="46" t="s">
        <v>61</v>
      </c>
      <c r="D961" s="47" t="s">
        <v>59</v>
      </c>
      <c r="E961" s="48">
        <v>0</v>
      </c>
    </row>
    <row r="962" spans="1:5" ht="15.75" customHeight="1" x14ac:dyDescent="0.3">
      <c r="A962" s="45" t="str">
        <f t="shared" si="3"/>
        <v>NatalJoinvilleNavio</v>
      </c>
      <c r="B962" s="46" t="s">
        <v>32</v>
      </c>
      <c r="C962" s="46" t="s">
        <v>61</v>
      </c>
      <c r="D962" s="47" t="s">
        <v>28</v>
      </c>
      <c r="E962" s="48">
        <v>4</v>
      </c>
    </row>
    <row r="963" spans="1:5" ht="15.75" customHeight="1" x14ac:dyDescent="0.3">
      <c r="A963" s="45" t="str">
        <f t="shared" si="3"/>
        <v>NatalMaceióNavio</v>
      </c>
      <c r="B963" s="46" t="s">
        <v>32</v>
      </c>
      <c r="C963" s="46" t="s">
        <v>61</v>
      </c>
      <c r="D963" s="47" t="s">
        <v>60</v>
      </c>
      <c r="E963" s="48">
        <v>1</v>
      </c>
    </row>
    <row r="964" spans="1:5" ht="15.75" customHeight="1" x14ac:dyDescent="0.3">
      <c r="A964" s="45" t="str">
        <f t="shared" si="3"/>
        <v>NatalManausNavio</v>
      </c>
      <c r="B964" s="46" t="s">
        <v>32</v>
      </c>
      <c r="C964" s="46" t="s">
        <v>61</v>
      </c>
      <c r="D964" s="47" t="s">
        <v>23</v>
      </c>
      <c r="E964" s="48">
        <v>5</v>
      </c>
    </row>
    <row r="965" spans="1:5" ht="15.75" customHeight="1" x14ac:dyDescent="0.3">
      <c r="A965" s="45" t="str">
        <f t="shared" si="3"/>
        <v>NatalNatalNavio</v>
      </c>
      <c r="B965" s="46" t="s">
        <v>32</v>
      </c>
      <c r="C965" s="46" t="s">
        <v>61</v>
      </c>
      <c r="D965" s="47" t="s">
        <v>61</v>
      </c>
      <c r="E965" s="48">
        <v>0</v>
      </c>
    </row>
    <row r="966" spans="1:5" ht="15.75" customHeight="1" x14ac:dyDescent="0.3">
      <c r="A966" s="45" t="str">
        <f t="shared" si="3"/>
        <v>NatalPorto AlegreNavio</v>
      </c>
      <c r="B966" s="46" t="s">
        <v>32</v>
      </c>
      <c r="C966" s="46" t="s">
        <v>61</v>
      </c>
      <c r="D966" s="47" t="s">
        <v>44</v>
      </c>
      <c r="E966" s="48">
        <v>5</v>
      </c>
    </row>
    <row r="967" spans="1:5" ht="15.75" customHeight="1" x14ac:dyDescent="0.3">
      <c r="A967" s="45" t="str">
        <f t="shared" si="3"/>
        <v>NatalRecifeNavio</v>
      </c>
      <c r="B967" s="46" t="s">
        <v>32</v>
      </c>
      <c r="C967" s="46" t="s">
        <v>61</v>
      </c>
      <c r="D967" s="47" t="s">
        <v>62</v>
      </c>
      <c r="E967" s="48">
        <v>0</v>
      </c>
    </row>
    <row r="968" spans="1:5" ht="15.75" customHeight="1" x14ac:dyDescent="0.3">
      <c r="A968" s="45" t="str">
        <f t="shared" si="3"/>
        <v>NatalRibeirão PretoNavio</v>
      </c>
      <c r="B968" s="46" t="s">
        <v>32</v>
      </c>
      <c r="C968" s="46" t="s">
        <v>61</v>
      </c>
      <c r="D968" s="47" t="s">
        <v>63</v>
      </c>
      <c r="E968" s="48" t="s">
        <v>101</v>
      </c>
    </row>
    <row r="969" spans="1:5" ht="15.75" customHeight="1" x14ac:dyDescent="0.3">
      <c r="A969" s="45" t="str">
        <f t="shared" si="3"/>
        <v>NatalRio de JaneiroNavio</v>
      </c>
      <c r="B969" s="46" t="s">
        <v>32</v>
      </c>
      <c r="C969" s="46" t="s">
        <v>61</v>
      </c>
      <c r="D969" s="47" t="s">
        <v>64</v>
      </c>
      <c r="E969" s="48">
        <v>3</v>
      </c>
    </row>
    <row r="970" spans="1:5" ht="15.75" customHeight="1" x14ac:dyDescent="0.3">
      <c r="A970" s="45" t="str">
        <f t="shared" si="3"/>
        <v>NatalSalvadorNavio</v>
      </c>
      <c r="B970" s="46" t="s">
        <v>32</v>
      </c>
      <c r="C970" s="46" t="s">
        <v>61</v>
      </c>
      <c r="D970" s="47" t="s">
        <v>65</v>
      </c>
      <c r="E970" s="48" t="s">
        <v>101</v>
      </c>
    </row>
    <row r="971" spans="1:5" ht="15.75" customHeight="1" x14ac:dyDescent="0.3">
      <c r="A971" s="45" t="str">
        <f t="shared" si="3"/>
        <v>NatalSantosNavio</v>
      </c>
      <c r="B971" s="46" t="s">
        <v>32</v>
      </c>
      <c r="C971" s="46" t="s">
        <v>61</v>
      </c>
      <c r="D971" s="47" t="s">
        <v>47</v>
      </c>
      <c r="E971" s="48">
        <v>4</v>
      </c>
    </row>
    <row r="972" spans="1:5" ht="15.75" customHeight="1" x14ac:dyDescent="0.3">
      <c r="A972" s="45" t="str">
        <f t="shared" si="3"/>
        <v>NatalSão LuísNavio</v>
      </c>
      <c r="B972" s="46" t="s">
        <v>32</v>
      </c>
      <c r="C972" s="46" t="s">
        <v>61</v>
      </c>
      <c r="D972" s="47" t="s">
        <v>50</v>
      </c>
      <c r="E972" s="48">
        <v>2</v>
      </c>
    </row>
    <row r="973" spans="1:5" ht="15.75" customHeight="1" x14ac:dyDescent="0.3">
      <c r="A973" s="45" t="str">
        <f t="shared" si="3"/>
        <v>NatalSão PauloNavio</v>
      </c>
      <c r="B973" s="46" t="s">
        <v>32</v>
      </c>
      <c r="C973" s="46" t="s">
        <v>61</v>
      </c>
      <c r="D973" s="47" t="s">
        <v>66</v>
      </c>
      <c r="E973" s="48" t="s">
        <v>101</v>
      </c>
    </row>
    <row r="974" spans="1:5" ht="15.75" customHeight="1" x14ac:dyDescent="0.3">
      <c r="A974" s="45" t="str">
        <f t="shared" si="3"/>
        <v>NatalUberlândiaNavio</v>
      </c>
      <c r="B974" s="46" t="s">
        <v>32</v>
      </c>
      <c r="C974" s="46" t="s">
        <v>61</v>
      </c>
      <c r="D974" s="47" t="s">
        <v>67</v>
      </c>
      <c r="E974" s="48" t="s">
        <v>101</v>
      </c>
    </row>
    <row r="975" spans="1:5" ht="15.75" customHeight="1" x14ac:dyDescent="0.3">
      <c r="A975" s="45" t="str">
        <f t="shared" si="3"/>
        <v>NatalVitóriaNavio</v>
      </c>
      <c r="B975" s="46" t="s">
        <v>32</v>
      </c>
      <c r="C975" s="46" t="s">
        <v>61</v>
      </c>
      <c r="D975" s="47" t="s">
        <v>68</v>
      </c>
      <c r="E975" s="48">
        <v>2</v>
      </c>
    </row>
    <row r="976" spans="1:5" ht="15.75" customHeight="1" x14ac:dyDescent="0.3">
      <c r="A976" s="45" t="str">
        <f t="shared" si="3"/>
        <v>NatalVitória da ConquistaNavio</v>
      </c>
      <c r="B976" s="46" t="s">
        <v>32</v>
      </c>
      <c r="C976" s="46" t="s">
        <v>61</v>
      </c>
      <c r="D976" s="47" t="s">
        <v>49</v>
      </c>
      <c r="E976" s="48" t="s">
        <v>101</v>
      </c>
    </row>
    <row r="977" spans="1:5" ht="15.75" customHeight="1" x14ac:dyDescent="0.3">
      <c r="A977" s="45" t="str">
        <f t="shared" si="3"/>
        <v>Porto AlegreBelémNavio</v>
      </c>
      <c r="B977" s="46" t="s">
        <v>32</v>
      </c>
      <c r="C977" s="46" t="s">
        <v>44</v>
      </c>
      <c r="D977" s="47" t="s">
        <v>48</v>
      </c>
      <c r="E977" s="48">
        <v>8</v>
      </c>
    </row>
    <row r="978" spans="1:5" ht="15.75" customHeight="1" x14ac:dyDescent="0.3">
      <c r="A978" s="45" t="str">
        <f t="shared" si="3"/>
        <v>Porto AlegreBelo HorizonteNavio</v>
      </c>
      <c r="B978" s="46" t="s">
        <v>32</v>
      </c>
      <c r="C978" s="46" t="s">
        <v>44</v>
      </c>
      <c r="D978" s="47" t="s">
        <v>52</v>
      </c>
      <c r="E978" s="48" t="s">
        <v>101</v>
      </c>
    </row>
    <row r="979" spans="1:5" ht="15.75" customHeight="1" x14ac:dyDescent="0.3">
      <c r="A979" s="45" t="str">
        <f t="shared" si="3"/>
        <v>Porto AlegreBrasíliaNavio</v>
      </c>
      <c r="B979" s="46" t="s">
        <v>32</v>
      </c>
      <c r="C979" s="46" t="s">
        <v>44</v>
      </c>
      <c r="D979" s="47" t="s">
        <v>53</v>
      </c>
      <c r="E979" s="48" t="s">
        <v>101</v>
      </c>
    </row>
    <row r="980" spans="1:5" ht="15.75" customHeight="1" x14ac:dyDescent="0.3">
      <c r="A980" s="45" t="str">
        <f t="shared" si="3"/>
        <v>Porto AlegreCampinasNavio</v>
      </c>
      <c r="B980" s="46" t="s">
        <v>32</v>
      </c>
      <c r="C980" s="46" t="s">
        <v>44</v>
      </c>
      <c r="D980" s="47" t="s">
        <v>54</v>
      </c>
      <c r="E980" s="48" t="s">
        <v>101</v>
      </c>
    </row>
    <row r="981" spans="1:5" ht="15.75" customHeight="1" x14ac:dyDescent="0.3">
      <c r="A981" s="45" t="str">
        <f t="shared" si="3"/>
        <v>Porto AlegreCampo GrandeNavio</v>
      </c>
      <c r="B981" s="46" t="s">
        <v>32</v>
      </c>
      <c r="C981" s="46" t="s">
        <v>44</v>
      </c>
      <c r="D981" s="47" t="s">
        <v>55</v>
      </c>
      <c r="E981" s="48" t="s">
        <v>101</v>
      </c>
    </row>
    <row r="982" spans="1:5" ht="15.75" customHeight="1" x14ac:dyDescent="0.3">
      <c r="A982" s="45" t="str">
        <f t="shared" si="3"/>
        <v>Porto AlegreCuiabáNavio</v>
      </c>
      <c r="B982" s="46" t="s">
        <v>32</v>
      </c>
      <c r="C982" s="46" t="s">
        <v>44</v>
      </c>
      <c r="D982" s="47" t="s">
        <v>37</v>
      </c>
      <c r="E982" s="48" t="s">
        <v>101</v>
      </c>
    </row>
    <row r="983" spans="1:5" ht="15.75" customHeight="1" x14ac:dyDescent="0.3">
      <c r="A983" s="45" t="str">
        <f t="shared" si="3"/>
        <v>Porto AlegreCuritibaNavio</v>
      </c>
      <c r="B983" s="46" t="s">
        <v>32</v>
      </c>
      <c r="C983" s="46" t="s">
        <v>44</v>
      </c>
      <c r="D983" s="47" t="s">
        <v>56</v>
      </c>
      <c r="E983" s="48">
        <v>2</v>
      </c>
    </row>
    <row r="984" spans="1:5" ht="15.75" customHeight="1" x14ac:dyDescent="0.3">
      <c r="A984" s="45" t="str">
        <f t="shared" si="3"/>
        <v>Porto AlegreFortalezaNavio</v>
      </c>
      <c r="B984" s="46" t="s">
        <v>32</v>
      </c>
      <c r="C984" s="46" t="s">
        <v>44</v>
      </c>
      <c r="D984" s="47" t="s">
        <v>57</v>
      </c>
      <c r="E984" s="48">
        <v>6</v>
      </c>
    </row>
    <row r="985" spans="1:5" ht="15.75" customHeight="1" x14ac:dyDescent="0.3">
      <c r="A985" s="45" t="str">
        <f t="shared" si="3"/>
        <v>Porto AlegreGoiâniaNavio</v>
      </c>
      <c r="B985" s="46" t="s">
        <v>32</v>
      </c>
      <c r="C985" s="46" t="s">
        <v>44</v>
      </c>
      <c r="D985" s="47" t="s">
        <v>58</v>
      </c>
      <c r="E985" s="48" t="s">
        <v>101</v>
      </c>
    </row>
    <row r="986" spans="1:5" ht="15.75" customHeight="1" x14ac:dyDescent="0.3">
      <c r="A986" s="45" t="str">
        <f t="shared" si="3"/>
        <v>Porto AlegreJoão PessoaNavio</v>
      </c>
      <c r="B986" s="46" t="s">
        <v>32</v>
      </c>
      <c r="C986" s="46" t="s">
        <v>44</v>
      </c>
      <c r="D986" s="47" t="s">
        <v>59</v>
      </c>
      <c r="E986" s="48" t="s">
        <v>101</v>
      </c>
    </row>
    <row r="987" spans="1:5" ht="15.75" customHeight="1" x14ac:dyDescent="0.3">
      <c r="A987" s="45" t="str">
        <f t="shared" si="3"/>
        <v>Porto AlegreJoinvilleNavio</v>
      </c>
      <c r="B987" s="46" t="s">
        <v>32</v>
      </c>
      <c r="C987" s="46" t="s">
        <v>44</v>
      </c>
      <c r="D987" s="47" t="s">
        <v>28</v>
      </c>
      <c r="E987" s="48">
        <v>1</v>
      </c>
    </row>
    <row r="988" spans="1:5" ht="15.75" customHeight="1" x14ac:dyDescent="0.3">
      <c r="A988" s="45" t="str">
        <f t="shared" si="3"/>
        <v>Porto AlegreMaceióNavio</v>
      </c>
      <c r="B988" s="46" t="s">
        <v>32</v>
      </c>
      <c r="C988" s="46" t="s">
        <v>44</v>
      </c>
      <c r="D988" s="47" t="s">
        <v>60</v>
      </c>
      <c r="E988" s="48">
        <v>5</v>
      </c>
    </row>
    <row r="989" spans="1:5" ht="15.75" customHeight="1" x14ac:dyDescent="0.3">
      <c r="A989" s="45" t="str">
        <f t="shared" si="3"/>
        <v>Porto AlegreManausNavio</v>
      </c>
      <c r="B989" s="46" t="s">
        <v>32</v>
      </c>
      <c r="C989" s="46" t="s">
        <v>44</v>
      </c>
      <c r="D989" s="47" t="s">
        <v>23</v>
      </c>
      <c r="E989" s="48">
        <v>10</v>
      </c>
    </row>
    <row r="990" spans="1:5" ht="15.75" customHeight="1" x14ac:dyDescent="0.3">
      <c r="A990" s="45" t="str">
        <f t="shared" si="3"/>
        <v>Porto AlegreNatalNavio</v>
      </c>
      <c r="B990" s="46" t="s">
        <v>32</v>
      </c>
      <c r="C990" s="46" t="s">
        <v>44</v>
      </c>
      <c r="D990" s="47" t="s">
        <v>61</v>
      </c>
      <c r="E990" s="48">
        <v>5</v>
      </c>
    </row>
    <row r="991" spans="1:5" ht="15.75" customHeight="1" x14ac:dyDescent="0.3">
      <c r="A991" s="45" t="str">
        <f t="shared" si="3"/>
        <v>Porto AlegrePorto AlegreNavio</v>
      </c>
      <c r="B991" s="46" t="s">
        <v>32</v>
      </c>
      <c r="C991" s="46" t="s">
        <v>44</v>
      </c>
      <c r="D991" s="47" t="s">
        <v>44</v>
      </c>
      <c r="E991" s="48">
        <v>0</v>
      </c>
    </row>
    <row r="992" spans="1:5" ht="15.75" customHeight="1" x14ac:dyDescent="0.3">
      <c r="A992" s="45" t="str">
        <f t="shared" si="3"/>
        <v>Porto AlegreRecifeNavio</v>
      </c>
      <c r="B992" s="46" t="s">
        <v>32</v>
      </c>
      <c r="C992" s="46" t="s">
        <v>44</v>
      </c>
      <c r="D992" s="47" t="s">
        <v>62</v>
      </c>
      <c r="E992" s="48">
        <v>5</v>
      </c>
    </row>
    <row r="993" spans="1:5" ht="15.75" customHeight="1" x14ac:dyDescent="0.3">
      <c r="A993" s="45" t="str">
        <f t="shared" si="3"/>
        <v>Porto AlegreRibeirão PretoNavio</v>
      </c>
      <c r="B993" s="46" t="s">
        <v>32</v>
      </c>
      <c r="C993" s="46" t="s">
        <v>44</v>
      </c>
      <c r="D993" s="47" t="s">
        <v>63</v>
      </c>
      <c r="E993" s="48" t="s">
        <v>101</v>
      </c>
    </row>
    <row r="994" spans="1:5" ht="15.75" customHeight="1" x14ac:dyDescent="0.3">
      <c r="A994" s="45" t="str">
        <f t="shared" si="3"/>
        <v>Porto AlegreRio de JaneiroNavio</v>
      </c>
      <c r="B994" s="46" t="s">
        <v>32</v>
      </c>
      <c r="C994" s="46" t="s">
        <v>44</v>
      </c>
      <c r="D994" s="47" t="s">
        <v>64</v>
      </c>
      <c r="E994" s="48">
        <v>2</v>
      </c>
    </row>
    <row r="995" spans="1:5" ht="15.75" customHeight="1" x14ac:dyDescent="0.3">
      <c r="A995" s="45" t="str">
        <f t="shared" si="3"/>
        <v>Porto AlegreSalvadorNavio</v>
      </c>
      <c r="B995" s="46" t="s">
        <v>32</v>
      </c>
      <c r="C995" s="46" t="s">
        <v>44</v>
      </c>
      <c r="D995" s="47" t="s">
        <v>65</v>
      </c>
      <c r="E995" s="48">
        <v>4</v>
      </c>
    </row>
    <row r="996" spans="1:5" ht="15.75" customHeight="1" x14ac:dyDescent="0.3">
      <c r="A996" s="45" t="str">
        <f t="shared" si="3"/>
        <v>Porto AlegreSantosNavio</v>
      </c>
      <c r="B996" s="46" t="s">
        <v>32</v>
      </c>
      <c r="C996" s="46" t="s">
        <v>44</v>
      </c>
      <c r="D996" s="47" t="s">
        <v>47</v>
      </c>
      <c r="E996" s="48">
        <v>2</v>
      </c>
    </row>
    <row r="997" spans="1:5" ht="15.75" customHeight="1" x14ac:dyDescent="0.3">
      <c r="A997" s="45" t="str">
        <f t="shared" si="3"/>
        <v>Porto AlegreSão LuísNavio</v>
      </c>
      <c r="B997" s="46" t="s">
        <v>32</v>
      </c>
      <c r="C997" s="46" t="s">
        <v>44</v>
      </c>
      <c r="D997" s="47" t="s">
        <v>50</v>
      </c>
      <c r="E997" s="48">
        <v>7</v>
      </c>
    </row>
    <row r="998" spans="1:5" ht="15.75" customHeight="1" x14ac:dyDescent="0.3">
      <c r="A998" s="45" t="str">
        <f t="shared" si="3"/>
        <v>Porto AlegreSão PauloNavio</v>
      </c>
      <c r="B998" s="46" t="s">
        <v>32</v>
      </c>
      <c r="C998" s="46" t="s">
        <v>44</v>
      </c>
      <c r="D998" s="47" t="s">
        <v>66</v>
      </c>
      <c r="E998" s="48" t="s">
        <v>101</v>
      </c>
    </row>
    <row r="999" spans="1:5" ht="15.75" customHeight="1" x14ac:dyDescent="0.3">
      <c r="A999" s="45" t="str">
        <f t="shared" si="3"/>
        <v>Porto AlegreUberlândiaNavio</v>
      </c>
      <c r="B999" s="46" t="s">
        <v>32</v>
      </c>
      <c r="C999" s="46" t="s">
        <v>44</v>
      </c>
      <c r="D999" s="47" t="s">
        <v>67</v>
      </c>
      <c r="E999" s="48" t="s">
        <v>101</v>
      </c>
    </row>
    <row r="1000" spans="1:5" ht="15.75" customHeight="1" x14ac:dyDescent="0.3">
      <c r="A1000" s="45" t="str">
        <f t="shared" si="3"/>
        <v>Porto AlegreVitóriaNavio</v>
      </c>
      <c r="B1000" s="46" t="s">
        <v>32</v>
      </c>
      <c r="C1000" s="46" t="s">
        <v>44</v>
      </c>
      <c r="D1000" s="47" t="s">
        <v>68</v>
      </c>
      <c r="E1000" s="48">
        <v>3</v>
      </c>
    </row>
    <row r="1001" spans="1:5" ht="15.75" customHeight="1" x14ac:dyDescent="0.3">
      <c r="A1001" s="45" t="str">
        <f t="shared" si="3"/>
        <v>Porto AlegreVitória da ConquistaNavio</v>
      </c>
      <c r="B1001" s="46" t="s">
        <v>32</v>
      </c>
      <c r="C1001" s="46" t="s">
        <v>44</v>
      </c>
      <c r="D1001" s="47" t="s">
        <v>49</v>
      </c>
      <c r="E1001" s="48" t="s">
        <v>101</v>
      </c>
    </row>
    <row r="1002" spans="1:5" ht="15.75" customHeight="1" x14ac:dyDescent="0.3">
      <c r="A1002" s="45" t="str">
        <f t="shared" si="3"/>
        <v>RecifeBelémNavio</v>
      </c>
      <c r="B1002" s="46" t="s">
        <v>32</v>
      </c>
      <c r="C1002" s="46" t="s">
        <v>62</v>
      </c>
      <c r="D1002" s="47" t="s">
        <v>48</v>
      </c>
      <c r="E1002" s="48">
        <v>3</v>
      </c>
    </row>
    <row r="1003" spans="1:5" ht="15.75" customHeight="1" x14ac:dyDescent="0.3">
      <c r="A1003" s="45" t="str">
        <f t="shared" si="3"/>
        <v>RecifeBelo HorizonteNavio</v>
      </c>
      <c r="B1003" s="46" t="s">
        <v>32</v>
      </c>
      <c r="C1003" s="46" t="s">
        <v>62</v>
      </c>
      <c r="D1003" s="47" t="s">
        <v>52</v>
      </c>
      <c r="E1003" s="48" t="s">
        <v>101</v>
      </c>
    </row>
    <row r="1004" spans="1:5" ht="15.75" customHeight="1" x14ac:dyDescent="0.3">
      <c r="A1004" s="45" t="str">
        <f t="shared" si="3"/>
        <v>RecifeBrasíliaNavio</v>
      </c>
      <c r="B1004" s="46" t="s">
        <v>32</v>
      </c>
      <c r="C1004" s="46" t="s">
        <v>62</v>
      </c>
      <c r="D1004" s="47" t="s">
        <v>53</v>
      </c>
      <c r="E1004" s="48" t="s">
        <v>101</v>
      </c>
    </row>
    <row r="1005" spans="1:5" ht="15.75" customHeight="1" x14ac:dyDescent="0.3">
      <c r="A1005" s="45" t="str">
        <f t="shared" si="3"/>
        <v>RecifeCampinasNavio</v>
      </c>
      <c r="B1005" s="46" t="s">
        <v>32</v>
      </c>
      <c r="C1005" s="46" t="s">
        <v>62</v>
      </c>
      <c r="D1005" s="47" t="s">
        <v>54</v>
      </c>
      <c r="E1005" s="48" t="s">
        <v>101</v>
      </c>
    </row>
    <row r="1006" spans="1:5" ht="15.75" customHeight="1" x14ac:dyDescent="0.3">
      <c r="A1006" s="45" t="str">
        <f t="shared" si="3"/>
        <v>RecifeCampo GrandeNavio</v>
      </c>
      <c r="B1006" s="46" t="s">
        <v>32</v>
      </c>
      <c r="C1006" s="46" t="s">
        <v>62</v>
      </c>
      <c r="D1006" s="47" t="s">
        <v>55</v>
      </c>
      <c r="E1006" s="48" t="s">
        <v>101</v>
      </c>
    </row>
    <row r="1007" spans="1:5" ht="15.75" customHeight="1" x14ac:dyDescent="0.3">
      <c r="A1007" s="45" t="str">
        <f t="shared" si="3"/>
        <v>RecifeCuiabáNavio</v>
      </c>
      <c r="B1007" s="46" t="s">
        <v>32</v>
      </c>
      <c r="C1007" s="46" t="s">
        <v>62</v>
      </c>
      <c r="D1007" s="47" t="s">
        <v>37</v>
      </c>
      <c r="E1007" s="48" t="s">
        <v>101</v>
      </c>
    </row>
    <row r="1008" spans="1:5" ht="15.75" customHeight="1" x14ac:dyDescent="0.3">
      <c r="A1008" s="45" t="str">
        <f t="shared" si="3"/>
        <v>RecifeCuritibaNavio</v>
      </c>
      <c r="B1008" s="46" t="s">
        <v>32</v>
      </c>
      <c r="C1008" s="46" t="s">
        <v>62</v>
      </c>
      <c r="D1008" s="47" t="s">
        <v>56</v>
      </c>
      <c r="E1008" s="48">
        <v>4</v>
      </c>
    </row>
    <row r="1009" spans="1:5" ht="15.75" customHeight="1" x14ac:dyDescent="0.3">
      <c r="A1009" s="45" t="str">
        <f t="shared" si="3"/>
        <v>RecifeFortalezaNavio</v>
      </c>
      <c r="B1009" s="46" t="s">
        <v>32</v>
      </c>
      <c r="C1009" s="46" t="s">
        <v>62</v>
      </c>
      <c r="D1009" s="47" t="s">
        <v>57</v>
      </c>
      <c r="E1009" s="48">
        <v>1</v>
      </c>
    </row>
    <row r="1010" spans="1:5" ht="15.75" customHeight="1" x14ac:dyDescent="0.3">
      <c r="A1010" s="45" t="str">
        <f t="shared" si="3"/>
        <v>RecifeGoiâniaNavio</v>
      </c>
      <c r="B1010" s="46" t="s">
        <v>32</v>
      </c>
      <c r="C1010" s="46" t="s">
        <v>62</v>
      </c>
      <c r="D1010" s="47" t="s">
        <v>58</v>
      </c>
      <c r="E1010" s="48" t="s">
        <v>101</v>
      </c>
    </row>
    <row r="1011" spans="1:5" ht="15.75" customHeight="1" x14ac:dyDescent="0.3">
      <c r="A1011" s="45" t="str">
        <f t="shared" si="3"/>
        <v>RecifeJoão PessoaNavio</v>
      </c>
      <c r="B1011" s="46" t="s">
        <v>32</v>
      </c>
      <c r="C1011" s="46" t="s">
        <v>62</v>
      </c>
      <c r="D1011" s="47" t="s">
        <v>59</v>
      </c>
      <c r="E1011" s="48" t="s">
        <v>101</v>
      </c>
    </row>
    <row r="1012" spans="1:5" ht="15.75" customHeight="1" x14ac:dyDescent="0.3">
      <c r="A1012" s="45" t="str">
        <f t="shared" si="3"/>
        <v>RecifeJoinvilleNavio</v>
      </c>
      <c r="B1012" s="46" t="s">
        <v>32</v>
      </c>
      <c r="C1012" s="46" t="s">
        <v>62</v>
      </c>
      <c r="D1012" s="47" t="s">
        <v>28</v>
      </c>
      <c r="E1012" s="48">
        <v>4</v>
      </c>
    </row>
    <row r="1013" spans="1:5" ht="15.75" customHeight="1" x14ac:dyDescent="0.3">
      <c r="A1013" s="45" t="str">
        <f t="shared" si="3"/>
        <v>RecifeMaceióNavio</v>
      </c>
      <c r="B1013" s="46" t="s">
        <v>32</v>
      </c>
      <c r="C1013" s="46" t="s">
        <v>62</v>
      </c>
      <c r="D1013" s="47" t="s">
        <v>60</v>
      </c>
      <c r="E1013" s="48">
        <v>0</v>
      </c>
    </row>
    <row r="1014" spans="1:5" ht="15.75" customHeight="1" x14ac:dyDescent="0.3">
      <c r="A1014" s="45" t="str">
        <f t="shared" si="3"/>
        <v>RecifeManausNavio</v>
      </c>
      <c r="B1014" s="46" t="s">
        <v>32</v>
      </c>
      <c r="C1014" s="46" t="s">
        <v>62</v>
      </c>
      <c r="D1014" s="47" t="s">
        <v>23</v>
      </c>
      <c r="E1014" s="48">
        <v>5</v>
      </c>
    </row>
    <row r="1015" spans="1:5" ht="15.75" customHeight="1" x14ac:dyDescent="0.3">
      <c r="A1015" s="45" t="str">
        <f t="shared" si="3"/>
        <v>RecifeNatalNavio</v>
      </c>
      <c r="B1015" s="46" t="s">
        <v>32</v>
      </c>
      <c r="C1015" s="46" t="s">
        <v>62</v>
      </c>
      <c r="D1015" s="47" t="s">
        <v>61</v>
      </c>
      <c r="E1015" s="48">
        <v>0</v>
      </c>
    </row>
    <row r="1016" spans="1:5" ht="15.75" customHeight="1" x14ac:dyDescent="0.3">
      <c r="A1016" s="45" t="str">
        <f t="shared" si="3"/>
        <v>RecifePorto AlegreNavio</v>
      </c>
      <c r="B1016" s="46" t="s">
        <v>32</v>
      </c>
      <c r="C1016" s="46" t="s">
        <v>62</v>
      </c>
      <c r="D1016" s="47" t="s">
        <v>44</v>
      </c>
      <c r="E1016" s="48">
        <v>5</v>
      </c>
    </row>
    <row r="1017" spans="1:5" ht="15.75" customHeight="1" x14ac:dyDescent="0.3">
      <c r="A1017" s="45" t="str">
        <f t="shared" si="3"/>
        <v>RecifeRecifeNavio</v>
      </c>
      <c r="B1017" s="46" t="s">
        <v>32</v>
      </c>
      <c r="C1017" s="46" t="s">
        <v>62</v>
      </c>
      <c r="D1017" s="47" t="s">
        <v>62</v>
      </c>
      <c r="E1017" s="48">
        <v>0</v>
      </c>
    </row>
    <row r="1018" spans="1:5" ht="15.75" customHeight="1" x14ac:dyDescent="0.3">
      <c r="A1018" s="45" t="str">
        <f t="shared" si="3"/>
        <v>RecifeRibeirão PretoNavio</v>
      </c>
      <c r="B1018" s="46" t="s">
        <v>32</v>
      </c>
      <c r="C1018" s="46" t="s">
        <v>62</v>
      </c>
      <c r="D1018" s="47" t="s">
        <v>63</v>
      </c>
      <c r="E1018" s="48" t="s">
        <v>101</v>
      </c>
    </row>
    <row r="1019" spans="1:5" ht="15.75" customHeight="1" x14ac:dyDescent="0.3">
      <c r="A1019" s="45" t="str">
        <f t="shared" si="3"/>
        <v>RecifeRio de JaneiroNavio</v>
      </c>
      <c r="B1019" s="46" t="s">
        <v>32</v>
      </c>
      <c r="C1019" s="46" t="s">
        <v>62</v>
      </c>
      <c r="D1019" s="47" t="s">
        <v>64</v>
      </c>
      <c r="E1019" s="48">
        <v>3</v>
      </c>
    </row>
    <row r="1020" spans="1:5" ht="15.75" customHeight="1" x14ac:dyDescent="0.3">
      <c r="A1020" s="45" t="str">
        <f t="shared" si="3"/>
        <v>RecifeSalvadorNavio</v>
      </c>
      <c r="B1020" s="46" t="s">
        <v>32</v>
      </c>
      <c r="C1020" s="46" t="s">
        <v>62</v>
      </c>
      <c r="D1020" s="47" t="s">
        <v>65</v>
      </c>
      <c r="E1020" s="48">
        <v>1</v>
      </c>
    </row>
    <row r="1021" spans="1:5" ht="15.75" customHeight="1" x14ac:dyDescent="0.3">
      <c r="A1021" s="45" t="str">
        <f t="shared" si="3"/>
        <v>RecifeSantosNavio</v>
      </c>
      <c r="B1021" s="46" t="s">
        <v>32</v>
      </c>
      <c r="C1021" s="46" t="s">
        <v>62</v>
      </c>
      <c r="D1021" s="47" t="s">
        <v>47</v>
      </c>
      <c r="E1021" s="48">
        <v>3</v>
      </c>
    </row>
    <row r="1022" spans="1:5" ht="15.75" customHeight="1" x14ac:dyDescent="0.3">
      <c r="A1022" s="45" t="str">
        <f t="shared" ref="A1022:A1276" si="4">C1022&amp;D1022&amp;B1022</f>
        <v>RecifeSão LuísNavio</v>
      </c>
      <c r="B1022" s="46" t="s">
        <v>32</v>
      </c>
      <c r="C1022" s="46" t="s">
        <v>62</v>
      </c>
      <c r="D1022" s="47" t="s">
        <v>50</v>
      </c>
      <c r="E1022" s="48">
        <v>2</v>
      </c>
    </row>
    <row r="1023" spans="1:5" ht="15.75" customHeight="1" x14ac:dyDescent="0.3">
      <c r="A1023" s="45" t="str">
        <f t="shared" si="4"/>
        <v>RecifeSão PauloNavio</v>
      </c>
      <c r="B1023" s="46" t="s">
        <v>32</v>
      </c>
      <c r="C1023" s="46" t="s">
        <v>62</v>
      </c>
      <c r="D1023" s="47" t="s">
        <v>66</v>
      </c>
      <c r="E1023" s="48" t="s">
        <v>101</v>
      </c>
    </row>
    <row r="1024" spans="1:5" ht="15.75" customHeight="1" x14ac:dyDescent="0.3">
      <c r="A1024" s="45" t="str">
        <f t="shared" si="4"/>
        <v>RecifeUberlândiaNavio</v>
      </c>
      <c r="B1024" s="46" t="s">
        <v>32</v>
      </c>
      <c r="C1024" s="46" t="s">
        <v>62</v>
      </c>
      <c r="D1024" s="47" t="s">
        <v>67</v>
      </c>
      <c r="E1024" s="48" t="s">
        <v>101</v>
      </c>
    </row>
    <row r="1025" spans="1:5" ht="15.75" customHeight="1" x14ac:dyDescent="0.3">
      <c r="A1025" s="45" t="str">
        <f t="shared" si="4"/>
        <v>RecifeVitóriaNavio</v>
      </c>
      <c r="B1025" s="46" t="s">
        <v>32</v>
      </c>
      <c r="C1025" s="46" t="s">
        <v>62</v>
      </c>
      <c r="D1025" s="47" t="s">
        <v>68</v>
      </c>
      <c r="E1025" s="48">
        <v>2</v>
      </c>
    </row>
    <row r="1026" spans="1:5" ht="15.75" customHeight="1" x14ac:dyDescent="0.3">
      <c r="A1026" s="45" t="str">
        <f t="shared" si="4"/>
        <v>RecifeVitória da ConquistaNavio</v>
      </c>
      <c r="B1026" s="46" t="s">
        <v>32</v>
      </c>
      <c r="C1026" s="46" t="s">
        <v>62</v>
      </c>
      <c r="D1026" s="47" t="s">
        <v>49</v>
      </c>
      <c r="E1026" s="48" t="s">
        <v>101</v>
      </c>
    </row>
    <row r="1027" spans="1:5" ht="15.75" customHeight="1" x14ac:dyDescent="0.3">
      <c r="A1027" s="45" t="str">
        <f t="shared" si="4"/>
        <v>Ribeirão PretoBelémNavio</v>
      </c>
      <c r="B1027" s="46" t="s">
        <v>32</v>
      </c>
      <c r="C1027" s="47" t="s">
        <v>63</v>
      </c>
      <c r="D1027" s="47" t="s">
        <v>48</v>
      </c>
      <c r="E1027" s="48" t="s">
        <v>101</v>
      </c>
    </row>
    <row r="1028" spans="1:5" ht="15.75" customHeight="1" x14ac:dyDescent="0.3">
      <c r="A1028" s="45" t="str">
        <f t="shared" si="4"/>
        <v>Ribeirão PretoBelo HorizonteNavio</v>
      </c>
      <c r="B1028" s="46" t="s">
        <v>32</v>
      </c>
      <c r="C1028" s="47" t="s">
        <v>63</v>
      </c>
      <c r="D1028" s="47" t="s">
        <v>52</v>
      </c>
      <c r="E1028" s="48" t="s">
        <v>101</v>
      </c>
    </row>
    <row r="1029" spans="1:5" ht="15.75" customHeight="1" x14ac:dyDescent="0.3">
      <c r="A1029" s="45" t="str">
        <f t="shared" si="4"/>
        <v>Ribeirão PretoBrasíliaNavio</v>
      </c>
      <c r="B1029" s="46" t="s">
        <v>32</v>
      </c>
      <c r="C1029" s="47" t="s">
        <v>63</v>
      </c>
      <c r="D1029" s="47" t="s">
        <v>53</v>
      </c>
      <c r="E1029" s="48" t="s">
        <v>101</v>
      </c>
    </row>
    <row r="1030" spans="1:5" ht="15.75" customHeight="1" x14ac:dyDescent="0.3">
      <c r="A1030" s="45" t="str">
        <f t="shared" si="4"/>
        <v>Ribeirão PretoCampinasNavio</v>
      </c>
      <c r="B1030" s="46" t="s">
        <v>32</v>
      </c>
      <c r="C1030" s="47" t="s">
        <v>63</v>
      </c>
      <c r="D1030" s="47" t="s">
        <v>54</v>
      </c>
      <c r="E1030" s="48" t="s">
        <v>101</v>
      </c>
    </row>
    <row r="1031" spans="1:5" ht="15.75" customHeight="1" x14ac:dyDescent="0.3">
      <c r="A1031" s="45" t="str">
        <f t="shared" si="4"/>
        <v>Ribeirão PretoCampo GrandeNavio</v>
      </c>
      <c r="B1031" s="46" t="s">
        <v>32</v>
      </c>
      <c r="C1031" s="47" t="s">
        <v>63</v>
      </c>
      <c r="D1031" s="47" t="s">
        <v>55</v>
      </c>
      <c r="E1031" s="48" t="s">
        <v>101</v>
      </c>
    </row>
    <row r="1032" spans="1:5" ht="15.75" customHeight="1" x14ac:dyDescent="0.3">
      <c r="A1032" s="45" t="str">
        <f t="shared" si="4"/>
        <v>Ribeirão PretoCuiabáNavio</v>
      </c>
      <c r="B1032" s="46" t="s">
        <v>32</v>
      </c>
      <c r="C1032" s="47" t="s">
        <v>63</v>
      </c>
      <c r="D1032" s="47" t="s">
        <v>37</v>
      </c>
      <c r="E1032" s="48" t="s">
        <v>101</v>
      </c>
    </row>
    <row r="1033" spans="1:5" ht="15.75" customHeight="1" x14ac:dyDescent="0.3">
      <c r="A1033" s="45" t="str">
        <f t="shared" si="4"/>
        <v>Ribeirão PretoCuritibaNavio</v>
      </c>
      <c r="B1033" s="46" t="s">
        <v>32</v>
      </c>
      <c r="C1033" s="47" t="s">
        <v>63</v>
      </c>
      <c r="D1033" s="47" t="s">
        <v>56</v>
      </c>
      <c r="E1033" s="48" t="s">
        <v>101</v>
      </c>
    </row>
    <row r="1034" spans="1:5" ht="15.75" customHeight="1" x14ac:dyDescent="0.3">
      <c r="A1034" s="45" t="str">
        <f t="shared" si="4"/>
        <v>Ribeirão PretoFortalezaNavio</v>
      </c>
      <c r="B1034" s="46" t="s">
        <v>32</v>
      </c>
      <c r="C1034" s="47" t="s">
        <v>63</v>
      </c>
      <c r="D1034" s="47" t="s">
        <v>57</v>
      </c>
      <c r="E1034" s="48" t="s">
        <v>101</v>
      </c>
    </row>
    <row r="1035" spans="1:5" ht="15.75" customHeight="1" x14ac:dyDescent="0.3">
      <c r="A1035" s="45" t="str">
        <f t="shared" si="4"/>
        <v>Ribeirão PretoGoiâniaNavio</v>
      </c>
      <c r="B1035" s="46" t="s">
        <v>32</v>
      </c>
      <c r="C1035" s="47" t="s">
        <v>63</v>
      </c>
      <c r="D1035" s="47" t="s">
        <v>58</v>
      </c>
      <c r="E1035" s="48" t="s">
        <v>101</v>
      </c>
    </row>
    <row r="1036" spans="1:5" ht="15.75" customHeight="1" x14ac:dyDescent="0.3">
      <c r="A1036" s="45" t="str">
        <f t="shared" si="4"/>
        <v>Ribeirão PretoJoão PessoaNavio</v>
      </c>
      <c r="B1036" s="46" t="s">
        <v>32</v>
      </c>
      <c r="C1036" s="47" t="s">
        <v>63</v>
      </c>
      <c r="D1036" s="47" t="s">
        <v>59</v>
      </c>
      <c r="E1036" s="48" t="s">
        <v>101</v>
      </c>
    </row>
    <row r="1037" spans="1:5" ht="15.75" customHeight="1" x14ac:dyDescent="0.3">
      <c r="A1037" s="45" t="str">
        <f t="shared" si="4"/>
        <v>Ribeirão PretoJoinvilleNavio</v>
      </c>
      <c r="B1037" s="46" t="s">
        <v>32</v>
      </c>
      <c r="C1037" s="47" t="s">
        <v>63</v>
      </c>
      <c r="D1037" s="47" t="s">
        <v>28</v>
      </c>
      <c r="E1037" s="48" t="s">
        <v>101</v>
      </c>
    </row>
    <row r="1038" spans="1:5" ht="15.75" customHeight="1" x14ac:dyDescent="0.3">
      <c r="A1038" s="45" t="str">
        <f t="shared" si="4"/>
        <v>Ribeirão PretoMaceióNavio</v>
      </c>
      <c r="B1038" s="46" t="s">
        <v>32</v>
      </c>
      <c r="C1038" s="47" t="s">
        <v>63</v>
      </c>
      <c r="D1038" s="47" t="s">
        <v>60</v>
      </c>
      <c r="E1038" s="48" t="s">
        <v>101</v>
      </c>
    </row>
    <row r="1039" spans="1:5" ht="15.75" customHeight="1" x14ac:dyDescent="0.3">
      <c r="A1039" s="45" t="str">
        <f t="shared" si="4"/>
        <v>Ribeirão PretoManausNavio</v>
      </c>
      <c r="B1039" s="46" t="s">
        <v>32</v>
      </c>
      <c r="C1039" s="47" t="s">
        <v>63</v>
      </c>
      <c r="D1039" s="47" t="s">
        <v>23</v>
      </c>
      <c r="E1039" s="48" t="s">
        <v>101</v>
      </c>
    </row>
    <row r="1040" spans="1:5" ht="15.75" customHeight="1" x14ac:dyDescent="0.3">
      <c r="A1040" s="45" t="str">
        <f t="shared" si="4"/>
        <v>Ribeirão PretoNatalNavio</v>
      </c>
      <c r="B1040" s="46" t="s">
        <v>32</v>
      </c>
      <c r="C1040" s="47" t="s">
        <v>63</v>
      </c>
      <c r="D1040" s="47" t="s">
        <v>61</v>
      </c>
      <c r="E1040" s="48" t="s">
        <v>101</v>
      </c>
    </row>
    <row r="1041" spans="1:5" ht="15.75" customHeight="1" x14ac:dyDescent="0.3">
      <c r="A1041" s="45" t="str">
        <f t="shared" si="4"/>
        <v>Ribeirão PretoPorto AlegreNavio</v>
      </c>
      <c r="B1041" s="46" t="s">
        <v>32</v>
      </c>
      <c r="C1041" s="47" t="s">
        <v>63</v>
      </c>
      <c r="D1041" s="47" t="s">
        <v>44</v>
      </c>
      <c r="E1041" s="48" t="s">
        <v>101</v>
      </c>
    </row>
    <row r="1042" spans="1:5" ht="15.75" customHeight="1" x14ac:dyDescent="0.3">
      <c r="A1042" s="45" t="str">
        <f t="shared" si="4"/>
        <v>Ribeirão PretoRecifeNavio</v>
      </c>
      <c r="B1042" s="46" t="s">
        <v>32</v>
      </c>
      <c r="C1042" s="47" t="s">
        <v>63</v>
      </c>
      <c r="D1042" s="47" t="s">
        <v>62</v>
      </c>
      <c r="E1042" s="48" t="s">
        <v>101</v>
      </c>
    </row>
    <row r="1043" spans="1:5" ht="15.75" customHeight="1" x14ac:dyDescent="0.3">
      <c r="A1043" s="45" t="str">
        <f t="shared" si="4"/>
        <v>Ribeirão PretoRibeirão PretoNavio</v>
      </c>
      <c r="B1043" s="46" t="s">
        <v>32</v>
      </c>
      <c r="C1043" s="47" t="s">
        <v>63</v>
      </c>
      <c r="D1043" s="47" t="s">
        <v>63</v>
      </c>
      <c r="E1043" s="48" t="s">
        <v>101</v>
      </c>
    </row>
    <row r="1044" spans="1:5" ht="15.75" customHeight="1" x14ac:dyDescent="0.3">
      <c r="A1044" s="45" t="str">
        <f t="shared" si="4"/>
        <v>Ribeirão PretoRio de JaneiroNavio</v>
      </c>
      <c r="B1044" s="46" t="s">
        <v>32</v>
      </c>
      <c r="C1044" s="47" t="s">
        <v>63</v>
      </c>
      <c r="D1044" s="47" t="s">
        <v>64</v>
      </c>
      <c r="E1044" s="48" t="s">
        <v>101</v>
      </c>
    </row>
    <row r="1045" spans="1:5" ht="15.75" customHeight="1" x14ac:dyDescent="0.3">
      <c r="A1045" s="45" t="str">
        <f t="shared" si="4"/>
        <v>Ribeirão PretoSalvadorNavio</v>
      </c>
      <c r="B1045" s="46" t="s">
        <v>32</v>
      </c>
      <c r="C1045" s="47" t="s">
        <v>63</v>
      </c>
      <c r="D1045" s="47" t="s">
        <v>65</v>
      </c>
      <c r="E1045" s="48" t="s">
        <v>101</v>
      </c>
    </row>
    <row r="1046" spans="1:5" ht="15.75" customHeight="1" x14ac:dyDescent="0.3">
      <c r="A1046" s="45" t="str">
        <f t="shared" si="4"/>
        <v>Ribeirão PretoSantosNavio</v>
      </c>
      <c r="B1046" s="46" t="s">
        <v>32</v>
      </c>
      <c r="C1046" s="47" t="s">
        <v>63</v>
      </c>
      <c r="D1046" s="47" t="s">
        <v>47</v>
      </c>
      <c r="E1046" s="48" t="s">
        <v>101</v>
      </c>
    </row>
    <row r="1047" spans="1:5" ht="15.75" customHeight="1" x14ac:dyDescent="0.3">
      <c r="A1047" s="45" t="str">
        <f t="shared" si="4"/>
        <v>Ribeirão PretoSão LuísNavio</v>
      </c>
      <c r="B1047" s="46" t="s">
        <v>32</v>
      </c>
      <c r="C1047" s="47" t="s">
        <v>63</v>
      </c>
      <c r="D1047" s="47" t="s">
        <v>50</v>
      </c>
      <c r="E1047" s="48" t="s">
        <v>101</v>
      </c>
    </row>
    <row r="1048" spans="1:5" ht="15.75" customHeight="1" x14ac:dyDescent="0.3">
      <c r="A1048" s="45" t="str">
        <f t="shared" si="4"/>
        <v>Ribeirão PretoSão PauloNavio</v>
      </c>
      <c r="B1048" s="46" t="s">
        <v>32</v>
      </c>
      <c r="C1048" s="47" t="s">
        <v>63</v>
      </c>
      <c r="D1048" s="47" t="s">
        <v>66</v>
      </c>
      <c r="E1048" s="48" t="s">
        <v>101</v>
      </c>
    </row>
    <row r="1049" spans="1:5" ht="15.75" customHeight="1" x14ac:dyDescent="0.3">
      <c r="A1049" s="45" t="str">
        <f t="shared" si="4"/>
        <v>Ribeirão PretoUberlândiaNavio</v>
      </c>
      <c r="B1049" s="46" t="s">
        <v>32</v>
      </c>
      <c r="C1049" s="47" t="s">
        <v>63</v>
      </c>
      <c r="D1049" s="47" t="s">
        <v>67</v>
      </c>
      <c r="E1049" s="48" t="s">
        <v>101</v>
      </c>
    </row>
    <row r="1050" spans="1:5" ht="15.75" customHeight="1" x14ac:dyDescent="0.3">
      <c r="A1050" s="45" t="str">
        <f t="shared" si="4"/>
        <v>Ribeirão PretoVitóriaNavio</v>
      </c>
      <c r="B1050" s="46" t="s">
        <v>32</v>
      </c>
      <c r="C1050" s="47" t="s">
        <v>63</v>
      </c>
      <c r="D1050" s="47" t="s">
        <v>68</v>
      </c>
      <c r="E1050" s="48" t="s">
        <v>101</v>
      </c>
    </row>
    <row r="1051" spans="1:5" ht="15.75" customHeight="1" x14ac:dyDescent="0.3">
      <c r="A1051" s="45" t="str">
        <f t="shared" si="4"/>
        <v>Ribeirão PretoVitória da ConquistaNavio</v>
      </c>
      <c r="B1051" s="46" t="s">
        <v>32</v>
      </c>
      <c r="C1051" s="47" t="s">
        <v>63</v>
      </c>
      <c r="D1051" s="47" t="s">
        <v>49</v>
      </c>
      <c r="E1051" s="48" t="s">
        <v>101</v>
      </c>
    </row>
    <row r="1052" spans="1:5" ht="15.75" customHeight="1" x14ac:dyDescent="0.3">
      <c r="A1052" s="45" t="str">
        <f t="shared" si="4"/>
        <v>Rio de JaneiroBelémNavio</v>
      </c>
      <c r="B1052" s="46" t="s">
        <v>32</v>
      </c>
      <c r="C1052" s="46" t="s">
        <v>64</v>
      </c>
      <c r="D1052" s="47" t="s">
        <v>48</v>
      </c>
      <c r="E1052" s="48">
        <v>6</v>
      </c>
    </row>
    <row r="1053" spans="1:5" ht="15.75" customHeight="1" x14ac:dyDescent="0.3">
      <c r="A1053" s="45" t="str">
        <f t="shared" si="4"/>
        <v>Rio de JaneiroBelo HorizonteNavio</v>
      </c>
      <c r="B1053" s="46" t="s">
        <v>32</v>
      </c>
      <c r="C1053" s="46" t="s">
        <v>64</v>
      </c>
      <c r="D1053" s="47" t="s">
        <v>52</v>
      </c>
      <c r="E1053" s="48" t="s">
        <v>101</v>
      </c>
    </row>
    <row r="1054" spans="1:5" ht="15.75" customHeight="1" x14ac:dyDescent="0.3">
      <c r="A1054" s="45" t="str">
        <f t="shared" si="4"/>
        <v>Rio de JaneiroBrasíliaNavio</v>
      </c>
      <c r="B1054" s="46" t="s">
        <v>32</v>
      </c>
      <c r="C1054" s="46" t="s">
        <v>64</v>
      </c>
      <c r="D1054" s="47" t="s">
        <v>53</v>
      </c>
      <c r="E1054" s="48" t="s">
        <v>101</v>
      </c>
    </row>
    <row r="1055" spans="1:5" ht="15.75" customHeight="1" x14ac:dyDescent="0.3">
      <c r="A1055" s="45" t="str">
        <f t="shared" si="4"/>
        <v>Rio de JaneiroCampinasNavio</v>
      </c>
      <c r="B1055" s="46" t="s">
        <v>32</v>
      </c>
      <c r="C1055" s="46" t="s">
        <v>64</v>
      </c>
      <c r="D1055" s="47" t="s">
        <v>54</v>
      </c>
      <c r="E1055" s="48" t="s">
        <v>101</v>
      </c>
    </row>
    <row r="1056" spans="1:5" ht="15.75" customHeight="1" x14ac:dyDescent="0.3">
      <c r="A1056" s="45" t="str">
        <f t="shared" si="4"/>
        <v>Rio de JaneiroCampo GrandeNavio</v>
      </c>
      <c r="B1056" s="46" t="s">
        <v>32</v>
      </c>
      <c r="C1056" s="46" t="s">
        <v>64</v>
      </c>
      <c r="D1056" s="47" t="s">
        <v>55</v>
      </c>
      <c r="E1056" s="48" t="s">
        <v>101</v>
      </c>
    </row>
    <row r="1057" spans="1:5" ht="15.75" customHeight="1" x14ac:dyDescent="0.3">
      <c r="A1057" s="45" t="str">
        <f t="shared" si="4"/>
        <v>Rio de JaneiroCuiabáNavio</v>
      </c>
      <c r="B1057" s="46" t="s">
        <v>32</v>
      </c>
      <c r="C1057" s="46" t="s">
        <v>64</v>
      </c>
      <c r="D1057" s="47" t="s">
        <v>37</v>
      </c>
      <c r="E1057" s="48" t="s">
        <v>101</v>
      </c>
    </row>
    <row r="1058" spans="1:5" ht="15.75" customHeight="1" x14ac:dyDescent="0.3">
      <c r="A1058" s="45" t="str">
        <f t="shared" si="4"/>
        <v>Rio de JaneiroCuritibaNavio</v>
      </c>
      <c r="B1058" s="46" t="s">
        <v>32</v>
      </c>
      <c r="C1058" s="46" t="s">
        <v>64</v>
      </c>
      <c r="D1058" s="47" t="s">
        <v>56</v>
      </c>
      <c r="E1058" s="48">
        <v>1</v>
      </c>
    </row>
    <row r="1059" spans="1:5" ht="15.75" customHeight="1" x14ac:dyDescent="0.3">
      <c r="A1059" s="45" t="str">
        <f t="shared" si="4"/>
        <v>Rio de JaneiroFortalezaNavio</v>
      </c>
      <c r="B1059" s="46" t="s">
        <v>32</v>
      </c>
      <c r="C1059" s="46" t="s">
        <v>64</v>
      </c>
      <c r="D1059" s="47" t="s">
        <v>57</v>
      </c>
      <c r="E1059" s="48">
        <v>4</v>
      </c>
    </row>
    <row r="1060" spans="1:5" ht="15.75" customHeight="1" x14ac:dyDescent="0.3">
      <c r="A1060" s="45" t="str">
        <f t="shared" si="4"/>
        <v>Rio de JaneiroGoiâniaNavio</v>
      </c>
      <c r="B1060" s="46" t="s">
        <v>32</v>
      </c>
      <c r="C1060" s="46" t="s">
        <v>64</v>
      </c>
      <c r="D1060" s="47" t="s">
        <v>58</v>
      </c>
      <c r="E1060" s="48" t="s">
        <v>101</v>
      </c>
    </row>
    <row r="1061" spans="1:5" ht="15.75" customHeight="1" x14ac:dyDescent="0.3">
      <c r="A1061" s="45" t="str">
        <f t="shared" si="4"/>
        <v>Rio de JaneiroJoão PessoaNavio</v>
      </c>
      <c r="B1061" s="46" t="s">
        <v>32</v>
      </c>
      <c r="C1061" s="46" t="s">
        <v>64</v>
      </c>
      <c r="D1061" s="47" t="s">
        <v>59</v>
      </c>
      <c r="E1061" s="48">
        <v>3</v>
      </c>
    </row>
    <row r="1062" spans="1:5" ht="15.75" customHeight="1" x14ac:dyDescent="0.3">
      <c r="A1062" s="45" t="str">
        <f t="shared" si="4"/>
        <v>Rio de JaneiroJoinvilleNavio</v>
      </c>
      <c r="B1062" s="46" t="s">
        <v>32</v>
      </c>
      <c r="C1062" s="46" t="s">
        <v>64</v>
      </c>
      <c r="D1062" s="47" t="s">
        <v>28</v>
      </c>
      <c r="E1062" s="48">
        <v>1</v>
      </c>
    </row>
    <row r="1063" spans="1:5" ht="15.75" customHeight="1" x14ac:dyDescent="0.3">
      <c r="A1063" s="45" t="str">
        <f t="shared" si="4"/>
        <v>Rio de JaneiroMaceióNavio</v>
      </c>
      <c r="B1063" s="46" t="s">
        <v>32</v>
      </c>
      <c r="C1063" s="46" t="s">
        <v>64</v>
      </c>
      <c r="D1063" s="47" t="s">
        <v>60</v>
      </c>
      <c r="E1063" s="48">
        <v>3</v>
      </c>
    </row>
    <row r="1064" spans="1:5" ht="15.75" customHeight="1" x14ac:dyDescent="0.3">
      <c r="A1064" s="45" t="str">
        <f t="shared" si="4"/>
        <v>Rio de JaneiroManausNavio</v>
      </c>
      <c r="B1064" s="46" t="s">
        <v>32</v>
      </c>
      <c r="C1064" s="46" t="s">
        <v>64</v>
      </c>
      <c r="D1064" s="47" t="s">
        <v>23</v>
      </c>
      <c r="E1064" s="48">
        <v>8</v>
      </c>
    </row>
    <row r="1065" spans="1:5" ht="15.75" customHeight="1" x14ac:dyDescent="0.3">
      <c r="A1065" s="45" t="str">
        <f t="shared" si="4"/>
        <v>Rio de JaneiroNatalNavio</v>
      </c>
      <c r="B1065" s="46" t="s">
        <v>32</v>
      </c>
      <c r="C1065" s="46" t="s">
        <v>64</v>
      </c>
      <c r="D1065" s="47" t="s">
        <v>61</v>
      </c>
      <c r="E1065" s="48">
        <v>3</v>
      </c>
    </row>
    <row r="1066" spans="1:5" ht="15.75" customHeight="1" x14ac:dyDescent="0.3">
      <c r="A1066" s="45" t="str">
        <f t="shared" si="4"/>
        <v>Rio de JaneiroPorto AlegreNavio</v>
      </c>
      <c r="B1066" s="46" t="s">
        <v>32</v>
      </c>
      <c r="C1066" s="46" t="s">
        <v>64</v>
      </c>
      <c r="D1066" s="47" t="s">
        <v>44</v>
      </c>
      <c r="E1066" s="48">
        <v>2</v>
      </c>
    </row>
    <row r="1067" spans="1:5" ht="15.75" customHeight="1" x14ac:dyDescent="0.3">
      <c r="A1067" s="45" t="str">
        <f t="shared" si="4"/>
        <v>Rio de JaneiroRecifeNavio</v>
      </c>
      <c r="B1067" s="46" t="s">
        <v>32</v>
      </c>
      <c r="C1067" s="46" t="s">
        <v>64</v>
      </c>
      <c r="D1067" s="47" t="s">
        <v>62</v>
      </c>
      <c r="E1067" s="48">
        <v>3</v>
      </c>
    </row>
    <row r="1068" spans="1:5" ht="15.75" customHeight="1" x14ac:dyDescent="0.3">
      <c r="A1068" s="45" t="str">
        <f t="shared" si="4"/>
        <v>Rio de JaneiroRibeirão PretoNavio</v>
      </c>
      <c r="B1068" s="46" t="s">
        <v>32</v>
      </c>
      <c r="C1068" s="46" t="s">
        <v>64</v>
      </c>
      <c r="D1068" s="47" t="s">
        <v>63</v>
      </c>
      <c r="E1068" s="48" t="s">
        <v>101</v>
      </c>
    </row>
    <row r="1069" spans="1:5" ht="15.75" customHeight="1" x14ac:dyDescent="0.3">
      <c r="A1069" s="45" t="str">
        <f t="shared" si="4"/>
        <v>Rio de JaneiroRio de JaneiroNavio</v>
      </c>
      <c r="B1069" s="46" t="s">
        <v>32</v>
      </c>
      <c r="C1069" s="46" t="s">
        <v>64</v>
      </c>
      <c r="D1069" s="47" t="s">
        <v>64</v>
      </c>
      <c r="E1069" s="48">
        <v>0</v>
      </c>
    </row>
    <row r="1070" spans="1:5" ht="15.75" customHeight="1" x14ac:dyDescent="0.3">
      <c r="A1070" s="45" t="str">
        <f t="shared" si="4"/>
        <v>Rio de JaneiroSalvadorNavio</v>
      </c>
      <c r="B1070" s="46" t="s">
        <v>32</v>
      </c>
      <c r="C1070" s="46" t="s">
        <v>64</v>
      </c>
      <c r="D1070" s="47" t="s">
        <v>65</v>
      </c>
      <c r="E1070" s="48">
        <v>2</v>
      </c>
    </row>
    <row r="1071" spans="1:5" ht="15.75" customHeight="1" x14ac:dyDescent="0.3">
      <c r="A1071" s="45" t="str">
        <f t="shared" si="4"/>
        <v>Rio de JaneiroSantosNavio</v>
      </c>
      <c r="B1071" s="46" t="s">
        <v>32</v>
      </c>
      <c r="C1071" s="46" t="s">
        <v>64</v>
      </c>
      <c r="D1071" s="47" t="s">
        <v>47</v>
      </c>
      <c r="E1071" s="48">
        <v>1</v>
      </c>
    </row>
    <row r="1072" spans="1:5" ht="15.75" customHeight="1" x14ac:dyDescent="0.3">
      <c r="A1072" s="45" t="str">
        <f t="shared" si="4"/>
        <v>Rio de JaneiroSão LuísNavio</v>
      </c>
      <c r="B1072" s="46" t="s">
        <v>32</v>
      </c>
      <c r="C1072" s="46" t="s">
        <v>64</v>
      </c>
      <c r="D1072" s="47" t="s">
        <v>50</v>
      </c>
      <c r="E1072" s="48">
        <v>5</v>
      </c>
    </row>
    <row r="1073" spans="1:5" ht="15.75" customHeight="1" x14ac:dyDescent="0.3">
      <c r="A1073" s="45" t="str">
        <f t="shared" si="4"/>
        <v>Rio de JaneiroSão PauloNavio</v>
      </c>
      <c r="B1073" s="46" t="s">
        <v>32</v>
      </c>
      <c r="C1073" s="46" t="s">
        <v>64</v>
      </c>
      <c r="D1073" s="47" t="s">
        <v>66</v>
      </c>
      <c r="E1073" s="48" t="s">
        <v>101</v>
      </c>
    </row>
    <row r="1074" spans="1:5" ht="15.75" customHeight="1" x14ac:dyDescent="0.3">
      <c r="A1074" s="45" t="str">
        <f t="shared" si="4"/>
        <v>Rio de JaneiroUberlândiaNavio</v>
      </c>
      <c r="B1074" s="46" t="s">
        <v>32</v>
      </c>
      <c r="C1074" s="46" t="s">
        <v>64</v>
      </c>
      <c r="D1074" s="47" t="s">
        <v>67</v>
      </c>
      <c r="E1074" s="48" t="s">
        <v>101</v>
      </c>
    </row>
    <row r="1075" spans="1:5" ht="15.75" customHeight="1" x14ac:dyDescent="0.3">
      <c r="A1075" s="45" t="str">
        <f t="shared" si="4"/>
        <v>Rio de JaneiroVitóriaNavio</v>
      </c>
      <c r="B1075" s="46" t="s">
        <v>32</v>
      </c>
      <c r="C1075" s="46" t="s">
        <v>64</v>
      </c>
      <c r="D1075" s="47" t="s">
        <v>68</v>
      </c>
      <c r="E1075" s="48">
        <v>1</v>
      </c>
    </row>
    <row r="1076" spans="1:5" ht="15.75" customHeight="1" x14ac:dyDescent="0.3">
      <c r="A1076" s="45" t="str">
        <f t="shared" si="4"/>
        <v>Rio de JaneiroVitória da ConquistaNavio</v>
      </c>
      <c r="B1076" s="46" t="s">
        <v>32</v>
      </c>
      <c r="C1076" s="46" t="s">
        <v>64</v>
      </c>
      <c r="D1076" s="47" t="s">
        <v>49</v>
      </c>
      <c r="E1076" s="48" t="s">
        <v>101</v>
      </c>
    </row>
    <row r="1077" spans="1:5" ht="15.75" customHeight="1" x14ac:dyDescent="0.3">
      <c r="A1077" s="45" t="str">
        <f t="shared" si="4"/>
        <v>SalvadorBelémNavio</v>
      </c>
      <c r="B1077" s="46" t="s">
        <v>32</v>
      </c>
      <c r="C1077" s="46" t="s">
        <v>65</v>
      </c>
      <c r="D1077" s="47" t="s">
        <v>48</v>
      </c>
      <c r="E1077" s="48">
        <v>4</v>
      </c>
    </row>
    <row r="1078" spans="1:5" ht="15.75" customHeight="1" x14ac:dyDescent="0.3">
      <c r="A1078" s="45" t="str">
        <f t="shared" si="4"/>
        <v>SalvadorBelo HorizonteNavio</v>
      </c>
      <c r="B1078" s="46" t="s">
        <v>32</v>
      </c>
      <c r="C1078" s="46" t="s">
        <v>65</v>
      </c>
      <c r="D1078" s="47" t="s">
        <v>52</v>
      </c>
      <c r="E1078" s="48" t="s">
        <v>101</v>
      </c>
    </row>
    <row r="1079" spans="1:5" ht="15.75" customHeight="1" x14ac:dyDescent="0.3">
      <c r="A1079" s="45" t="str">
        <f t="shared" si="4"/>
        <v>SalvadorBrasíliaNavio</v>
      </c>
      <c r="B1079" s="46" t="s">
        <v>32</v>
      </c>
      <c r="C1079" s="46" t="s">
        <v>65</v>
      </c>
      <c r="D1079" s="47" t="s">
        <v>53</v>
      </c>
      <c r="E1079" s="48" t="s">
        <v>101</v>
      </c>
    </row>
    <row r="1080" spans="1:5" ht="15.75" customHeight="1" x14ac:dyDescent="0.3">
      <c r="A1080" s="45" t="str">
        <f t="shared" si="4"/>
        <v>SalvadorCampinasNavio</v>
      </c>
      <c r="B1080" s="46" t="s">
        <v>32</v>
      </c>
      <c r="C1080" s="46" t="s">
        <v>65</v>
      </c>
      <c r="D1080" s="47" t="s">
        <v>54</v>
      </c>
      <c r="E1080" s="48" t="s">
        <v>101</v>
      </c>
    </row>
    <row r="1081" spans="1:5" ht="15.75" customHeight="1" x14ac:dyDescent="0.3">
      <c r="A1081" s="45" t="str">
        <f t="shared" si="4"/>
        <v>SalvadorCampo GrandeNavio</v>
      </c>
      <c r="B1081" s="46" t="s">
        <v>32</v>
      </c>
      <c r="C1081" s="46" t="s">
        <v>65</v>
      </c>
      <c r="D1081" s="47" t="s">
        <v>55</v>
      </c>
      <c r="E1081" s="48" t="s">
        <v>101</v>
      </c>
    </row>
    <row r="1082" spans="1:5" ht="15.75" customHeight="1" x14ac:dyDescent="0.3">
      <c r="A1082" s="45" t="str">
        <f t="shared" si="4"/>
        <v>SalvadorCuiabáNavio</v>
      </c>
      <c r="B1082" s="46" t="s">
        <v>32</v>
      </c>
      <c r="C1082" s="46" t="s">
        <v>65</v>
      </c>
      <c r="D1082" s="47" t="s">
        <v>37</v>
      </c>
      <c r="E1082" s="48" t="s">
        <v>101</v>
      </c>
    </row>
    <row r="1083" spans="1:5" ht="15.75" customHeight="1" x14ac:dyDescent="0.3">
      <c r="A1083" s="45" t="str">
        <f t="shared" si="4"/>
        <v>SalvadorCuritibaNavio</v>
      </c>
      <c r="B1083" s="46" t="s">
        <v>32</v>
      </c>
      <c r="C1083" s="46" t="s">
        <v>65</v>
      </c>
      <c r="D1083" s="47" t="s">
        <v>56</v>
      </c>
      <c r="E1083" s="48">
        <v>3</v>
      </c>
    </row>
    <row r="1084" spans="1:5" ht="15.75" customHeight="1" x14ac:dyDescent="0.3">
      <c r="A1084" s="45" t="str">
        <f t="shared" si="4"/>
        <v>SalvadorFortalezaNavio</v>
      </c>
      <c r="B1084" s="46" t="s">
        <v>32</v>
      </c>
      <c r="C1084" s="46" t="s">
        <v>65</v>
      </c>
      <c r="D1084" s="47" t="s">
        <v>57</v>
      </c>
      <c r="E1084" s="48" t="s">
        <v>101</v>
      </c>
    </row>
    <row r="1085" spans="1:5" ht="15.75" customHeight="1" x14ac:dyDescent="0.3">
      <c r="A1085" s="45" t="str">
        <f t="shared" si="4"/>
        <v>SalvadorGoiâniaNavio</v>
      </c>
      <c r="B1085" s="46" t="s">
        <v>32</v>
      </c>
      <c r="C1085" s="46" t="s">
        <v>65</v>
      </c>
      <c r="D1085" s="47" t="s">
        <v>58</v>
      </c>
      <c r="E1085" s="48" t="s">
        <v>101</v>
      </c>
    </row>
    <row r="1086" spans="1:5" ht="15.75" customHeight="1" x14ac:dyDescent="0.3">
      <c r="A1086" s="45" t="str">
        <f t="shared" si="4"/>
        <v>SalvadorJoão PessoaNavio</v>
      </c>
      <c r="B1086" s="46" t="s">
        <v>32</v>
      </c>
      <c r="C1086" s="46" t="s">
        <v>65</v>
      </c>
      <c r="D1086" s="47" t="s">
        <v>59</v>
      </c>
      <c r="E1086" s="48" t="s">
        <v>101</v>
      </c>
    </row>
    <row r="1087" spans="1:5" ht="15.75" customHeight="1" x14ac:dyDescent="0.3">
      <c r="A1087" s="45" t="str">
        <f t="shared" si="4"/>
        <v>SalvadorJoinvilleNavio</v>
      </c>
      <c r="B1087" s="46" t="s">
        <v>32</v>
      </c>
      <c r="C1087" s="46" t="s">
        <v>65</v>
      </c>
      <c r="D1087" s="47" t="s">
        <v>28</v>
      </c>
      <c r="E1087" s="48">
        <v>3</v>
      </c>
    </row>
    <row r="1088" spans="1:5" ht="15.75" customHeight="1" x14ac:dyDescent="0.3">
      <c r="A1088" s="45" t="str">
        <f t="shared" si="4"/>
        <v>SalvadorMaceióNavio</v>
      </c>
      <c r="B1088" s="46" t="s">
        <v>32</v>
      </c>
      <c r="C1088" s="46" t="s">
        <v>65</v>
      </c>
      <c r="D1088" s="47" t="s">
        <v>60</v>
      </c>
      <c r="E1088" s="48">
        <v>1</v>
      </c>
    </row>
    <row r="1089" spans="1:5" ht="15.75" customHeight="1" x14ac:dyDescent="0.3">
      <c r="A1089" s="45" t="str">
        <f t="shared" si="4"/>
        <v>SalvadorManausNavio</v>
      </c>
      <c r="B1089" s="46" t="s">
        <v>32</v>
      </c>
      <c r="C1089" s="46" t="s">
        <v>65</v>
      </c>
      <c r="D1089" s="47" t="s">
        <v>23</v>
      </c>
      <c r="E1089" s="48">
        <v>6</v>
      </c>
    </row>
    <row r="1090" spans="1:5" ht="15.75" customHeight="1" x14ac:dyDescent="0.3">
      <c r="A1090" s="45" t="str">
        <f t="shared" si="4"/>
        <v>SalvadorNatalNavio</v>
      </c>
      <c r="B1090" s="46" t="s">
        <v>32</v>
      </c>
      <c r="C1090" s="46" t="s">
        <v>65</v>
      </c>
      <c r="D1090" s="47" t="s">
        <v>61</v>
      </c>
      <c r="E1090" s="48" t="s">
        <v>101</v>
      </c>
    </row>
    <row r="1091" spans="1:5" ht="15.75" customHeight="1" x14ac:dyDescent="0.3">
      <c r="A1091" s="45" t="str">
        <f t="shared" si="4"/>
        <v>SalvadorPorto AlegreNavio</v>
      </c>
      <c r="B1091" s="46" t="s">
        <v>32</v>
      </c>
      <c r="C1091" s="46" t="s">
        <v>65</v>
      </c>
      <c r="D1091" s="47" t="s">
        <v>44</v>
      </c>
      <c r="E1091" s="48">
        <v>4</v>
      </c>
    </row>
    <row r="1092" spans="1:5" ht="15.75" customHeight="1" x14ac:dyDescent="0.3">
      <c r="A1092" s="45" t="str">
        <f t="shared" si="4"/>
        <v>SalvadorRecifeNavio</v>
      </c>
      <c r="B1092" s="46" t="s">
        <v>32</v>
      </c>
      <c r="C1092" s="46" t="s">
        <v>65</v>
      </c>
      <c r="D1092" s="47" t="s">
        <v>62</v>
      </c>
      <c r="E1092" s="48">
        <v>1</v>
      </c>
    </row>
    <row r="1093" spans="1:5" ht="15.75" customHeight="1" x14ac:dyDescent="0.3">
      <c r="A1093" s="45" t="str">
        <f t="shared" si="4"/>
        <v>SalvadorRibeirão PretoNavio</v>
      </c>
      <c r="B1093" s="46" t="s">
        <v>32</v>
      </c>
      <c r="C1093" s="46" t="s">
        <v>65</v>
      </c>
      <c r="D1093" s="47" t="s">
        <v>63</v>
      </c>
      <c r="E1093" s="48" t="s">
        <v>101</v>
      </c>
    </row>
    <row r="1094" spans="1:5" ht="15.75" customHeight="1" x14ac:dyDescent="0.3">
      <c r="A1094" s="45" t="str">
        <f t="shared" si="4"/>
        <v>SalvadorRio de JaneiroNavio</v>
      </c>
      <c r="B1094" s="46" t="s">
        <v>32</v>
      </c>
      <c r="C1094" s="46" t="s">
        <v>65</v>
      </c>
      <c r="D1094" s="47" t="s">
        <v>64</v>
      </c>
      <c r="E1094" s="48">
        <v>2</v>
      </c>
    </row>
    <row r="1095" spans="1:5" ht="15.75" customHeight="1" x14ac:dyDescent="0.3">
      <c r="A1095" s="45" t="str">
        <f t="shared" si="4"/>
        <v>SalvadorSalvadorNavio</v>
      </c>
      <c r="B1095" s="46" t="s">
        <v>32</v>
      </c>
      <c r="C1095" s="46" t="s">
        <v>65</v>
      </c>
      <c r="D1095" s="47" t="s">
        <v>65</v>
      </c>
      <c r="E1095" s="48">
        <v>0</v>
      </c>
    </row>
    <row r="1096" spans="1:5" ht="15.75" customHeight="1" x14ac:dyDescent="0.3">
      <c r="A1096" s="45" t="str">
        <f t="shared" si="4"/>
        <v>SalvadorSantosNavio</v>
      </c>
      <c r="B1096" s="46" t="s">
        <v>32</v>
      </c>
      <c r="C1096" s="46" t="s">
        <v>65</v>
      </c>
      <c r="D1096" s="47" t="s">
        <v>47</v>
      </c>
      <c r="E1096" s="48">
        <v>2</v>
      </c>
    </row>
    <row r="1097" spans="1:5" ht="15.75" customHeight="1" x14ac:dyDescent="0.3">
      <c r="A1097" s="45" t="str">
        <f t="shared" si="4"/>
        <v>SalvadorSão LuísNavio</v>
      </c>
      <c r="B1097" s="46" t="s">
        <v>32</v>
      </c>
      <c r="C1097" s="46" t="s">
        <v>65</v>
      </c>
      <c r="D1097" s="47" t="s">
        <v>50</v>
      </c>
      <c r="E1097" s="48">
        <v>3</v>
      </c>
    </row>
    <row r="1098" spans="1:5" ht="15.75" customHeight="1" x14ac:dyDescent="0.3">
      <c r="A1098" s="45" t="str">
        <f t="shared" si="4"/>
        <v>SalvadorSão PauloNavio</v>
      </c>
      <c r="B1098" s="46" t="s">
        <v>32</v>
      </c>
      <c r="C1098" s="46" t="s">
        <v>65</v>
      </c>
      <c r="D1098" s="47" t="s">
        <v>66</v>
      </c>
      <c r="E1098" s="48" t="s">
        <v>101</v>
      </c>
    </row>
    <row r="1099" spans="1:5" ht="15.75" customHeight="1" x14ac:dyDescent="0.3">
      <c r="A1099" s="45" t="str">
        <f t="shared" si="4"/>
        <v>SalvadorUberlândiaNavio</v>
      </c>
      <c r="B1099" s="46" t="s">
        <v>32</v>
      </c>
      <c r="C1099" s="46" t="s">
        <v>65</v>
      </c>
      <c r="D1099" s="47" t="s">
        <v>67</v>
      </c>
      <c r="E1099" s="48" t="s">
        <v>101</v>
      </c>
    </row>
    <row r="1100" spans="1:5" ht="15.75" customHeight="1" x14ac:dyDescent="0.3">
      <c r="A1100" s="45" t="str">
        <f t="shared" si="4"/>
        <v>SalvadorVitóriaNavio</v>
      </c>
      <c r="B1100" s="46" t="s">
        <v>32</v>
      </c>
      <c r="C1100" s="46" t="s">
        <v>65</v>
      </c>
      <c r="D1100" s="47" t="s">
        <v>68</v>
      </c>
      <c r="E1100" s="48">
        <v>1</v>
      </c>
    </row>
    <row r="1101" spans="1:5" ht="15.75" customHeight="1" x14ac:dyDescent="0.3">
      <c r="A1101" s="45" t="str">
        <f t="shared" si="4"/>
        <v>SalvadorVitória da ConquistaNavio</v>
      </c>
      <c r="B1101" s="46" t="s">
        <v>32</v>
      </c>
      <c r="C1101" s="46" t="s">
        <v>65</v>
      </c>
      <c r="D1101" s="47" t="s">
        <v>49</v>
      </c>
      <c r="E1101" s="48" t="s">
        <v>101</v>
      </c>
    </row>
    <row r="1102" spans="1:5" ht="15.75" customHeight="1" x14ac:dyDescent="0.3">
      <c r="A1102" s="45" t="str">
        <f t="shared" si="4"/>
        <v>SantosBelémNavio</v>
      </c>
      <c r="B1102" s="46" t="s">
        <v>32</v>
      </c>
      <c r="C1102" s="46" t="s">
        <v>47</v>
      </c>
      <c r="D1102" s="47" t="s">
        <v>48</v>
      </c>
      <c r="E1102" s="48">
        <v>6</v>
      </c>
    </row>
    <row r="1103" spans="1:5" ht="15.75" customHeight="1" x14ac:dyDescent="0.3">
      <c r="A1103" s="45" t="str">
        <f t="shared" si="4"/>
        <v>SantosBelo HorizonteNavio</v>
      </c>
      <c r="B1103" s="46" t="s">
        <v>32</v>
      </c>
      <c r="C1103" s="46" t="s">
        <v>47</v>
      </c>
      <c r="D1103" s="47" t="s">
        <v>52</v>
      </c>
      <c r="E1103" s="48" t="s">
        <v>101</v>
      </c>
    </row>
    <row r="1104" spans="1:5" ht="15.75" customHeight="1" x14ac:dyDescent="0.3">
      <c r="A1104" s="45" t="str">
        <f t="shared" si="4"/>
        <v>SantosBrasíliaNavio</v>
      </c>
      <c r="B1104" s="46" t="s">
        <v>32</v>
      </c>
      <c r="C1104" s="46" t="s">
        <v>47</v>
      </c>
      <c r="D1104" s="47" t="s">
        <v>53</v>
      </c>
      <c r="E1104" s="48" t="s">
        <v>101</v>
      </c>
    </row>
    <row r="1105" spans="1:5" ht="15.75" customHeight="1" x14ac:dyDescent="0.3">
      <c r="A1105" s="45" t="str">
        <f t="shared" si="4"/>
        <v>SantosCampinasNavio</v>
      </c>
      <c r="B1105" s="46" t="s">
        <v>32</v>
      </c>
      <c r="C1105" s="46" t="s">
        <v>47</v>
      </c>
      <c r="D1105" s="47" t="s">
        <v>54</v>
      </c>
      <c r="E1105" s="48" t="s">
        <v>101</v>
      </c>
    </row>
    <row r="1106" spans="1:5" ht="15.75" customHeight="1" x14ac:dyDescent="0.3">
      <c r="A1106" s="45" t="str">
        <f t="shared" si="4"/>
        <v>SantosCampo GrandeNavio</v>
      </c>
      <c r="B1106" s="46" t="s">
        <v>32</v>
      </c>
      <c r="C1106" s="46" t="s">
        <v>47</v>
      </c>
      <c r="D1106" s="47" t="s">
        <v>55</v>
      </c>
      <c r="E1106" s="48" t="s">
        <v>101</v>
      </c>
    </row>
    <row r="1107" spans="1:5" ht="15.75" customHeight="1" x14ac:dyDescent="0.3">
      <c r="A1107" s="45" t="str">
        <f t="shared" si="4"/>
        <v>SantosCuiabáNavio</v>
      </c>
      <c r="B1107" s="46" t="s">
        <v>32</v>
      </c>
      <c r="C1107" s="46" t="s">
        <v>47</v>
      </c>
      <c r="D1107" s="47" t="s">
        <v>37</v>
      </c>
      <c r="E1107" s="48" t="s">
        <v>101</v>
      </c>
    </row>
    <row r="1108" spans="1:5" ht="15.75" customHeight="1" x14ac:dyDescent="0.3">
      <c r="A1108" s="45" t="str">
        <f t="shared" si="4"/>
        <v>SantosCuritibaNavio</v>
      </c>
      <c r="B1108" s="46" t="s">
        <v>32</v>
      </c>
      <c r="C1108" s="46" t="s">
        <v>47</v>
      </c>
      <c r="D1108" s="47" t="s">
        <v>56</v>
      </c>
      <c r="E1108" s="48">
        <v>0</v>
      </c>
    </row>
    <row r="1109" spans="1:5" ht="15.75" customHeight="1" x14ac:dyDescent="0.3">
      <c r="A1109" s="45" t="str">
        <f t="shared" si="4"/>
        <v>SantosFortalezaNavio</v>
      </c>
      <c r="B1109" s="46" t="s">
        <v>32</v>
      </c>
      <c r="C1109" s="46" t="s">
        <v>47</v>
      </c>
      <c r="D1109" s="47" t="s">
        <v>57</v>
      </c>
      <c r="E1109" s="48">
        <v>4</v>
      </c>
    </row>
    <row r="1110" spans="1:5" ht="15.75" customHeight="1" x14ac:dyDescent="0.3">
      <c r="A1110" s="45" t="str">
        <f t="shared" si="4"/>
        <v>SantosGoiâniaNavio</v>
      </c>
      <c r="B1110" s="46" t="s">
        <v>32</v>
      </c>
      <c r="C1110" s="46" t="s">
        <v>47</v>
      </c>
      <c r="D1110" s="47" t="s">
        <v>58</v>
      </c>
      <c r="E1110" s="48" t="s">
        <v>101</v>
      </c>
    </row>
    <row r="1111" spans="1:5" ht="15.75" customHeight="1" x14ac:dyDescent="0.3">
      <c r="A1111" s="45" t="str">
        <f t="shared" si="4"/>
        <v>SantosJoão PessoaNavio</v>
      </c>
      <c r="B1111" s="46" t="s">
        <v>32</v>
      </c>
      <c r="C1111" s="46" t="s">
        <v>47</v>
      </c>
      <c r="D1111" s="47" t="s">
        <v>59</v>
      </c>
      <c r="E1111" s="48" t="s">
        <v>101</v>
      </c>
    </row>
    <row r="1112" spans="1:5" ht="15.75" customHeight="1" x14ac:dyDescent="0.3">
      <c r="A1112" s="45" t="str">
        <f t="shared" si="4"/>
        <v>SantosJoinvilleNavio</v>
      </c>
      <c r="B1112" s="46" t="s">
        <v>32</v>
      </c>
      <c r="C1112" s="46" t="s">
        <v>47</v>
      </c>
      <c r="D1112" s="47" t="s">
        <v>28</v>
      </c>
      <c r="E1112" s="48">
        <v>1</v>
      </c>
    </row>
    <row r="1113" spans="1:5" ht="15.75" customHeight="1" x14ac:dyDescent="0.3">
      <c r="A1113" s="45" t="str">
        <f t="shared" si="4"/>
        <v>SantosMaceióNavio</v>
      </c>
      <c r="B1113" s="46" t="s">
        <v>32</v>
      </c>
      <c r="C1113" s="46" t="s">
        <v>47</v>
      </c>
      <c r="D1113" s="47" t="s">
        <v>60</v>
      </c>
      <c r="E1113" s="48">
        <v>3</v>
      </c>
    </row>
    <row r="1114" spans="1:5" ht="15.75" customHeight="1" x14ac:dyDescent="0.3">
      <c r="A1114" s="45" t="str">
        <f t="shared" si="4"/>
        <v>SantosManausNavio</v>
      </c>
      <c r="B1114" s="46" t="s">
        <v>32</v>
      </c>
      <c r="C1114" s="46" t="s">
        <v>47</v>
      </c>
      <c r="D1114" s="47" t="s">
        <v>23</v>
      </c>
      <c r="E1114" s="48">
        <v>8</v>
      </c>
    </row>
    <row r="1115" spans="1:5" ht="15.75" customHeight="1" x14ac:dyDescent="0.3">
      <c r="A1115" s="45" t="str">
        <f t="shared" si="4"/>
        <v>SantosNatalNavio</v>
      </c>
      <c r="B1115" s="46" t="s">
        <v>32</v>
      </c>
      <c r="C1115" s="46" t="s">
        <v>47</v>
      </c>
      <c r="D1115" s="47" t="s">
        <v>61</v>
      </c>
      <c r="E1115" s="48">
        <v>4</v>
      </c>
    </row>
    <row r="1116" spans="1:5" ht="15.75" customHeight="1" x14ac:dyDescent="0.3">
      <c r="A1116" s="45" t="str">
        <f t="shared" si="4"/>
        <v>SantosPorto AlegreNavio</v>
      </c>
      <c r="B1116" s="46" t="s">
        <v>32</v>
      </c>
      <c r="C1116" s="46" t="s">
        <v>47</v>
      </c>
      <c r="D1116" s="47" t="s">
        <v>44</v>
      </c>
      <c r="E1116" s="48">
        <v>2</v>
      </c>
    </row>
    <row r="1117" spans="1:5" ht="15.75" customHeight="1" x14ac:dyDescent="0.3">
      <c r="A1117" s="45" t="str">
        <f t="shared" si="4"/>
        <v>SantosRecifeNavio</v>
      </c>
      <c r="B1117" s="46" t="s">
        <v>32</v>
      </c>
      <c r="C1117" s="46" t="s">
        <v>47</v>
      </c>
      <c r="D1117" s="47" t="s">
        <v>62</v>
      </c>
      <c r="E1117" s="48">
        <v>3</v>
      </c>
    </row>
    <row r="1118" spans="1:5" ht="15.75" customHeight="1" x14ac:dyDescent="0.3">
      <c r="A1118" s="45" t="str">
        <f t="shared" si="4"/>
        <v>SantosRibeirão PretoNavio</v>
      </c>
      <c r="B1118" s="46" t="s">
        <v>32</v>
      </c>
      <c r="C1118" s="46" t="s">
        <v>47</v>
      </c>
      <c r="D1118" s="47" t="s">
        <v>63</v>
      </c>
      <c r="E1118" s="48" t="s">
        <v>101</v>
      </c>
    </row>
    <row r="1119" spans="1:5" ht="15.75" customHeight="1" x14ac:dyDescent="0.3">
      <c r="A1119" s="45" t="str">
        <f t="shared" si="4"/>
        <v>SantosRio de JaneiroNavio</v>
      </c>
      <c r="B1119" s="46" t="s">
        <v>32</v>
      </c>
      <c r="C1119" s="46" t="s">
        <v>47</v>
      </c>
      <c r="D1119" s="47" t="s">
        <v>64</v>
      </c>
      <c r="E1119" s="48">
        <v>1</v>
      </c>
    </row>
    <row r="1120" spans="1:5" ht="15.75" customHeight="1" x14ac:dyDescent="0.3">
      <c r="A1120" s="45" t="str">
        <f t="shared" si="4"/>
        <v>SantosSalvadorNavio</v>
      </c>
      <c r="B1120" s="46" t="s">
        <v>32</v>
      </c>
      <c r="C1120" s="46" t="s">
        <v>47</v>
      </c>
      <c r="D1120" s="47" t="s">
        <v>65</v>
      </c>
      <c r="E1120" s="48">
        <v>2</v>
      </c>
    </row>
    <row r="1121" spans="1:5" ht="15.75" customHeight="1" x14ac:dyDescent="0.3">
      <c r="A1121" s="45" t="str">
        <f t="shared" si="4"/>
        <v>SantosSantosNavio</v>
      </c>
      <c r="B1121" s="46" t="s">
        <v>32</v>
      </c>
      <c r="C1121" s="46" t="s">
        <v>47</v>
      </c>
      <c r="D1121" s="47" t="s">
        <v>47</v>
      </c>
      <c r="E1121" s="48">
        <v>0</v>
      </c>
    </row>
    <row r="1122" spans="1:5" ht="15.75" customHeight="1" x14ac:dyDescent="0.3">
      <c r="A1122" s="45" t="str">
        <f t="shared" si="4"/>
        <v>SantosSão LuísNavio</v>
      </c>
      <c r="B1122" s="46" t="s">
        <v>32</v>
      </c>
      <c r="C1122" s="46" t="s">
        <v>47</v>
      </c>
      <c r="D1122" s="47" t="s">
        <v>50</v>
      </c>
      <c r="E1122" s="48">
        <v>5</v>
      </c>
    </row>
    <row r="1123" spans="1:5" ht="15.75" customHeight="1" x14ac:dyDescent="0.3">
      <c r="A1123" s="45" t="str">
        <f t="shared" si="4"/>
        <v>SantosSão PauloNavio</v>
      </c>
      <c r="B1123" s="46" t="s">
        <v>32</v>
      </c>
      <c r="C1123" s="46" t="s">
        <v>47</v>
      </c>
      <c r="D1123" s="47" t="s">
        <v>66</v>
      </c>
      <c r="E1123" s="48" t="s">
        <v>101</v>
      </c>
    </row>
    <row r="1124" spans="1:5" ht="15.75" customHeight="1" x14ac:dyDescent="0.3">
      <c r="A1124" s="45" t="str">
        <f t="shared" si="4"/>
        <v>SantosUberlândiaNavio</v>
      </c>
      <c r="B1124" s="46" t="s">
        <v>32</v>
      </c>
      <c r="C1124" s="46" t="s">
        <v>47</v>
      </c>
      <c r="D1124" s="47" t="s">
        <v>67</v>
      </c>
      <c r="E1124" s="48" t="s">
        <v>101</v>
      </c>
    </row>
    <row r="1125" spans="1:5" ht="15.75" customHeight="1" x14ac:dyDescent="0.3">
      <c r="A1125" s="45" t="str">
        <f t="shared" si="4"/>
        <v>SantosVitóriaNavio</v>
      </c>
      <c r="B1125" s="46" t="s">
        <v>32</v>
      </c>
      <c r="C1125" s="46" t="s">
        <v>47</v>
      </c>
      <c r="D1125" s="47" t="s">
        <v>68</v>
      </c>
      <c r="E1125" s="48">
        <v>1</v>
      </c>
    </row>
    <row r="1126" spans="1:5" ht="15.75" customHeight="1" x14ac:dyDescent="0.3">
      <c r="A1126" s="45" t="str">
        <f t="shared" si="4"/>
        <v>SantosVitória da ConquistaNavio</v>
      </c>
      <c r="B1126" s="46" t="s">
        <v>32</v>
      </c>
      <c r="C1126" s="46" t="s">
        <v>47</v>
      </c>
      <c r="D1126" s="47" t="s">
        <v>49</v>
      </c>
      <c r="E1126" s="48" t="s">
        <v>101</v>
      </c>
    </row>
    <row r="1127" spans="1:5" ht="15.75" customHeight="1" x14ac:dyDescent="0.3">
      <c r="A1127" s="45" t="str">
        <f t="shared" si="4"/>
        <v>São LuísBelémNavio</v>
      </c>
      <c r="B1127" s="46" t="s">
        <v>32</v>
      </c>
      <c r="C1127" s="47" t="s">
        <v>50</v>
      </c>
      <c r="D1127" s="47" t="s">
        <v>48</v>
      </c>
      <c r="E1127" s="48">
        <v>1</v>
      </c>
    </row>
    <row r="1128" spans="1:5" ht="15.75" customHeight="1" x14ac:dyDescent="0.3">
      <c r="A1128" s="45" t="str">
        <f t="shared" si="4"/>
        <v>São LuísBelo HorizonteNavio</v>
      </c>
      <c r="B1128" s="46" t="s">
        <v>32</v>
      </c>
      <c r="C1128" s="47" t="s">
        <v>50</v>
      </c>
      <c r="D1128" s="47" t="s">
        <v>52</v>
      </c>
      <c r="E1128" s="48" t="s">
        <v>101</v>
      </c>
    </row>
    <row r="1129" spans="1:5" ht="15.75" customHeight="1" x14ac:dyDescent="0.3">
      <c r="A1129" s="45" t="str">
        <f t="shared" si="4"/>
        <v>São LuísBrasíliaNavio</v>
      </c>
      <c r="B1129" s="46" t="s">
        <v>32</v>
      </c>
      <c r="C1129" s="47" t="s">
        <v>50</v>
      </c>
      <c r="D1129" s="47" t="s">
        <v>53</v>
      </c>
      <c r="E1129" s="48" t="s">
        <v>101</v>
      </c>
    </row>
    <row r="1130" spans="1:5" ht="15.75" customHeight="1" x14ac:dyDescent="0.3">
      <c r="A1130" s="45" t="str">
        <f t="shared" si="4"/>
        <v>São LuísCampinasNavio</v>
      </c>
      <c r="B1130" s="46" t="s">
        <v>32</v>
      </c>
      <c r="C1130" s="47" t="s">
        <v>50</v>
      </c>
      <c r="D1130" s="47" t="s">
        <v>54</v>
      </c>
      <c r="E1130" s="48" t="s">
        <v>101</v>
      </c>
    </row>
    <row r="1131" spans="1:5" ht="15.75" customHeight="1" x14ac:dyDescent="0.3">
      <c r="A1131" s="45" t="str">
        <f t="shared" si="4"/>
        <v>São LuísCampo GrandeNavio</v>
      </c>
      <c r="B1131" s="46" t="s">
        <v>32</v>
      </c>
      <c r="C1131" s="47" t="s">
        <v>50</v>
      </c>
      <c r="D1131" s="47" t="s">
        <v>55</v>
      </c>
      <c r="E1131" s="48" t="s">
        <v>101</v>
      </c>
    </row>
    <row r="1132" spans="1:5" ht="15.75" customHeight="1" x14ac:dyDescent="0.3">
      <c r="A1132" s="45" t="str">
        <f t="shared" si="4"/>
        <v>São LuísCuiabáNavio</v>
      </c>
      <c r="B1132" s="46" t="s">
        <v>32</v>
      </c>
      <c r="C1132" s="47" t="s">
        <v>50</v>
      </c>
      <c r="D1132" s="47" t="s">
        <v>37</v>
      </c>
      <c r="E1132" s="48" t="s">
        <v>101</v>
      </c>
    </row>
    <row r="1133" spans="1:5" ht="15.75" customHeight="1" x14ac:dyDescent="0.3">
      <c r="A1133" s="45" t="str">
        <f t="shared" si="4"/>
        <v>São LuísCuritibaNavio</v>
      </c>
      <c r="B1133" s="46" t="s">
        <v>32</v>
      </c>
      <c r="C1133" s="47" t="s">
        <v>50</v>
      </c>
      <c r="D1133" s="47" t="s">
        <v>56</v>
      </c>
      <c r="E1133" s="48">
        <v>6</v>
      </c>
    </row>
    <row r="1134" spans="1:5" ht="15.75" customHeight="1" x14ac:dyDescent="0.3">
      <c r="A1134" s="45" t="str">
        <f t="shared" si="4"/>
        <v>São LuísFortalezaNavio</v>
      </c>
      <c r="B1134" s="46" t="s">
        <v>32</v>
      </c>
      <c r="C1134" s="47" t="s">
        <v>50</v>
      </c>
      <c r="D1134" s="47" t="s">
        <v>57</v>
      </c>
      <c r="E1134" s="48">
        <v>1</v>
      </c>
    </row>
    <row r="1135" spans="1:5" ht="15.75" customHeight="1" x14ac:dyDescent="0.3">
      <c r="A1135" s="45" t="str">
        <f t="shared" si="4"/>
        <v>São LuísGoiâniaNavio</v>
      </c>
      <c r="B1135" s="46" t="s">
        <v>32</v>
      </c>
      <c r="C1135" s="47" t="s">
        <v>50</v>
      </c>
      <c r="D1135" s="47" t="s">
        <v>58</v>
      </c>
      <c r="E1135" s="48" t="s">
        <v>101</v>
      </c>
    </row>
    <row r="1136" spans="1:5" ht="15.75" customHeight="1" x14ac:dyDescent="0.3">
      <c r="A1136" s="45" t="str">
        <f t="shared" si="4"/>
        <v>São LuísJoão PessoaNavio</v>
      </c>
      <c r="B1136" s="46" t="s">
        <v>32</v>
      </c>
      <c r="C1136" s="47" t="s">
        <v>50</v>
      </c>
      <c r="D1136" s="47" t="s">
        <v>59</v>
      </c>
      <c r="E1136" s="48">
        <v>2</v>
      </c>
    </row>
    <row r="1137" spans="1:5" ht="15.75" customHeight="1" x14ac:dyDescent="0.3">
      <c r="A1137" s="45" t="str">
        <f t="shared" si="4"/>
        <v>São LuísJoinvilleNavio</v>
      </c>
      <c r="B1137" s="46" t="s">
        <v>32</v>
      </c>
      <c r="C1137" s="47" t="s">
        <v>50</v>
      </c>
      <c r="D1137" s="47" t="s">
        <v>28</v>
      </c>
      <c r="E1137" s="48">
        <v>6</v>
      </c>
    </row>
    <row r="1138" spans="1:5" ht="15.75" customHeight="1" x14ac:dyDescent="0.3">
      <c r="A1138" s="45" t="str">
        <f t="shared" si="4"/>
        <v>São LuísMaceióNavio</v>
      </c>
      <c r="B1138" s="46" t="s">
        <v>32</v>
      </c>
      <c r="C1138" s="47" t="s">
        <v>50</v>
      </c>
      <c r="D1138" s="47" t="s">
        <v>60</v>
      </c>
      <c r="E1138" s="48">
        <v>2</v>
      </c>
    </row>
    <row r="1139" spans="1:5" ht="15.75" customHeight="1" x14ac:dyDescent="0.3">
      <c r="A1139" s="45" t="str">
        <f t="shared" si="4"/>
        <v>São LuísManausNavio</v>
      </c>
      <c r="B1139" s="46" t="s">
        <v>32</v>
      </c>
      <c r="C1139" s="47" t="s">
        <v>50</v>
      </c>
      <c r="D1139" s="47" t="s">
        <v>23</v>
      </c>
      <c r="E1139" s="48">
        <v>3</v>
      </c>
    </row>
    <row r="1140" spans="1:5" ht="15.75" customHeight="1" x14ac:dyDescent="0.3">
      <c r="A1140" s="45" t="str">
        <f t="shared" si="4"/>
        <v>São LuísNatalNavio</v>
      </c>
      <c r="B1140" s="46" t="s">
        <v>32</v>
      </c>
      <c r="C1140" s="47" t="s">
        <v>50</v>
      </c>
      <c r="D1140" s="47" t="s">
        <v>61</v>
      </c>
      <c r="E1140" s="48">
        <v>2</v>
      </c>
    </row>
    <row r="1141" spans="1:5" ht="15.75" customHeight="1" x14ac:dyDescent="0.3">
      <c r="A1141" s="45" t="str">
        <f t="shared" si="4"/>
        <v>São LuísPorto AlegreNavio</v>
      </c>
      <c r="B1141" s="46" t="s">
        <v>32</v>
      </c>
      <c r="C1141" s="47" t="s">
        <v>50</v>
      </c>
      <c r="D1141" s="47" t="s">
        <v>44</v>
      </c>
      <c r="E1141" s="48">
        <v>7</v>
      </c>
    </row>
    <row r="1142" spans="1:5" ht="15.75" customHeight="1" x14ac:dyDescent="0.3">
      <c r="A1142" s="45" t="str">
        <f t="shared" si="4"/>
        <v>São LuísRecifeNavio</v>
      </c>
      <c r="B1142" s="46" t="s">
        <v>32</v>
      </c>
      <c r="C1142" s="47" t="s">
        <v>50</v>
      </c>
      <c r="D1142" s="47" t="s">
        <v>62</v>
      </c>
      <c r="E1142" s="48">
        <v>2</v>
      </c>
    </row>
    <row r="1143" spans="1:5" ht="15.75" customHeight="1" x14ac:dyDescent="0.3">
      <c r="A1143" s="45" t="str">
        <f t="shared" si="4"/>
        <v>São LuísRibeirão PretoNavio</v>
      </c>
      <c r="B1143" s="46" t="s">
        <v>32</v>
      </c>
      <c r="C1143" s="47" t="s">
        <v>50</v>
      </c>
      <c r="D1143" s="47" t="s">
        <v>63</v>
      </c>
      <c r="E1143" s="48" t="s">
        <v>101</v>
      </c>
    </row>
    <row r="1144" spans="1:5" ht="15.75" customHeight="1" x14ac:dyDescent="0.3">
      <c r="A1144" s="45" t="str">
        <f t="shared" si="4"/>
        <v>São LuísRio de JaneiroNavio</v>
      </c>
      <c r="B1144" s="46" t="s">
        <v>32</v>
      </c>
      <c r="C1144" s="47" t="s">
        <v>50</v>
      </c>
      <c r="D1144" s="47" t="s">
        <v>64</v>
      </c>
      <c r="E1144" s="48">
        <v>5</v>
      </c>
    </row>
    <row r="1145" spans="1:5" ht="15.75" customHeight="1" x14ac:dyDescent="0.3">
      <c r="A1145" s="45" t="str">
        <f t="shared" si="4"/>
        <v>São LuísSalvadorNavio</v>
      </c>
      <c r="B1145" s="46" t="s">
        <v>32</v>
      </c>
      <c r="C1145" s="47" t="s">
        <v>50</v>
      </c>
      <c r="D1145" s="47" t="s">
        <v>65</v>
      </c>
      <c r="E1145" s="48">
        <v>3</v>
      </c>
    </row>
    <row r="1146" spans="1:5" ht="15.75" customHeight="1" x14ac:dyDescent="0.3">
      <c r="A1146" s="45" t="str">
        <f t="shared" si="4"/>
        <v>São LuísSantosNavio</v>
      </c>
      <c r="B1146" s="46" t="s">
        <v>32</v>
      </c>
      <c r="C1146" s="47" t="s">
        <v>50</v>
      </c>
      <c r="D1146" s="47" t="s">
        <v>47</v>
      </c>
      <c r="E1146" s="48">
        <v>5</v>
      </c>
    </row>
    <row r="1147" spans="1:5" ht="15.75" customHeight="1" x14ac:dyDescent="0.3">
      <c r="A1147" s="45" t="str">
        <f t="shared" si="4"/>
        <v>São LuísSão LuísNavio</v>
      </c>
      <c r="B1147" s="46" t="s">
        <v>32</v>
      </c>
      <c r="C1147" s="47" t="s">
        <v>50</v>
      </c>
      <c r="D1147" s="47" t="s">
        <v>50</v>
      </c>
      <c r="E1147" s="48">
        <v>0</v>
      </c>
    </row>
    <row r="1148" spans="1:5" ht="15.75" customHeight="1" x14ac:dyDescent="0.3">
      <c r="A1148" s="45" t="str">
        <f t="shared" si="4"/>
        <v>São LuísSão PauloNavio</v>
      </c>
      <c r="B1148" s="46" t="s">
        <v>32</v>
      </c>
      <c r="C1148" s="47" t="s">
        <v>50</v>
      </c>
      <c r="D1148" s="47" t="s">
        <v>66</v>
      </c>
      <c r="E1148" s="48" t="s">
        <v>101</v>
      </c>
    </row>
    <row r="1149" spans="1:5" ht="15.75" customHeight="1" x14ac:dyDescent="0.3">
      <c r="A1149" s="45" t="str">
        <f t="shared" si="4"/>
        <v>São LuísUberlândiaNavio</v>
      </c>
      <c r="B1149" s="46" t="s">
        <v>32</v>
      </c>
      <c r="C1149" s="47" t="s">
        <v>50</v>
      </c>
      <c r="D1149" s="47" t="s">
        <v>67</v>
      </c>
      <c r="E1149" s="48" t="s">
        <v>101</v>
      </c>
    </row>
    <row r="1150" spans="1:5" ht="15.75" customHeight="1" x14ac:dyDescent="0.3">
      <c r="A1150" s="45" t="str">
        <f t="shared" si="4"/>
        <v>São LuísVitóriaNavio</v>
      </c>
      <c r="B1150" s="46" t="s">
        <v>32</v>
      </c>
      <c r="C1150" s="47" t="s">
        <v>50</v>
      </c>
      <c r="D1150" s="47" t="s">
        <v>68</v>
      </c>
      <c r="E1150" s="48">
        <v>4</v>
      </c>
    </row>
    <row r="1151" spans="1:5" ht="15.75" customHeight="1" x14ac:dyDescent="0.3">
      <c r="A1151" s="45" t="str">
        <f t="shared" si="4"/>
        <v>São LuísVitória da ConquistaNavio</v>
      </c>
      <c r="B1151" s="46" t="s">
        <v>32</v>
      </c>
      <c r="C1151" s="47" t="s">
        <v>50</v>
      </c>
      <c r="D1151" s="47" t="s">
        <v>49</v>
      </c>
      <c r="E1151" s="48" t="s">
        <v>101</v>
      </c>
    </row>
    <row r="1152" spans="1:5" ht="15.75" customHeight="1" x14ac:dyDescent="0.3">
      <c r="A1152" s="45" t="str">
        <f t="shared" si="4"/>
        <v>São PauloBelémNavio</v>
      </c>
      <c r="B1152" s="46" t="s">
        <v>32</v>
      </c>
      <c r="C1152" s="46" t="s">
        <v>66</v>
      </c>
      <c r="D1152" s="47" t="s">
        <v>48</v>
      </c>
      <c r="E1152" s="48" t="s">
        <v>101</v>
      </c>
    </row>
    <row r="1153" spans="1:5" ht="15.75" customHeight="1" x14ac:dyDescent="0.3">
      <c r="A1153" s="45" t="str">
        <f t="shared" si="4"/>
        <v>São PauloBelo HorizonteNavio</v>
      </c>
      <c r="B1153" s="46" t="s">
        <v>32</v>
      </c>
      <c r="C1153" s="46" t="s">
        <v>66</v>
      </c>
      <c r="D1153" s="47" t="s">
        <v>52</v>
      </c>
      <c r="E1153" s="48" t="s">
        <v>101</v>
      </c>
    </row>
    <row r="1154" spans="1:5" ht="15.75" customHeight="1" x14ac:dyDescent="0.3">
      <c r="A1154" s="45" t="str">
        <f t="shared" si="4"/>
        <v>São PauloBrasíliaNavio</v>
      </c>
      <c r="B1154" s="46" t="s">
        <v>32</v>
      </c>
      <c r="C1154" s="46" t="s">
        <v>66</v>
      </c>
      <c r="D1154" s="47" t="s">
        <v>53</v>
      </c>
      <c r="E1154" s="48" t="s">
        <v>101</v>
      </c>
    </row>
    <row r="1155" spans="1:5" ht="15.75" customHeight="1" x14ac:dyDescent="0.3">
      <c r="A1155" s="45" t="str">
        <f t="shared" si="4"/>
        <v>São PauloCampinasNavio</v>
      </c>
      <c r="B1155" s="46" t="s">
        <v>32</v>
      </c>
      <c r="C1155" s="46" t="s">
        <v>66</v>
      </c>
      <c r="D1155" s="47" t="s">
        <v>54</v>
      </c>
      <c r="E1155" s="48" t="s">
        <v>101</v>
      </c>
    </row>
    <row r="1156" spans="1:5" ht="15.75" customHeight="1" x14ac:dyDescent="0.3">
      <c r="A1156" s="45" t="str">
        <f t="shared" si="4"/>
        <v>São PauloCampo GrandeNavio</v>
      </c>
      <c r="B1156" s="46" t="s">
        <v>32</v>
      </c>
      <c r="C1156" s="46" t="s">
        <v>66</v>
      </c>
      <c r="D1156" s="47" t="s">
        <v>55</v>
      </c>
      <c r="E1156" s="48" t="s">
        <v>101</v>
      </c>
    </row>
    <row r="1157" spans="1:5" ht="15.75" customHeight="1" x14ac:dyDescent="0.3">
      <c r="A1157" s="45" t="str">
        <f t="shared" si="4"/>
        <v>São PauloCuiabáNavio</v>
      </c>
      <c r="B1157" s="46" t="s">
        <v>32</v>
      </c>
      <c r="C1157" s="46" t="s">
        <v>66</v>
      </c>
      <c r="D1157" s="47" t="s">
        <v>37</v>
      </c>
      <c r="E1157" s="48" t="s">
        <v>101</v>
      </c>
    </row>
    <row r="1158" spans="1:5" ht="15.75" customHeight="1" x14ac:dyDescent="0.3">
      <c r="A1158" s="45" t="str">
        <f t="shared" si="4"/>
        <v>São PauloCuritibaNavio</v>
      </c>
      <c r="B1158" s="46" t="s">
        <v>32</v>
      </c>
      <c r="C1158" s="46" t="s">
        <v>66</v>
      </c>
      <c r="D1158" s="47" t="s">
        <v>56</v>
      </c>
      <c r="E1158" s="48" t="s">
        <v>101</v>
      </c>
    </row>
    <row r="1159" spans="1:5" ht="15.75" customHeight="1" x14ac:dyDescent="0.3">
      <c r="A1159" s="45" t="str">
        <f t="shared" si="4"/>
        <v>São PauloFortalezaNavio</v>
      </c>
      <c r="B1159" s="46" t="s">
        <v>32</v>
      </c>
      <c r="C1159" s="46" t="s">
        <v>66</v>
      </c>
      <c r="D1159" s="47" t="s">
        <v>57</v>
      </c>
      <c r="E1159" s="48" t="s">
        <v>101</v>
      </c>
    </row>
    <row r="1160" spans="1:5" ht="15.75" customHeight="1" x14ac:dyDescent="0.3">
      <c r="A1160" s="45" t="str">
        <f t="shared" si="4"/>
        <v>São PauloGoiâniaNavio</v>
      </c>
      <c r="B1160" s="46" t="s">
        <v>32</v>
      </c>
      <c r="C1160" s="46" t="s">
        <v>66</v>
      </c>
      <c r="D1160" s="47" t="s">
        <v>58</v>
      </c>
      <c r="E1160" s="48" t="s">
        <v>101</v>
      </c>
    </row>
    <row r="1161" spans="1:5" ht="15.75" customHeight="1" x14ac:dyDescent="0.3">
      <c r="A1161" s="45" t="str">
        <f t="shared" si="4"/>
        <v>São PauloJoão PessoaNavio</v>
      </c>
      <c r="B1161" s="46" t="s">
        <v>32</v>
      </c>
      <c r="C1161" s="46" t="s">
        <v>66</v>
      </c>
      <c r="D1161" s="47" t="s">
        <v>59</v>
      </c>
      <c r="E1161" s="48" t="s">
        <v>101</v>
      </c>
    </row>
    <row r="1162" spans="1:5" ht="15.75" customHeight="1" x14ac:dyDescent="0.3">
      <c r="A1162" s="45" t="str">
        <f t="shared" si="4"/>
        <v>São PauloJoinvilleNavio</v>
      </c>
      <c r="B1162" s="46" t="s">
        <v>32</v>
      </c>
      <c r="C1162" s="46" t="s">
        <v>66</v>
      </c>
      <c r="D1162" s="47" t="s">
        <v>28</v>
      </c>
      <c r="E1162" s="48" t="s">
        <v>101</v>
      </c>
    </row>
    <row r="1163" spans="1:5" ht="15.75" customHeight="1" x14ac:dyDescent="0.3">
      <c r="A1163" s="45" t="str">
        <f t="shared" si="4"/>
        <v>São PauloMaceióNavio</v>
      </c>
      <c r="B1163" s="46" t="s">
        <v>32</v>
      </c>
      <c r="C1163" s="46" t="s">
        <v>66</v>
      </c>
      <c r="D1163" s="47" t="s">
        <v>60</v>
      </c>
      <c r="E1163" s="48" t="s">
        <v>101</v>
      </c>
    </row>
    <row r="1164" spans="1:5" ht="15.75" customHeight="1" x14ac:dyDescent="0.3">
      <c r="A1164" s="45" t="str">
        <f t="shared" si="4"/>
        <v>São PauloManausNavio</v>
      </c>
      <c r="B1164" s="46" t="s">
        <v>32</v>
      </c>
      <c r="C1164" s="46" t="s">
        <v>66</v>
      </c>
      <c r="D1164" s="47" t="s">
        <v>23</v>
      </c>
      <c r="E1164" s="48" t="s">
        <v>101</v>
      </c>
    </row>
    <row r="1165" spans="1:5" ht="15.75" customHeight="1" x14ac:dyDescent="0.3">
      <c r="A1165" s="45" t="str">
        <f t="shared" si="4"/>
        <v>São PauloNatalNavio</v>
      </c>
      <c r="B1165" s="46" t="s">
        <v>32</v>
      </c>
      <c r="C1165" s="46" t="s">
        <v>66</v>
      </c>
      <c r="D1165" s="47" t="s">
        <v>61</v>
      </c>
      <c r="E1165" s="48" t="s">
        <v>101</v>
      </c>
    </row>
    <row r="1166" spans="1:5" ht="15.75" customHeight="1" x14ac:dyDescent="0.3">
      <c r="A1166" s="45" t="str">
        <f t="shared" si="4"/>
        <v>São PauloPorto AlegreNavio</v>
      </c>
      <c r="B1166" s="46" t="s">
        <v>32</v>
      </c>
      <c r="C1166" s="46" t="s">
        <v>66</v>
      </c>
      <c r="D1166" s="47" t="s">
        <v>44</v>
      </c>
      <c r="E1166" s="48" t="s">
        <v>101</v>
      </c>
    </row>
    <row r="1167" spans="1:5" ht="15.75" customHeight="1" x14ac:dyDescent="0.3">
      <c r="A1167" s="45" t="str">
        <f t="shared" si="4"/>
        <v>São PauloRecifeNavio</v>
      </c>
      <c r="B1167" s="46" t="s">
        <v>32</v>
      </c>
      <c r="C1167" s="46" t="s">
        <v>66</v>
      </c>
      <c r="D1167" s="47" t="s">
        <v>62</v>
      </c>
      <c r="E1167" s="48" t="s">
        <v>101</v>
      </c>
    </row>
    <row r="1168" spans="1:5" ht="15.75" customHeight="1" x14ac:dyDescent="0.3">
      <c r="A1168" s="45" t="str">
        <f t="shared" si="4"/>
        <v>São PauloRibeirão PretoNavio</v>
      </c>
      <c r="B1168" s="46" t="s">
        <v>32</v>
      </c>
      <c r="C1168" s="46" t="s">
        <v>66</v>
      </c>
      <c r="D1168" s="47" t="s">
        <v>63</v>
      </c>
      <c r="E1168" s="48" t="s">
        <v>101</v>
      </c>
    </row>
    <row r="1169" spans="1:5" ht="15.75" customHeight="1" x14ac:dyDescent="0.3">
      <c r="A1169" s="45" t="str">
        <f t="shared" si="4"/>
        <v>São PauloRio de JaneiroNavio</v>
      </c>
      <c r="B1169" s="46" t="s">
        <v>32</v>
      </c>
      <c r="C1169" s="46" t="s">
        <v>66</v>
      </c>
      <c r="D1169" s="47" t="s">
        <v>64</v>
      </c>
      <c r="E1169" s="48" t="s">
        <v>101</v>
      </c>
    </row>
    <row r="1170" spans="1:5" ht="15.75" customHeight="1" x14ac:dyDescent="0.3">
      <c r="A1170" s="45" t="str">
        <f t="shared" si="4"/>
        <v>São PauloSalvadorNavio</v>
      </c>
      <c r="B1170" s="46" t="s">
        <v>32</v>
      </c>
      <c r="C1170" s="46" t="s">
        <v>66</v>
      </c>
      <c r="D1170" s="47" t="s">
        <v>65</v>
      </c>
      <c r="E1170" s="48" t="s">
        <v>101</v>
      </c>
    </row>
    <row r="1171" spans="1:5" ht="15.75" customHeight="1" x14ac:dyDescent="0.3">
      <c r="A1171" s="45" t="str">
        <f t="shared" si="4"/>
        <v>São PauloSantosNavio</v>
      </c>
      <c r="B1171" s="46" t="s">
        <v>32</v>
      </c>
      <c r="C1171" s="46" t="s">
        <v>66</v>
      </c>
      <c r="D1171" s="47" t="s">
        <v>47</v>
      </c>
      <c r="E1171" s="48" t="s">
        <v>101</v>
      </c>
    </row>
    <row r="1172" spans="1:5" ht="15.75" customHeight="1" x14ac:dyDescent="0.3">
      <c r="A1172" s="45" t="str">
        <f t="shared" si="4"/>
        <v>São PauloSão LuísNavio</v>
      </c>
      <c r="B1172" s="46" t="s">
        <v>32</v>
      </c>
      <c r="C1172" s="46" t="s">
        <v>66</v>
      </c>
      <c r="D1172" s="47" t="s">
        <v>50</v>
      </c>
      <c r="E1172" s="48" t="s">
        <v>101</v>
      </c>
    </row>
    <row r="1173" spans="1:5" ht="15.75" customHeight="1" x14ac:dyDescent="0.3">
      <c r="A1173" s="45" t="str">
        <f t="shared" si="4"/>
        <v>São PauloSão PauloNavio</v>
      </c>
      <c r="B1173" s="46" t="s">
        <v>32</v>
      </c>
      <c r="C1173" s="46" t="s">
        <v>66</v>
      </c>
      <c r="D1173" s="47" t="s">
        <v>66</v>
      </c>
      <c r="E1173" s="48" t="s">
        <v>101</v>
      </c>
    </row>
    <row r="1174" spans="1:5" ht="15.75" customHeight="1" x14ac:dyDescent="0.3">
      <c r="A1174" s="45" t="str">
        <f t="shared" si="4"/>
        <v>São PauloUberlândiaNavio</v>
      </c>
      <c r="B1174" s="46" t="s">
        <v>32</v>
      </c>
      <c r="C1174" s="46" t="s">
        <v>66</v>
      </c>
      <c r="D1174" s="47" t="s">
        <v>67</v>
      </c>
      <c r="E1174" s="48" t="s">
        <v>101</v>
      </c>
    </row>
    <row r="1175" spans="1:5" ht="15.75" customHeight="1" x14ac:dyDescent="0.3">
      <c r="A1175" s="45" t="str">
        <f t="shared" si="4"/>
        <v>São PauloVitóriaNavio</v>
      </c>
      <c r="B1175" s="46" t="s">
        <v>32</v>
      </c>
      <c r="C1175" s="46" t="s">
        <v>66</v>
      </c>
      <c r="D1175" s="47" t="s">
        <v>68</v>
      </c>
      <c r="E1175" s="48" t="s">
        <v>101</v>
      </c>
    </row>
    <row r="1176" spans="1:5" ht="15.75" customHeight="1" x14ac:dyDescent="0.3">
      <c r="A1176" s="45" t="str">
        <f t="shared" si="4"/>
        <v>São PauloVitória da ConquistaNavio</v>
      </c>
      <c r="B1176" s="46" t="s">
        <v>32</v>
      </c>
      <c r="C1176" s="46" t="s">
        <v>66</v>
      </c>
      <c r="D1176" s="47" t="s">
        <v>49</v>
      </c>
      <c r="E1176" s="48" t="s">
        <v>101</v>
      </c>
    </row>
    <row r="1177" spans="1:5" ht="15.75" customHeight="1" x14ac:dyDescent="0.3">
      <c r="A1177" s="45" t="str">
        <f t="shared" si="4"/>
        <v>UberlândiaBelémNavio</v>
      </c>
      <c r="B1177" s="46" t="s">
        <v>32</v>
      </c>
      <c r="C1177" s="46" t="s">
        <v>67</v>
      </c>
      <c r="D1177" s="47" t="s">
        <v>48</v>
      </c>
      <c r="E1177" s="48" t="s">
        <v>101</v>
      </c>
    </row>
    <row r="1178" spans="1:5" ht="15.75" customHeight="1" x14ac:dyDescent="0.3">
      <c r="A1178" s="45" t="str">
        <f t="shared" si="4"/>
        <v>UberlândiaBelo HorizonteNavio</v>
      </c>
      <c r="B1178" s="46" t="s">
        <v>32</v>
      </c>
      <c r="C1178" s="46" t="s">
        <v>67</v>
      </c>
      <c r="D1178" s="47" t="s">
        <v>52</v>
      </c>
      <c r="E1178" s="48" t="s">
        <v>101</v>
      </c>
    </row>
    <row r="1179" spans="1:5" ht="15.75" customHeight="1" x14ac:dyDescent="0.3">
      <c r="A1179" s="45" t="str">
        <f t="shared" si="4"/>
        <v>UberlândiaBrasíliaNavio</v>
      </c>
      <c r="B1179" s="46" t="s">
        <v>32</v>
      </c>
      <c r="C1179" s="46" t="s">
        <v>67</v>
      </c>
      <c r="D1179" s="47" t="s">
        <v>53</v>
      </c>
      <c r="E1179" s="48" t="s">
        <v>101</v>
      </c>
    </row>
    <row r="1180" spans="1:5" ht="15.75" customHeight="1" x14ac:dyDescent="0.3">
      <c r="A1180" s="45" t="str">
        <f t="shared" si="4"/>
        <v>UberlândiaCampinasNavio</v>
      </c>
      <c r="B1180" s="46" t="s">
        <v>32</v>
      </c>
      <c r="C1180" s="46" t="s">
        <v>67</v>
      </c>
      <c r="D1180" s="47" t="s">
        <v>54</v>
      </c>
      <c r="E1180" s="48" t="s">
        <v>101</v>
      </c>
    </row>
    <row r="1181" spans="1:5" ht="15.75" customHeight="1" x14ac:dyDescent="0.3">
      <c r="A1181" s="45" t="str">
        <f t="shared" si="4"/>
        <v>UberlândiaCampo GrandeNavio</v>
      </c>
      <c r="B1181" s="46" t="s">
        <v>32</v>
      </c>
      <c r="C1181" s="46" t="s">
        <v>67</v>
      </c>
      <c r="D1181" s="47" t="s">
        <v>55</v>
      </c>
      <c r="E1181" s="48" t="s">
        <v>101</v>
      </c>
    </row>
    <row r="1182" spans="1:5" ht="15.75" customHeight="1" x14ac:dyDescent="0.3">
      <c r="A1182" s="45" t="str">
        <f t="shared" si="4"/>
        <v>UberlândiaCuiabáNavio</v>
      </c>
      <c r="B1182" s="46" t="s">
        <v>32</v>
      </c>
      <c r="C1182" s="46" t="s">
        <v>67</v>
      </c>
      <c r="D1182" s="47" t="s">
        <v>37</v>
      </c>
      <c r="E1182" s="48" t="s">
        <v>101</v>
      </c>
    </row>
    <row r="1183" spans="1:5" ht="15.75" customHeight="1" x14ac:dyDescent="0.3">
      <c r="A1183" s="45" t="str">
        <f t="shared" si="4"/>
        <v>UberlândiaCuritibaNavio</v>
      </c>
      <c r="B1183" s="46" t="s">
        <v>32</v>
      </c>
      <c r="C1183" s="46" t="s">
        <v>67</v>
      </c>
      <c r="D1183" s="47" t="s">
        <v>56</v>
      </c>
      <c r="E1183" s="48" t="s">
        <v>101</v>
      </c>
    </row>
    <row r="1184" spans="1:5" ht="15.75" customHeight="1" x14ac:dyDescent="0.3">
      <c r="A1184" s="45" t="str">
        <f t="shared" si="4"/>
        <v>UberlândiaFortalezaNavio</v>
      </c>
      <c r="B1184" s="46" t="s">
        <v>32</v>
      </c>
      <c r="C1184" s="46" t="s">
        <v>67</v>
      </c>
      <c r="D1184" s="47" t="s">
        <v>57</v>
      </c>
      <c r="E1184" s="48" t="s">
        <v>101</v>
      </c>
    </row>
    <row r="1185" spans="1:5" ht="15.75" customHeight="1" x14ac:dyDescent="0.3">
      <c r="A1185" s="45" t="str">
        <f t="shared" si="4"/>
        <v>UberlândiaGoiâniaNavio</v>
      </c>
      <c r="B1185" s="46" t="s">
        <v>32</v>
      </c>
      <c r="C1185" s="46" t="s">
        <v>67</v>
      </c>
      <c r="D1185" s="47" t="s">
        <v>58</v>
      </c>
      <c r="E1185" s="48" t="s">
        <v>101</v>
      </c>
    </row>
    <row r="1186" spans="1:5" ht="15.75" customHeight="1" x14ac:dyDescent="0.3">
      <c r="A1186" s="45" t="str">
        <f t="shared" si="4"/>
        <v>UberlândiaJoão PessoaNavio</v>
      </c>
      <c r="B1186" s="46" t="s">
        <v>32</v>
      </c>
      <c r="C1186" s="46" t="s">
        <v>67</v>
      </c>
      <c r="D1186" s="47" t="s">
        <v>59</v>
      </c>
      <c r="E1186" s="48" t="s">
        <v>101</v>
      </c>
    </row>
    <row r="1187" spans="1:5" ht="15.75" customHeight="1" x14ac:dyDescent="0.3">
      <c r="A1187" s="45" t="str">
        <f t="shared" si="4"/>
        <v>UberlândiaJoinvilleNavio</v>
      </c>
      <c r="B1187" s="46" t="s">
        <v>32</v>
      </c>
      <c r="C1187" s="46" t="s">
        <v>67</v>
      </c>
      <c r="D1187" s="47" t="s">
        <v>28</v>
      </c>
      <c r="E1187" s="48" t="s">
        <v>101</v>
      </c>
    </row>
    <row r="1188" spans="1:5" ht="15.75" customHeight="1" x14ac:dyDescent="0.3">
      <c r="A1188" s="45" t="str">
        <f t="shared" si="4"/>
        <v>UberlândiaMaceióNavio</v>
      </c>
      <c r="B1188" s="46" t="s">
        <v>32</v>
      </c>
      <c r="C1188" s="46" t="s">
        <v>67</v>
      </c>
      <c r="D1188" s="47" t="s">
        <v>60</v>
      </c>
      <c r="E1188" s="48" t="s">
        <v>101</v>
      </c>
    </row>
    <row r="1189" spans="1:5" ht="15.75" customHeight="1" x14ac:dyDescent="0.3">
      <c r="A1189" s="45" t="str">
        <f t="shared" si="4"/>
        <v>UberlândiaManausNavio</v>
      </c>
      <c r="B1189" s="46" t="s">
        <v>32</v>
      </c>
      <c r="C1189" s="46" t="s">
        <v>67</v>
      </c>
      <c r="D1189" s="47" t="s">
        <v>23</v>
      </c>
      <c r="E1189" s="48" t="s">
        <v>101</v>
      </c>
    </row>
    <row r="1190" spans="1:5" ht="15.75" customHeight="1" x14ac:dyDescent="0.3">
      <c r="A1190" s="45" t="str">
        <f t="shared" si="4"/>
        <v>UberlândiaNatalNavio</v>
      </c>
      <c r="B1190" s="46" t="s">
        <v>32</v>
      </c>
      <c r="C1190" s="46" t="s">
        <v>67</v>
      </c>
      <c r="D1190" s="47" t="s">
        <v>61</v>
      </c>
      <c r="E1190" s="48" t="s">
        <v>101</v>
      </c>
    </row>
    <row r="1191" spans="1:5" ht="15.75" customHeight="1" x14ac:dyDescent="0.3">
      <c r="A1191" s="45" t="str">
        <f t="shared" si="4"/>
        <v>UberlândiaPorto AlegreNavio</v>
      </c>
      <c r="B1191" s="46" t="s">
        <v>32</v>
      </c>
      <c r="C1191" s="46" t="s">
        <v>67</v>
      </c>
      <c r="D1191" s="47" t="s">
        <v>44</v>
      </c>
      <c r="E1191" s="48" t="s">
        <v>101</v>
      </c>
    </row>
    <row r="1192" spans="1:5" ht="15.75" customHeight="1" x14ac:dyDescent="0.3">
      <c r="A1192" s="45" t="str">
        <f t="shared" si="4"/>
        <v>UberlândiaRecifeNavio</v>
      </c>
      <c r="B1192" s="46" t="s">
        <v>32</v>
      </c>
      <c r="C1192" s="46" t="s">
        <v>67</v>
      </c>
      <c r="D1192" s="47" t="s">
        <v>62</v>
      </c>
      <c r="E1192" s="48" t="s">
        <v>101</v>
      </c>
    </row>
    <row r="1193" spans="1:5" ht="15.75" customHeight="1" x14ac:dyDescent="0.3">
      <c r="A1193" s="45" t="str">
        <f t="shared" si="4"/>
        <v>UberlândiaRibeirão PretoNavio</v>
      </c>
      <c r="B1193" s="46" t="s">
        <v>32</v>
      </c>
      <c r="C1193" s="46" t="s">
        <v>67</v>
      </c>
      <c r="D1193" s="47" t="s">
        <v>63</v>
      </c>
      <c r="E1193" s="48" t="s">
        <v>101</v>
      </c>
    </row>
    <row r="1194" spans="1:5" ht="15.75" customHeight="1" x14ac:dyDescent="0.3">
      <c r="A1194" s="45" t="str">
        <f t="shared" si="4"/>
        <v>UberlândiaRio de JaneiroNavio</v>
      </c>
      <c r="B1194" s="46" t="s">
        <v>32</v>
      </c>
      <c r="C1194" s="46" t="s">
        <v>67</v>
      </c>
      <c r="D1194" s="47" t="s">
        <v>64</v>
      </c>
      <c r="E1194" s="48" t="s">
        <v>101</v>
      </c>
    </row>
    <row r="1195" spans="1:5" ht="15.75" customHeight="1" x14ac:dyDescent="0.3">
      <c r="A1195" s="45" t="str">
        <f t="shared" si="4"/>
        <v>UberlândiaSalvadorNavio</v>
      </c>
      <c r="B1195" s="46" t="s">
        <v>32</v>
      </c>
      <c r="C1195" s="46" t="s">
        <v>67</v>
      </c>
      <c r="D1195" s="47" t="s">
        <v>65</v>
      </c>
      <c r="E1195" s="48" t="s">
        <v>101</v>
      </c>
    </row>
    <row r="1196" spans="1:5" ht="15.75" customHeight="1" x14ac:dyDescent="0.3">
      <c r="A1196" s="45" t="str">
        <f t="shared" si="4"/>
        <v>UberlândiaSantosNavio</v>
      </c>
      <c r="B1196" s="46" t="s">
        <v>32</v>
      </c>
      <c r="C1196" s="46" t="s">
        <v>67</v>
      </c>
      <c r="D1196" s="47" t="s">
        <v>47</v>
      </c>
      <c r="E1196" s="48" t="s">
        <v>101</v>
      </c>
    </row>
    <row r="1197" spans="1:5" ht="15.75" customHeight="1" x14ac:dyDescent="0.3">
      <c r="A1197" s="45" t="str">
        <f t="shared" si="4"/>
        <v>UberlândiaSão LuísNavio</v>
      </c>
      <c r="B1197" s="46" t="s">
        <v>32</v>
      </c>
      <c r="C1197" s="46" t="s">
        <v>67</v>
      </c>
      <c r="D1197" s="47" t="s">
        <v>50</v>
      </c>
      <c r="E1197" s="48" t="s">
        <v>101</v>
      </c>
    </row>
    <row r="1198" spans="1:5" ht="15.75" customHeight="1" x14ac:dyDescent="0.3">
      <c r="A1198" s="45" t="str">
        <f t="shared" si="4"/>
        <v>UberlândiaSão PauloNavio</v>
      </c>
      <c r="B1198" s="46" t="s">
        <v>32</v>
      </c>
      <c r="C1198" s="46" t="s">
        <v>67</v>
      </c>
      <c r="D1198" s="47" t="s">
        <v>66</v>
      </c>
      <c r="E1198" s="48" t="s">
        <v>101</v>
      </c>
    </row>
    <row r="1199" spans="1:5" ht="15.75" customHeight="1" x14ac:dyDescent="0.3">
      <c r="A1199" s="45" t="str">
        <f t="shared" si="4"/>
        <v>UberlândiaUberlândiaNavio</v>
      </c>
      <c r="B1199" s="46" t="s">
        <v>32</v>
      </c>
      <c r="C1199" s="46" t="s">
        <v>67</v>
      </c>
      <c r="D1199" s="47" t="s">
        <v>67</v>
      </c>
      <c r="E1199" s="48" t="s">
        <v>101</v>
      </c>
    </row>
    <row r="1200" spans="1:5" ht="15.75" customHeight="1" x14ac:dyDescent="0.3">
      <c r="A1200" s="45" t="str">
        <f t="shared" si="4"/>
        <v>UberlândiaVitóriaNavio</v>
      </c>
      <c r="B1200" s="46" t="s">
        <v>32</v>
      </c>
      <c r="C1200" s="46" t="s">
        <v>67</v>
      </c>
      <c r="D1200" s="47" t="s">
        <v>68</v>
      </c>
      <c r="E1200" s="48" t="s">
        <v>101</v>
      </c>
    </row>
    <row r="1201" spans="1:5" ht="15.75" customHeight="1" x14ac:dyDescent="0.3">
      <c r="A1201" s="45" t="str">
        <f t="shared" si="4"/>
        <v>UberlândiaVitória da ConquistaNavio</v>
      </c>
      <c r="B1201" s="46" t="s">
        <v>32</v>
      </c>
      <c r="C1201" s="46" t="s">
        <v>67</v>
      </c>
      <c r="D1201" s="47" t="s">
        <v>49</v>
      </c>
      <c r="E1201" s="48" t="s">
        <v>101</v>
      </c>
    </row>
    <row r="1202" spans="1:5" ht="15.75" customHeight="1" x14ac:dyDescent="0.3">
      <c r="A1202" s="45" t="str">
        <f t="shared" si="4"/>
        <v>VitóriaBelémNavio</v>
      </c>
      <c r="B1202" s="46" t="s">
        <v>32</v>
      </c>
      <c r="C1202" s="46" t="s">
        <v>68</v>
      </c>
      <c r="D1202" s="47" t="s">
        <v>48</v>
      </c>
      <c r="E1202" s="48">
        <v>5</v>
      </c>
    </row>
    <row r="1203" spans="1:5" ht="15.75" customHeight="1" x14ac:dyDescent="0.3">
      <c r="A1203" s="45" t="str">
        <f t="shared" si="4"/>
        <v>VitóriaBelo HorizonteNavio</v>
      </c>
      <c r="B1203" s="46" t="s">
        <v>32</v>
      </c>
      <c r="C1203" s="46" t="s">
        <v>68</v>
      </c>
      <c r="D1203" s="47" t="s">
        <v>52</v>
      </c>
      <c r="E1203" s="48" t="s">
        <v>101</v>
      </c>
    </row>
    <row r="1204" spans="1:5" ht="15.75" customHeight="1" x14ac:dyDescent="0.3">
      <c r="A1204" s="45" t="str">
        <f t="shared" si="4"/>
        <v>VitóriaBrasíliaNavio</v>
      </c>
      <c r="B1204" s="46" t="s">
        <v>32</v>
      </c>
      <c r="C1204" s="46" t="s">
        <v>68</v>
      </c>
      <c r="D1204" s="47" t="s">
        <v>53</v>
      </c>
      <c r="E1204" s="48" t="s">
        <v>101</v>
      </c>
    </row>
    <row r="1205" spans="1:5" ht="15.75" customHeight="1" x14ac:dyDescent="0.3">
      <c r="A1205" s="45" t="str">
        <f t="shared" si="4"/>
        <v>VitóriaCampinasNavio</v>
      </c>
      <c r="B1205" s="46" t="s">
        <v>32</v>
      </c>
      <c r="C1205" s="46" t="s">
        <v>68</v>
      </c>
      <c r="D1205" s="47" t="s">
        <v>54</v>
      </c>
      <c r="E1205" s="48" t="s">
        <v>101</v>
      </c>
    </row>
    <row r="1206" spans="1:5" ht="15.75" customHeight="1" x14ac:dyDescent="0.3">
      <c r="A1206" s="45" t="str">
        <f t="shared" si="4"/>
        <v>VitóriaCampo GrandeNavio</v>
      </c>
      <c r="B1206" s="46" t="s">
        <v>32</v>
      </c>
      <c r="C1206" s="46" t="s">
        <v>68</v>
      </c>
      <c r="D1206" s="47" t="s">
        <v>55</v>
      </c>
      <c r="E1206" s="48" t="s">
        <v>101</v>
      </c>
    </row>
    <row r="1207" spans="1:5" ht="15.75" customHeight="1" x14ac:dyDescent="0.3">
      <c r="A1207" s="45" t="str">
        <f t="shared" si="4"/>
        <v>VitóriaCuiabáNavio</v>
      </c>
      <c r="B1207" s="46" t="s">
        <v>32</v>
      </c>
      <c r="C1207" s="46" t="s">
        <v>68</v>
      </c>
      <c r="D1207" s="47" t="s">
        <v>37</v>
      </c>
      <c r="E1207" s="48" t="s">
        <v>101</v>
      </c>
    </row>
    <row r="1208" spans="1:5" ht="15.75" customHeight="1" x14ac:dyDescent="0.3">
      <c r="A1208" s="45" t="str">
        <f t="shared" si="4"/>
        <v>VitóriaCuritibaNavio</v>
      </c>
      <c r="B1208" s="46" t="s">
        <v>32</v>
      </c>
      <c r="C1208" s="46" t="s">
        <v>68</v>
      </c>
      <c r="D1208" s="47" t="s">
        <v>56</v>
      </c>
      <c r="E1208" s="48">
        <v>2</v>
      </c>
    </row>
    <row r="1209" spans="1:5" ht="15.75" customHeight="1" x14ac:dyDescent="0.3">
      <c r="A1209" s="45" t="str">
        <f t="shared" si="4"/>
        <v>VitóriaFortalezaNavio</v>
      </c>
      <c r="B1209" s="46" t="s">
        <v>32</v>
      </c>
      <c r="C1209" s="46" t="s">
        <v>68</v>
      </c>
      <c r="D1209" s="47" t="s">
        <v>57</v>
      </c>
      <c r="E1209" s="48">
        <v>3</v>
      </c>
    </row>
    <row r="1210" spans="1:5" ht="15.75" customHeight="1" x14ac:dyDescent="0.3">
      <c r="A1210" s="45" t="str">
        <f t="shared" si="4"/>
        <v>VitóriaGoiâniaNavio</v>
      </c>
      <c r="B1210" s="46" t="s">
        <v>32</v>
      </c>
      <c r="C1210" s="46" t="s">
        <v>68</v>
      </c>
      <c r="D1210" s="47" t="s">
        <v>58</v>
      </c>
      <c r="E1210" s="48" t="s">
        <v>101</v>
      </c>
    </row>
    <row r="1211" spans="1:5" ht="15.75" customHeight="1" x14ac:dyDescent="0.3">
      <c r="A1211" s="45" t="str">
        <f t="shared" si="4"/>
        <v>VitóriaJoão PessoaNavio</v>
      </c>
      <c r="B1211" s="46" t="s">
        <v>32</v>
      </c>
      <c r="C1211" s="46" t="s">
        <v>68</v>
      </c>
      <c r="D1211" s="47" t="s">
        <v>59</v>
      </c>
      <c r="E1211" s="48" t="s">
        <v>101</v>
      </c>
    </row>
    <row r="1212" spans="1:5" ht="15.75" customHeight="1" x14ac:dyDescent="0.3">
      <c r="A1212" s="45" t="str">
        <f t="shared" si="4"/>
        <v>VitóriaJoinvilleNavio</v>
      </c>
      <c r="B1212" s="46" t="s">
        <v>32</v>
      </c>
      <c r="C1212" s="46" t="s">
        <v>68</v>
      </c>
      <c r="D1212" s="47" t="s">
        <v>28</v>
      </c>
      <c r="E1212" s="48" t="s">
        <v>101</v>
      </c>
    </row>
    <row r="1213" spans="1:5" ht="15.75" customHeight="1" x14ac:dyDescent="0.3">
      <c r="A1213" s="45" t="str">
        <f t="shared" si="4"/>
        <v>VitóriaMaceióNavio</v>
      </c>
      <c r="B1213" s="46" t="s">
        <v>32</v>
      </c>
      <c r="C1213" s="46" t="s">
        <v>68</v>
      </c>
      <c r="D1213" s="47" t="s">
        <v>60</v>
      </c>
      <c r="E1213" s="48">
        <v>2</v>
      </c>
    </row>
    <row r="1214" spans="1:5" ht="15.75" customHeight="1" x14ac:dyDescent="0.3">
      <c r="A1214" s="45" t="str">
        <f t="shared" si="4"/>
        <v>VitóriaManausNavio</v>
      </c>
      <c r="B1214" s="46" t="s">
        <v>32</v>
      </c>
      <c r="C1214" s="46" t="s">
        <v>68</v>
      </c>
      <c r="D1214" s="47" t="s">
        <v>23</v>
      </c>
      <c r="E1214" s="48">
        <v>7</v>
      </c>
    </row>
    <row r="1215" spans="1:5" ht="15.75" customHeight="1" x14ac:dyDescent="0.3">
      <c r="A1215" s="45" t="str">
        <f t="shared" si="4"/>
        <v>VitóriaNatalNavio</v>
      </c>
      <c r="B1215" s="46" t="s">
        <v>32</v>
      </c>
      <c r="C1215" s="46" t="s">
        <v>68</v>
      </c>
      <c r="D1215" s="47" t="s">
        <v>61</v>
      </c>
      <c r="E1215" s="48">
        <v>2</v>
      </c>
    </row>
    <row r="1216" spans="1:5" ht="15.75" customHeight="1" x14ac:dyDescent="0.3">
      <c r="A1216" s="45" t="str">
        <f t="shared" si="4"/>
        <v>VitóriaPorto AlegreNavio</v>
      </c>
      <c r="B1216" s="46" t="s">
        <v>32</v>
      </c>
      <c r="C1216" s="46" t="s">
        <v>68</v>
      </c>
      <c r="D1216" s="47" t="s">
        <v>44</v>
      </c>
      <c r="E1216" s="48">
        <v>3</v>
      </c>
    </row>
    <row r="1217" spans="1:5" ht="15.75" customHeight="1" x14ac:dyDescent="0.3">
      <c r="A1217" s="45" t="str">
        <f t="shared" si="4"/>
        <v>VitóriaRecifeNavio</v>
      </c>
      <c r="B1217" s="46" t="s">
        <v>32</v>
      </c>
      <c r="C1217" s="46" t="s">
        <v>68</v>
      </c>
      <c r="D1217" s="47" t="s">
        <v>62</v>
      </c>
      <c r="E1217" s="48">
        <v>2</v>
      </c>
    </row>
    <row r="1218" spans="1:5" ht="15.75" customHeight="1" x14ac:dyDescent="0.3">
      <c r="A1218" s="45" t="str">
        <f t="shared" si="4"/>
        <v>VitóriaRibeirão PretoNavio</v>
      </c>
      <c r="B1218" s="46" t="s">
        <v>32</v>
      </c>
      <c r="C1218" s="46" t="s">
        <v>68</v>
      </c>
      <c r="D1218" s="47" t="s">
        <v>63</v>
      </c>
      <c r="E1218" s="48" t="s">
        <v>101</v>
      </c>
    </row>
    <row r="1219" spans="1:5" ht="15.75" customHeight="1" x14ac:dyDescent="0.3">
      <c r="A1219" s="45" t="str">
        <f t="shared" si="4"/>
        <v>VitóriaRio de JaneiroNavio</v>
      </c>
      <c r="B1219" s="46" t="s">
        <v>32</v>
      </c>
      <c r="C1219" s="46" t="s">
        <v>68</v>
      </c>
      <c r="D1219" s="47" t="s">
        <v>64</v>
      </c>
      <c r="E1219" s="48">
        <v>1</v>
      </c>
    </row>
    <row r="1220" spans="1:5" ht="15.75" customHeight="1" x14ac:dyDescent="0.3">
      <c r="A1220" s="45" t="str">
        <f t="shared" si="4"/>
        <v>VitóriaSalvadorNavio</v>
      </c>
      <c r="B1220" s="46" t="s">
        <v>32</v>
      </c>
      <c r="C1220" s="46" t="s">
        <v>68</v>
      </c>
      <c r="D1220" s="47" t="s">
        <v>65</v>
      </c>
      <c r="E1220" s="48">
        <v>1</v>
      </c>
    </row>
    <row r="1221" spans="1:5" ht="15.75" customHeight="1" x14ac:dyDescent="0.3">
      <c r="A1221" s="45" t="str">
        <f t="shared" si="4"/>
        <v>VitóriaSantosNavio</v>
      </c>
      <c r="B1221" s="46" t="s">
        <v>32</v>
      </c>
      <c r="C1221" s="46" t="s">
        <v>68</v>
      </c>
      <c r="D1221" s="47" t="s">
        <v>47</v>
      </c>
      <c r="E1221" s="48">
        <v>1</v>
      </c>
    </row>
    <row r="1222" spans="1:5" ht="15.75" customHeight="1" x14ac:dyDescent="0.3">
      <c r="A1222" s="45" t="str">
        <f t="shared" si="4"/>
        <v>VitóriaSão LuísNavio</v>
      </c>
      <c r="B1222" s="46" t="s">
        <v>32</v>
      </c>
      <c r="C1222" s="46" t="s">
        <v>68</v>
      </c>
      <c r="D1222" s="47" t="s">
        <v>50</v>
      </c>
      <c r="E1222" s="48">
        <v>4</v>
      </c>
    </row>
    <row r="1223" spans="1:5" ht="15.75" customHeight="1" x14ac:dyDescent="0.3">
      <c r="A1223" s="45" t="str">
        <f t="shared" si="4"/>
        <v>VitóriaSão PauloNavio</v>
      </c>
      <c r="B1223" s="46" t="s">
        <v>32</v>
      </c>
      <c r="C1223" s="46" t="s">
        <v>68</v>
      </c>
      <c r="D1223" s="47" t="s">
        <v>66</v>
      </c>
      <c r="E1223" s="48" t="s">
        <v>101</v>
      </c>
    </row>
    <row r="1224" spans="1:5" ht="15.75" customHeight="1" x14ac:dyDescent="0.3">
      <c r="A1224" s="45" t="str">
        <f t="shared" si="4"/>
        <v>VitóriaUberlândiaNavio</v>
      </c>
      <c r="B1224" s="46" t="s">
        <v>32</v>
      </c>
      <c r="C1224" s="46" t="s">
        <v>68</v>
      </c>
      <c r="D1224" s="47" t="s">
        <v>67</v>
      </c>
      <c r="E1224" s="48" t="s">
        <v>101</v>
      </c>
    </row>
    <row r="1225" spans="1:5" ht="15.75" customHeight="1" x14ac:dyDescent="0.3">
      <c r="A1225" s="45" t="str">
        <f t="shared" si="4"/>
        <v>VitóriaVitóriaNavio</v>
      </c>
      <c r="B1225" s="46" t="s">
        <v>32</v>
      </c>
      <c r="C1225" s="46" t="s">
        <v>68</v>
      </c>
      <c r="D1225" s="47" t="s">
        <v>68</v>
      </c>
      <c r="E1225" s="48">
        <v>0</v>
      </c>
    </row>
    <row r="1226" spans="1:5" ht="15.75" customHeight="1" x14ac:dyDescent="0.3">
      <c r="A1226" s="45" t="str">
        <f t="shared" si="4"/>
        <v>VitóriaVitória da ConquistaNavio</v>
      </c>
      <c r="B1226" s="46" t="s">
        <v>32</v>
      </c>
      <c r="C1226" s="46" t="s">
        <v>68</v>
      </c>
      <c r="D1226" s="47" t="s">
        <v>49</v>
      </c>
      <c r="E1226" s="48" t="s">
        <v>101</v>
      </c>
    </row>
    <row r="1227" spans="1:5" ht="15.75" customHeight="1" x14ac:dyDescent="0.3">
      <c r="A1227" s="45" t="str">
        <f t="shared" si="4"/>
        <v>Vitória da ConquistaBelémNavio</v>
      </c>
      <c r="B1227" s="46" t="s">
        <v>32</v>
      </c>
      <c r="C1227" s="46" t="s">
        <v>49</v>
      </c>
      <c r="D1227" s="47" t="s">
        <v>48</v>
      </c>
      <c r="E1227" s="48" t="s">
        <v>101</v>
      </c>
    </row>
    <row r="1228" spans="1:5" ht="15.75" customHeight="1" x14ac:dyDescent="0.3">
      <c r="A1228" s="45" t="str">
        <f t="shared" si="4"/>
        <v>Vitória da ConquistaBelo HorizonteNavio</v>
      </c>
      <c r="B1228" s="46" t="s">
        <v>32</v>
      </c>
      <c r="C1228" s="46" t="s">
        <v>49</v>
      </c>
      <c r="D1228" s="47" t="s">
        <v>52</v>
      </c>
      <c r="E1228" s="48" t="s">
        <v>101</v>
      </c>
    </row>
    <row r="1229" spans="1:5" ht="15.75" customHeight="1" x14ac:dyDescent="0.3">
      <c r="A1229" s="45" t="str">
        <f t="shared" si="4"/>
        <v>Vitória da ConquistaBrasíliaNavio</v>
      </c>
      <c r="B1229" s="46" t="s">
        <v>32</v>
      </c>
      <c r="C1229" s="46" t="s">
        <v>49</v>
      </c>
      <c r="D1229" s="47" t="s">
        <v>53</v>
      </c>
      <c r="E1229" s="48" t="s">
        <v>101</v>
      </c>
    </row>
    <row r="1230" spans="1:5" ht="15.75" customHeight="1" x14ac:dyDescent="0.3">
      <c r="A1230" s="45" t="str">
        <f t="shared" si="4"/>
        <v>Vitória da ConquistaCampinasNavio</v>
      </c>
      <c r="B1230" s="46" t="s">
        <v>32</v>
      </c>
      <c r="C1230" s="46" t="s">
        <v>49</v>
      </c>
      <c r="D1230" s="47" t="s">
        <v>54</v>
      </c>
      <c r="E1230" s="48" t="s">
        <v>101</v>
      </c>
    </row>
    <row r="1231" spans="1:5" ht="15.75" customHeight="1" x14ac:dyDescent="0.3">
      <c r="A1231" s="45" t="str">
        <f t="shared" si="4"/>
        <v>Vitória da ConquistaCampo GrandeNavio</v>
      </c>
      <c r="B1231" s="46" t="s">
        <v>32</v>
      </c>
      <c r="C1231" s="46" t="s">
        <v>49</v>
      </c>
      <c r="D1231" s="47" t="s">
        <v>55</v>
      </c>
      <c r="E1231" s="48" t="s">
        <v>101</v>
      </c>
    </row>
    <row r="1232" spans="1:5" ht="15.75" customHeight="1" x14ac:dyDescent="0.3">
      <c r="A1232" s="45" t="str">
        <f t="shared" si="4"/>
        <v>Vitória da ConquistaCuiabáNavio</v>
      </c>
      <c r="B1232" s="46" t="s">
        <v>32</v>
      </c>
      <c r="C1232" s="46" t="s">
        <v>49</v>
      </c>
      <c r="D1232" s="47" t="s">
        <v>37</v>
      </c>
      <c r="E1232" s="48" t="s">
        <v>101</v>
      </c>
    </row>
    <row r="1233" spans="1:5" ht="15.75" customHeight="1" x14ac:dyDescent="0.3">
      <c r="A1233" s="45" t="str">
        <f t="shared" si="4"/>
        <v>Vitória da ConquistaCuritibaNavio</v>
      </c>
      <c r="B1233" s="46" t="s">
        <v>32</v>
      </c>
      <c r="C1233" s="46" t="s">
        <v>49</v>
      </c>
      <c r="D1233" s="47" t="s">
        <v>56</v>
      </c>
      <c r="E1233" s="48" t="s">
        <v>101</v>
      </c>
    </row>
    <row r="1234" spans="1:5" ht="15.75" customHeight="1" x14ac:dyDescent="0.3">
      <c r="A1234" s="45" t="str">
        <f t="shared" si="4"/>
        <v>Vitória da ConquistaFortalezaNavio</v>
      </c>
      <c r="B1234" s="46" t="s">
        <v>32</v>
      </c>
      <c r="C1234" s="46" t="s">
        <v>49</v>
      </c>
      <c r="D1234" s="47" t="s">
        <v>57</v>
      </c>
      <c r="E1234" s="48" t="s">
        <v>101</v>
      </c>
    </row>
    <row r="1235" spans="1:5" ht="15.75" customHeight="1" x14ac:dyDescent="0.3">
      <c r="A1235" s="45" t="str">
        <f t="shared" si="4"/>
        <v>Vitória da ConquistaGoiâniaNavio</v>
      </c>
      <c r="B1235" s="46" t="s">
        <v>32</v>
      </c>
      <c r="C1235" s="46" t="s">
        <v>49</v>
      </c>
      <c r="D1235" s="47" t="s">
        <v>58</v>
      </c>
      <c r="E1235" s="48" t="s">
        <v>101</v>
      </c>
    </row>
    <row r="1236" spans="1:5" ht="15.75" customHeight="1" x14ac:dyDescent="0.3">
      <c r="A1236" s="45" t="str">
        <f t="shared" si="4"/>
        <v>Vitória da ConquistaJoão PessoaNavio</v>
      </c>
      <c r="B1236" s="46" t="s">
        <v>32</v>
      </c>
      <c r="C1236" s="46" t="s">
        <v>49</v>
      </c>
      <c r="D1236" s="47" t="s">
        <v>59</v>
      </c>
      <c r="E1236" s="48" t="s">
        <v>101</v>
      </c>
    </row>
    <row r="1237" spans="1:5" ht="15.75" customHeight="1" x14ac:dyDescent="0.3">
      <c r="A1237" s="45" t="str">
        <f t="shared" si="4"/>
        <v>Vitória da ConquistaJoinvilleNavio</v>
      </c>
      <c r="B1237" s="46" t="s">
        <v>32</v>
      </c>
      <c r="C1237" s="46" t="s">
        <v>49</v>
      </c>
      <c r="D1237" s="47" t="s">
        <v>28</v>
      </c>
      <c r="E1237" s="48" t="s">
        <v>101</v>
      </c>
    </row>
    <row r="1238" spans="1:5" ht="15.75" customHeight="1" x14ac:dyDescent="0.3">
      <c r="A1238" s="45" t="str">
        <f t="shared" si="4"/>
        <v>Vitória da ConquistaMaceióNavio</v>
      </c>
      <c r="B1238" s="46" t="s">
        <v>32</v>
      </c>
      <c r="C1238" s="46" t="s">
        <v>49</v>
      </c>
      <c r="D1238" s="47" t="s">
        <v>60</v>
      </c>
      <c r="E1238" s="48" t="s">
        <v>101</v>
      </c>
    </row>
    <row r="1239" spans="1:5" ht="15.75" customHeight="1" x14ac:dyDescent="0.3">
      <c r="A1239" s="45" t="str">
        <f t="shared" si="4"/>
        <v>Vitória da ConquistaManausNavio</v>
      </c>
      <c r="B1239" s="46" t="s">
        <v>32</v>
      </c>
      <c r="C1239" s="46" t="s">
        <v>49</v>
      </c>
      <c r="D1239" s="47" t="s">
        <v>23</v>
      </c>
      <c r="E1239" s="48" t="s">
        <v>101</v>
      </c>
    </row>
    <row r="1240" spans="1:5" ht="15.75" customHeight="1" x14ac:dyDescent="0.3">
      <c r="A1240" s="45" t="str">
        <f t="shared" si="4"/>
        <v>Vitória da ConquistaNatalNavio</v>
      </c>
      <c r="B1240" s="46" t="s">
        <v>32</v>
      </c>
      <c r="C1240" s="46" t="s">
        <v>49</v>
      </c>
      <c r="D1240" s="47" t="s">
        <v>61</v>
      </c>
      <c r="E1240" s="48" t="s">
        <v>101</v>
      </c>
    </row>
    <row r="1241" spans="1:5" ht="15.75" customHeight="1" x14ac:dyDescent="0.3">
      <c r="A1241" s="45" t="str">
        <f t="shared" si="4"/>
        <v>Vitória da ConquistaPorto AlegreNavio</v>
      </c>
      <c r="B1241" s="46" t="s">
        <v>32</v>
      </c>
      <c r="C1241" s="46" t="s">
        <v>49</v>
      </c>
      <c r="D1241" s="47" t="s">
        <v>44</v>
      </c>
      <c r="E1241" s="48" t="s">
        <v>101</v>
      </c>
    </row>
    <row r="1242" spans="1:5" ht="15.75" customHeight="1" x14ac:dyDescent="0.3">
      <c r="A1242" s="45" t="str">
        <f t="shared" si="4"/>
        <v>Vitória da ConquistaRecifeNavio</v>
      </c>
      <c r="B1242" s="46" t="s">
        <v>32</v>
      </c>
      <c r="C1242" s="46" t="s">
        <v>49</v>
      </c>
      <c r="D1242" s="47" t="s">
        <v>62</v>
      </c>
      <c r="E1242" s="48" t="s">
        <v>101</v>
      </c>
    </row>
    <row r="1243" spans="1:5" ht="15.75" customHeight="1" x14ac:dyDescent="0.3">
      <c r="A1243" s="45" t="str">
        <f t="shared" si="4"/>
        <v>Vitória da ConquistaRibeirão PretoNavio</v>
      </c>
      <c r="B1243" s="46" t="s">
        <v>32</v>
      </c>
      <c r="C1243" s="46" t="s">
        <v>49</v>
      </c>
      <c r="D1243" s="47" t="s">
        <v>63</v>
      </c>
      <c r="E1243" s="48" t="s">
        <v>101</v>
      </c>
    </row>
    <row r="1244" spans="1:5" ht="15.75" customHeight="1" x14ac:dyDescent="0.3">
      <c r="A1244" s="45" t="str">
        <f t="shared" si="4"/>
        <v>Vitória da ConquistaRio de JaneiroNavio</v>
      </c>
      <c r="B1244" s="46" t="s">
        <v>32</v>
      </c>
      <c r="C1244" s="46" t="s">
        <v>49</v>
      </c>
      <c r="D1244" s="47" t="s">
        <v>64</v>
      </c>
      <c r="E1244" s="48" t="s">
        <v>101</v>
      </c>
    </row>
    <row r="1245" spans="1:5" ht="15.75" customHeight="1" x14ac:dyDescent="0.3">
      <c r="A1245" s="45" t="str">
        <f t="shared" si="4"/>
        <v>Vitória da ConquistaSalvadorNavio</v>
      </c>
      <c r="B1245" s="46" t="s">
        <v>32</v>
      </c>
      <c r="C1245" s="46" t="s">
        <v>49</v>
      </c>
      <c r="D1245" s="47" t="s">
        <v>65</v>
      </c>
      <c r="E1245" s="48" t="s">
        <v>101</v>
      </c>
    </row>
    <row r="1246" spans="1:5" ht="15.75" customHeight="1" x14ac:dyDescent="0.3">
      <c r="A1246" s="45" t="str">
        <f t="shared" si="4"/>
        <v>Vitória da ConquistaSantosNavio</v>
      </c>
      <c r="B1246" s="46" t="s">
        <v>32</v>
      </c>
      <c r="C1246" s="46" t="s">
        <v>49</v>
      </c>
      <c r="D1246" s="47" t="s">
        <v>47</v>
      </c>
      <c r="E1246" s="48" t="s">
        <v>101</v>
      </c>
    </row>
    <row r="1247" spans="1:5" ht="15.75" customHeight="1" x14ac:dyDescent="0.3">
      <c r="A1247" s="45" t="str">
        <f t="shared" si="4"/>
        <v>Vitória da ConquistaSão LuísNavio</v>
      </c>
      <c r="B1247" s="46" t="s">
        <v>32</v>
      </c>
      <c r="C1247" s="46" t="s">
        <v>49</v>
      </c>
      <c r="D1247" s="47" t="s">
        <v>50</v>
      </c>
      <c r="E1247" s="48" t="s">
        <v>101</v>
      </c>
    </row>
    <row r="1248" spans="1:5" ht="15.75" customHeight="1" x14ac:dyDescent="0.3">
      <c r="A1248" s="45" t="str">
        <f t="shared" si="4"/>
        <v>Vitória da ConquistaSão PauloNavio</v>
      </c>
      <c r="B1248" s="46" t="s">
        <v>32</v>
      </c>
      <c r="C1248" s="46" t="s">
        <v>49</v>
      </c>
      <c r="D1248" s="47" t="s">
        <v>66</v>
      </c>
      <c r="E1248" s="48" t="s">
        <v>101</v>
      </c>
    </row>
    <row r="1249" spans="1:5" ht="15.75" customHeight="1" x14ac:dyDescent="0.3">
      <c r="A1249" s="45" t="str">
        <f t="shared" si="4"/>
        <v>Vitória da ConquistaUberlândiaNavio</v>
      </c>
      <c r="B1249" s="46" t="s">
        <v>32</v>
      </c>
      <c r="C1249" s="46" t="s">
        <v>49</v>
      </c>
      <c r="D1249" s="47" t="s">
        <v>67</v>
      </c>
      <c r="E1249" s="48" t="s">
        <v>101</v>
      </c>
    </row>
    <row r="1250" spans="1:5" ht="15.75" customHeight="1" x14ac:dyDescent="0.3">
      <c r="A1250" s="45" t="str">
        <f t="shared" si="4"/>
        <v>Vitória da ConquistaVitóriaNavio</v>
      </c>
      <c r="B1250" s="46" t="s">
        <v>32</v>
      </c>
      <c r="C1250" s="46" t="s">
        <v>49</v>
      </c>
      <c r="D1250" s="47" t="s">
        <v>68</v>
      </c>
      <c r="E1250" s="48" t="s">
        <v>101</v>
      </c>
    </row>
    <row r="1251" spans="1:5" ht="15.75" customHeight="1" x14ac:dyDescent="0.3">
      <c r="A1251" s="45" t="str">
        <f t="shared" si="4"/>
        <v>Vitória da ConquistaVitória da ConquistaNavio</v>
      </c>
      <c r="B1251" s="46" t="s">
        <v>32</v>
      </c>
      <c r="C1251" s="46" t="s">
        <v>49</v>
      </c>
      <c r="D1251" s="47" t="s">
        <v>49</v>
      </c>
      <c r="E1251" s="48" t="s">
        <v>101</v>
      </c>
    </row>
    <row r="1252" spans="1:5" ht="15.75" customHeight="1" x14ac:dyDescent="0.3">
      <c r="A1252" s="45" t="str">
        <f t="shared" si="4"/>
        <v>BelémBelémAvião</v>
      </c>
      <c r="B1252" s="46" t="s">
        <v>31</v>
      </c>
      <c r="C1252" s="47" t="s">
        <v>48</v>
      </c>
      <c r="D1252" s="47" t="s">
        <v>48</v>
      </c>
      <c r="E1252" s="48">
        <v>0</v>
      </c>
    </row>
    <row r="1253" spans="1:5" ht="15.75" customHeight="1" x14ac:dyDescent="0.3">
      <c r="A1253" s="45" t="str">
        <f t="shared" si="4"/>
        <v>BelémBelo HorizonteAvião</v>
      </c>
      <c r="B1253" s="46" t="s">
        <v>31</v>
      </c>
      <c r="C1253" s="47" t="s">
        <v>48</v>
      </c>
      <c r="D1253" s="47" t="s">
        <v>52</v>
      </c>
      <c r="E1253" s="48">
        <v>0</v>
      </c>
    </row>
    <row r="1254" spans="1:5" ht="15.75" customHeight="1" x14ac:dyDescent="0.3">
      <c r="A1254" s="45" t="str">
        <f t="shared" si="4"/>
        <v>BelémBrasíliaAvião</v>
      </c>
      <c r="B1254" s="46" t="s">
        <v>31</v>
      </c>
      <c r="C1254" s="47" t="s">
        <v>48</v>
      </c>
      <c r="D1254" s="47" t="s">
        <v>53</v>
      </c>
      <c r="E1254" s="48">
        <v>0</v>
      </c>
    </row>
    <row r="1255" spans="1:5" ht="15.75" customHeight="1" x14ac:dyDescent="0.3">
      <c r="A1255" s="45" t="str">
        <f t="shared" si="4"/>
        <v>BelémCampinasAvião</v>
      </c>
      <c r="B1255" s="46" t="s">
        <v>31</v>
      </c>
      <c r="C1255" s="47" t="s">
        <v>48</v>
      </c>
      <c r="D1255" s="47" t="s">
        <v>54</v>
      </c>
      <c r="E1255" s="48">
        <v>0</v>
      </c>
    </row>
    <row r="1256" spans="1:5" ht="15.75" customHeight="1" x14ac:dyDescent="0.3">
      <c r="A1256" s="45" t="str">
        <f t="shared" si="4"/>
        <v>BelémCampo GrandeAvião</v>
      </c>
      <c r="B1256" s="46" t="s">
        <v>31</v>
      </c>
      <c r="C1256" s="47" t="s">
        <v>48</v>
      </c>
      <c r="D1256" s="47" t="s">
        <v>55</v>
      </c>
      <c r="E1256" s="48">
        <v>0</v>
      </c>
    </row>
    <row r="1257" spans="1:5" ht="15.75" customHeight="1" x14ac:dyDescent="0.3">
      <c r="A1257" s="45" t="str">
        <f t="shared" si="4"/>
        <v>BelémCuiabáAvião</v>
      </c>
      <c r="B1257" s="46" t="s">
        <v>31</v>
      </c>
      <c r="C1257" s="47" t="s">
        <v>48</v>
      </c>
      <c r="D1257" s="47" t="s">
        <v>37</v>
      </c>
      <c r="E1257" s="48">
        <v>0</v>
      </c>
    </row>
    <row r="1258" spans="1:5" ht="15.75" customHeight="1" x14ac:dyDescent="0.3">
      <c r="A1258" s="45" t="str">
        <f t="shared" si="4"/>
        <v>BelémCuritibaAvião</v>
      </c>
      <c r="B1258" s="46" t="s">
        <v>31</v>
      </c>
      <c r="C1258" s="47" t="s">
        <v>48</v>
      </c>
      <c r="D1258" s="47" t="s">
        <v>56</v>
      </c>
      <c r="E1258" s="48">
        <v>0</v>
      </c>
    </row>
    <row r="1259" spans="1:5" ht="15.75" customHeight="1" x14ac:dyDescent="0.3">
      <c r="A1259" s="45" t="str">
        <f t="shared" si="4"/>
        <v>BelémFortalezaAvião</v>
      </c>
      <c r="B1259" s="46" t="s">
        <v>31</v>
      </c>
      <c r="C1259" s="47" t="s">
        <v>48</v>
      </c>
      <c r="D1259" s="47" t="s">
        <v>57</v>
      </c>
      <c r="E1259" s="48">
        <v>0</v>
      </c>
    </row>
    <row r="1260" spans="1:5" ht="15.75" customHeight="1" x14ac:dyDescent="0.3">
      <c r="A1260" s="45" t="str">
        <f t="shared" si="4"/>
        <v>BelémGoiâniaAvião</v>
      </c>
      <c r="B1260" s="46" t="s">
        <v>31</v>
      </c>
      <c r="C1260" s="47" t="s">
        <v>48</v>
      </c>
      <c r="D1260" s="47" t="s">
        <v>58</v>
      </c>
      <c r="E1260" s="48">
        <v>0</v>
      </c>
    </row>
    <row r="1261" spans="1:5" ht="15.75" customHeight="1" x14ac:dyDescent="0.3">
      <c r="A1261" s="45" t="str">
        <f t="shared" si="4"/>
        <v>BelémJoão PessoaAvião</v>
      </c>
      <c r="B1261" s="46" t="s">
        <v>31</v>
      </c>
      <c r="C1261" s="47" t="s">
        <v>48</v>
      </c>
      <c r="D1261" s="47" t="s">
        <v>59</v>
      </c>
      <c r="E1261" s="48">
        <v>0</v>
      </c>
    </row>
    <row r="1262" spans="1:5" ht="15.75" customHeight="1" x14ac:dyDescent="0.3">
      <c r="A1262" s="45" t="str">
        <f t="shared" si="4"/>
        <v>BelémJoinvilleAvião</v>
      </c>
      <c r="B1262" s="46" t="s">
        <v>31</v>
      </c>
      <c r="C1262" s="47" t="s">
        <v>48</v>
      </c>
      <c r="D1262" s="47" t="s">
        <v>28</v>
      </c>
      <c r="E1262" s="48">
        <v>0</v>
      </c>
    </row>
    <row r="1263" spans="1:5" ht="15.75" customHeight="1" x14ac:dyDescent="0.3">
      <c r="A1263" s="45" t="str">
        <f t="shared" si="4"/>
        <v>BelémMaceióAvião</v>
      </c>
      <c r="B1263" s="46" t="s">
        <v>31</v>
      </c>
      <c r="C1263" s="47" t="s">
        <v>48</v>
      </c>
      <c r="D1263" s="47" t="s">
        <v>60</v>
      </c>
      <c r="E1263" s="48">
        <v>0</v>
      </c>
    </row>
    <row r="1264" spans="1:5" ht="15.75" customHeight="1" x14ac:dyDescent="0.3">
      <c r="A1264" s="45" t="str">
        <f t="shared" si="4"/>
        <v>BelémManausAvião</v>
      </c>
      <c r="B1264" s="46" t="s">
        <v>31</v>
      </c>
      <c r="C1264" s="47" t="s">
        <v>48</v>
      </c>
      <c r="D1264" s="47" t="s">
        <v>23</v>
      </c>
      <c r="E1264" s="48">
        <v>0</v>
      </c>
    </row>
    <row r="1265" spans="1:5" ht="15.75" customHeight="1" x14ac:dyDescent="0.3">
      <c r="A1265" s="45" t="str">
        <f t="shared" si="4"/>
        <v>BelémNatalAvião</v>
      </c>
      <c r="B1265" s="46" t="s">
        <v>31</v>
      </c>
      <c r="C1265" s="47" t="s">
        <v>48</v>
      </c>
      <c r="D1265" s="47" t="s">
        <v>61</v>
      </c>
      <c r="E1265" s="48">
        <v>0</v>
      </c>
    </row>
    <row r="1266" spans="1:5" ht="15.75" customHeight="1" x14ac:dyDescent="0.3">
      <c r="A1266" s="45" t="str">
        <f t="shared" si="4"/>
        <v>BelémPorto AlegreAvião</v>
      </c>
      <c r="B1266" s="46" t="s">
        <v>31</v>
      </c>
      <c r="C1266" s="47" t="s">
        <v>48</v>
      </c>
      <c r="D1266" s="47" t="s">
        <v>44</v>
      </c>
      <c r="E1266" s="48">
        <v>0</v>
      </c>
    </row>
    <row r="1267" spans="1:5" ht="15.75" customHeight="1" x14ac:dyDescent="0.3">
      <c r="A1267" s="45" t="str">
        <f t="shared" si="4"/>
        <v>BelémRecifeAvião</v>
      </c>
      <c r="B1267" s="46" t="s">
        <v>31</v>
      </c>
      <c r="C1267" s="47" t="s">
        <v>48</v>
      </c>
      <c r="D1267" s="47" t="s">
        <v>62</v>
      </c>
      <c r="E1267" s="48">
        <v>0</v>
      </c>
    </row>
    <row r="1268" spans="1:5" ht="15.75" customHeight="1" x14ac:dyDescent="0.3">
      <c r="A1268" s="45" t="str">
        <f t="shared" si="4"/>
        <v>BelémRibeirão PretoAvião</v>
      </c>
      <c r="B1268" s="46" t="s">
        <v>31</v>
      </c>
      <c r="C1268" s="47" t="s">
        <v>48</v>
      </c>
      <c r="D1268" s="47" t="s">
        <v>63</v>
      </c>
      <c r="E1268" s="48">
        <v>0</v>
      </c>
    </row>
    <row r="1269" spans="1:5" ht="15.75" customHeight="1" x14ac:dyDescent="0.3">
      <c r="A1269" s="45" t="str">
        <f t="shared" si="4"/>
        <v>BelémRio de JaneiroAvião</v>
      </c>
      <c r="B1269" s="46" t="s">
        <v>31</v>
      </c>
      <c r="C1269" s="47" t="s">
        <v>48</v>
      </c>
      <c r="D1269" s="47" t="s">
        <v>64</v>
      </c>
      <c r="E1269" s="48">
        <v>0</v>
      </c>
    </row>
    <row r="1270" spans="1:5" ht="15.75" customHeight="1" x14ac:dyDescent="0.3">
      <c r="A1270" s="45" t="str">
        <f t="shared" si="4"/>
        <v>BelémSalvadorAvião</v>
      </c>
      <c r="B1270" s="46" t="s">
        <v>31</v>
      </c>
      <c r="C1270" s="47" t="s">
        <v>48</v>
      </c>
      <c r="D1270" s="47" t="s">
        <v>65</v>
      </c>
      <c r="E1270" s="48">
        <v>0</v>
      </c>
    </row>
    <row r="1271" spans="1:5" ht="15.75" customHeight="1" x14ac:dyDescent="0.3">
      <c r="A1271" s="45" t="str">
        <f t="shared" si="4"/>
        <v>BelémSantosAvião</v>
      </c>
      <c r="B1271" s="46" t="s">
        <v>31</v>
      </c>
      <c r="C1271" s="47" t="s">
        <v>48</v>
      </c>
      <c r="D1271" s="47" t="s">
        <v>47</v>
      </c>
      <c r="E1271" s="48">
        <v>0</v>
      </c>
    </row>
    <row r="1272" spans="1:5" ht="15.75" customHeight="1" x14ac:dyDescent="0.3">
      <c r="A1272" s="45" t="str">
        <f t="shared" si="4"/>
        <v>BelémSão LuísAvião</v>
      </c>
      <c r="B1272" s="46" t="s">
        <v>31</v>
      </c>
      <c r="C1272" s="47" t="s">
        <v>48</v>
      </c>
      <c r="D1272" s="47" t="s">
        <v>50</v>
      </c>
      <c r="E1272" s="48">
        <v>0</v>
      </c>
    </row>
    <row r="1273" spans="1:5" ht="15.75" customHeight="1" x14ac:dyDescent="0.3">
      <c r="A1273" s="45" t="str">
        <f t="shared" si="4"/>
        <v>BelémSão PauloAvião</v>
      </c>
      <c r="B1273" s="46" t="s">
        <v>31</v>
      </c>
      <c r="C1273" s="47" t="s">
        <v>48</v>
      </c>
      <c r="D1273" s="47" t="s">
        <v>66</v>
      </c>
      <c r="E1273" s="48">
        <v>0</v>
      </c>
    </row>
    <row r="1274" spans="1:5" ht="15.75" customHeight="1" x14ac:dyDescent="0.3">
      <c r="A1274" s="45" t="str">
        <f t="shared" si="4"/>
        <v>BelémUberlândiaAvião</v>
      </c>
      <c r="B1274" s="46" t="s">
        <v>31</v>
      </c>
      <c r="C1274" s="47" t="s">
        <v>48</v>
      </c>
      <c r="D1274" s="47" t="s">
        <v>67</v>
      </c>
      <c r="E1274" s="48">
        <v>0</v>
      </c>
    </row>
    <row r="1275" spans="1:5" ht="15.75" customHeight="1" x14ac:dyDescent="0.3">
      <c r="A1275" s="45" t="str">
        <f t="shared" si="4"/>
        <v>BelémVitóriaAvião</v>
      </c>
      <c r="B1275" s="46" t="s">
        <v>31</v>
      </c>
      <c r="C1275" s="47" t="s">
        <v>48</v>
      </c>
      <c r="D1275" s="47" t="s">
        <v>68</v>
      </c>
      <c r="E1275" s="48">
        <v>0</v>
      </c>
    </row>
    <row r="1276" spans="1:5" ht="15.75" customHeight="1" x14ac:dyDescent="0.3">
      <c r="A1276" s="45" t="str">
        <f t="shared" si="4"/>
        <v>BelémVitória da ConquistaAvião</v>
      </c>
      <c r="B1276" s="46" t="s">
        <v>31</v>
      </c>
      <c r="C1276" s="47" t="s">
        <v>48</v>
      </c>
      <c r="D1276" s="47" t="s">
        <v>49</v>
      </c>
      <c r="E1276" s="48">
        <v>0</v>
      </c>
    </row>
    <row r="1277" spans="1:5" ht="15.75" customHeight="1" x14ac:dyDescent="0.3">
      <c r="A1277" s="45" t="str">
        <f t="shared" ref="A1277:A1531" si="5">C1277&amp;D1277&amp;B1277</f>
        <v>Belo HorizonteBelémAvião</v>
      </c>
      <c r="B1277" s="46" t="s">
        <v>31</v>
      </c>
      <c r="C1277" s="46" t="s">
        <v>52</v>
      </c>
      <c r="D1277" s="47" t="s">
        <v>48</v>
      </c>
      <c r="E1277" s="48">
        <v>0</v>
      </c>
    </row>
    <row r="1278" spans="1:5" ht="15.75" customHeight="1" x14ac:dyDescent="0.3">
      <c r="A1278" s="45" t="str">
        <f t="shared" si="5"/>
        <v>Belo HorizonteBelo HorizonteAvião</v>
      </c>
      <c r="B1278" s="46" t="s">
        <v>31</v>
      </c>
      <c r="C1278" s="46" t="s">
        <v>52</v>
      </c>
      <c r="D1278" s="47" t="s">
        <v>52</v>
      </c>
      <c r="E1278" s="48">
        <v>0</v>
      </c>
    </row>
    <row r="1279" spans="1:5" ht="15.75" customHeight="1" x14ac:dyDescent="0.3">
      <c r="A1279" s="45" t="str">
        <f t="shared" si="5"/>
        <v>Belo HorizonteBrasíliaAvião</v>
      </c>
      <c r="B1279" s="46" t="s">
        <v>31</v>
      </c>
      <c r="C1279" s="46" t="s">
        <v>52</v>
      </c>
      <c r="D1279" s="47" t="s">
        <v>53</v>
      </c>
      <c r="E1279" s="48">
        <v>0</v>
      </c>
    </row>
    <row r="1280" spans="1:5" ht="15.75" customHeight="1" x14ac:dyDescent="0.3">
      <c r="A1280" s="45" t="str">
        <f t="shared" si="5"/>
        <v>Belo HorizonteCampinasAvião</v>
      </c>
      <c r="B1280" s="46" t="s">
        <v>31</v>
      </c>
      <c r="C1280" s="46" t="s">
        <v>52</v>
      </c>
      <c r="D1280" s="47" t="s">
        <v>54</v>
      </c>
      <c r="E1280" s="48">
        <v>0</v>
      </c>
    </row>
    <row r="1281" spans="1:5" ht="15.75" customHeight="1" x14ac:dyDescent="0.3">
      <c r="A1281" s="45" t="str">
        <f t="shared" si="5"/>
        <v>Belo HorizonteCampo GrandeAvião</v>
      </c>
      <c r="B1281" s="46" t="s">
        <v>31</v>
      </c>
      <c r="C1281" s="46" t="s">
        <v>52</v>
      </c>
      <c r="D1281" s="47" t="s">
        <v>55</v>
      </c>
      <c r="E1281" s="48">
        <v>0</v>
      </c>
    </row>
    <row r="1282" spans="1:5" ht="15.75" customHeight="1" x14ac:dyDescent="0.3">
      <c r="A1282" s="45" t="str">
        <f t="shared" si="5"/>
        <v>Belo HorizonteCuiabáAvião</v>
      </c>
      <c r="B1282" s="46" t="s">
        <v>31</v>
      </c>
      <c r="C1282" s="46" t="s">
        <v>52</v>
      </c>
      <c r="D1282" s="47" t="s">
        <v>37</v>
      </c>
      <c r="E1282" s="48">
        <v>0</v>
      </c>
    </row>
    <row r="1283" spans="1:5" ht="15.75" customHeight="1" x14ac:dyDescent="0.3">
      <c r="A1283" s="45" t="str">
        <f t="shared" si="5"/>
        <v>Belo HorizonteCuritibaAvião</v>
      </c>
      <c r="B1283" s="46" t="s">
        <v>31</v>
      </c>
      <c r="C1283" s="46" t="s">
        <v>52</v>
      </c>
      <c r="D1283" s="47" t="s">
        <v>56</v>
      </c>
      <c r="E1283" s="48">
        <v>0</v>
      </c>
    </row>
    <row r="1284" spans="1:5" ht="15.75" customHeight="1" x14ac:dyDescent="0.3">
      <c r="A1284" s="45" t="str">
        <f t="shared" si="5"/>
        <v>Belo HorizonteFortalezaAvião</v>
      </c>
      <c r="B1284" s="46" t="s">
        <v>31</v>
      </c>
      <c r="C1284" s="46" t="s">
        <v>52</v>
      </c>
      <c r="D1284" s="47" t="s">
        <v>57</v>
      </c>
      <c r="E1284" s="48">
        <v>0</v>
      </c>
    </row>
    <row r="1285" spans="1:5" ht="15.75" customHeight="1" x14ac:dyDescent="0.3">
      <c r="A1285" s="45" t="str">
        <f t="shared" si="5"/>
        <v>Belo HorizonteGoiâniaAvião</v>
      </c>
      <c r="B1285" s="46" t="s">
        <v>31</v>
      </c>
      <c r="C1285" s="46" t="s">
        <v>52</v>
      </c>
      <c r="D1285" s="47" t="s">
        <v>58</v>
      </c>
      <c r="E1285" s="48">
        <v>0</v>
      </c>
    </row>
    <row r="1286" spans="1:5" ht="15.75" customHeight="1" x14ac:dyDescent="0.3">
      <c r="A1286" s="45" t="str">
        <f t="shared" si="5"/>
        <v>Belo HorizonteJoão PessoaAvião</v>
      </c>
      <c r="B1286" s="46" t="s">
        <v>31</v>
      </c>
      <c r="C1286" s="46" t="s">
        <v>52</v>
      </c>
      <c r="D1286" s="47" t="s">
        <v>59</v>
      </c>
      <c r="E1286" s="48">
        <v>0</v>
      </c>
    </row>
    <row r="1287" spans="1:5" ht="15.75" customHeight="1" x14ac:dyDescent="0.3">
      <c r="A1287" s="45" t="str">
        <f t="shared" si="5"/>
        <v>Belo HorizonteJoinvilleAvião</v>
      </c>
      <c r="B1287" s="46" t="s">
        <v>31</v>
      </c>
      <c r="C1287" s="46" t="s">
        <v>52</v>
      </c>
      <c r="D1287" s="47" t="s">
        <v>28</v>
      </c>
      <c r="E1287" s="48">
        <v>0</v>
      </c>
    </row>
    <row r="1288" spans="1:5" ht="15.75" customHeight="1" x14ac:dyDescent="0.3">
      <c r="A1288" s="45" t="str">
        <f t="shared" si="5"/>
        <v>Belo HorizonteMaceióAvião</v>
      </c>
      <c r="B1288" s="46" t="s">
        <v>31</v>
      </c>
      <c r="C1288" s="46" t="s">
        <v>52</v>
      </c>
      <c r="D1288" s="47" t="s">
        <v>60</v>
      </c>
      <c r="E1288" s="48">
        <v>0</v>
      </c>
    </row>
    <row r="1289" spans="1:5" ht="15.75" customHeight="1" x14ac:dyDescent="0.3">
      <c r="A1289" s="45" t="str">
        <f t="shared" si="5"/>
        <v>Belo HorizonteManausAvião</v>
      </c>
      <c r="B1289" s="46" t="s">
        <v>31</v>
      </c>
      <c r="C1289" s="46" t="s">
        <v>52</v>
      </c>
      <c r="D1289" s="47" t="s">
        <v>23</v>
      </c>
      <c r="E1289" s="48">
        <v>0</v>
      </c>
    </row>
    <row r="1290" spans="1:5" ht="15.75" customHeight="1" x14ac:dyDescent="0.3">
      <c r="A1290" s="45" t="str">
        <f t="shared" si="5"/>
        <v>Belo HorizonteNatalAvião</v>
      </c>
      <c r="B1290" s="46" t="s">
        <v>31</v>
      </c>
      <c r="C1290" s="46" t="s">
        <v>52</v>
      </c>
      <c r="D1290" s="47" t="s">
        <v>61</v>
      </c>
      <c r="E1290" s="48">
        <v>0</v>
      </c>
    </row>
    <row r="1291" spans="1:5" ht="15.75" customHeight="1" x14ac:dyDescent="0.3">
      <c r="A1291" s="45" t="str">
        <f t="shared" si="5"/>
        <v>Belo HorizontePorto AlegreAvião</v>
      </c>
      <c r="B1291" s="46" t="s">
        <v>31</v>
      </c>
      <c r="C1291" s="46" t="s">
        <v>52</v>
      </c>
      <c r="D1291" s="47" t="s">
        <v>44</v>
      </c>
      <c r="E1291" s="48">
        <v>0</v>
      </c>
    </row>
    <row r="1292" spans="1:5" ht="15.75" customHeight="1" x14ac:dyDescent="0.3">
      <c r="A1292" s="45" t="str">
        <f t="shared" si="5"/>
        <v>Belo HorizonteRecifeAvião</v>
      </c>
      <c r="B1292" s="46" t="s">
        <v>31</v>
      </c>
      <c r="C1292" s="46" t="s">
        <v>52</v>
      </c>
      <c r="D1292" s="47" t="s">
        <v>62</v>
      </c>
      <c r="E1292" s="48">
        <v>0</v>
      </c>
    </row>
    <row r="1293" spans="1:5" ht="15.75" customHeight="1" x14ac:dyDescent="0.3">
      <c r="A1293" s="45" t="str">
        <f t="shared" si="5"/>
        <v>Belo HorizonteRibeirão PretoAvião</v>
      </c>
      <c r="B1293" s="46" t="s">
        <v>31</v>
      </c>
      <c r="C1293" s="46" t="s">
        <v>52</v>
      </c>
      <c r="D1293" s="47" t="s">
        <v>63</v>
      </c>
      <c r="E1293" s="48">
        <v>0</v>
      </c>
    </row>
    <row r="1294" spans="1:5" ht="15.75" customHeight="1" x14ac:dyDescent="0.3">
      <c r="A1294" s="45" t="str">
        <f t="shared" si="5"/>
        <v>Belo HorizonteRio de JaneiroAvião</v>
      </c>
      <c r="B1294" s="46" t="s">
        <v>31</v>
      </c>
      <c r="C1294" s="46" t="s">
        <v>52</v>
      </c>
      <c r="D1294" s="47" t="s">
        <v>64</v>
      </c>
      <c r="E1294" s="48">
        <v>0</v>
      </c>
    </row>
    <row r="1295" spans="1:5" ht="15.75" customHeight="1" x14ac:dyDescent="0.3">
      <c r="A1295" s="45" t="str">
        <f t="shared" si="5"/>
        <v>Belo HorizonteSalvadorAvião</v>
      </c>
      <c r="B1295" s="46" t="s">
        <v>31</v>
      </c>
      <c r="C1295" s="46" t="s">
        <v>52</v>
      </c>
      <c r="D1295" s="47" t="s">
        <v>65</v>
      </c>
      <c r="E1295" s="48">
        <v>0</v>
      </c>
    </row>
    <row r="1296" spans="1:5" ht="15.75" customHeight="1" x14ac:dyDescent="0.3">
      <c r="A1296" s="45" t="str">
        <f t="shared" si="5"/>
        <v>Belo HorizonteSantosAvião</v>
      </c>
      <c r="B1296" s="46" t="s">
        <v>31</v>
      </c>
      <c r="C1296" s="46" t="s">
        <v>52</v>
      </c>
      <c r="D1296" s="47" t="s">
        <v>47</v>
      </c>
      <c r="E1296" s="48">
        <v>0</v>
      </c>
    </row>
    <row r="1297" spans="1:5" ht="15.75" customHeight="1" x14ac:dyDescent="0.3">
      <c r="A1297" s="45" t="str">
        <f t="shared" si="5"/>
        <v>Belo HorizonteSão LuísAvião</v>
      </c>
      <c r="B1297" s="46" t="s">
        <v>31</v>
      </c>
      <c r="C1297" s="46" t="s">
        <v>52</v>
      </c>
      <c r="D1297" s="47" t="s">
        <v>50</v>
      </c>
      <c r="E1297" s="48">
        <v>0</v>
      </c>
    </row>
    <row r="1298" spans="1:5" ht="15.75" customHeight="1" x14ac:dyDescent="0.3">
      <c r="A1298" s="45" t="str">
        <f t="shared" si="5"/>
        <v>Belo HorizonteSão PauloAvião</v>
      </c>
      <c r="B1298" s="46" t="s">
        <v>31</v>
      </c>
      <c r="C1298" s="46" t="s">
        <v>52</v>
      </c>
      <c r="D1298" s="47" t="s">
        <v>66</v>
      </c>
      <c r="E1298" s="48">
        <v>0</v>
      </c>
    </row>
    <row r="1299" spans="1:5" ht="15.75" customHeight="1" x14ac:dyDescent="0.3">
      <c r="A1299" s="45" t="str">
        <f t="shared" si="5"/>
        <v>Belo HorizonteUberlândiaAvião</v>
      </c>
      <c r="B1299" s="46" t="s">
        <v>31</v>
      </c>
      <c r="C1299" s="46" t="s">
        <v>52</v>
      </c>
      <c r="D1299" s="47" t="s">
        <v>67</v>
      </c>
      <c r="E1299" s="48">
        <v>0</v>
      </c>
    </row>
    <row r="1300" spans="1:5" ht="15.75" customHeight="1" x14ac:dyDescent="0.3">
      <c r="A1300" s="45" t="str">
        <f t="shared" si="5"/>
        <v>Belo HorizonteVitóriaAvião</v>
      </c>
      <c r="B1300" s="46" t="s">
        <v>31</v>
      </c>
      <c r="C1300" s="46" t="s">
        <v>52</v>
      </c>
      <c r="D1300" s="47" t="s">
        <v>68</v>
      </c>
      <c r="E1300" s="48">
        <v>0</v>
      </c>
    </row>
    <row r="1301" spans="1:5" ht="15.75" customHeight="1" x14ac:dyDescent="0.3">
      <c r="A1301" s="45" t="str">
        <f t="shared" si="5"/>
        <v>Belo HorizonteVitória da ConquistaAvião</v>
      </c>
      <c r="B1301" s="46" t="s">
        <v>31</v>
      </c>
      <c r="C1301" s="46" t="s">
        <v>52</v>
      </c>
      <c r="D1301" s="47" t="s">
        <v>49</v>
      </c>
      <c r="E1301" s="48">
        <v>0</v>
      </c>
    </row>
    <row r="1302" spans="1:5" ht="15.75" customHeight="1" x14ac:dyDescent="0.3">
      <c r="A1302" s="45" t="str">
        <f t="shared" si="5"/>
        <v>BrasíliaBelémAvião</v>
      </c>
      <c r="B1302" s="46" t="s">
        <v>31</v>
      </c>
      <c r="C1302" s="47" t="s">
        <v>53</v>
      </c>
      <c r="D1302" s="47" t="s">
        <v>48</v>
      </c>
      <c r="E1302" s="48">
        <v>0</v>
      </c>
    </row>
    <row r="1303" spans="1:5" ht="15.75" customHeight="1" x14ac:dyDescent="0.3">
      <c r="A1303" s="45" t="str">
        <f t="shared" si="5"/>
        <v>BrasíliaBelo HorizonteAvião</v>
      </c>
      <c r="B1303" s="46" t="s">
        <v>31</v>
      </c>
      <c r="C1303" s="47" t="s">
        <v>53</v>
      </c>
      <c r="D1303" s="47" t="s">
        <v>52</v>
      </c>
      <c r="E1303" s="48">
        <v>0</v>
      </c>
    </row>
    <row r="1304" spans="1:5" ht="15.75" customHeight="1" x14ac:dyDescent="0.3">
      <c r="A1304" s="45" t="str">
        <f t="shared" si="5"/>
        <v>BrasíliaBrasíliaAvião</v>
      </c>
      <c r="B1304" s="46" t="s">
        <v>31</v>
      </c>
      <c r="C1304" s="47" t="s">
        <v>53</v>
      </c>
      <c r="D1304" s="47" t="s">
        <v>53</v>
      </c>
      <c r="E1304" s="48">
        <v>0</v>
      </c>
    </row>
    <row r="1305" spans="1:5" ht="15.75" customHeight="1" x14ac:dyDescent="0.3">
      <c r="A1305" s="45" t="str">
        <f t="shared" si="5"/>
        <v>BrasíliaCampinasAvião</v>
      </c>
      <c r="B1305" s="46" t="s">
        <v>31</v>
      </c>
      <c r="C1305" s="47" t="s">
        <v>53</v>
      </c>
      <c r="D1305" s="47" t="s">
        <v>54</v>
      </c>
      <c r="E1305" s="48">
        <v>0</v>
      </c>
    </row>
    <row r="1306" spans="1:5" ht="15.75" customHeight="1" x14ac:dyDescent="0.3">
      <c r="A1306" s="45" t="str">
        <f t="shared" si="5"/>
        <v>BrasíliaCampo GrandeAvião</v>
      </c>
      <c r="B1306" s="46" t="s">
        <v>31</v>
      </c>
      <c r="C1306" s="47" t="s">
        <v>53</v>
      </c>
      <c r="D1306" s="47" t="s">
        <v>55</v>
      </c>
      <c r="E1306" s="48">
        <v>0</v>
      </c>
    </row>
    <row r="1307" spans="1:5" ht="15.75" customHeight="1" x14ac:dyDescent="0.3">
      <c r="A1307" s="45" t="str">
        <f t="shared" si="5"/>
        <v>BrasíliaCuiabáAvião</v>
      </c>
      <c r="B1307" s="46" t="s">
        <v>31</v>
      </c>
      <c r="C1307" s="47" t="s">
        <v>53</v>
      </c>
      <c r="D1307" s="47" t="s">
        <v>37</v>
      </c>
      <c r="E1307" s="48">
        <v>0</v>
      </c>
    </row>
    <row r="1308" spans="1:5" ht="15.75" customHeight="1" x14ac:dyDescent="0.3">
      <c r="A1308" s="45" t="str">
        <f t="shared" si="5"/>
        <v>BrasíliaCuritibaAvião</v>
      </c>
      <c r="B1308" s="46" t="s">
        <v>31</v>
      </c>
      <c r="C1308" s="47" t="s">
        <v>53</v>
      </c>
      <c r="D1308" s="47" t="s">
        <v>56</v>
      </c>
      <c r="E1308" s="48">
        <v>0</v>
      </c>
    </row>
    <row r="1309" spans="1:5" ht="15.75" customHeight="1" x14ac:dyDescent="0.3">
      <c r="A1309" s="45" t="str">
        <f t="shared" si="5"/>
        <v>BrasíliaFortalezaAvião</v>
      </c>
      <c r="B1309" s="46" t="s">
        <v>31</v>
      </c>
      <c r="C1309" s="47" t="s">
        <v>53</v>
      </c>
      <c r="D1309" s="47" t="s">
        <v>57</v>
      </c>
      <c r="E1309" s="48">
        <v>0</v>
      </c>
    </row>
    <row r="1310" spans="1:5" ht="15.75" customHeight="1" x14ac:dyDescent="0.3">
      <c r="A1310" s="45" t="str">
        <f t="shared" si="5"/>
        <v>BrasíliaGoiâniaAvião</v>
      </c>
      <c r="B1310" s="46" t="s">
        <v>31</v>
      </c>
      <c r="C1310" s="47" t="s">
        <v>53</v>
      </c>
      <c r="D1310" s="47" t="s">
        <v>58</v>
      </c>
      <c r="E1310" s="48">
        <v>0</v>
      </c>
    </row>
    <row r="1311" spans="1:5" ht="15.75" customHeight="1" x14ac:dyDescent="0.3">
      <c r="A1311" s="45" t="str">
        <f t="shared" si="5"/>
        <v>BrasíliaJoão PessoaAvião</v>
      </c>
      <c r="B1311" s="46" t="s">
        <v>31</v>
      </c>
      <c r="C1311" s="47" t="s">
        <v>53</v>
      </c>
      <c r="D1311" s="47" t="s">
        <v>59</v>
      </c>
      <c r="E1311" s="48">
        <v>0</v>
      </c>
    </row>
    <row r="1312" spans="1:5" ht="15.75" customHeight="1" x14ac:dyDescent="0.3">
      <c r="A1312" s="45" t="str">
        <f t="shared" si="5"/>
        <v>BrasíliaJoinvilleAvião</v>
      </c>
      <c r="B1312" s="46" t="s">
        <v>31</v>
      </c>
      <c r="C1312" s="47" t="s">
        <v>53</v>
      </c>
      <c r="D1312" s="47" t="s">
        <v>28</v>
      </c>
      <c r="E1312" s="48">
        <v>0</v>
      </c>
    </row>
    <row r="1313" spans="1:5" ht="15.75" customHeight="1" x14ac:dyDescent="0.3">
      <c r="A1313" s="45" t="str">
        <f t="shared" si="5"/>
        <v>BrasíliaMaceióAvião</v>
      </c>
      <c r="B1313" s="46" t="s">
        <v>31</v>
      </c>
      <c r="C1313" s="47" t="s">
        <v>53</v>
      </c>
      <c r="D1313" s="47" t="s">
        <v>60</v>
      </c>
      <c r="E1313" s="48">
        <v>0</v>
      </c>
    </row>
    <row r="1314" spans="1:5" ht="15.75" customHeight="1" x14ac:dyDescent="0.3">
      <c r="A1314" s="45" t="str">
        <f t="shared" si="5"/>
        <v>BrasíliaManausAvião</v>
      </c>
      <c r="B1314" s="46" t="s">
        <v>31</v>
      </c>
      <c r="C1314" s="47" t="s">
        <v>53</v>
      </c>
      <c r="D1314" s="47" t="s">
        <v>23</v>
      </c>
      <c r="E1314" s="48">
        <v>0</v>
      </c>
    </row>
    <row r="1315" spans="1:5" ht="15.75" customHeight="1" x14ac:dyDescent="0.3">
      <c r="A1315" s="45" t="str">
        <f t="shared" si="5"/>
        <v>BrasíliaNatalAvião</v>
      </c>
      <c r="B1315" s="46" t="s">
        <v>31</v>
      </c>
      <c r="C1315" s="47" t="s">
        <v>53</v>
      </c>
      <c r="D1315" s="47" t="s">
        <v>61</v>
      </c>
      <c r="E1315" s="48">
        <v>0</v>
      </c>
    </row>
    <row r="1316" spans="1:5" ht="15.75" customHeight="1" x14ac:dyDescent="0.3">
      <c r="A1316" s="45" t="str">
        <f t="shared" si="5"/>
        <v>BrasíliaPorto AlegreAvião</v>
      </c>
      <c r="B1316" s="46" t="s">
        <v>31</v>
      </c>
      <c r="C1316" s="47" t="s">
        <v>53</v>
      </c>
      <c r="D1316" s="47" t="s">
        <v>44</v>
      </c>
      <c r="E1316" s="48">
        <v>0</v>
      </c>
    </row>
    <row r="1317" spans="1:5" ht="15.75" customHeight="1" x14ac:dyDescent="0.3">
      <c r="A1317" s="45" t="str">
        <f t="shared" si="5"/>
        <v>BrasíliaRecifeAvião</v>
      </c>
      <c r="B1317" s="46" t="s">
        <v>31</v>
      </c>
      <c r="C1317" s="47" t="s">
        <v>53</v>
      </c>
      <c r="D1317" s="47" t="s">
        <v>62</v>
      </c>
      <c r="E1317" s="48">
        <v>0</v>
      </c>
    </row>
    <row r="1318" spans="1:5" ht="15.75" customHeight="1" x14ac:dyDescent="0.3">
      <c r="A1318" s="45" t="str">
        <f t="shared" si="5"/>
        <v>BrasíliaRibeirão PretoAvião</v>
      </c>
      <c r="B1318" s="46" t="s">
        <v>31</v>
      </c>
      <c r="C1318" s="47" t="s">
        <v>53</v>
      </c>
      <c r="D1318" s="47" t="s">
        <v>63</v>
      </c>
      <c r="E1318" s="48">
        <v>0</v>
      </c>
    </row>
    <row r="1319" spans="1:5" ht="15.75" customHeight="1" x14ac:dyDescent="0.3">
      <c r="A1319" s="45" t="str">
        <f t="shared" si="5"/>
        <v>BrasíliaRio de JaneiroAvião</v>
      </c>
      <c r="B1319" s="46" t="s">
        <v>31</v>
      </c>
      <c r="C1319" s="47" t="s">
        <v>53</v>
      </c>
      <c r="D1319" s="47" t="s">
        <v>64</v>
      </c>
      <c r="E1319" s="48">
        <v>0</v>
      </c>
    </row>
    <row r="1320" spans="1:5" ht="15.75" customHeight="1" x14ac:dyDescent="0.3">
      <c r="A1320" s="45" t="str">
        <f t="shared" si="5"/>
        <v>BrasíliaSalvadorAvião</v>
      </c>
      <c r="B1320" s="46" t="s">
        <v>31</v>
      </c>
      <c r="C1320" s="47" t="s">
        <v>53</v>
      </c>
      <c r="D1320" s="47" t="s">
        <v>65</v>
      </c>
      <c r="E1320" s="48">
        <v>0</v>
      </c>
    </row>
    <row r="1321" spans="1:5" ht="15.75" customHeight="1" x14ac:dyDescent="0.3">
      <c r="A1321" s="45" t="str">
        <f t="shared" si="5"/>
        <v>BrasíliaSantosAvião</v>
      </c>
      <c r="B1321" s="46" t="s">
        <v>31</v>
      </c>
      <c r="C1321" s="47" t="s">
        <v>53</v>
      </c>
      <c r="D1321" s="47" t="s">
        <v>47</v>
      </c>
      <c r="E1321" s="48">
        <v>0</v>
      </c>
    </row>
    <row r="1322" spans="1:5" ht="15.75" customHeight="1" x14ac:dyDescent="0.3">
      <c r="A1322" s="45" t="str">
        <f t="shared" si="5"/>
        <v>BrasíliaSão LuísAvião</v>
      </c>
      <c r="B1322" s="46" t="s">
        <v>31</v>
      </c>
      <c r="C1322" s="47" t="s">
        <v>53</v>
      </c>
      <c r="D1322" s="47" t="s">
        <v>50</v>
      </c>
      <c r="E1322" s="48">
        <v>0</v>
      </c>
    </row>
    <row r="1323" spans="1:5" ht="15.75" customHeight="1" x14ac:dyDescent="0.3">
      <c r="A1323" s="45" t="str">
        <f t="shared" si="5"/>
        <v>BrasíliaSão PauloAvião</v>
      </c>
      <c r="B1323" s="46" t="s">
        <v>31</v>
      </c>
      <c r="C1323" s="47" t="s">
        <v>53</v>
      </c>
      <c r="D1323" s="47" t="s">
        <v>66</v>
      </c>
      <c r="E1323" s="48">
        <v>0</v>
      </c>
    </row>
    <row r="1324" spans="1:5" ht="15.75" customHeight="1" x14ac:dyDescent="0.3">
      <c r="A1324" s="45" t="str">
        <f t="shared" si="5"/>
        <v>BrasíliaUberlândiaAvião</v>
      </c>
      <c r="B1324" s="46" t="s">
        <v>31</v>
      </c>
      <c r="C1324" s="47" t="s">
        <v>53</v>
      </c>
      <c r="D1324" s="47" t="s">
        <v>67</v>
      </c>
      <c r="E1324" s="48">
        <v>0</v>
      </c>
    </row>
    <row r="1325" spans="1:5" ht="15.75" customHeight="1" x14ac:dyDescent="0.3">
      <c r="A1325" s="45" t="str">
        <f t="shared" si="5"/>
        <v>BrasíliaVitóriaAvião</v>
      </c>
      <c r="B1325" s="46" t="s">
        <v>31</v>
      </c>
      <c r="C1325" s="47" t="s">
        <v>53</v>
      </c>
      <c r="D1325" s="47" t="s">
        <v>68</v>
      </c>
      <c r="E1325" s="48">
        <v>0</v>
      </c>
    </row>
    <row r="1326" spans="1:5" ht="15.75" customHeight="1" x14ac:dyDescent="0.3">
      <c r="A1326" s="45" t="str">
        <f t="shared" si="5"/>
        <v>BrasíliaVitória da ConquistaAvião</v>
      </c>
      <c r="B1326" s="46" t="s">
        <v>31</v>
      </c>
      <c r="C1326" s="47" t="s">
        <v>53</v>
      </c>
      <c r="D1326" s="47" t="s">
        <v>49</v>
      </c>
      <c r="E1326" s="48">
        <v>0</v>
      </c>
    </row>
    <row r="1327" spans="1:5" ht="15.75" customHeight="1" x14ac:dyDescent="0.3">
      <c r="A1327" s="45" t="str">
        <f t="shared" si="5"/>
        <v>CampinasBelémAvião</v>
      </c>
      <c r="B1327" s="46" t="s">
        <v>31</v>
      </c>
      <c r="C1327" s="46" t="s">
        <v>54</v>
      </c>
      <c r="D1327" s="47" t="s">
        <v>48</v>
      </c>
      <c r="E1327" s="48">
        <v>0</v>
      </c>
    </row>
    <row r="1328" spans="1:5" ht="15.75" customHeight="1" x14ac:dyDescent="0.3">
      <c r="A1328" s="45" t="str">
        <f t="shared" si="5"/>
        <v>CampinasBelo HorizonteAvião</v>
      </c>
      <c r="B1328" s="46" t="s">
        <v>31</v>
      </c>
      <c r="C1328" s="46" t="s">
        <v>54</v>
      </c>
      <c r="D1328" s="47" t="s">
        <v>52</v>
      </c>
      <c r="E1328" s="48">
        <v>0</v>
      </c>
    </row>
    <row r="1329" spans="1:5" ht="15.75" customHeight="1" x14ac:dyDescent="0.3">
      <c r="A1329" s="45" t="str">
        <f t="shared" si="5"/>
        <v>CampinasBrasíliaAvião</v>
      </c>
      <c r="B1329" s="46" t="s">
        <v>31</v>
      </c>
      <c r="C1329" s="46" t="s">
        <v>54</v>
      </c>
      <c r="D1329" s="47" t="s">
        <v>53</v>
      </c>
      <c r="E1329" s="48">
        <v>0</v>
      </c>
    </row>
    <row r="1330" spans="1:5" ht="15.75" customHeight="1" x14ac:dyDescent="0.3">
      <c r="A1330" s="45" t="str">
        <f t="shared" si="5"/>
        <v>CampinasCampinasAvião</v>
      </c>
      <c r="B1330" s="46" t="s">
        <v>31</v>
      </c>
      <c r="C1330" s="46" t="s">
        <v>54</v>
      </c>
      <c r="D1330" s="47" t="s">
        <v>54</v>
      </c>
      <c r="E1330" s="48">
        <v>0</v>
      </c>
    </row>
    <row r="1331" spans="1:5" ht="15.75" customHeight="1" x14ac:dyDescent="0.3">
      <c r="A1331" s="45" t="str">
        <f t="shared" si="5"/>
        <v>CampinasCampo GrandeAvião</v>
      </c>
      <c r="B1331" s="46" t="s">
        <v>31</v>
      </c>
      <c r="C1331" s="46" t="s">
        <v>54</v>
      </c>
      <c r="D1331" s="47" t="s">
        <v>55</v>
      </c>
      <c r="E1331" s="48">
        <v>0</v>
      </c>
    </row>
    <row r="1332" spans="1:5" ht="15.75" customHeight="1" x14ac:dyDescent="0.3">
      <c r="A1332" s="45" t="str">
        <f t="shared" si="5"/>
        <v>CampinasCuiabáAvião</v>
      </c>
      <c r="B1332" s="46" t="s">
        <v>31</v>
      </c>
      <c r="C1332" s="46" t="s">
        <v>54</v>
      </c>
      <c r="D1332" s="47" t="s">
        <v>37</v>
      </c>
      <c r="E1332" s="48">
        <v>0</v>
      </c>
    </row>
    <row r="1333" spans="1:5" ht="15.75" customHeight="1" x14ac:dyDescent="0.3">
      <c r="A1333" s="45" t="str">
        <f t="shared" si="5"/>
        <v>CampinasCuritibaAvião</v>
      </c>
      <c r="B1333" s="46" t="s">
        <v>31</v>
      </c>
      <c r="C1333" s="46" t="s">
        <v>54</v>
      </c>
      <c r="D1333" s="47" t="s">
        <v>56</v>
      </c>
      <c r="E1333" s="48">
        <v>0</v>
      </c>
    </row>
    <row r="1334" spans="1:5" ht="15.75" customHeight="1" x14ac:dyDescent="0.3">
      <c r="A1334" s="45" t="str">
        <f t="shared" si="5"/>
        <v>CampinasFortalezaAvião</v>
      </c>
      <c r="B1334" s="46" t="s">
        <v>31</v>
      </c>
      <c r="C1334" s="46" t="s">
        <v>54</v>
      </c>
      <c r="D1334" s="47" t="s">
        <v>57</v>
      </c>
      <c r="E1334" s="48">
        <v>0</v>
      </c>
    </row>
    <row r="1335" spans="1:5" ht="15.75" customHeight="1" x14ac:dyDescent="0.3">
      <c r="A1335" s="45" t="str">
        <f t="shared" si="5"/>
        <v>CampinasGoiâniaAvião</v>
      </c>
      <c r="B1335" s="46" t="s">
        <v>31</v>
      </c>
      <c r="C1335" s="46" t="s">
        <v>54</v>
      </c>
      <c r="D1335" s="47" t="s">
        <v>58</v>
      </c>
      <c r="E1335" s="48">
        <v>0</v>
      </c>
    </row>
    <row r="1336" spans="1:5" ht="15.75" customHeight="1" x14ac:dyDescent="0.3">
      <c r="A1336" s="45" t="str">
        <f t="shared" si="5"/>
        <v>CampinasJoão PessoaAvião</v>
      </c>
      <c r="B1336" s="46" t="s">
        <v>31</v>
      </c>
      <c r="C1336" s="46" t="s">
        <v>54</v>
      </c>
      <c r="D1336" s="47" t="s">
        <v>59</v>
      </c>
      <c r="E1336" s="48">
        <v>0</v>
      </c>
    </row>
    <row r="1337" spans="1:5" ht="15.75" customHeight="1" x14ac:dyDescent="0.3">
      <c r="A1337" s="45" t="str">
        <f t="shared" si="5"/>
        <v>CampinasJoinvilleAvião</v>
      </c>
      <c r="B1337" s="46" t="s">
        <v>31</v>
      </c>
      <c r="C1337" s="46" t="s">
        <v>54</v>
      </c>
      <c r="D1337" s="47" t="s">
        <v>28</v>
      </c>
      <c r="E1337" s="48">
        <v>0</v>
      </c>
    </row>
    <row r="1338" spans="1:5" ht="15.75" customHeight="1" x14ac:dyDescent="0.3">
      <c r="A1338" s="45" t="str">
        <f t="shared" si="5"/>
        <v>CampinasMaceióAvião</v>
      </c>
      <c r="B1338" s="46" t="s">
        <v>31</v>
      </c>
      <c r="C1338" s="46" t="s">
        <v>54</v>
      </c>
      <c r="D1338" s="47" t="s">
        <v>60</v>
      </c>
      <c r="E1338" s="48">
        <v>0</v>
      </c>
    </row>
    <row r="1339" spans="1:5" ht="15.75" customHeight="1" x14ac:dyDescent="0.3">
      <c r="A1339" s="45" t="str">
        <f t="shared" si="5"/>
        <v>CampinasManausAvião</v>
      </c>
      <c r="B1339" s="46" t="s">
        <v>31</v>
      </c>
      <c r="C1339" s="46" t="s">
        <v>54</v>
      </c>
      <c r="D1339" s="47" t="s">
        <v>23</v>
      </c>
      <c r="E1339" s="48">
        <v>0</v>
      </c>
    </row>
    <row r="1340" spans="1:5" ht="15.75" customHeight="1" x14ac:dyDescent="0.3">
      <c r="A1340" s="45" t="str">
        <f t="shared" si="5"/>
        <v>CampinasNatalAvião</v>
      </c>
      <c r="B1340" s="46" t="s">
        <v>31</v>
      </c>
      <c r="C1340" s="46" t="s">
        <v>54</v>
      </c>
      <c r="D1340" s="47" t="s">
        <v>61</v>
      </c>
      <c r="E1340" s="48">
        <v>0</v>
      </c>
    </row>
    <row r="1341" spans="1:5" ht="15.75" customHeight="1" x14ac:dyDescent="0.3">
      <c r="A1341" s="45" t="str">
        <f t="shared" si="5"/>
        <v>CampinasPorto AlegreAvião</v>
      </c>
      <c r="B1341" s="46" t="s">
        <v>31</v>
      </c>
      <c r="C1341" s="46" t="s">
        <v>54</v>
      </c>
      <c r="D1341" s="47" t="s">
        <v>44</v>
      </c>
      <c r="E1341" s="48">
        <v>0</v>
      </c>
    </row>
    <row r="1342" spans="1:5" ht="15.75" customHeight="1" x14ac:dyDescent="0.3">
      <c r="A1342" s="45" t="str">
        <f t="shared" si="5"/>
        <v>CampinasRecifeAvião</v>
      </c>
      <c r="B1342" s="46" t="s">
        <v>31</v>
      </c>
      <c r="C1342" s="46" t="s">
        <v>54</v>
      </c>
      <c r="D1342" s="47" t="s">
        <v>62</v>
      </c>
      <c r="E1342" s="48">
        <v>0</v>
      </c>
    </row>
    <row r="1343" spans="1:5" ht="15.75" customHeight="1" x14ac:dyDescent="0.3">
      <c r="A1343" s="45" t="str">
        <f t="shared" si="5"/>
        <v>CampinasRibeirão PretoAvião</v>
      </c>
      <c r="B1343" s="46" t="s">
        <v>31</v>
      </c>
      <c r="C1343" s="46" t="s">
        <v>54</v>
      </c>
      <c r="D1343" s="47" t="s">
        <v>63</v>
      </c>
      <c r="E1343" s="48">
        <v>0</v>
      </c>
    </row>
    <row r="1344" spans="1:5" ht="15.75" customHeight="1" x14ac:dyDescent="0.3">
      <c r="A1344" s="45" t="str">
        <f t="shared" si="5"/>
        <v>CampinasRio de JaneiroAvião</v>
      </c>
      <c r="B1344" s="46" t="s">
        <v>31</v>
      </c>
      <c r="C1344" s="46" t="s">
        <v>54</v>
      </c>
      <c r="D1344" s="47" t="s">
        <v>64</v>
      </c>
      <c r="E1344" s="48">
        <v>0</v>
      </c>
    </row>
    <row r="1345" spans="1:5" ht="15.75" customHeight="1" x14ac:dyDescent="0.3">
      <c r="A1345" s="45" t="str">
        <f t="shared" si="5"/>
        <v>CampinasSalvadorAvião</v>
      </c>
      <c r="B1345" s="46" t="s">
        <v>31</v>
      </c>
      <c r="C1345" s="46" t="s">
        <v>54</v>
      </c>
      <c r="D1345" s="47" t="s">
        <v>65</v>
      </c>
      <c r="E1345" s="48">
        <v>0</v>
      </c>
    </row>
    <row r="1346" spans="1:5" ht="15.75" customHeight="1" x14ac:dyDescent="0.3">
      <c r="A1346" s="45" t="str">
        <f t="shared" si="5"/>
        <v>CampinasSantosAvião</v>
      </c>
      <c r="B1346" s="46" t="s">
        <v>31</v>
      </c>
      <c r="C1346" s="46" t="s">
        <v>54</v>
      </c>
      <c r="D1346" s="47" t="s">
        <v>47</v>
      </c>
      <c r="E1346" s="48">
        <v>0</v>
      </c>
    </row>
    <row r="1347" spans="1:5" ht="15.75" customHeight="1" x14ac:dyDescent="0.3">
      <c r="A1347" s="45" t="str">
        <f t="shared" si="5"/>
        <v>CampinasSão LuísAvião</v>
      </c>
      <c r="B1347" s="46" t="s">
        <v>31</v>
      </c>
      <c r="C1347" s="46" t="s">
        <v>54</v>
      </c>
      <c r="D1347" s="47" t="s">
        <v>50</v>
      </c>
      <c r="E1347" s="48">
        <v>0</v>
      </c>
    </row>
    <row r="1348" spans="1:5" ht="15.75" customHeight="1" x14ac:dyDescent="0.3">
      <c r="A1348" s="45" t="str">
        <f t="shared" si="5"/>
        <v>CampinasSão PauloAvião</v>
      </c>
      <c r="B1348" s="46" t="s">
        <v>31</v>
      </c>
      <c r="C1348" s="46" t="s">
        <v>54</v>
      </c>
      <c r="D1348" s="47" t="s">
        <v>66</v>
      </c>
      <c r="E1348" s="48">
        <v>0</v>
      </c>
    </row>
    <row r="1349" spans="1:5" ht="15.75" customHeight="1" x14ac:dyDescent="0.3">
      <c r="A1349" s="45" t="str">
        <f t="shared" si="5"/>
        <v>CampinasUberlândiaAvião</v>
      </c>
      <c r="B1349" s="46" t="s">
        <v>31</v>
      </c>
      <c r="C1349" s="46" t="s">
        <v>54</v>
      </c>
      <c r="D1349" s="47" t="s">
        <v>67</v>
      </c>
      <c r="E1349" s="48">
        <v>0</v>
      </c>
    </row>
    <row r="1350" spans="1:5" ht="15.75" customHeight="1" x14ac:dyDescent="0.3">
      <c r="A1350" s="45" t="str">
        <f t="shared" si="5"/>
        <v>CampinasVitóriaAvião</v>
      </c>
      <c r="B1350" s="46" t="s">
        <v>31</v>
      </c>
      <c r="C1350" s="46" t="s">
        <v>54</v>
      </c>
      <c r="D1350" s="47" t="s">
        <v>68</v>
      </c>
      <c r="E1350" s="48">
        <v>0</v>
      </c>
    </row>
    <row r="1351" spans="1:5" ht="15.75" customHeight="1" x14ac:dyDescent="0.3">
      <c r="A1351" s="45" t="str">
        <f t="shared" si="5"/>
        <v>CampinasVitória da ConquistaAvião</v>
      </c>
      <c r="B1351" s="46" t="s">
        <v>31</v>
      </c>
      <c r="C1351" s="46" t="s">
        <v>54</v>
      </c>
      <c r="D1351" s="47" t="s">
        <v>49</v>
      </c>
      <c r="E1351" s="48">
        <v>0</v>
      </c>
    </row>
    <row r="1352" spans="1:5" ht="15.75" customHeight="1" x14ac:dyDescent="0.3">
      <c r="A1352" s="45" t="str">
        <f t="shared" si="5"/>
        <v>Campo GrandeBelémAvião</v>
      </c>
      <c r="B1352" s="46" t="s">
        <v>31</v>
      </c>
      <c r="C1352" s="46" t="s">
        <v>55</v>
      </c>
      <c r="D1352" s="47" t="s">
        <v>48</v>
      </c>
      <c r="E1352" s="48">
        <v>0</v>
      </c>
    </row>
    <row r="1353" spans="1:5" ht="15.75" customHeight="1" x14ac:dyDescent="0.3">
      <c r="A1353" s="45" t="str">
        <f t="shared" si="5"/>
        <v>Campo GrandeBelo HorizonteAvião</v>
      </c>
      <c r="B1353" s="46" t="s">
        <v>31</v>
      </c>
      <c r="C1353" s="46" t="s">
        <v>55</v>
      </c>
      <c r="D1353" s="47" t="s">
        <v>52</v>
      </c>
      <c r="E1353" s="48">
        <v>0</v>
      </c>
    </row>
    <row r="1354" spans="1:5" ht="15.75" customHeight="1" x14ac:dyDescent="0.3">
      <c r="A1354" s="45" t="str">
        <f t="shared" si="5"/>
        <v>Campo GrandeBrasíliaAvião</v>
      </c>
      <c r="B1354" s="46" t="s">
        <v>31</v>
      </c>
      <c r="C1354" s="46" t="s">
        <v>55</v>
      </c>
      <c r="D1354" s="47" t="s">
        <v>53</v>
      </c>
      <c r="E1354" s="48">
        <v>0</v>
      </c>
    </row>
    <row r="1355" spans="1:5" ht="15.75" customHeight="1" x14ac:dyDescent="0.3">
      <c r="A1355" s="45" t="str">
        <f t="shared" si="5"/>
        <v>Campo GrandeCampinasAvião</v>
      </c>
      <c r="B1355" s="46" t="s">
        <v>31</v>
      </c>
      <c r="C1355" s="46" t="s">
        <v>55</v>
      </c>
      <c r="D1355" s="47" t="s">
        <v>54</v>
      </c>
      <c r="E1355" s="48">
        <v>0</v>
      </c>
    </row>
    <row r="1356" spans="1:5" ht="15.75" customHeight="1" x14ac:dyDescent="0.3">
      <c r="A1356" s="45" t="str">
        <f t="shared" si="5"/>
        <v>Campo GrandeCampo GrandeAvião</v>
      </c>
      <c r="B1356" s="46" t="s">
        <v>31</v>
      </c>
      <c r="C1356" s="46" t="s">
        <v>55</v>
      </c>
      <c r="D1356" s="47" t="s">
        <v>55</v>
      </c>
      <c r="E1356" s="48">
        <v>0</v>
      </c>
    </row>
    <row r="1357" spans="1:5" ht="15.75" customHeight="1" x14ac:dyDescent="0.3">
      <c r="A1357" s="45" t="str">
        <f t="shared" si="5"/>
        <v>Campo GrandeCuiabáAvião</v>
      </c>
      <c r="B1357" s="46" t="s">
        <v>31</v>
      </c>
      <c r="C1357" s="46" t="s">
        <v>55</v>
      </c>
      <c r="D1357" s="47" t="s">
        <v>37</v>
      </c>
      <c r="E1357" s="48">
        <v>0</v>
      </c>
    </row>
    <row r="1358" spans="1:5" ht="15.75" customHeight="1" x14ac:dyDescent="0.3">
      <c r="A1358" s="45" t="str">
        <f t="shared" si="5"/>
        <v>Campo GrandeCuritibaAvião</v>
      </c>
      <c r="B1358" s="46" t="s">
        <v>31</v>
      </c>
      <c r="C1358" s="46" t="s">
        <v>55</v>
      </c>
      <c r="D1358" s="47" t="s">
        <v>56</v>
      </c>
      <c r="E1358" s="48">
        <v>0</v>
      </c>
    </row>
    <row r="1359" spans="1:5" ht="15.75" customHeight="1" x14ac:dyDescent="0.3">
      <c r="A1359" s="45" t="str">
        <f t="shared" si="5"/>
        <v>Campo GrandeFortalezaAvião</v>
      </c>
      <c r="B1359" s="46" t="s">
        <v>31</v>
      </c>
      <c r="C1359" s="46" t="s">
        <v>55</v>
      </c>
      <c r="D1359" s="47" t="s">
        <v>57</v>
      </c>
      <c r="E1359" s="48">
        <v>0</v>
      </c>
    </row>
    <row r="1360" spans="1:5" ht="15.75" customHeight="1" x14ac:dyDescent="0.3">
      <c r="A1360" s="45" t="str">
        <f t="shared" si="5"/>
        <v>Campo GrandeGoiâniaAvião</v>
      </c>
      <c r="B1360" s="46" t="s">
        <v>31</v>
      </c>
      <c r="C1360" s="46" t="s">
        <v>55</v>
      </c>
      <c r="D1360" s="47" t="s">
        <v>58</v>
      </c>
      <c r="E1360" s="48">
        <v>0</v>
      </c>
    </row>
    <row r="1361" spans="1:5" ht="15.75" customHeight="1" x14ac:dyDescent="0.3">
      <c r="A1361" s="45" t="str">
        <f t="shared" si="5"/>
        <v>Campo GrandeJoão PessoaAvião</v>
      </c>
      <c r="B1361" s="46" t="s">
        <v>31</v>
      </c>
      <c r="C1361" s="46" t="s">
        <v>55</v>
      </c>
      <c r="D1361" s="47" t="s">
        <v>59</v>
      </c>
      <c r="E1361" s="48">
        <v>0</v>
      </c>
    </row>
    <row r="1362" spans="1:5" ht="15.75" customHeight="1" x14ac:dyDescent="0.3">
      <c r="A1362" s="45" t="str">
        <f t="shared" si="5"/>
        <v>Campo GrandeJoinvilleAvião</v>
      </c>
      <c r="B1362" s="46" t="s">
        <v>31</v>
      </c>
      <c r="C1362" s="46" t="s">
        <v>55</v>
      </c>
      <c r="D1362" s="47" t="s">
        <v>28</v>
      </c>
      <c r="E1362" s="48">
        <v>0</v>
      </c>
    </row>
    <row r="1363" spans="1:5" ht="15.75" customHeight="1" x14ac:dyDescent="0.3">
      <c r="A1363" s="45" t="str">
        <f t="shared" si="5"/>
        <v>Campo GrandeMaceióAvião</v>
      </c>
      <c r="B1363" s="46" t="s">
        <v>31</v>
      </c>
      <c r="C1363" s="46" t="s">
        <v>55</v>
      </c>
      <c r="D1363" s="47" t="s">
        <v>60</v>
      </c>
      <c r="E1363" s="48">
        <v>0</v>
      </c>
    </row>
    <row r="1364" spans="1:5" ht="15.75" customHeight="1" x14ac:dyDescent="0.3">
      <c r="A1364" s="45" t="str">
        <f t="shared" si="5"/>
        <v>Campo GrandeManausAvião</v>
      </c>
      <c r="B1364" s="46" t="s">
        <v>31</v>
      </c>
      <c r="C1364" s="46" t="s">
        <v>55</v>
      </c>
      <c r="D1364" s="47" t="s">
        <v>23</v>
      </c>
      <c r="E1364" s="48">
        <v>0</v>
      </c>
    </row>
    <row r="1365" spans="1:5" ht="15.75" customHeight="1" x14ac:dyDescent="0.3">
      <c r="A1365" s="45" t="str">
        <f t="shared" si="5"/>
        <v>Campo GrandeNatalAvião</v>
      </c>
      <c r="B1365" s="46" t="s">
        <v>31</v>
      </c>
      <c r="C1365" s="46" t="s">
        <v>55</v>
      </c>
      <c r="D1365" s="47" t="s">
        <v>61</v>
      </c>
      <c r="E1365" s="48">
        <v>0</v>
      </c>
    </row>
    <row r="1366" spans="1:5" ht="15.75" customHeight="1" x14ac:dyDescent="0.3">
      <c r="A1366" s="45" t="str">
        <f t="shared" si="5"/>
        <v>Campo GrandePorto AlegreAvião</v>
      </c>
      <c r="B1366" s="46" t="s">
        <v>31</v>
      </c>
      <c r="C1366" s="46" t="s">
        <v>55</v>
      </c>
      <c r="D1366" s="47" t="s">
        <v>44</v>
      </c>
      <c r="E1366" s="48">
        <v>0</v>
      </c>
    </row>
    <row r="1367" spans="1:5" ht="15.75" customHeight="1" x14ac:dyDescent="0.3">
      <c r="A1367" s="45" t="str">
        <f t="shared" si="5"/>
        <v>Campo GrandeRecifeAvião</v>
      </c>
      <c r="B1367" s="46" t="s">
        <v>31</v>
      </c>
      <c r="C1367" s="46" t="s">
        <v>55</v>
      </c>
      <c r="D1367" s="47" t="s">
        <v>62</v>
      </c>
      <c r="E1367" s="48">
        <v>0</v>
      </c>
    </row>
    <row r="1368" spans="1:5" ht="15.75" customHeight="1" x14ac:dyDescent="0.3">
      <c r="A1368" s="45" t="str">
        <f t="shared" si="5"/>
        <v>Campo GrandeRibeirão PretoAvião</v>
      </c>
      <c r="B1368" s="46" t="s">
        <v>31</v>
      </c>
      <c r="C1368" s="46" t="s">
        <v>55</v>
      </c>
      <c r="D1368" s="47" t="s">
        <v>63</v>
      </c>
      <c r="E1368" s="48">
        <v>0</v>
      </c>
    </row>
    <row r="1369" spans="1:5" ht="15.75" customHeight="1" x14ac:dyDescent="0.3">
      <c r="A1369" s="45" t="str">
        <f t="shared" si="5"/>
        <v>Campo GrandeRio de JaneiroAvião</v>
      </c>
      <c r="B1369" s="46" t="s">
        <v>31</v>
      </c>
      <c r="C1369" s="46" t="s">
        <v>55</v>
      </c>
      <c r="D1369" s="47" t="s">
        <v>64</v>
      </c>
      <c r="E1369" s="48">
        <v>0</v>
      </c>
    </row>
    <row r="1370" spans="1:5" ht="15.75" customHeight="1" x14ac:dyDescent="0.3">
      <c r="A1370" s="45" t="str">
        <f t="shared" si="5"/>
        <v>Campo GrandeSalvadorAvião</v>
      </c>
      <c r="B1370" s="46" t="s">
        <v>31</v>
      </c>
      <c r="C1370" s="46" t="s">
        <v>55</v>
      </c>
      <c r="D1370" s="47" t="s">
        <v>65</v>
      </c>
      <c r="E1370" s="48">
        <v>0</v>
      </c>
    </row>
    <row r="1371" spans="1:5" ht="15.75" customHeight="1" x14ac:dyDescent="0.3">
      <c r="A1371" s="45" t="str">
        <f t="shared" si="5"/>
        <v>Campo GrandeSantosAvião</v>
      </c>
      <c r="B1371" s="46" t="s">
        <v>31</v>
      </c>
      <c r="C1371" s="46" t="s">
        <v>55</v>
      </c>
      <c r="D1371" s="47" t="s">
        <v>47</v>
      </c>
      <c r="E1371" s="48">
        <v>0</v>
      </c>
    </row>
    <row r="1372" spans="1:5" ht="15.75" customHeight="1" x14ac:dyDescent="0.3">
      <c r="A1372" s="45" t="str">
        <f t="shared" si="5"/>
        <v>Campo GrandeSão LuísAvião</v>
      </c>
      <c r="B1372" s="46" t="s">
        <v>31</v>
      </c>
      <c r="C1372" s="46" t="s">
        <v>55</v>
      </c>
      <c r="D1372" s="47" t="s">
        <v>50</v>
      </c>
      <c r="E1372" s="48">
        <v>0</v>
      </c>
    </row>
    <row r="1373" spans="1:5" ht="15.75" customHeight="1" x14ac:dyDescent="0.3">
      <c r="A1373" s="45" t="str">
        <f t="shared" si="5"/>
        <v>Campo GrandeSão PauloAvião</v>
      </c>
      <c r="B1373" s="46" t="s">
        <v>31</v>
      </c>
      <c r="C1373" s="46" t="s">
        <v>55</v>
      </c>
      <c r="D1373" s="47" t="s">
        <v>66</v>
      </c>
      <c r="E1373" s="48">
        <v>0</v>
      </c>
    </row>
    <row r="1374" spans="1:5" ht="15.75" customHeight="1" x14ac:dyDescent="0.3">
      <c r="A1374" s="45" t="str">
        <f t="shared" si="5"/>
        <v>Campo GrandeUberlândiaAvião</v>
      </c>
      <c r="B1374" s="46" t="s">
        <v>31</v>
      </c>
      <c r="C1374" s="46" t="s">
        <v>55</v>
      </c>
      <c r="D1374" s="47" t="s">
        <v>67</v>
      </c>
      <c r="E1374" s="48">
        <v>0</v>
      </c>
    </row>
    <row r="1375" spans="1:5" ht="15.75" customHeight="1" x14ac:dyDescent="0.3">
      <c r="A1375" s="45" t="str">
        <f t="shared" si="5"/>
        <v>Campo GrandeVitóriaAvião</v>
      </c>
      <c r="B1375" s="46" t="s">
        <v>31</v>
      </c>
      <c r="C1375" s="46" t="s">
        <v>55</v>
      </c>
      <c r="D1375" s="47" t="s">
        <v>68</v>
      </c>
      <c r="E1375" s="48">
        <v>0</v>
      </c>
    </row>
    <row r="1376" spans="1:5" ht="15.75" customHeight="1" x14ac:dyDescent="0.3">
      <c r="A1376" s="45" t="str">
        <f t="shared" si="5"/>
        <v>Campo GrandeVitória da ConquistaAvião</v>
      </c>
      <c r="B1376" s="46" t="s">
        <v>31</v>
      </c>
      <c r="C1376" s="46" t="s">
        <v>55</v>
      </c>
      <c r="D1376" s="47" t="s">
        <v>49</v>
      </c>
      <c r="E1376" s="48">
        <v>0</v>
      </c>
    </row>
    <row r="1377" spans="1:5" ht="15.75" customHeight="1" x14ac:dyDescent="0.3">
      <c r="A1377" s="45" t="str">
        <f t="shared" si="5"/>
        <v>CuiabáBelémAvião</v>
      </c>
      <c r="B1377" s="46" t="s">
        <v>31</v>
      </c>
      <c r="C1377" s="47" t="s">
        <v>37</v>
      </c>
      <c r="D1377" s="47" t="s">
        <v>48</v>
      </c>
      <c r="E1377" s="48">
        <v>0</v>
      </c>
    </row>
    <row r="1378" spans="1:5" ht="15.75" customHeight="1" x14ac:dyDescent="0.3">
      <c r="A1378" s="45" t="str">
        <f t="shared" si="5"/>
        <v>CuiabáBelo HorizonteAvião</v>
      </c>
      <c r="B1378" s="46" t="s">
        <v>31</v>
      </c>
      <c r="C1378" s="47" t="s">
        <v>37</v>
      </c>
      <c r="D1378" s="47" t="s">
        <v>52</v>
      </c>
      <c r="E1378" s="48">
        <v>0</v>
      </c>
    </row>
    <row r="1379" spans="1:5" ht="15.75" customHeight="1" x14ac:dyDescent="0.3">
      <c r="A1379" s="45" t="str">
        <f t="shared" si="5"/>
        <v>CuiabáBrasíliaAvião</v>
      </c>
      <c r="B1379" s="46" t="s">
        <v>31</v>
      </c>
      <c r="C1379" s="47" t="s">
        <v>37</v>
      </c>
      <c r="D1379" s="47" t="s">
        <v>53</v>
      </c>
      <c r="E1379" s="48">
        <v>0</v>
      </c>
    </row>
    <row r="1380" spans="1:5" ht="15.75" customHeight="1" x14ac:dyDescent="0.3">
      <c r="A1380" s="45" t="str">
        <f t="shared" si="5"/>
        <v>CuiabáCampinasAvião</v>
      </c>
      <c r="B1380" s="46" t="s">
        <v>31</v>
      </c>
      <c r="C1380" s="47" t="s">
        <v>37</v>
      </c>
      <c r="D1380" s="47" t="s">
        <v>54</v>
      </c>
      <c r="E1380" s="48">
        <v>0</v>
      </c>
    </row>
    <row r="1381" spans="1:5" ht="15.75" customHeight="1" x14ac:dyDescent="0.3">
      <c r="A1381" s="45" t="str">
        <f t="shared" si="5"/>
        <v>CuiabáCampo GrandeAvião</v>
      </c>
      <c r="B1381" s="46" t="s">
        <v>31</v>
      </c>
      <c r="C1381" s="47" t="s">
        <v>37</v>
      </c>
      <c r="D1381" s="47" t="s">
        <v>55</v>
      </c>
      <c r="E1381" s="48">
        <v>0</v>
      </c>
    </row>
    <row r="1382" spans="1:5" ht="15.75" customHeight="1" x14ac:dyDescent="0.3">
      <c r="A1382" s="45" t="str">
        <f t="shared" si="5"/>
        <v>CuiabáCuiabáAvião</v>
      </c>
      <c r="B1382" s="46" t="s">
        <v>31</v>
      </c>
      <c r="C1382" s="47" t="s">
        <v>37</v>
      </c>
      <c r="D1382" s="47" t="s">
        <v>37</v>
      </c>
      <c r="E1382" s="48">
        <v>0</v>
      </c>
    </row>
    <row r="1383" spans="1:5" ht="15.75" customHeight="1" x14ac:dyDescent="0.3">
      <c r="A1383" s="45" t="str">
        <f t="shared" si="5"/>
        <v>CuiabáCuritibaAvião</v>
      </c>
      <c r="B1383" s="46" t="s">
        <v>31</v>
      </c>
      <c r="C1383" s="47" t="s">
        <v>37</v>
      </c>
      <c r="D1383" s="47" t="s">
        <v>56</v>
      </c>
      <c r="E1383" s="48">
        <v>0</v>
      </c>
    </row>
    <row r="1384" spans="1:5" ht="15.75" customHeight="1" x14ac:dyDescent="0.3">
      <c r="A1384" s="45" t="str">
        <f t="shared" si="5"/>
        <v>CuiabáFortalezaAvião</v>
      </c>
      <c r="B1384" s="46" t="s">
        <v>31</v>
      </c>
      <c r="C1384" s="47" t="s">
        <v>37</v>
      </c>
      <c r="D1384" s="47" t="s">
        <v>57</v>
      </c>
      <c r="E1384" s="48">
        <v>0</v>
      </c>
    </row>
    <row r="1385" spans="1:5" ht="15.75" customHeight="1" x14ac:dyDescent="0.3">
      <c r="A1385" s="45" t="str">
        <f t="shared" si="5"/>
        <v>CuiabáGoiâniaAvião</v>
      </c>
      <c r="B1385" s="46" t="s">
        <v>31</v>
      </c>
      <c r="C1385" s="47" t="s">
        <v>37</v>
      </c>
      <c r="D1385" s="47" t="s">
        <v>58</v>
      </c>
      <c r="E1385" s="48">
        <v>0</v>
      </c>
    </row>
    <row r="1386" spans="1:5" ht="15.75" customHeight="1" x14ac:dyDescent="0.3">
      <c r="A1386" s="45" t="str">
        <f t="shared" si="5"/>
        <v>CuiabáJoão PessoaAvião</v>
      </c>
      <c r="B1386" s="46" t="s">
        <v>31</v>
      </c>
      <c r="C1386" s="47" t="s">
        <v>37</v>
      </c>
      <c r="D1386" s="47" t="s">
        <v>59</v>
      </c>
      <c r="E1386" s="48">
        <v>0</v>
      </c>
    </row>
    <row r="1387" spans="1:5" ht="15.75" customHeight="1" x14ac:dyDescent="0.3">
      <c r="A1387" s="45" t="str">
        <f t="shared" si="5"/>
        <v>CuiabáJoinvilleAvião</v>
      </c>
      <c r="B1387" s="46" t="s">
        <v>31</v>
      </c>
      <c r="C1387" s="47" t="s">
        <v>37</v>
      </c>
      <c r="D1387" s="47" t="s">
        <v>28</v>
      </c>
      <c r="E1387" s="48">
        <v>0</v>
      </c>
    </row>
    <row r="1388" spans="1:5" ht="15.75" customHeight="1" x14ac:dyDescent="0.3">
      <c r="A1388" s="45" t="str">
        <f t="shared" si="5"/>
        <v>CuiabáMaceióAvião</v>
      </c>
      <c r="B1388" s="46" t="s">
        <v>31</v>
      </c>
      <c r="C1388" s="47" t="s">
        <v>37</v>
      </c>
      <c r="D1388" s="47" t="s">
        <v>60</v>
      </c>
      <c r="E1388" s="48">
        <v>0</v>
      </c>
    </row>
    <row r="1389" spans="1:5" ht="15.75" customHeight="1" x14ac:dyDescent="0.3">
      <c r="A1389" s="45" t="str">
        <f t="shared" si="5"/>
        <v>CuiabáManausAvião</v>
      </c>
      <c r="B1389" s="46" t="s">
        <v>31</v>
      </c>
      <c r="C1389" s="47" t="s">
        <v>37</v>
      </c>
      <c r="D1389" s="47" t="s">
        <v>23</v>
      </c>
      <c r="E1389" s="48">
        <v>0</v>
      </c>
    </row>
    <row r="1390" spans="1:5" ht="15.75" customHeight="1" x14ac:dyDescent="0.3">
      <c r="A1390" s="45" t="str">
        <f t="shared" si="5"/>
        <v>CuiabáNatalAvião</v>
      </c>
      <c r="B1390" s="46" t="s">
        <v>31</v>
      </c>
      <c r="C1390" s="47" t="s">
        <v>37</v>
      </c>
      <c r="D1390" s="47" t="s">
        <v>61</v>
      </c>
      <c r="E1390" s="48">
        <v>0</v>
      </c>
    </row>
    <row r="1391" spans="1:5" ht="15.75" customHeight="1" x14ac:dyDescent="0.3">
      <c r="A1391" s="45" t="str">
        <f t="shared" si="5"/>
        <v>CuiabáPorto AlegreAvião</v>
      </c>
      <c r="B1391" s="46" t="s">
        <v>31</v>
      </c>
      <c r="C1391" s="47" t="s">
        <v>37</v>
      </c>
      <c r="D1391" s="47" t="s">
        <v>44</v>
      </c>
      <c r="E1391" s="48">
        <v>0</v>
      </c>
    </row>
    <row r="1392" spans="1:5" ht="15.75" customHeight="1" x14ac:dyDescent="0.3">
      <c r="A1392" s="45" t="str">
        <f t="shared" si="5"/>
        <v>CuiabáRecifeAvião</v>
      </c>
      <c r="B1392" s="46" t="s">
        <v>31</v>
      </c>
      <c r="C1392" s="47" t="s">
        <v>37</v>
      </c>
      <c r="D1392" s="47" t="s">
        <v>62</v>
      </c>
      <c r="E1392" s="48">
        <v>0</v>
      </c>
    </row>
    <row r="1393" spans="1:5" ht="15.75" customHeight="1" x14ac:dyDescent="0.3">
      <c r="A1393" s="45" t="str">
        <f t="shared" si="5"/>
        <v>CuiabáRibeirão PretoAvião</v>
      </c>
      <c r="B1393" s="46" t="s">
        <v>31</v>
      </c>
      <c r="C1393" s="47" t="s">
        <v>37</v>
      </c>
      <c r="D1393" s="47" t="s">
        <v>63</v>
      </c>
      <c r="E1393" s="48">
        <v>0</v>
      </c>
    </row>
    <row r="1394" spans="1:5" ht="15.75" customHeight="1" x14ac:dyDescent="0.3">
      <c r="A1394" s="45" t="str">
        <f t="shared" si="5"/>
        <v>CuiabáRio de JaneiroAvião</v>
      </c>
      <c r="B1394" s="46" t="s">
        <v>31</v>
      </c>
      <c r="C1394" s="47" t="s">
        <v>37</v>
      </c>
      <c r="D1394" s="47" t="s">
        <v>64</v>
      </c>
      <c r="E1394" s="48">
        <v>0</v>
      </c>
    </row>
    <row r="1395" spans="1:5" ht="15.75" customHeight="1" x14ac:dyDescent="0.3">
      <c r="A1395" s="45" t="str">
        <f t="shared" si="5"/>
        <v>CuiabáSalvadorAvião</v>
      </c>
      <c r="B1395" s="46" t="s">
        <v>31</v>
      </c>
      <c r="C1395" s="47" t="s">
        <v>37</v>
      </c>
      <c r="D1395" s="47" t="s">
        <v>65</v>
      </c>
      <c r="E1395" s="48">
        <v>0</v>
      </c>
    </row>
    <row r="1396" spans="1:5" ht="15.75" customHeight="1" x14ac:dyDescent="0.3">
      <c r="A1396" s="45" t="str">
        <f t="shared" si="5"/>
        <v>CuiabáSantosAvião</v>
      </c>
      <c r="B1396" s="46" t="s">
        <v>31</v>
      </c>
      <c r="C1396" s="47" t="s">
        <v>37</v>
      </c>
      <c r="D1396" s="47" t="s">
        <v>47</v>
      </c>
      <c r="E1396" s="48">
        <v>0</v>
      </c>
    </row>
    <row r="1397" spans="1:5" ht="15.75" customHeight="1" x14ac:dyDescent="0.3">
      <c r="A1397" s="45" t="str">
        <f t="shared" si="5"/>
        <v>CuiabáSão LuísAvião</v>
      </c>
      <c r="B1397" s="46" t="s">
        <v>31</v>
      </c>
      <c r="C1397" s="47" t="s">
        <v>37</v>
      </c>
      <c r="D1397" s="47" t="s">
        <v>50</v>
      </c>
      <c r="E1397" s="48">
        <v>0</v>
      </c>
    </row>
    <row r="1398" spans="1:5" ht="15.75" customHeight="1" x14ac:dyDescent="0.3">
      <c r="A1398" s="45" t="str">
        <f t="shared" si="5"/>
        <v>CuiabáSão PauloAvião</v>
      </c>
      <c r="B1398" s="46" t="s">
        <v>31</v>
      </c>
      <c r="C1398" s="47" t="s">
        <v>37</v>
      </c>
      <c r="D1398" s="47" t="s">
        <v>66</v>
      </c>
      <c r="E1398" s="48">
        <v>0</v>
      </c>
    </row>
    <row r="1399" spans="1:5" ht="15.75" customHeight="1" x14ac:dyDescent="0.3">
      <c r="A1399" s="45" t="str">
        <f t="shared" si="5"/>
        <v>CuiabáUberlândiaAvião</v>
      </c>
      <c r="B1399" s="46" t="s">
        <v>31</v>
      </c>
      <c r="C1399" s="47" t="s">
        <v>37</v>
      </c>
      <c r="D1399" s="47" t="s">
        <v>67</v>
      </c>
      <c r="E1399" s="48">
        <v>0</v>
      </c>
    </row>
    <row r="1400" spans="1:5" ht="15.75" customHeight="1" x14ac:dyDescent="0.3">
      <c r="A1400" s="45" t="str">
        <f t="shared" si="5"/>
        <v>CuiabáVitóriaAvião</v>
      </c>
      <c r="B1400" s="46" t="s">
        <v>31</v>
      </c>
      <c r="C1400" s="47" t="s">
        <v>37</v>
      </c>
      <c r="D1400" s="47" t="s">
        <v>68</v>
      </c>
      <c r="E1400" s="48">
        <v>0</v>
      </c>
    </row>
    <row r="1401" spans="1:5" ht="15.75" customHeight="1" x14ac:dyDescent="0.3">
      <c r="A1401" s="45" t="str">
        <f t="shared" si="5"/>
        <v>CuiabáVitória da ConquistaAvião</v>
      </c>
      <c r="B1401" s="46" t="s">
        <v>31</v>
      </c>
      <c r="C1401" s="47" t="s">
        <v>37</v>
      </c>
      <c r="D1401" s="47" t="s">
        <v>49</v>
      </c>
      <c r="E1401" s="48">
        <v>0</v>
      </c>
    </row>
    <row r="1402" spans="1:5" ht="15.75" customHeight="1" x14ac:dyDescent="0.3">
      <c r="A1402" s="45" t="str">
        <f t="shared" si="5"/>
        <v>CuritibaBelémAvião</v>
      </c>
      <c r="B1402" s="46" t="s">
        <v>31</v>
      </c>
      <c r="C1402" s="46" t="s">
        <v>56</v>
      </c>
      <c r="D1402" s="47" t="s">
        <v>48</v>
      </c>
      <c r="E1402" s="48">
        <v>0</v>
      </c>
    </row>
    <row r="1403" spans="1:5" ht="15.75" customHeight="1" x14ac:dyDescent="0.3">
      <c r="A1403" s="45" t="str">
        <f t="shared" si="5"/>
        <v>CuritibaBelo HorizonteAvião</v>
      </c>
      <c r="B1403" s="46" t="s">
        <v>31</v>
      </c>
      <c r="C1403" s="46" t="s">
        <v>56</v>
      </c>
      <c r="D1403" s="47" t="s">
        <v>52</v>
      </c>
      <c r="E1403" s="48">
        <v>0</v>
      </c>
    </row>
    <row r="1404" spans="1:5" ht="15.75" customHeight="1" x14ac:dyDescent="0.3">
      <c r="A1404" s="45" t="str">
        <f t="shared" si="5"/>
        <v>CuritibaBrasíliaAvião</v>
      </c>
      <c r="B1404" s="46" t="s">
        <v>31</v>
      </c>
      <c r="C1404" s="46" t="s">
        <v>56</v>
      </c>
      <c r="D1404" s="47" t="s">
        <v>53</v>
      </c>
      <c r="E1404" s="48">
        <v>0</v>
      </c>
    </row>
    <row r="1405" spans="1:5" ht="15.75" customHeight="1" x14ac:dyDescent="0.3">
      <c r="A1405" s="45" t="str">
        <f t="shared" si="5"/>
        <v>CuritibaCampinasAvião</v>
      </c>
      <c r="B1405" s="46" t="s">
        <v>31</v>
      </c>
      <c r="C1405" s="46" t="s">
        <v>56</v>
      </c>
      <c r="D1405" s="47" t="s">
        <v>54</v>
      </c>
      <c r="E1405" s="48">
        <v>0</v>
      </c>
    </row>
    <row r="1406" spans="1:5" ht="15.75" customHeight="1" x14ac:dyDescent="0.3">
      <c r="A1406" s="45" t="str">
        <f t="shared" si="5"/>
        <v>CuritibaCampo GrandeAvião</v>
      </c>
      <c r="B1406" s="46" t="s">
        <v>31</v>
      </c>
      <c r="C1406" s="46" t="s">
        <v>56</v>
      </c>
      <c r="D1406" s="47" t="s">
        <v>55</v>
      </c>
      <c r="E1406" s="48">
        <v>0</v>
      </c>
    </row>
    <row r="1407" spans="1:5" ht="15.75" customHeight="1" x14ac:dyDescent="0.3">
      <c r="A1407" s="45" t="str">
        <f t="shared" si="5"/>
        <v>CuritibaCuiabáAvião</v>
      </c>
      <c r="B1407" s="46" t="s">
        <v>31</v>
      </c>
      <c r="C1407" s="46" t="s">
        <v>56</v>
      </c>
      <c r="D1407" s="47" t="s">
        <v>37</v>
      </c>
      <c r="E1407" s="48">
        <v>0</v>
      </c>
    </row>
    <row r="1408" spans="1:5" ht="15.75" customHeight="1" x14ac:dyDescent="0.3">
      <c r="A1408" s="45" t="str">
        <f t="shared" si="5"/>
        <v>CuritibaCuritibaAvião</v>
      </c>
      <c r="B1408" s="46" t="s">
        <v>31</v>
      </c>
      <c r="C1408" s="46" t="s">
        <v>56</v>
      </c>
      <c r="D1408" s="47" t="s">
        <v>56</v>
      </c>
      <c r="E1408" s="48">
        <v>0</v>
      </c>
    </row>
    <row r="1409" spans="1:5" ht="15.75" customHeight="1" x14ac:dyDescent="0.3">
      <c r="A1409" s="45" t="str">
        <f t="shared" si="5"/>
        <v>CuritibaFortalezaAvião</v>
      </c>
      <c r="B1409" s="46" t="s">
        <v>31</v>
      </c>
      <c r="C1409" s="46" t="s">
        <v>56</v>
      </c>
      <c r="D1409" s="47" t="s">
        <v>57</v>
      </c>
      <c r="E1409" s="48">
        <v>0</v>
      </c>
    </row>
    <row r="1410" spans="1:5" ht="15.75" customHeight="1" x14ac:dyDescent="0.3">
      <c r="A1410" s="45" t="str">
        <f t="shared" si="5"/>
        <v>CuritibaGoiâniaAvião</v>
      </c>
      <c r="B1410" s="46" t="s">
        <v>31</v>
      </c>
      <c r="C1410" s="46" t="s">
        <v>56</v>
      </c>
      <c r="D1410" s="47" t="s">
        <v>58</v>
      </c>
      <c r="E1410" s="48">
        <v>0</v>
      </c>
    </row>
    <row r="1411" spans="1:5" ht="15.75" customHeight="1" x14ac:dyDescent="0.3">
      <c r="A1411" s="45" t="str">
        <f t="shared" si="5"/>
        <v>CuritibaJoão PessoaAvião</v>
      </c>
      <c r="B1411" s="46" t="s">
        <v>31</v>
      </c>
      <c r="C1411" s="46" t="s">
        <v>56</v>
      </c>
      <c r="D1411" s="47" t="s">
        <v>59</v>
      </c>
      <c r="E1411" s="48">
        <v>0</v>
      </c>
    </row>
    <row r="1412" spans="1:5" ht="15.75" customHeight="1" x14ac:dyDescent="0.3">
      <c r="A1412" s="45" t="str">
        <f t="shared" si="5"/>
        <v>CuritibaJoinvilleAvião</v>
      </c>
      <c r="B1412" s="46" t="s">
        <v>31</v>
      </c>
      <c r="C1412" s="46" t="s">
        <v>56</v>
      </c>
      <c r="D1412" s="47" t="s">
        <v>28</v>
      </c>
      <c r="E1412" s="48">
        <v>0</v>
      </c>
    </row>
    <row r="1413" spans="1:5" ht="15.75" customHeight="1" x14ac:dyDescent="0.3">
      <c r="A1413" s="45" t="str">
        <f t="shared" si="5"/>
        <v>CuritibaMaceióAvião</v>
      </c>
      <c r="B1413" s="46" t="s">
        <v>31</v>
      </c>
      <c r="C1413" s="46" t="s">
        <v>56</v>
      </c>
      <c r="D1413" s="47" t="s">
        <v>60</v>
      </c>
      <c r="E1413" s="48">
        <v>0</v>
      </c>
    </row>
    <row r="1414" spans="1:5" ht="15.75" customHeight="1" x14ac:dyDescent="0.3">
      <c r="A1414" s="45" t="str">
        <f t="shared" si="5"/>
        <v>CuritibaManausAvião</v>
      </c>
      <c r="B1414" s="46" t="s">
        <v>31</v>
      </c>
      <c r="C1414" s="46" t="s">
        <v>56</v>
      </c>
      <c r="D1414" s="47" t="s">
        <v>23</v>
      </c>
      <c r="E1414" s="48">
        <v>0</v>
      </c>
    </row>
    <row r="1415" spans="1:5" ht="15.75" customHeight="1" x14ac:dyDescent="0.3">
      <c r="A1415" s="45" t="str">
        <f t="shared" si="5"/>
        <v>CuritibaNatalAvião</v>
      </c>
      <c r="B1415" s="46" t="s">
        <v>31</v>
      </c>
      <c r="C1415" s="46" t="s">
        <v>56</v>
      </c>
      <c r="D1415" s="47" t="s">
        <v>61</v>
      </c>
      <c r="E1415" s="48">
        <v>0</v>
      </c>
    </row>
    <row r="1416" spans="1:5" ht="15.75" customHeight="1" x14ac:dyDescent="0.3">
      <c r="A1416" s="45" t="str">
        <f t="shared" si="5"/>
        <v>CuritibaPorto AlegreAvião</v>
      </c>
      <c r="B1416" s="46" t="s">
        <v>31</v>
      </c>
      <c r="C1416" s="46" t="s">
        <v>56</v>
      </c>
      <c r="D1416" s="47" t="s">
        <v>44</v>
      </c>
      <c r="E1416" s="48">
        <v>0</v>
      </c>
    </row>
    <row r="1417" spans="1:5" ht="15.75" customHeight="1" x14ac:dyDescent="0.3">
      <c r="A1417" s="45" t="str">
        <f t="shared" si="5"/>
        <v>CuritibaRecifeAvião</v>
      </c>
      <c r="B1417" s="46" t="s">
        <v>31</v>
      </c>
      <c r="C1417" s="46" t="s">
        <v>56</v>
      </c>
      <c r="D1417" s="47" t="s">
        <v>62</v>
      </c>
      <c r="E1417" s="48">
        <v>0</v>
      </c>
    </row>
    <row r="1418" spans="1:5" ht="15.75" customHeight="1" x14ac:dyDescent="0.3">
      <c r="A1418" s="45" t="str">
        <f t="shared" si="5"/>
        <v>CuritibaRibeirão PretoAvião</v>
      </c>
      <c r="B1418" s="46" t="s">
        <v>31</v>
      </c>
      <c r="C1418" s="46" t="s">
        <v>56</v>
      </c>
      <c r="D1418" s="47" t="s">
        <v>63</v>
      </c>
      <c r="E1418" s="48">
        <v>0</v>
      </c>
    </row>
    <row r="1419" spans="1:5" ht="15.75" customHeight="1" x14ac:dyDescent="0.3">
      <c r="A1419" s="45" t="str">
        <f t="shared" si="5"/>
        <v>CuritibaRio de JaneiroAvião</v>
      </c>
      <c r="B1419" s="46" t="s">
        <v>31</v>
      </c>
      <c r="C1419" s="46" t="s">
        <v>56</v>
      </c>
      <c r="D1419" s="47" t="s">
        <v>64</v>
      </c>
      <c r="E1419" s="48">
        <v>0</v>
      </c>
    </row>
    <row r="1420" spans="1:5" ht="15.75" customHeight="1" x14ac:dyDescent="0.3">
      <c r="A1420" s="45" t="str">
        <f t="shared" si="5"/>
        <v>CuritibaSalvadorAvião</v>
      </c>
      <c r="B1420" s="46" t="s">
        <v>31</v>
      </c>
      <c r="C1420" s="46" t="s">
        <v>56</v>
      </c>
      <c r="D1420" s="47" t="s">
        <v>65</v>
      </c>
      <c r="E1420" s="48">
        <v>0</v>
      </c>
    </row>
    <row r="1421" spans="1:5" ht="15.75" customHeight="1" x14ac:dyDescent="0.3">
      <c r="A1421" s="45" t="str">
        <f t="shared" si="5"/>
        <v>CuritibaSantosAvião</v>
      </c>
      <c r="B1421" s="46" t="s">
        <v>31</v>
      </c>
      <c r="C1421" s="46" t="s">
        <v>56</v>
      </c>
      <c r="D1421" s="47" t="s">
        <v>47</v>
      </c>
      <c r="E1421" s="48">
        <v>0</v>
      </c>
    </row>
    <row r="1422" spans="1:5" ht="15.75" customHeight="1" x14ac:dyDescent="0.3">
      <c r="A1422" s="45" t="str">
        <f t="shared" si="5"/>
        <v>CuritibaSão LuísAvião</v>
      </c>
      <c r="B1422" s="46" t="s">
        <v>31</v>
      </c>
      <c r="C1422" s="46" t="s">
        <v>56</v>
      </c>
      <c r="D1422" s="47" t="s">
        <v>50</v>
      </c>
      <c r="E1422" s="48">
        <v>0</v>
      </c>
    </row>
    <row r="1423" spans="1:5" ht="15.75" customHeight="1" x14ac:dyDescent="0.3">
      <c r="A1423" s="45" t="str">
        <f t="shared" si="5"/>
        <v>CuritibaSão PauloAvião</v>
      </c>
      <c r="B1423" s="46" t="s">
        <v>31</v>
      </c>
      <c r="C1423" s="46" t="s">
        <v>56</v>
      </c>
      <c r="D1423" s="47" t="s">
        <v>66</v>
      </c>
      <c r="E1423" s="48">
        <v>0</v>
      </c>
    </row>
    <row r="1424" spans="1:5" ht="15.75" customHeight="1" x14ac:dyDescent="0.3">
      <c r="A1424" s="45" t="str">
        <f t="shared" si="5"/>
        <v>CuritibaUberlândiaAvião</v>
      </c>
      <c r="B1424" s="46" t="s">
        <v>31</v>
      </c>
      <c r="C1424" s="46" t="s">
        <v>56</v>
      </c>
      <c r="D1424" s="47" t="s">
        <v>67</v>
      </c>
      <c r="E1424" s="48">
        <v>0</v>
      </c>
    </row>
    <row r="1425" spans="1:5" ht="15.75" customHeight="1" x14ac:dyDescent="0.3">
      <c r="A1425" s="45" t="str">
        <f t="shared" si="5"/>
        <v>CuritibaVitóriaAvião</v>
      </c>
      <c r="B1425" s="46" t="s">
        <v>31</v>
      </c>
      <c r="C1425" s="46" t="s">
        <v>56</v>
      </c>
      <c r="D1425" s="47" t="s">
        <v>68</v>
      </c>
      <c r="E1425" s="48">
        <v>0</v>
      </c>
    </row>
    <row r="1426" spans="1:5" ht="15.75" customHeight="1" x14ac:dyDescent="0.3">
      <c r="A1426" s="45" t="str">
        <f t="shared" si="5"/>
        <v>CuritibaVitória da ConquistaAvião</v>
      </c>
      <c r="B1426" s="46" t="s">
        <v>31</v>
      </c>
      <c r="C1426" s="46" t="s">
        <v>56</v>
      </c>
      <c r="D1426" s="47" t="s">
        <v>49</v>
      </c>
      <c r="E1426" s="48">
        <v>0</v>
      </c>
    </row>
    <row r="1427" spans="1:5" ht="15.75" customHeight="1" x14ac:dyDescent="0.3">
      <c r="A1427" s="45" t="str">
        <f t="shared" si="5"/>
        <v>FortalezaBelémAvião</v>
      </c>
      <c r="B1427" s="46" t="s">
        <v>31</v>
      </c>
      <c r="C1427" s="46" t="s">
        <v>57</v>
      </c>
      <c r="D1427" s="47" t="s">
        <v>48</v>
      </c>
      <c r="E1427" s="48">
        <v>0</v>
      </c>
    </row>
    <row r="1428" spans="1:5" ht="15.75" customHeight="1" x14ac:dyDescent="0.3">
      <c r="A1428" s="45" t="str">
        <f t="shared" si="5"/>
        <v>FortalezaBelo HorizonteAvião</v>
      </c>
      <c r="B1428" s="46" t="s">
        <v>31</v>
      </c>
      <c r="C1428" s="46" t="s">
        <v>57</v>
      </c>
      <c r="D1428" s="47" t="s">
        <v>52</v>
      </c>
      <c r="E1428" s="48">
        <v>0</v>
      </c>
    </row>
    <row r="1429" spans="1:5" ht="15.75" customHeight="1" x14ac:dyDescent="0.3">
      <c r="A1429" s="45" t="str">
        <f t="shared" si="5"/>
        <v>FortalezaBrasíliaAvião</v>
      </c>
      <c r="B1429" s="46" t="s">
        <v>31</v>
      </c>
      <c r="C1429" s="46" t="s">
        <v>57</v>
      </c>
      <c r="D1429" s="47" t="s">
        <v>53</v>
      </c>
      <c r="E1429" s="48">
        <v>0</v>
      </c>
    </row>
    <row r="1430" spans="1:5" ht="15.75" customHeight="1" x14ac:dyDescent="0.3">
      <c r="A1430" s="45" t="str">
        <f t="shared" si="5"/>
        <v>FortalezaCampinasAvião</v>
      </c>
      <c r="B1430" s="46" t="s">
        <v>31</v>
      </c>
      <c r="C1430" s="46" t="s">
        <v>57</v>
      </c>
      <c r="D1430" s="47" t="s">
        <v>54</v>
      </c>
      <c r="E1430" s="48">
        <v>0</v>
      </c>
    </row>
    <row r="1431" spans="1:5" ht="15.75" customHeight="1" x14ac:dyDescent="0.3">
      <c r="A1431" s="45" t="str">
        <f t="shared" si="5"/>
        <v>FortalezaCampo GrandeAvião</v>
      </c>
      <c r="B1431" s="46" t="s">
        <v>31</v>
      </c>
      <c r="C1431" s="46" t="s">
        <v>57</v>
      </c>
      <c r="D1431" s="47" t="s">
        <v>55</v>
      </c>
      <c r="E1431" s="48">
        <v>0</v>
      </c>
    </row>
    <row r="1432" spans="1:5" ht="15.75" customHeight="1" x14ac:dyDescent="0.3">
      <c r="A1432" s="45" t="str">
        <f t="shared" si="5"/>
        <v>FortalezaCuiabáAvião</v>
      </c>
      <c r="B1432" s="46" t="s">
        <v>31</v>
      </c>
      <c r="C1432" s="46" t="s">
        <v>57</v>
      </c>
      <c r="D1432" s="47" t="s">
        <v>37</v>
      </c>
      <c r="E1432" s="48">
        <v>0</v>
      </c>
    </row>
    <row r="1433" spans="1:5" ht="15.75" customHeight="1" x14ac:dyDescent="0.3">
      <c r="A1433" s="45" t="str">
        <f t="shared" si="5"/>
        <v>FortalezaCuritibaAvião</v>
      </c>
      <c r="B1433" s="46" t="s">
        <v>31</v>
      </c>
      <c r="C1433" s="46" t="s">
        <v>57</v>
      </c>
      <c r="D1433" s="47" t="s">
        <v>56</v>
      </c>
      <c r="E1433" s="48">
        <v>0</v>
      </c>
    </row>
    <row r="1434" spans="1:5" ht="15.75" customHeight="1" x14ac:dyDescent="0.3">
      <c r="A1434" s="45" t="str">
        <f t="shared" si="5"/>
        <v>FortalezaFortalezaAvião</v>
      </c>
      <c r="B1434" s="46" t="s">
        <v>31</v>
      </c>
      <c r="C1434" s="46" t="s">
        <v>57</v>
      </c>
      <c r="D1434" s="47" t="s">
        <v>57</v>
      </c>
      <c r="E1434" s="48">
        <v>0</v>
      </c>
    </row>
    <row r="1435" spans="1:5" ht="15.75" customHeight="1" x14ac:dyDescent="0.3">
      <c r="A1435" s="45" t="str">
        <f t="shared" si="5"/>
        <v>FortalezaGoiâniaAvião</v>
      </c>
      <c r="B1435" s="46" t="s">
        <v>31</v>
      </c>
      <c r="C1435" s="46" t="s">
        <v>57</v>
      </c>
      <c r="D1435" s="47" t="s">
        <v>58</v>
      </c>
      <c r="E1435" s="48">
        <v>0</v>
      </c>
    </row>
    <row r="1436" spans="1:5" ht="15.75" customHeight="1" x14ac:dyDescent="0.3">
      <c r="A1436" s="45" t="str">
        <f t="shared" si="5"/>
        <v>FortalezaJoão PessoaAvião</v>
      </c>
      <c r="B1436" s="46" t="s">
        <v>31</v>
      </c>
      <c r="C1436" s="46" t="s">
        <v>57</v>
      </c>
      <c r="D1436" s="47" t="s">
        <v>59</v>
      </c>
      <c r="E1436" s="48">
        <v>0</v>
      </c>
    </row>
    <row r="1437" spans="1:5" ht="15.75" customHeight="1" x14ac:dyDescent="0.3">
      <c r="A1437" s="45" t="str">
        <f t="shared" si="5"/>
        <v>FortalezaJoinvilleAvião</v>
      </c>
      <c r="B1437" s="46" t="s">
        <v>31</v>
      </c>
      <c r="C1437" s="46" t="s">
        <v>57</v>
      </c>
      <c r="D1437" s="47" t="s">
        <v>28</v>
      </c>
      <c r="E1437" s="48">
        <v>0</v>
      </c>
    </row>
    <row r="1438" spans="1:5" ht="15.75" customHeight="1" x14ac:dyDescent="0.3">
      <c r="A1438" s="45" t="str">
        <f t="shared" si="5"/>
        <v>FortalezaMaceióAvião</v>
      </c>
      <c r="B1438" s="46" t="s">
        <v>31</v>
      </c>
      <c r="C1438" s="46" t="s">
        <v>57</v>
      </c>
      <c r="D1438" s="47" t="s">
        <v>60</v>
      </c>
      <c r="E1438" s="48">
        <v>0</v>
      </c>
    </row>
    <row r="1439" spans="1:5" ht="15.75" customHeight="1" x14ac:dyDescent="0.3">
      <c r="A1439" s="45" t="str">
        <f t="shared" si="5"/>
        <v>FortalezaManausAvião</v>
      </c>
      <c r="B1439" s="46" t="s">
        <v>31</v>
      </c>
      <c r="C1439" s="46" t="s">
        <v>57</v>
      </c>
      <c r="D1439" s="47" t="s">
        <v>23</v>
      </c>
      <c r="E1439" s="48">
        <v>0</v>
      </c>
    </row>
    <row r="1440" spans="1:5" ht="15.75" customHeight="1" x14ac:dyDescent="0.3">
      <c r="A1440" s="45" t="str">
        <f t="shared" si="5"/>
        <v>FortalezaNatalAvião</v>
      </c>
      <c r="B1440" s="46" t="s">
        <v>31</v>
      </c>
      <c r="C1440" s="46" t="s">
        <v>57</v>
      </c>
      <c r="D1440" s="47" t="s">
        <v>61</v>
      </c>
      <c r="E1440" s="48">
        <v>0</v>
      </c>
    </row>
    <row r="1441" spans="1:5" ht="15.75" customHeight="1" x14ac:dyDescent="0.3">
      <c r="A1441" s="45" t="str">
        <f t="shared" si="5"/>
        <v>FortalezaPorto AlegreAvião</v>
      </c>
      <c r="B1441" s="46" t="s">
        <v>31</v>
      </c>
      <c r="C1441" s="46" t="s">
        <v>57</v>
      </c>
      <c r="D1441" s="47" t="s">
        <v>44</v>
      </c>
      <c r="E1441" s="48">
        <v>0</v>
      </c>
    </row>
    <row r="1442" spans="1:5" ht="15.75" customHeight="1" x14ac:dyDescent="0.3">
      <c r="A1442" s="45" t="str">
        <f t="shared" si="5"/>
        <v>FortalezaRecifeAvião</v>
      </c>
      <c r="B1442" s="46" t="s">
        <v>31</v>
      </c>
      <c r="C1442" s="46" t="s">
        <v>57</v>
      </c>
      <c r="D1442" s="47" t="s">
        <v>62</v>
      </c>
      <c r="E1442" s="48">
        <v>0</v>
      </c>
    </row>
    <row r="1443" spans="1:5" ht="15.75" customHeight="1" x14ac:dyDescent="0.3">
      <c r="A1443" s="45" t="str">
        <f t="shared" si="5"/>
        <v>FortalezaRibeirão PretoAvião</v>
      </c>
      <c r="B1443" s="46" t="s">
        <v>31</v>
      </c>
      <c r="C1443" s="46" t="s">
        <v>57</v>
      </c>
      <c r="D1443" s="47" t="s">
        <v>63</v>
      </c>
      <c r="E1443" s="48">
        <v>0</v>
      </c>
    </row>
    <row r="1444" spans="1:5" ht="15.75" customHeight="1" x14ac:dyDescent="0.3">
      <c r="A1444" s="45" t="str">
        <f t="shared" si="5"/>
        <v>FortalezaRio de JaneiroAvião</v>
      </c>
      <c r="B1444" s="46" t="s">
        <v>31</v>
      </c>
      <c r="C1444" s="46" t="s">
        <v>57</v>
      </c>
      <c r="D1444" s="47" t="s">
        <v>64</v>
      </c>
      <c r="E1444" s="48">
        <v>0</v>
      </c>
    </row>
    <row r="1445" spans="1:5" ht="15.75" customHeight="1" x14ac:dyDescent="0.3">
      <c r="A1445" s="45" t="str">
        <f t="shared" si="5"/>
        <v>FortalezaSalvadorAvião</v>
      </c>
      <c r="B1445" s="46" t="s">
        <v>31</v>
      </c>
      <c r="C1445" s="46" t="s">
        <v>57</v>
      </c>
      <c r="D1445" s="47" t="s">
        <v>65</v>
      </c>
      <c r="E1445" s="48">
        <v>0</v>
      </c>
    </row>
    <row r="1446" spans="1:5" ht="15.75" customHeight="1" x14ac:dyDescent="0.3">
      <c r="A1446" s="45" t="str">
        <f t="shared" si="5"/>
        <v>FortalezaSantosAvião</v>
      </c>
      <c r="B1446" s="46" t="s">
        <v>31</v>
      </c>
      <c r="C1446" s="46" t="s">
        <v>57</v>
      </c>
      <c r="D1446" s="47" t="s">
        <v>47</v>
      </c>
      <c r="E1446" s="48">
        <v>0</v>
      </c>
    </row>
    <row r="1447" spans="1:5" ht="15.75" customHeight="1" x14ac:dyDescent="0.3">
      <c r="A1447" s="45" t="str">
        <f t="shared" si="5"/>
        <v>FortalezaSão LuísAvião</v>
      </c>
      <c r="B1447" s="46" t="s">
        <v>31</v>
      </c>
      <c r="C1447" s="46" t="s">
        <v>57</v>
      </c>
      <c r="D1447" s="47" t="s">
        <v>50</v>
      </c>
      <c r="E1447" s="48">
        <v>0</v>
      </c>
    </row>
    <row r="1448" spans="1:5" ht="15.75" customHeight="1" x14ac:dyDescent="0.3">
      <c r="A1448" s="45" t="str">
        <f t="shared" si="5"/>
        <v>FortalezaSão PauloAvião</v>
      </c>
      <c r="B1448" s="46" t="s">
        <v>31</v>
      </c>
      <c r="C1448" s="46" t="s">
        <v>57</v>
      </c>
      <c r="D1448" s="47" t="s">
        <v>66</v>
      </c>
      <c r="E1448" s="48">
        <v>0</v>
      </c>
    </row>
    <row r="1449" spans="1:5" ht="15.75" customHeight="1" x14ac:dyDescent="0.3">
      <c r="A1449" s="45" t="str">
        <f t="shared" si="5"/>
        <v>FortalezaUberlândiaAvião</v>
      </c>
      <c r="B1449" s="46" t="s">
        <v>31</v>
      </c>
      <c r="C1449" s="46" t="s">
        <v>57</v>
      </c>
      <c r="D1449" s="47" t="s">
        <v>67</v>
      </c>
      <c r="E1449" s="48">
        <v>0</v>
      </c>
    </row>
    <row r="1450" spans="1:5" ht="15.75" customHeight="1" x14ac:dyDescent="0.3">
      <c r="A1450" s="45" t="str">
        <f t="shared" si="5"/>
        <v>FortalezaVitóriaAvião</v>
      </c>
      <c r="B1450" s="46" t="s">
        <v>31</v>
      </c>
      <c r="C1450" s="46" t="s">
        <v>57</v>
      </c>
      <c r="D1450" s="47" t="s">
        <v>68</v>
      </c>
      <c r="E1450" s="48">
        <v>0</v>
      </c>
    </row>
    <row r="1451" spans="1:5" ht="15.75" customHeight="1" x14ac:dyDescent="0.3">
      <c r="A1451" s="45" t="str">
        <f t="shared" si="5"/>
        <v>FortalezaVitória da ConquistaAvião</v>
      </c>
      <c r="B1451" s="46" t="s">
        <v>31</v>
      </c>
      <c r="C1451" s="46" t="s">
        <v>57</v>
      </c>
      <c r="D1451" s="47" t="s">
        <v>49</v>
      </c>
      <c r="E1451" s="48">
        <v>0</v>
      </c>
    </row>
    <row r="1452" spans="1:5" ht="15.75" customHeight="1" x14ac:dyDescent="0.3">
      <c r="A1452" s="45" t="str">
        <f t="shared" si="5"/>
        <v>GoiâniaBelémAvião</v>
      </c>
      <c r="B1452" s="46" t="s">
        <v>31</v>
      </c>
      <c r="C1452" s="47" t="s">
        <v>58</v>
      </c>
      <c r="D1452" s="47" t="s">
        <v>48</v>
      </c>
      <c r="E1452" s="48">
        <v>0</v>
      </c>
    </row>
    <row r="1453" spans="1:5" ht="15.75" customHeight="1" x14ac:dyDescent="0.3">
      <c r="A1453" s="45" t="str">
        <f t="shared" si="5"/>
        <v>GoiâniaBelo HorizonteAvião</v>
      </c>
      <c r="B1453" s="46" t="s">
        <v>31</v>
      </c>
      <c r="C1453" s="47" t="s">
        <v>58</v>
      </c>
      <c r="D1453" s="47" t="s">
        <v>52</v>
      </c>
      <c r="E1453" s="48">
        <v>0</v>
      </c>
    </row>
    <row r="1454" spans="1:5" ht="15.75" customHeight="1" x14ac:dyDescent="0.3">
      <c r="A1454" s="45" t="str">
        <f t="shared" si="5"/>
        <v>GoiâniaBrasíliaAvião</v>
      </c>
      <c r="B1454" s="46" t="s">
        <v>31</v>
      </c>
      <c r="C1454" s="47" t="s">
        <v>58</v>
      </c>
      <c r="D1454" s="47" t="s">
        <v>53</v>
      </c>
      <c r="E1454" s="48">
        <v>0</v>
      </c>
    </row>
    <row r="1455" spans="1:5" ht="15.75" customHeight="1" x14ac:dyDescent="0.3">
      <c r="A1455" s="45" t="str">
        <f t="shared" si="5"/>
        <v>GoiâniaCampinasAvião</v>
      </c>
      <c r="B1455" s="46" t="s">
        <v>31</v>
      </c>
      <c r="C1455" s="47" t="s">
        <v>58</v>
      </c>
      <c r="D1455" s="47" t="s">
        <v>54</v>
      </c>
      <c r="E1455" s="48">
        <v>0</v>
      </c>
    </row>
    <row r="1456" spans="1:5" ht="15.75" customHeight="1" x14ac:dyDescent="0.3">
      <c r="A1456" s="45" t="str">
        <f t="shared" si="5"/>
        <v>GoiâniaCampo GrandeAvião</v>
      </c>
      <c r="B1456" s="46" t="s">
        <v>31</v>
      </c>
      <c r="C1456" s="47" t="s">
        <v>58</v>
      </c>
      <c r="D1456" s="47" t="s">
        <v>55</v>
      </c>
      <c r="E1456" s="48">
        <v>0</v>
      </c>
    </row>
    <row r="1457" spans="1:5" ht="15.75" customHeight="1" x14ac:dyDescent="0.3">
      <c r="A1457" s="45" t="str">
        <f t="shared" si="5"/>
        <v>GoiâniaCuiabáAvião</v>
      </c>
      <c r="B1457" s="46" t="s">
        <v>31</v>
      </c>
      <c r="C1457" s="47" t="s">
        <v>58</v>
      </c>
      <c r="D1457" s="47" t="s">
        <v>37</v>
      </c>
      <c r="E1457" s="48">
        <v>0</v>
      </c>
    </row>
    <row r="1458" spans="1:5" ht="15.75" customHeight="1" x14ac:dyDescent="0.3">
      <c r="A1458" s="45" t="str">
        <f t="shared" si="5"/>
        <v>GoiâniaCuritibaAvião</v>
      </c>
      <c r="B1458" s="46" t="s">
        <v>31</v>
      </c>
      <c r="C1458" s="47" t="s">
        <v>58</v>
      </c>
      <c r="D1458" s="47" t="s">
        <v>56</v>
      </c>
      <c r="E1458" s="48">
        <v>0</v>
      </c>
    </row>
    <row r="1459" spans="1:5" ht="15.75" customHeight="1" x14ac:dyDescent="0.3">
      <c r="A1459" s="45" t="str">
        <f t="shared" si="5"/>
        <v>GoiâniaFortalezaAvião</v>
      </c>
      <c r="B1459" s="46" t="s">
        <v>31</v>
      </c>
      <c r="C1459" s="47" t="s">
        <v>58</v>
      </c>
      <c r="D1459" s="47" t="s">
        <v>57</v>
      </c>
      <c r="E1459" s="48">
        <v>0</v>
      </c>
    </row>
    <row r="1460" spans="1:5" ht="15.75" customHeight="1" x14ac:dyDescent="0.3">
      <c r="A1460" s="45" t="str">
        <f t="shared" si="5"/>
        <v>GoiâniaGoiâniaAvião</v>
      </c>
      <c r="B1460" s="46" t="s">
        <v>31</v>
      </c>
      <c r="C1460" s="47" t="s">
        <v>58</v>
      </c>
      <c r="D1460" s="47" t="s">
        <v>58</v>
      </c>
      <c r="E1460" s="48">
        <v>0</v>
      </c>
    </row>
    <row r="1461" spans="1:5" ht="15.75" customHeight="1" x14ac:dyDescent="0.3">
      <c r="A1461" s="45" t="str">
        <f t="shared" si="5"/>
        <v>GoiâniaJoão PessoaAvião</v>
      </c>
      <c r="B1461" s="46" t="s">
        <v>31</v>
      </c>
      <c r="C1461" s="47" t="s">
        <v>58</v>
      </c>
      <c r="D1461" s="47" t="s">
        <v>59</v>
      </c>
      <c r="E1461" s="48">
        <v>0</v>
      </c>
    </row>
    <row r="1462" spans="1:5" ht="15.75" customHeight="1" x14ac:dyDescent="0.3">
      <c r="A1462" s="45" t="str">
        <f t="shared" si="5"/>
        <v>GoiâniaJoinvilleAvião</v>
      </c>
      <c r="B1462" s="46" t="s">
        <v>31</v>
      </c>
      <c r="C1462" s="47" t="s">
        <v>58</v>
      </c>
      <c r="D1462" s="47" t="s">
        <v>28</v>
      </c>
      <c r="E1462" s="48">
        <v>0</v>
      </c>
    </row>
    <row r="1463" spans="1:5" ht="15.75" customHeight="1" x14ac:dyDescent="0.3">
      <c r="A1463" s="45" t="str">
        <f t="shared" si="5"/>
        <v>GoiâniaMaceióAvião</v>
      </c>
      <c r="B1463" s="46" t="s">
        <v>31</v>
      </c>
      <c r="C1463" s="47" t="s">
        <v>58</v>
      </c>
      <c r="D1463" s="47" t="s">
        <v>60</v>
      </c>
      <c r="E1463" s="48">
        <v>0</v>
      </c>
    </row>
    <row r="1464" spans="1:5" ht="15.75" customHeight="1" x14ac:dyDescent="0.3">
      <c r="A1464" s="45" t="str">
        <f t="shared" si="5"/>
        <v>GoiâniaManausAvião</v>
      </c>
      <c r="B1464" s="46" t="s">
        <v>31</v>
      </c>
      <c r="C1464" s="47" t="s">
        <v>58</v>
      </c>
      <c r="D1464" s="47" t="s">
        <v>23</v>
      </c>
      <c r="E1464" s="48">
        <v>0</v>
      </c>
    </row>
    <row r="1465" spans="1:5" ht="15.75" customHeight="1" x14ac:dyDescent="0.3">
      <c r="A1465" s="45" t="str">
        <f t="shared" si="5"/>
        <v>GoiâniaNatalAvião</v>
      </c>
      <c r="B1465" s="46" t="s">
        <v>31</v>
      </c>
      <c r="C1465" s="47" t="s">
        <v>58</v>
      </c>
      <c r="D1465" s="47" t="s">
        <v>61</v>
      </c>
      <c r="E1465" s="48">
        <v>0</v>
      </c>
    </row>
    <row r="1466" spans="1:5" ht="15.75" customHeight="1" x14ac:dyDescent="0.3">
      <c r="A1466" s="45" t="str">
        <f t="shared" si="5"/>
        <v>GoiâniaPorto AlegreAvião</v>
      </c>
      <c r="B1466" s="46" t="s">
        <v>31</v>
      </c>
      <c r="C1466" s="47" t="s">
        <v>58</v>
      </c>
      <c r="D1466" s="47" t="s">
        <v>44</v>
      </c>
      <c r="E1466" s="48">
        <v>0</v>
      </c>
    </row>
    <row r="1467" spans="1:5" ht="15.75" customHeight="1" x14ac:dyDescent="0.3">
      <c r="A1467" s="45" t="str">
        <f t="shared" si="5"/>
        <v>GoiâniaRecifeAvião</v>
      </c>
      <c r="B1467" s="46" t="s">
        <v>31</v>
      </c>
      <c r="C1467" s="47" t="s">
        <v>58</v>
      </c>
      <c r="D1467" s="47" t="s">
        <v>62</v>
      </c>
      <c r="E1467" s="48">
        <v>0</v>
      </c>
    </row>
    <row r="1468" spans="1:5" ht="15.75" customHeight="1" x14ac:dyDescent="0.3">
      <c r="A1468" s="45" t="str">
        <f t="shared" si="5"/>
        <v>GoiâniaRibeirão PretoAvião</v>
      </c>
      <c r="B1468" s="46" t="s">
        <v>31</v>
      </c>
      <c r="C1468" s="47" t="s">
        <v>58</v>
      </c>
      <c r="D1468" s="47" t="s">
        <v>63</v>
      </c>
      <c r="E1468" s="48">
        <v>0</v>
      </c>
    </row>
    <row r="1469" spans="1:5" ht="15.75" customHeight="1" x14ac:dyDescent="0.3">
      <c r="A1469" s="45" t="str">
        <f t="shared" si="5"/>
        <v>GoiâniaRio de JaneiroAvião</v>
      </c>
      <c r="B1469" s="46" t="s">
        <v>31</v>
      </c>
      <c r="C1469" s="47" t="s">
        <v>58</v>
      </c>
      <c r="D1469" s="47" t="s">
        <v>64</v>
      </c>
      <c r="E1469" s="48">
        <v>0</v>
      </c>
    </row>
    <row r="1470" spans="1:5" ht="15.75" customHeight="1" x14ac:dyDescent="0.3">
      <c r="A1470" s="45" t="str">
        <f t="shared" si="5"/>
        <v>GoiâniaSalvadorAvião</v>
      </c>
      <c r="B1470" s="46" t="s">
        <v>31</v>
      </c>
      <c r="C1470" s="47" t="s">
        <v>58</v>
      </c>
      <c r="D1470" s="47" t="s">
        <v>65</v>
      </c>
      <c r="E1470" s="48">
        <v>0</v>
      </c>
    </row>
    <row r="1471" spans="1:5" ht="15.75" customHeight="1" x14ac:dyDescent="0.3">
      <c r="A1471" s="45" t="str">
        <f t="shared" si="5"/>
        <v>GoiâniaSantosAvião</v>
      </c>
      <c r="B1471" s="46" t="s">
        <v>31</v>
      </c>
      <c r="C1471" s="47" t="s">
        <v>58</v>
      </c>
      <c r="D1471" s="47" t="s">
        <v>47</v>
      </c>
      <c r="E1471" s="48">
        <v>0</v>
      </c>
    </row>
    <row r="1472" spans="1:5" ht="15.75" customHeight="1" x14ac:dyDescent="0.3">
      <c r="A1472" s="45" t="str">
        <f t="shared" si="5"/>
        <v>GoiâniaSão LuísAvião</v>
      </c>
      <c r="B1472" s="46" t="s">
        <v>31</v>
      </c>
      <c r="C1472" s="47" t="s">
        <v>58</v>
      </c>
      <c r="D1472" s="47" t="s">
        <v>50</v>
      </c>
      <c r="E1472" s="48">
        <v>0</v>
      </c>
    </row>
    <row r="1473" spans="1:5" ht="15.75" customHeight="1" x14ac:dyDescent="0.3">
      <c r="A1473" s="45" t="str">
        <f t="shared" si="5"/>
        <v>GoiâniaSão PauloAvião</v>
      </c>
      <c r="B1473" s="46" t="s">
        <v>31</v>
      </c>
      <c r="C1473" s="47" t="s">
        <v>58</v>
      </c>
      <c r="D1473" s="47" t="s">
        <v>66</v>
      </c>
      <c r="E1473" s="48">
        <v>0</v>
      </c>
    </row>
    <row r="1474" spans="1:5" ht="15.75" customHeight="1" x14ac:dyDescent="0.3">
      <c r="A1474" s="45" t="str">
        <f t="shared" si="5"/>
        <v>GoiâniaUberlândiaAvião</v>
      </c>
      <c r="B1474" s="46" t="s">
        <v>31</v>
      </c>
      <c r="C1474" s="47" t="s">
        <v>58</v>
      </c>
      <c r="D1474" s="47" t="s">
        <v>67</v>
      </c>
      <c r="E1474" s="48">
        <v>0</v>
      </c>
    </row>
    <row r="1475" spans="1:5" ht="15.75" customHeight="1" x14ac:dyDescent="0.3">
      <c r="A1475" s="45" t="str">
        <f t="shared" si="5"/>
        <v>GoiâniaVitóriaAvião</v>
      </c>
      <c r="B1475" s="46" t="s">
        <v>31</v>
      </c>
      <c r="C1475" s="47" t="s">
        <v>58</v>
      </c>
      <c r="D1475" s="47" t="s">
        <v>68</v>
      </c>
      <c r="E1475" s="48">
        <v>0</v>
      </c>
    </row>
    <row r="1476" spans="1:5" ht="15.75" customHeight="1" x14ac:dyDescent="0.3">
      <c r="A1476" s="45" t="str">
        <f t="shared" si="5"/>
        <v>GoiâniaVitória da ConquistaAvião</v>
      </c>
      <c r="B1476" s="46" t="s">
        <v>31</v>
      </c>
      <c r="C1476" s="47" t="s">
        <v>58</v>
      </c>
      <c r="D1476" s="47" t="s">
        <v>49</v>
      </c>
      <c r="E1476" s="48">
        <v>0</v>
      </c>
    </row>
    <row r="1477" spans="1:5" ht="15.75" customHeight="1" x14ac:dyDescent="0.3">
      <c r="A1477" s="45" t="str">
        <f t="shared" si="5"/>
        <v>João PessoaBelémAvião</v>
      </c>
      <c r="B1477" s="46" t="s">
        <v>31</v>
      </c>
      <c r="C1477" s="47" t="s">
        <v>59</v>
      </c>
      <c r="D1477" s="47" t="s">
        <v>48</v>
      </c>
      <c r="E1477" s="48">
        <v>0</v>
      </c>
    </row>
    <row r="1478" spans="1:5" ht="15.75" customHeight="1" x14ac:dyDescent="0.3">
      <c r="A1478" s="45" t="str">
        <f t="shared" si="5"/>
        <v>João PessoaBelo HorizonteAvião</v>
      </c>
      <c r="B1478" s="46" t="s">
        <v>31</v>
      </c>
      <c r="C1478" s="47" t="s">
        <v>59</v>
      </c>
      <c r="D1478" s="47" t="s">
        <v>52</v>
      </c>
      <c r="E1478" s="48">
        <v>0</v>
      </c>
    </row>
    <row r="1479" spans="1:5" ht="15.75" customHeight="1" x14ac:dyDescent="0.3">
      <c r="A1479" s="45" t="str">
        <f t="shared" si="5"/>
        <v>João PessoaBrasíliaAvião</v>
      </c>
      <c r="B1479" s="46" t="s">
        <v>31</v>
      </c>
      <c r="C1479" s="47" t="s">
        <v>59</v>
      </c>
      <c r="D1479" s="47" t="s">
        <v>53</v>
      </c>
      <c r="E1479" s="48">
        <v>0</v>
      </c>
    </row>
    <row r="1480" spans="1:5" ht="15.75" customHeight="1" x14ac:dyDescent="0.3">
      <c r="A1480" s="45" t="str">
        <f t="shared" si="5"/>
        <v>João PessoaCampinasAvião</v>
      </c>
      <c r="B1480" s="46" t="s">
        <v>31</v>
      </c>
      <c r="C1480" s="47" t="s">
        <v>59</v>
      </c>
      <c r="D1480" s="47" t="s">
        <v>54</v>
      </c>
      <c r="E1480" s="48">
        <v>0</v>
      </c>
    </row>
    <row r="1481" spans="1:5" ht="15.75" customHeight="1" x14ac:dyDescent="0.3">
      <c r="A1481" s="45" t="str">
        <f t="shared" si="5"/>
        <v>João PessoaCampo GrandeAvião</v>
      </c>
      <c r="B1481" s="46" t="s">
        <v>31</v>
      </c>
      <c r="C1481" s="47" t="s">
        <v>59</v>
      </c>
      <c r="D1481" s="47" t="s">
        <v>55</v>
      </c>
      <c r="E1481" s="48">
        <v>0</v>
      </c>
    </row>
    <row r="1482" spans="1:5" ht="15.75" customHeight="1" x14ac:dyDescent="0.3">
      <c r="A1482" s="45" t="str">
        <f t="shared" si="5"/>
        <v>João PessoaCuiabáAvião</v>
      </c>
      <c r="B1482" s="46" t="s">
        <v>31</v>
      </c>
      <c r="C1482" s="47" t="s">
        <v>59</v>
      </c>
      <c r="D1482" s="47" t="s">
        <v>37</v>
      </c>
      <c r="E1482" s="48">
        <v>0</v>
      </c>
    </row>
    <row r="1483" spans="1:5" ht="15.75" customHeight="1" x14ac:dyDescent="0.3">
      <c r="A1483" s="45" t="str">
        <f t="shared" si="5"/>
        <v>João PessoaCuritibaAvião</v>
      </c>
      <c r="B1483" s="46" t="s">
        <v>31</v>
      </c>
      <c r="C1483" s="47" t="s">
        <v>59</v>
      </c>
      <c r="D1483" s="47" t="s">
        <v>56</v>
      </c>
      <c r="E1483" s="48">
        <v>0</v>
      </c>
    </row>
    <row r="1484" spans="1:5" ht="15.75" customHeight="1" x14ac:dyDescent="0.3">
      <c r="A1484" s="45" t="str">
        <f t="shared" si="5"/>
        <v>João PessoaFortalezaAvião</v>
      </c>
      <c r="B1484" s="46" t="s">
        <v>31</v>
      </c>
      <c r="C1484" s="47" t="s">
        <v>59</v>
      </c>
      <c r="D1484" s="47" t="s">
        <v>57</v>
      </c>
      <c r="E1484" s="48">
        <v>0</v>
      </c>
    </row>
    <row r="1485" spans="1:5" ht="15.75" customHeight="1" x14ac:dyDescent="0.3">
      <c r="A1485" s="45" t="str">
        <f t="shared" si="5"/>
        <v>João PessoaGoiâniaAvião</v>
      </c>
      <c r="B1485" s="46" t="s">
        <v>31</v>
      </c>
      <c r="C1485" s="47" t="s">
        <v>59</v>
      </c>
      <c r="D1485" s="47" t="s">
        <v>58</v>
      </c>
      <c r="E1485" s="48">
        <v>0</v>
      </c>
    </row>
    <row r="1486" spans="1:5" ht="15.75" customHeight="1" x14ac:dyDescent="0.3">
      <c r="A1486" s="45" t="str">
        <f t="shared" si="5"/>
        <v>João PessoaJoão PessoaAvião</v>
      </c>
      <c r="B1486" s="46" t="s">
        <v>31</v>
      </c>
      <c r="C1486" s="47" t="s">
        <v>59</v>
      </c>
      <c r="D1486" s="47" t="s">
        <v>59</v>
      </c>
      <c r="E1486" s="48">
        <v>0</v>
      </c>
    </row>
    <row r="1487" spans="1:5" ht="15.75" customHeight="1" x14ac:dyDescent="0.3">
      <c r="A1487" s="45" t="str">
        <f t="shared" si="5"/>
        <v>João PessoaJoinvilleAvião</v>
      </c>
      <c r="B1487" s="46" t="s">
        <v>31</v>
      </c>
      <c r="C1487" s="47" t="s">
        <v>59</v>
      </c>
      <c r="D1487" s="47" t="s">
        <v>28</v>
      </c>
      <c r="E1487" s="48">
        <v>0</v>
      </c>
    </row>
    <row r="1488" spans="1:5" ht="15.75" customHeight="1" x14ac:dyDescent="0.3">
      <c r="A1488" s="45" t="str">
        <f t="shared" si="5"/>
        <v>João PessoaMaceióAvião</v>
      </c>
      <c r="B1488" s="46" t="s">
        <v>31</v>
      </c>
      <c r="C1488" s="47" t="s">
        <v>59</v>
      </c>
      <c r="D1488" s="47" t="s">
        <v>60</v>
      </c>
      <c r="E1488" s="48">
        <v>0</v>
      </c>
    </row>
    <row r="1489" spans="1:5" ht="15.75" customHeight="1" x14ac:dyDescent="0.3">
      <c r="A1489" s="45" t="str">
        <f t="shared" si="5"/>
        <v>João PessoaManausAvião</v>
      </c>
      <c r="B1489" s="46" t="s">
        <v>31</v>
      </c>
      <c r="C1489" s="47" t="s">
        <v>59</v>
      </c>
      <c r="D1489" s="47" t="s">
        <v>23</v>
      </c>
      <c r="E1489" s="48">
        <v>0</v>
      </c>
    </row>
    <row r="1490" spans="1:5" ht="15.75" customHeight="1" x14ac:dyDescent="0.3">
      <c r="A1490" s="45" t="str">
        <f t="shared" si="5"/>
        <v>João PessoaNatalAvião</v>
      </c>
      <c r="B1490" s="46" t="s">
        <v>31</v>
      </c>
      <c r="C1490" s="47" t="s">
        <v>59</v>
      </c>
      <c r="D1490" s="47" t="s">
        <v>61</v>
      </c>
      <c r="E1490" s="48">
        <v>0</v>
      </c>
    </row>
    <row r="1491" spans="1:5" ht="15.75" customHeight="1" x14ac:dyDescent="0.3">
      <c r="A1491" s="45" t="str">
        <f t="shared" si="5"/>
        <v>João PessoaPorto AlegreAvião</v>
      </c>
      <c r="B1491" s="46" t="s">
        <v>31</v>
      </c>
      <c r="C1491" s="47" t="s">
        <v>59</v>
      </c>
      <c r="D1491" s="47" t="s">
        <v>44</v>
      </c>
      <c r="E1491" s="48">
        <v>0</v>
      </c>
    </row>
    <row r="1492" spans="1:5" ht="15.75" customHeight="1" x14ac:dyDescent="0.3">
      <c r="A1492" s="45" t="str">
        <f t="shared" si="5"/>
        <v>João PessoaRecifeAvião</v>
      </c>
      <c r="B1492" s="46" t="s">
        <v>31</v>
      </c>
      <c r="C1492" s="47" t="s">
        <v>59</v>
      </c>
      <c r="D1492" s="47" t="s">
        <v>62</v>
      </c>
      <c r="E1492" s="48">
        <v>0</v>
      </c>
    </row>
    <row r="1493" spans="1:5" ht="15.75" customHeight="1" x14ac:dyDescent="0.3">
      <c r="A1493" s="45" t="str">
        <f t="shared" si="5"/>
        <v>João PessoaRibeirão PretoAvião</v>
      </c>
      <c r="B1493" s="46" t="s">
        <v>31</v>
      </c>
      <c r="C1493" s="47" t="s">
        <v>59</v>
      </c>
      <c r="D1493" s="47" t="s">
        <v>63</v>
      </c>
      <c r="E1493" s="48">
        <v>0</v>
      </c>
    </row>
    <row r="1494" spans="1:5" ht="15.75" customHeight="1" x14ac:dyDescent="0.3">
      <c r="A1494" s="45" t="str">
        <f t="shared" si="5"/>
        <v>João PessoaRio de JaneiroAvião</v>
      </c>
      <c r="B1494" s="46" t="s">
        <v>31</v>
      </c>
      <c r="C1494" s="47" t="s">
        <v>59</v>
      </c>
      <c r="D1494" s="47" t="s">
        <v>64</v>
      </c>
      <c r="E1494" s="48">
        <v>0</v>
      </c>
    </row>
    <row r="1495" spans="1:5" ht="15.75" customHeight="1" x14ac:dyDescent="0.3">
      <c r="A1495" s="45" t="str">
        <f t="shared" si="5"/>
        <v>João PessoaSalvadorAvião</v>
      </c>
      <c r="B1495" s="46" t="s">
        <v>31</v>
      </c>
      <c r="C1495" s="47" t="s">
        <v>59</v>
      </c>
      <c r="D1495" s="47" t="s">
        <v>65</v>
      </c>
      <c r="E1495" s="48">
        <v>0</v>
      </c>
    </row>
    <row r="1496" spans="1:5" ht="15.75" customHeight="1" x14ac:dyDescent="0.3">
      <c r="A1496" s="45" t="str">
        <f t="shared" si="5"/>
        <v>João PessoaSantosAvião</v>
      </c>
      <c r="B1496" s="46" t="s">
        <v>31</v>
      </c>
      <c r="C1496" s="47" t="s">
        <v>59</v>
      </c>
      <c r="D1496" s="47" t="s">
        <v>47</v>
      </c>
      <c r="E1496" s="48">
        <v>0</v>
      </c>
    </row>
    <row r="1497" spans="1:5" ht="15.75" customHeight="1" x14ac:dyDescent="0.3">
      <c r="A1497" s="45" t="str">
        <f t="shared" si="5"/>
        <v>João PessoaSão LuísAvião</v>
      </c>
      <c r="B1497" s="46" t="s">
        <v>31</v>
      </c>
      <c r="C1497" s="47" t="s">
        <v>59</v>
      </c>
      <c r="D1497" s="47" t="s">
        <v>50</v>
      </c>
      <c r="E1497" s="48">
        <v>0</v>
      </c>
    </row>
    <row r="1498" spans="1:5" ht="15.75" customHeight="1" x14ac:dyDescent="0.3">
      <c r="A1498" s="45" t="str">
        <f t="shared" si="5"/>
        <v>João PessoaSão PauloAvião</v>
      </c>
      <c r="B1498" s="46" t="s">
        <v>31</v>
      </c>
      <c r="C1498" s="47" t="s">
        <v>59</v>
      </c>
      <c r="D1498" s="47" t="s">
        <v>66</v>
      </c>
      <c r="E1498" s="48">
        <v>0</v>
      </c>
    </row>
    <row r="1499" spans="1:5" ht="15.75" customHeight="1" x14ac:dyDescent="0.3">
      <c r="A1499" s="45" t="str">
        <f t="shared" si="5"/>
        <v>João PessoaUberlândiaAvião</v>
      </c>
      <c r="B1499" s="46" t="s">
        <v>31</v>
      </c>
      <c r="C1499" s="47" t="s">
        <v>59</v>
      </c>
      <c r="D1499" s="47" t="s">
        <v>67</v>
      </c>
      <c r="E1499" s="48">
        <v>0</v>
      </c>
    </row>
    <row r="1500" spans="1:5" ht="15.75" customHeight="1" x14ac:dyDescent="0.3">
      <c r="A1500" s="45" t="str">
        <f t="shared" si="5"/>
        <v>João PessoaVitóriaAvião</v>
      </c>
      <c r="B1500" s="46" t="s">
        <v>31</v>
      </c>
      <c r="C1500" s="47" t="s">
        <v>59</v>
      </c>
      <c r="D1500" s="47" t="s">
        <v>68</v>
      </c>
      <c r="E1500" s="48">
        <v>0</v>
      </c>
    </row>
    <row r="1501" spans="1:5" ht="15.75" customHeight="1" x14ac:dyDescent="0.3">
      <c r="A1501" s="45" t="str">
        <f t="shared" si="5"/>
        <v>João PessoaVitória da ConquistaAvião</v>
      </c>
      <c r="B1501" s="46" t="s">
        <v>31</v>
      </c>
      <c r="C1501" s="47" t="s">
        <v>59</v>
      </c>
      <c r="D1501" s="47" t="s">
        <v>49</v>
      </c>
      <c r="E1501" s="48">
        <v>0</v>
      </c>
    </row>
    <row r="1502" spans="1:5" ht="15.75" customHeight="1" x14ac:dyDescent="0.3">
      <c r="A1502" s="45" t="str">
        <f t="shared" si="5"/>
        <v>JoinvilleBelémAvião</v>
      </c>
      <c r="B1502" s="46" t="s">
        <v>31</v>
      </c>
      <c r="C1502" s="46" t="s">
        <v>28</v>
      </c>
      <c r="D1502" s="47" t="s">
        <v>48</v>
      </c>
      <c r="E1502" s="48">
        <v>0</v>
      </c>
    </row>
    <row r="1503" spans="1:5" ht="15.75" customHeight="1" x14ac:dyDescent="0.3">
      <c r="A1503" s="45" t="str">
        <f t="shared" si="5"/>
        <v>JoinvilleBelo HorizonteAvião</v>
      </c>
      <c r="B1503" s="46" t="s">
        <v>31</v>
      </c>
      <c r="C1503" s="46" t="s">
        <v>28</v>
      </c>
      <c r="D1503" s="47" t="s">
        <v>52</v>
      </c>
      <c r="E1503" s="48">
        <v>0</v>
      </c>
    </row>
    <row r="1504" spans="1:5" ht="15.75" customHeight="1" x14ac:dyDescent="0.3">
      <c r="A1504" s="45" t="str">
        <f t="shared" si="5"/>
        <v>JoinvilleBrasíliaAvião</v>
      </c>
      <c r="B1504" s="46" t="s">
        <v>31</v>
      </c>
      <c r="C1504" s="46" t="s">
        <v>28</v>
      </c>
      <c r="D1504" s="47" t="s">
        <v>53</v>
      </c>
      <c r="E1504" s="48">
        <v>0</v>
      </c>
    </row>
    <row r="1505" spans="1:5" ht="15.75" customHeight="1" x14ac:dyDescent="0.3">
      <c r="A1505" s="45" t="str">
        <f t="shared" si="5"/>
        <v>JoinvilleCampinasAvião</v>
      </c>
      <c r="B1505" s="46" t="s">
        <v>31</v>
      </c>
      <c r="C1505" s="46" t="s">
        <v>28</v>
      </c>
      <c r="D1505" s="47" t="s">
        <v>54</v>
      </c>
      <c r="E1505" s="48">
        <v>0</v>
      </c>
    </row>
    <row r="1506" spans="1:5" ht="15.75" customHeight="1" x14ac:dyDescent="0.3">
      <c r="A1506" s="45" t="str">
        <f t="shared" si="5"/>
        <v>JoinvilleCampo GrandeAvião</v>
      </c>
      <c r="B1506" s="46" t="s">
        <v>31</v>
      </c>
      <c r="C1506" s="46" t="s">
        <v>28</v>
      </c>
      <c r="D1506" s="47" t="s">
        <v>55</v>
      </c>
      <c r="E1506" s="48">
        <v>0</v>
      </c>
    </row>
    <row r="1507" spans="1:5" ht="15.75" customHeight="1" x14ac:dyDescent="0.3">
      <c r="A1507" s="45" t="str">
        <f t="shared" si="5"/>
        <v>JoinvilleCuiabáAvião</v>
      </c>
      <c r="B1507" s="46" t="s">
        <v>31</v>
      </c>
      <c r="C1507" s="46" t="s">
        <v>28</v>
      </c>
      <c r="D1507" s="47" t="s">
        <v>37</v>
      </c>
      <c r="E1507" s="48">
        <v>0</v>
      </c>
    </row>
    <row r="1508" spans="1:5" ht="15.75" customHeight="1" x14ac:dyDescent="0.3">
      <c r="A1508" s="45" t="str">
        <f t="shared" si="5"/>
        <v>JoinvilleCuritibaAvião</v>
      </c>
      <c r="B1508" s="46" t="s">
        <v>31</v>
      </c>
      <c r="C1508" s="46" t="s">
        <v>28</v>
      </c>
      <c r="D1508" s="47" t="s">
        <v>56</v>
      </c>
      <c r="E1508" s="48">
        <v>0</v>
      </c>
    </row>
    <row r="1509" spans="1:5" ht="15.75" customHeight="1" x14ac:dyDescent="0.3">
      <c r="A1509" s="45" t="str">
        <f t="shared" si="5"/>
        <v>JoinvilleFortalezaAvião</v>
      </c>
      <c r="B1509" s="46" t="s">
        <v>31</v>
      </c>
      <c r="C1509" s="46" t="s">
        <v>28</v>
      </c>
      <c r="D1509" s="47" t="s">
        <v>57</v>
      </c>
      <c r="E1509" s="48">
        <v>0</v>
      </c>
    </row>
    <row r="1510" spans="1:5" ht="15.75" customHeight="1" x14ac:dyDescent="0.3">
      <c r="A1510" s="45" t="str">
        <f t="shared" si="5"/>
        <v>JoinvilleGoiâniaAvião</v>
      </c>
      <c r="B1510" s="46" t="s">
        <v>31</v>
      </c>
      <c r="C1510" s="46" t="s">
        <v>28</v>
      </c>
      <c r="D1510" s="47" t="s">
        <v>58</v>
      </c>
      <c r="E1510" s="48">
        <v>0</v>
      </c>
    </row>
    <row r="1511" spans="1:5" ht="15.75" customHeight="1" x14ac:dyDescent="0.3">
      <c r="A1511" s="45" t="str">
        <f t="shared" si="5"/>
        <v>JoinvilleJoão PessoaAvião</v>
      </c>
      <c r="B1511" s="46" t="s">
        <v>31</v>
      </c>
      <c r="C1511" s="46" t="s">
        <v>28</v>
      </c>
      <c r="D1511" s="47" t="s">
        <v>59</v>
      </c>
      <c r="E1511" s="48">
        <v>0</v>
      </c>
    </row>
    <row r="1512" spans="1:5" ht="15.75" customHeight="1" x14ac:dyDescent="0.3">
      <c r="A1512" s="45" t="str">
        <f t="shared" si="5"/>
        <v>JoinvilleJoinvilleAvião</v>
      </c>
      <c r="B1512" s="46" t="s">
        <v>31</v>
      </c>
      <c r="C1512" s="46" t="s">
        <v>28</v>
      </c>
      <c r="D1512" s="47" t="s">
        <v>28</v>
      </c>
      <c r="E1512" s="48">
        <v>0</v>
      </c>
    </row>
    <row r="1513" spans="1:5" ht="15.75" customHeight="1" x14ac:dyDescent="0.3">
      <c r="A1513" s="45" t="str">
        <f t="shared" si="5"/>
        <v>JoinvilleMaceióAvião</v>
      </c>
      <c r="B1513" s="46" t="s">
        <v>31</v>
      </c>
      <c r="C1513" s="46" t="s">
        <v>28</v>
      </c>
      <c r="D1513" s="47" t="s">
        <v>60</v>
      </c>
      <c r="E1513" s="48">
        <v>0</v>
      </c>
    </row>
    <row r="1514" spans="1:5" ht="15.75" customHeight="1" x14ac:dyDescent="0.3">
      <c r="A1514" s="45" t="str">
        <f t="shared" si="5"/>
        <v>JoinvilleManausAvião</v>
      </c>
      <c r="B1514" s="46" t="s">
        <v>31</v>
      </c>
      <c r="C1514" s="46" t="s">
        <v>28</v>
      </c>
      <c r="D1514" s="47" t="s">
        <v>23</v>
      </c>
      <c r="E1514" s="48">
        <v>0</v>
      </c>
    </row>
    <row r="1515" spans="1:5" ht="15.75" customHeight="1" x14ac:dyDescent="0.3">
      <c r="A1515" s="45" t="str">
        <f t="shared" si="5"/>
        <v>JoinvilleNatalAvião</v>
      </c>
      <c r="B1515" s="46" t="s">
        <v>31</v>
      </c>
      <c r="C1515" s="46" t="s">
        <v>28</v>
      </c>
      <c r="D1515" s="47" t="s">
        <v>61</v>
      </c>
      <c r="E1515" s="48">
        <v>0</v>
      </c>
    </row>
    <row r="1516" spans="1:5" ht="15.75" customHeight="1" x14ac:dyDescent="0.3">
      <c r="A1516" s="45" t="str">
        <f t="shared" si="5"/>
        <v>JoinvillePorto AlegreAvião</v>
      </c>
      <c r="B1516" s="46" t="s">
        <v>31</v>
      </c>
      <c r="C1516" s="46" t="s">
        <v>28</v>
      </c>
      <c r="D1516" s="47" t="s">
        <v>44</v>
      </c>
      <c r="E1516" s="48">
        <v>0</v>
      </c>
    </row>
    <row r="1517" spans="1:5" ht="15.75" customHeight="1" x14ac:dyDescent="0.3">
      <c r="A1517" s="45" t="str">
        <f t="shared" si="5"/>
        <v>JoinvilleRecifeAvião</v>
      </c>
      <c r="B1517" s="46" t="s">
        <v>31</v>
      </c>
      <c r="C1517" s="46" t="s">
        <v>28</v>
      </c>
      <c r="D1517" s="47" t="s">
        <v>62</v>
      </c>
      <c r="E1517" s="48">
        <v>0</v>
      </c>
    </row>
    <row r="1518" spans="1:5" ht="15.75" customHeight="1" x14ac:dyDescent="0.3">
      <c r="A1518" s="45" t="str">
        <f t="shared" si="5"/>
        <v>JoinvilleRibeirão PretoAvião</v>
      </c>
      <c r="B1518" s="46" t="s">
        <v>31</v>
      </c>
      <c r="C1518" s="46" t="s">
        <v>28</v>
      </c>
      <c r="D1518" s="47" t="s">
        <v>63</v>
      </c>
      <c r="E1518" s="48">
        <v>0</v>
      </c>
    </row>
    <row r="1519" spans="1:5" ht="15.75" customHeight="1" x14ac:dyDescent="0.3">
      <c r="A1519" s="45" t="str">
        <f t="shared" si="5"/>
        <v>JoinvilleRio de JaneiroAvião</v>
      </c>
      <c r="B1519" s="46" t="s">
        <v>31</v>
      </c>
      <c r="C1519" s="46" t="s">
        <v>28</v>
      </c>
      <c r="D1519" s="47" t="s">
        <v>64</v>
      </c>
      <c r="E1519" s="48">
        <v>0</v>
      </c>
    </row>
    <row r="1520" spans="1:5" ht="15.75" customHeight="1" x14ac:dyDescent="0.3">
      <c r="A1520" s="45" t="str">
        <f t="shared" si="5"/>
        <v>JoinvilleSalvadorAvião</v>
      </c>
      <c r="B1520" s="46" t="s">
        <v>31</v>
      </c>
      <c r="C1520" s="46" t="s">
        <v>28</v>
      </c>
      <c r="D1520" s="47" t="s">
        <v>65</v>
      </c>
      <c r="E1520" s="48">
        <v>0</v>
      </c>
    </row>
    <row r="1521" spans="1:5" ht="15.75" customHeight="1" x14ac:dyDescent="0.3">
      <c r="A1521" s="45" t="str">
        <f t="shared" si="5"/>
        <v>JoinvilleSantosAvião</v>
      </c>
      <c r="B1521" s="46" t="s">
        <v>31</v>
      </c>
      <c r="C1521" s="46" t="s">
        <v>28</v>
      </c>
      <c r="D1521" s="47" t="s">
        <v>47</v>
      </c>
      <c r="E1521" s="48">
        <v>0</v>
      </c>
    </row>
    <row r="1522" spans="1:5" ht="15.75" customHeight="1" x14ac:dyDescent="0.3">
      <c r="A1522" s="45" t="str">
        <f t="shared" si="5"/>
        <v>JoinvilleSão LuísAvião</v>
      </c>
      <c r="B1522" s="46" t="s">
        <v>31</v>
      </c>
      <c r="C1522" s="46" t="s">
        <v>28</v>
      </c>
      <c r="D1522" s="47" t="s">
        <v>50</v>
      </c>
      <c r="E1522" s="48">
        <v>0</v>
      </c>
    </row>
    <row r="1523" spans="1:5" ht="15.75" customHeight="1" x14ac:dyDescent="0.3">
      <c r="A1523" s="45" t="str">
        <f t="shared" si="5"/>
        <v>JoinvilleSão PauloAvião</v>
      </c>
      <c r="B1523" s="46" t="s">
        <v>31</v>
      </c>
      <c r="C1523" s="46" t="s">
        <v>28</v>
      </c>
      <c r="D1523" s="47" t="s">
        <v>66</v>
      </c>
      <c r="E1523" s="48">
        <v>0</v>
      </c>
    </row>
    <row r="1524" spans="1:5" ht="15.75" customHeight="1" x14ac:dyDescent="0.3">
      <c r="A1524" s="45" t="str">
        <f t="shared" si="5"/>
        <v>JoinvilleUberlândiaAvião</v>
      </c>
      <c r="B1524" s="46" t="s">
        <v>31</v>
      </c>
      <c r="C1524" s="46" t="s">
        <v>28</v>
      </c>
      <c r="D1524" s="47" t="s">
        <v>67</v>
      </c>
      <c r="E1524" s="48">
        <v>0</v>
      </c>
    </row>
    <row r="1525" spans="1:5" ht="15.75" customHeight="1" x14ac:dyDescent="0.3">
      <c r="A1525" s="45" t="str">
        <f t="shared" si="5"/>
        <v>JoinvilleVitóriaAvião</v>
      </c>
      <c r="B1525" s="46" t="s">
        <v>31</v>
      </c>
      <c r="C1525" s="46" t="s">
        <v>28</v>
      </c>
      <c r="D1525" s="47" t="s">
        <v>68</v>
      </c>
      <c r="E1525" s="48">
        <v>0</v>
      </c>
    </row>
    <row r="1526" spans="1:5" ht="15.75" customHeight="1" x14ac:dyDescent="0.3">
      <c r="A1526" s="45" t="str">
        <f t="shared" si="5"/>
        <v>JoinvilleVitória da ConquistaAvião</v>
      </c>
      <c r="B1526" s="46" t="s">
        <v>31</v>
      </c>
      <c r="C1526" s="46" t="s">
        <v>28</v>
      </c>
      <c r="D1526" s="47" t="s">
        <v>49</v>
      </c>
      <c r="E1526" s="48">
        <v>0</v>
      </c>
    </row>
    <row r="1527" spans="1:5" ht="15.75" customHeight="1" x14ac:dyDescent="0.3">
      <c r="A1527" s="45" t="str">
        <f t="shared" si="5"/>
        <v>MaceióBelémAvião</v>
      </c>
      <c r="B1527" s="46" t="s">
        <v>31</v>
      </c>
      <c r="C1527" s="47" t="s">
        <v>60</v>
      </c>
      <c r="D1527" s="47" t="s">
        <v>48</v>
      </c>
      <c r="E1527" s="48">
        <v>0</v>
      </c>
    </row>
    <row r="1528" spans="1:5" ht="15.75" customHeight="1" x14ac:dyDescent="0.3">
      <c r="A1528" s="45" t="str">
        <f t="shared" si="5"/>
        <v>MaceióBelo HorizonteAvião</v>
      </c>
      <c r="B1528" s="46" t="s">
        <v>31</v>
      </c>
      <c r="C1528" s="47" t="s">
        <v>60</v>
      </c>
      <c r="D1528" s="47" t="s">
        <v>52</v>
      </c>
      <c r="E1528" s="48">
        <v>0</v>
      </c>
    </row>
    <row r="1529" spans="1:5" ht="15.75" customHeight="1" x14ac:dyDescent="0.3">
      <c r="A1529" s="45" t="str">
        <f t="shared" si="5"/>
        <v>MaceióBrasíliaAvião</v>
      </c>
      <c r="B1529" s="46" t="s">
        <v>31</v>
      </c>
      <c r="C1529" s="47" t="s">
        <v>60</v>
      </c>
      <c r="D1529" s="47" t="s">
        <v>53</v>
      </c>
      <c r="E1529" s="48">
        <v>0</v>
      </c>
    </row>
    <row r="1530" spans="1:5" ht="15.75" customHeight="1" x14ac:dyDescent="0.3">
      <c r="A1530" s="45" t="str">
        <f t="shared" si="5"/>
        <v>MaceióCampinasAvião</v>
      </c>
      <c r="B1530" s="46" t="s">
        <v>31</v>
      </c>
      <c r="C1530" s="47" t="s">
        <v>60</v>
      </c>
      <c r="D1530" s="47" t="s">
        <v>54</v>
      </c>
      <c r="E1530" s="48">
        <v>0</v>
      </c>
    </row>
    <row r="1531" spans="1:5" ht="15.75" customHeight="1" x14ac:dyDescent="0.3">
      <c r="A1531" s="45" t="str">
        <f t="shared" si="5"/>
        <v>MaceióCampo GrandeAvião</v>
      </c>
      <c r="B1531" s="46" t="s">
        <v>31</v>
      </c>
      <c r="C1531" s="47" t="s">
        <v>60</v>
      </c>
      <c r="D1531" s="47" t="s">
        <v>55</v>
      </c>
      <c r="E1531" s="48">
        <v>0</v>
      </c>
    </row>
    <row r="1532" spans="1:5" ht="15.75" customHeight="1" x14ac:dyDescent="0.3">
      <c r="A1532" s="45" t="str">
        <f t="shared" ref="A1532:A1786" si="6">C1532&amp;D1532&amp;B1532</f>
        <v>MaceióCuiabáAvião</v>
      </c>
      <c r="B1532" s="46" t="s">
        <v>31</v>
      </c>
      <c r="C1532" s="47" t="s">
        <v>60</v>
      </c>
      <c r="D1532" s="47" t="s">
        <v>37</v>
      </c>
      <c r="E1532" s="48">
        <v>0</v>
      </c>
    </row>
    <row r="1533" spans="1:5" ht="15.75" customHeight="1" x14ac:dyDescent="0.3">
      <c r="A1533" s="45" t="str">
        <f t="shared" si="6"/>
        <v>MaceióCuritibaAvião</v>
      </c>
      <c r="B1533" s="46" t="s">
        <v>31</v>
      </c>
      <c r="C1533" s="47" t="s">
        <v>60</v>
      </c>
      <c r="D1533" s="47" t="s">
        <v>56</v>
      </c>
      <c r="E1533" s="48">
        <v>0</v>
      </c>
    </row>
    <row r="1534" spans="1:5" ht="15.75" customHeight="1" x14ac:dyDescent="0.3">
      <c r="A1534" s="45" t="str">
        <f t="shared" si="6"/>
        <v>MaceióFortalezaAvião</v>
      </c>
      <c r="B1534" s="46" t="s">
        <v>31</v>
      </c>
      <c r="C1534" s="47" t="s">
        <v>60</v>
      </c>
      <c r="D1534" s="47" t="s">
        <v>57</v>
      </c>
      <c r="E1534" s="48">
        <v>0</v>
      </c>
    </row>
    <row r="1535" spans="1:5" ht="15.75" customHeight="1" x14ac:dyDescent="0.3">
      <c r="A1535" s="45" t="str">
        <f t="shared" si="6"/>
        <v>MaceióGoiâniaAvião</v>
      </c>
      <c r="B1535" s="46" t="s">
        <v>31</v>
      </c>
      <c r="C1535" s="47" t="s">
        <v>60</v>
      </c>
      <c r="D1535" s="47" t="s">
        <v>58</v>
      </c>
      <c r="E1535" s="48">
        <v>0</v>
      </c>
    </row>
    <row r="1536" spans="1:5" ht="15.75" customHeight="1" x14ac:dyDescent="0.3">
      <c r="A1536" s="45" t="str">
        <f t="shared" si="6"/>
        <v>MaceióJoão PessoaAvião</v>
      </c>
      <c r="B1536" s="46" t="s">
        <v>31</v>
      </c>
      <c r="C1536" s="47" t="s">
        <v>60</v>
      </c>
      <c r="D1536" s="47" t="s">
        <v>59</v>
      </c>
      <c r="E1536" s="48">
        <v>0</v>
      </c>
    </row>
    <row r="1537" spans="1:5" ht="15.75" customHeight="1" x14ac:dyDescent="0.3">
      <c r="A1537" s="45" t="str">
        <f t="shared" si="6"/>
        <v>MaceióJoinvilleAvião</v>
      </c>
      <c r="B1537" s="46" t="s">
        <v>31</v>
      </c>
      <c r="C1537" s="47" t="s">
        <v>60</v>
      </c>
      <c r="D1537" s="47" t="s">
        <v>28</v>
      </c>
      <c r="E1537" s="48">
        <v>0</v>
      </c>
    </row>
    <row r="1538" spans="1:5" ht="15.75" customHeight="1" x14ac:dyDescent="0.3">
      <c r="A1538" s="45" t="str">
        <f t="shared" si="6"/>
        <v>MaceióMaceióAvião</v>
      </c>
      <c r="B1538" s="46" t="s">
        <v>31</v>
      </c>
      <c r="C1538" s="47" t="s">
        <v>60</v>
      </c>
      <c r="D1538" s="47" t="s">
        <v>60</v>
      </c>
      <c r="E1538" s="48">
        <v>0</v>
      </c>
    </row>
    <row r="1539" spans="1:5" ht="15.75" customHeight="1" x14ac:dyDescent="0.3">
      <c r="A1539" s="45" t="str">
        <f t="shared" si="6"/>
        <v>MaceióManausAvião</v>
      </c>
      <c r="B1539" s="46" t="s">
        <v>31</v>
      </c>
      <c r="C1539" s="47" t="s">
        <v>60</v>
      </c>
      <c r="D1539" s="47" t="s">
        <v>23</v>
      </c>
      <c r="E1539" s="48">
        <v>0</v>
      </c>
    </row>
    <row r="1540" spans="1:5" ht="15.75" customHeight="1" x14ac:dyDescent="0.3">
      <c r="A1540" s="45" t="str">
        <f t="shared" si="6"/>
        <v>MaceióNatalAvião</v>
      </c>
      <c r="B1540" s="46" t="s">
        <v>31</v>
      </c>
      <c r="C1540" s="47" t="s">
        <v>60</v>
      </c>
      <c r="D1540" s="47" t="s">
        <v>61</v>
      </c>
      <c r="E1540" s="48">
        <v>0</v>
      </c>
    </row>
    <row r="1541" spans="1:5" ht="15.75" customHeight="1" x14ac:dyDescent="0.3">
      <c r="A1541" s="45" t="str">
        <f t="shared" si="6"/>
        <v>MaceióPorto AlegreAvião</v>
      </c>
      <c r="B1541" s="46" t="s">
        <v>31</v>
      </c>
      <c r="C1541" s="47" t="s">
        <v>60</v>
      </c>
      <c r="D1541" s="47" t="s">
        <v>44</v>
      </c>
      <c r="E1541" s="48">
        <v>0</v>
      </c>
    </row>
    <row r="1542" spans="1:5" ht="15.75" customHeight="1" x14ac:dyDescent="0.3">
      <c r="A1542" s="45" t="str">
        <f t="shared" si="6"/>
        <v>MaceióRecifeAvião</v>
      </c>
      <c r="B1542" s="46" t="s">
        <v>31</v>
      </c>
      <c r="C1542" s="47" t="s">
        <v>60</v>
      </c>
      <c r="D1542" s="47" t="s">
        <v>62</v>
      </c>
      <c r="E1542" s="48">
        <v>0</v>
      </c>
    </row>
    <row r="1543" spans="1:5" ht="15.75" customHeight="1" x14ac:dyDescent="0.3">
      <c r="A1543" s="45" t="str">
        <f t="shared" si="6"/>
        <v>MaceióRibeirão PretoAvião</v>
      </c>
      <c r="B1543" s="46" t="s">
        <v>31</v>
      </c>
      <c r="C1543" s="47" t="s">
        <v>60</v>
      </c>
      <c r="D1543" s="47" t="s">
        <v>63</v>
      </c>
      <c r="E1543" s="48">
        <v>0</v>
      </c>
    </row>
    <row r="1544" spans="1:5" ht="15.75" customHeight="1" x14ac:dyDescent="0.3">
      <c r="A1544" s="45" t="str">
        <f t="shared" si="6"/>
        <v>MaceióRio de JaneiroAvião</v>
      </c>
      <c r="B1544" s="46" t="s">
        <v>31</v>
      </c>
      <c r="C1544" s="47" t="s">
        <v>60</v>
      </c>
      <c r="D1544" s="47" t="s">
        <v>64</v>
      </c>
      <c r="E1544" s="48">
        <v>0</v>
      </c>
    </row>
    <row r="1545" spans="1:5" ht="15.75" customHeight="1" x14ac:dyDescent="0.3">
      <c r="A1545" s="45" t="str">
        <f t="shared" si="6"/>
        <v>MaceióSalvadorAvião</v>
      </c>
      <c r="B1545" s="46" t="s">
        <v>31</v>
      </c>
      <c r="C1545" s="47" t="s">
        <v>60</v>
      </c>
      <c r="D1545" s="47" t="s">
        <v>65</v>
      </c>
      <c r="E1545" s="48">
        <v>0</v>
      </c>
    </row>
    <row r="1546" spans="1:5" ht="15.75" customHeight="1" x14ac:dyDescent="0.3">
      <c r="A1546" s="45" t="str">
        <f t="shared" si="6"/>
        <v>MaceióSantosAvião</v>
      </c>
      <c r="B1546" s="46" t="s">
        <v>31</v>
      </c>
      <c r="C1546" s="47" t="s">
        <v>60</v>
      </c>
      <c r="D1546" s="47" t="s">
        <v>47</v>
      </c>
      <c r="E1546" s="48">
        <v>0</v>
      </c>
    </row>
    <row r="1547" spans="1:5" ht="15.75" customHeight="1" x14ac:dyDescent="0.3">
      <c r="A1547" s="45" t="str">
        <f t="shared" si="6"/>
        <v>MaceióSão LuísAvião</v>
      </c>
      <c r="B1547" s="46" t="s">
        <v>31</v>
      </c>
      <c r="C1547" s="47" t="s">
        <v>60</v>
      </c>
      <c r="D1547" s="47" t="s">
        <v>50</v>
      </c>
      <c r="E1547" s="48">
        <v>0</v>
      </c>
    </row>
    <row r="1548" spans="1:5" ht="15.75" customHeight="1" x14ac:dyDescent="0.3">
      <c r="A1548" s="45" t="str">
        <f t="shared" si="6"/>
        <v>MaceióSão PauloAvião</v>
      </c>
      <c r="B1548" s="46" t="s">
        <v>31</v>
      </c>
      <c r="C1548" s="47" t="s">
        <v>60</v>
      </c>
      <c r="D1548" s="47" t="s">
        <v>66</v>
      </c>
      <c r="E1548" s="48">
        <v>0</v>
      </c>
    </row>
    <row r="1549" spans="1:5" ht="15.75" customHeight="1" x14ac:dyDescent="0.3">
      <c r="A1549" s="45" t="str">
        <f t="shared" si="6"/>
        <v>MaceióUberlândiaAvião</v>
      </c>
      <c r="B1549" s="46" t="s">
        <v>31</v>
      </c>
      <c r="C1549" s="47" t="s">
        <v>60</v>
      </c>
      <c r="D1549" s="47" t="s">
        <v>67</v>
      </c>
      <c r="E1549" s="48">
        <v>0</v>
      </c>
    </row>
    <row r="1550" spans="1:5" ht="15.75" customHeight="1" x14ac:dyDescent="0.3">
      <c r="A1550" s="45" t="str">
        <f t="shared" si="6"/>
        <v>MaceióVitóriaAvião</v>
      </c>
      <c r="B1550" s="46" t="s">
        <v>31</v>
      </c>
      <c r="C1550" s="47" t="s">
        <v>60</v>
      </c>
      <c r="D1550" s="47" t="s">
        <v>68</v>
      </c>
      <c r="E1550" s="48">
        <v>0</v>
      </c>
    </row>
    <row r="1551" spans="1:5" ht="15.75" customHeight="1" x14ac:dyDescent="0.3">
      <c r="A1551" s="45" t="str">
        <f t="shared" si="6"/>
        <v>MaceióVitória da ConquistaAvião</v>
      </c>
      <c r="B1551" s="46" t="s">
        <v>31</v>
      </c>
      <c r="C1551" s="47" t="s">
        <v>60</v>
      </c>
      <c r="D1551" s="47" t="s">
        <v>49</v>
      </c>
      <c r="E1551" s="48">
        <v>0</v>
      </c>
    </row>
    <row r="1552" spans="1:5" ht="15.75" customHeight="1" x14ac:dyDescent="0.3">
      <c r="A1552" s="45" t="str">
        <f t="shared" si="6"/>
        <v>ManausBelémAvião</v>
      </c>
      <c r="B1552" s="46" t="s">
        <v>31</v>
      </c>
      <c r="C1552" s="46" t="s">
        <v>23</v>
      </c>
      <c r="D1552" s="47" t="s">
        <v>48</v>
      </c>
      <c r="E1552" s="48">
        <v>0</v>
      </c>
    </row>
    <row r="1553" spans="1:5" ht="15.75" customHeight="1" x14ac:dyDescent="0.3">
      <c r="A1553" s="45" t="str">
        <f t="shared" si="6"/>
        <v>ManausBelo HorizonteAvião</v>
      </c>
      <c r="B1553" s="46" t="s">
        <v>31</v>
      </c>
      <c r="C1553" s="46" t="s">
        <v>23</v>
      </c>
      <c r="D1553" s="47" t="s">
        <v>52</v>
      </c>
      <c r="E1553" s="48">
        <v>0</v>
      </c>
    </row>
    <row r="1554" spans="1:5" ht="15.75" customHeight="1" x14ac:dyDescent="0.3">
      <c r="A1554" s="45" t="str">
        <f t="shared" si="6"/>
        <v>ManausBrasíliaAvião</v>
      </c>
      <c r="B1554" s="46" t="s">
        <v>31</v>
      </c>
      <c r="C1554" s="46" t="s">
        <v>23</v>
      </c>
      <c r="D1554" s="47" t="s">
        <v>53</v>
      </c>
      <c r="E1554" s="48">
        <v>0</v>
      </c>
    </row>
    <row r="1555" spans="1:5" ht="15.75" customHeight="1" x14ac:dyDescent="0.3">
      <c r="A1555" s="45" t="str">
        <f t="shared" si="6"/>
        <v>ManausCampinasAvião</v>
      </c>
      <c r="B1555" s="46" t="s">
        <v>31</v>
      </c>
      <c r="C1555" s="46" t="s">
        <v>23</v>
      </c>
      <c r="D1555" s="47" t="s">
        <v>54</v>
      </c>
      <c r="E1555" s="48">
        <v>0</v>
      </c>
    </row>
    <row r="1556" spans="1:5" ht="15.75" customHeight="1" x14ac:dyDescent="0.3">
      <c r="A1556" s="45" t="str">
        <f t="shared" si="6"/>
        <v>ManausCampo GrandeAvião</v>
      </c>
      <c r="B1556" s="46" t="s">
        <v>31</v>
      </c>
      <c r="C1556" s="46" t="s">
        <v>23</v>
      </c>
      <c r="D1556" s="47" t="s">
        <v>55</v>
      </c>
      <c r="E1556" s="48">
        <v>0</v>
      </c>
    </row>
    <row r="1557" spans="1:5" ht="15.75" customHeight="1" x14ac:dyDescent="0.3">
      <c r="A1557" s="45" t="str">
        <f t="shared" si="6"/>
        <v>ManausCuiabáAvião</v>
      </c>
      <c r="B1557" s="46" t="s">
        <v>31</v>
      </c>
      <c r="C1557" s="46" t="s">
        <v>23</v>
      </c>
      <c r="D1557" s="47" t="s">
        <v>37</v>
      </c>
      <c r="E1557" s="48">
        <v>0</v>
      </c>
    </row>
    <row r="1558" spans="1:5" ht="15.75" customHeight="1" x14ac:dyDescent="0.3">
      <c r="A1558" s="45" t="str">
        <f t="shared" si="6"/>
        <v>ManausCuritibaAvião</v>
      </c>
      <c r="B1558" s="46" t="s">
        <v>31</v>
      </c>
      <c r="C1558" s="46" t="s">
        <v>23</v>
      </c>
      <c r="D1558" s="47" t="s">
        <v>56</v>
      </c>
      <c r="E1558" s="48">
        <v>0</v>
      </c>
    </row>
    <row r="1559" spans="1:5" ht="15.75" customHeight="1" x14ac:dyDescent="0.3">
      <c r="A1559" s="45" t="str">
        <f t="shared" si="6"/>
        <v>ManausFortalezaAvião</v>
      </c>
      <c r="B1559" s="46" t="s">
        <v>31</v>
      </c>
      <c r="C1559" s="46" t="s">
        <v>23</v>
      </c>
      <c r="D1559" s="47" t="s">
        <v>57</v>
      </c>
      <c r="E1559" s="48">
        <v>0</v>
      </c>
    </row>
    <row r="1560" spans="1:5" ht="15.75" customHeight="1" x14ac:dyDescent="0.3">
      <c r="A1560" s="45" t="str">
        <f t="shared" si="6"/>
        <v>ManausGoiâniaAvião</v>
      </c>
      <c r="B1560" s="46" t="s">
        <v>31</v>
      </c>
      <c r="C1560" s="46" t="s">
        <v>23</v>
      </c>
      <c r="D1560" s="47" t="s">
        <v>58</v>
      </c>
      <c r="E1560" s="48">
        <v>0</v>
      </c>
    </row>
    <row r="1561" spans="1:5" ht="15.75" customHeight="1" x14ac:dyDescent="0.3">
      <c r="A1561" s="45" t="str">
        <f t="shared" si="6"/>
        <v>ManausJoão PessoaAvião</v>
      </c>
      <c r="B1561" s="46" t="s">
        <v>31</v>
      </c>
      <c r="C1561" s="46" t="s">
        <v>23</v>
      </c>
      <c r="D1561" s="47" t="s">
        <v>59</v>
      </c>
      <c r="E1561" s="48">
        <v>0</v>
      </c>
    </row>
    <row r="1562" spans="1:5" ht="15.75" customHeight="1" x14ac:dyDescent="0.3">
      <c r="A1562" s="45" t="str">
        <f t="shared" si="6"/>
        <v>ManausJoinvilleAvião</v>
      </c>
      <c r="B1562" s="46" t="s">
        <v>31</v>
      </c>
      <c r="C1562" s="46" t="s">
        <v>23</v>
      </c>
      <c r="D1562" s="47" t="s">
        <v>28</v>
      </c>
      <c r="E1562" s="48">
        <v>0</v>
      </c>
    </row>
    <row r="1563" spans="1:5" ht="15.75" customHeight="1" x14ac:dyDescent="0.3">
      <c r="A1563" s="45" t="str">
        <f t="shared" si="6"/>
        <v>ManausMaceióAvião</v>
      </c>
      <c r="B1563" s="46" t="s">
        <v>31</v>
      </c>
      <c r="C1563" s="46" t="s">
        <v>23</v>
      </c>
      <c r="D1563" s="47" t="s">
        <v>60</v>
      </c>
      <c r="E1563" s="48">
        <v>0</v>
      </c>
    </row>
    <row r="1564" spans="1:5" ht="15.75" customHeight="1" x14ac:dyDescent="0.3">
      <c r="A1564" s="45" t="str">
        <f t="shared" si="6"/>
        <v>ManausManausAvião</v>
      </c>
      <c r="B1564" s="46" t="s">
        <v>31</v>
      </c>
      <c r="C1564" s="46" t="s">
        <v>23</v>
      </c>
      <c r="D1564" s="47" t="s">
        <v>23</v>
      </c>
      <c r="E1564" s="48">
        <v>0</v>
      </c>
    </row>
    <row r="1565" spans="1:5" ht="15.75" customHeight="1" x14ac:dyDescent="0.3">
      <c r="A1565" s="45" t="str">
        <f t="shared" si="6"/>
        <v>ManausNatalAvião</v>
      </c>
      <c r="B1565" s="46" t="s">
        <v>31</v>
      </c>
      <c r="C1565" s="46" t="s">
        <v>23</v>
      </c>
      <c r="D1565" s="47" t="s">
        <v>61</v>
      </c>
      <c r="E1565" s="48">
        <v>0</v>
      </c>
    </row>
    <row r="1566" spans="1:5" ht="15.75" customHeight="1" x14ac:dyDescent="0.3">
      <c r="A1566" s="45" t="str">
        <f t="shared" si="6"/>
        <v>ManausPorto AlegreAvião</v>
      </c>
      <c r="B1566" s="46" t="s">
        <v>31</v>
      </c>
      <c r="C1566" s="46" t="s">
        <v>23</v>
      </c>
      <c r="D1566" s="47" t="s">
        <v>44</v>
      </c>
      <c r="E1566" s="48">
        <v>0</v>
      </c>
    </row>
    <row r="1567" spans="1:5" ht="15.75" customHeight="1" x14ac:dyDescent="0.3">
      <c r="A1567" s="45" t="str">
        <f t="shared" si="6"/>
        <v>ManausRecifeAvião</v>
      </c>
      <c r="B1567" s="46" t="s">
        <v>31</v>
      </c>
      <c r="C1567" s="46" t="s">
        <v>23</v>
      </c>
      <c r="D1567" s="47" t="s">
        <v>62</v>
      </c>
      <c r="E1567" s="48">
        <v>0</v>
      </c>
    </row>
    <row r="1568" spans="1:5" ht="15.75" customHeight="1" x14ac:dyDescent="0.3">
      <c r="A1568" s="45" t="str">
        <f t="shared" si="6"/>
        <v>ManausRibeirão PretoAvião</v>
      </c>
      <c r="B1568" s="46" t="s">
        <v>31</v>
      </c>
      <c r="C1568" s="46" t="s">
        <v>23</v>
      </c>
      <c r="D1568" s="47" t="s">
        <v>63</v>
      </c>
      <c r="E1568" s="48">
        <v>0</v>
      </c>
    </row>
    <row r="1569" spans="1:5" ht="15.75" customHeight="1" x14ac:dyDescent="0.3">
      <c r="A1569" s="45" t="str">
        <f t="shared" si="6"/>
        <v>ManausRio de JaneiroAvião</v>
      </c>
      <c r="B1569" s="46" t="s">
        <v>31</v>
      </c>
      <c r="C1569" s="46" t="s">
        <v>23</v>
      </c>
      <c r="D1569" s="47" t="s">
        <v>64</v>
      </c>
      <c r="E1569" s="48">
        <v>0</v>
      </c>
    </row>
    <row r="1570" spans="1:5" ht="15.75" customHeight="1" x14ac:dyDescent="0.3">
      <c r="A1570" s="45" t="str">
        <f t="shared" si="6"/>
        <v>ManausSalvadorAvião</v>
      </c>
      <c r="B1570" s="46" t="s">
        <v>31</v>
      </c>
      <c r="C1570" s="46" t="s">
        <v>23</v>
      </c>
      <c r="D1570" s="47" t="s">
        <v>65</v>
      </c>
      <c r="E1570" s="48">
        <v>0</v>
      </c>
    </row>
    <row r="1571" spans="1:5" ht="15.75" customHeight="1" x14ac:dyDescent="0.3">
      <c r="A1571" s="45" t="str">
        <f t="shared" si="6"/>
        <v>ManausSantosAvião</v>
      </c>
      <c r="B1571" s="46" t="s">
        <v>31</v>
      </c>
      <c r="C1571" s="46" t="s">
        <v>23</v>
      </c>
      <c r="D1571" s="47" t="s">
        <v>47</v>
      </c>
      <c r="E1571" s="48">
        <v>0</v>
      </c>
    </row>
    <row r="1572" spans="1:5" ht="15.75" customHeight="1" x14ac:dyDescent="0.3">
      <c r="A1572" s="45" t="str">
        <f t="shared" si="6"/>
        <v>ManausSão LuísAvião</v>
      </c>
      <c r="B1572" s="46" t="s">
        <v>31</v>
      </c>
      <c r="C1572" s="46" t="s">
        <v>23</v>
      </c>
      <c r="D1572" s="47" t="s">
        <v>50</v>
      </c>
      <c r="E1572" s="48">
        <v>0</v>
      </c>
    </row>
    <row r="1573" spans="1:5" ht="15.75" customHeight="1" x14ac:dyDescent="0.3">
      <c r="A1573" s="45" t="str">
        <f t="shared" si="6"/>
        <v>ManausSão PauloAvião</v>
      </c>
      <c r="B1573" s="46" t="s">
        <v>31</v>
      </c>
      <c r="C1573" s="46" t="s">
        <v>23</v>
      </c>
      <c r="D1573" s="47" t="s">
        <v>66</v>
      </c>
      <c r="E1573" s="48">
        <v>0</v>
      </c>
    </row>
    <row r="1574" spans="1:5" ht="15.75" customHeight="1" x14ac:dyDescent="0.3">
      <c r="A1574" s="45" t="str">
        <f t="shared" si="6"/>
        <v>ManausUberlândiaAvião</v>
      </c>
      <c r="B1574" s="46" t="s">
        <v>31</v>
      </c>
      <c r="C1574" s="46" t="s">
        <v>23</v>
      </c>
      <c r="D1574" s="47" t="s">
        <v>67</v>
      </c>
      <c r="E1574" s="48">
        <v>0</v>
      </c>
    </row>
    <row r="1575" spans="1:5" ht="15.75" customHeight="1" x14ac:dyDescent="0.3">
      <c r="A1575" s="45" t="str">
        <f t="shared" si="6"/>
        <v>ManausVitóriaAvião</v>
      </c>
      <c r="B1575" s="46" t="s">
        <v>31</v>
      </c>
      <c r="C1575" s="46" t="s">
        <v>23</v>
      </c>
      <c r="D1575" s="47" t="s">
        <v>68</v>
      </c>
      <c r="E1575" s="48">
        <v>0</v>
      </c>
    </row>
    <row r="1576" spans="1:5" ht="15.75" customHeight="1" x14ac:dyDescent="0.3">
      <c r="A1576" s="45" t="str">
        <f t="shared" si="6"/>
        <v>ManausVitória da ConquistaAvião</v>
      </c>
      <c r="B1576" s="46" t="s">
        <v>31</v>
      </c>
      <c r="C1576" s="46" t="s">
        <v>23</v>
      </c>
      <c r="D1576" s="47" t="s">
        <v>49</v>
      </c>
      <c r="E1576" s="48">
        <v>0</v>
      </c>
    </row>
    <row r="1577" spans="1:5" ht="15.75" customHeight="1" x14ac:dyDescent="0.3">
      <c r="A1577" s="45" t="str">
        <f t="shared" si="6"/>
        <v>NatalBelémAvião</v>
      </c>
      <c r="B1577" s="46" t="s">
        <v>31</v>
      </c>
      <c r="C1577" s="46" t="s">
        <v>61</v>
      </c>
      <c r="D1577" s="47" t="s">
        <v>48</v>
      </c>
      <c r="E1577" s="48">
        <v>0</v>
      </c>
    </row>
    <row r="1578" spans="1:5" ht="15.75" customHeight="1" x14ac:dyDescent="0.3">
      <c r="A1578" s="45" t="str">
        <f t="shared" si="6"/>
        <v>NatalBelo HorizonteAvião</v>
      </c>
      <c r="B1578" s="46" t="s">
        <v>31</v>
      </c>
      <c r="C1578" s="46" t="s">
        <v>61</v>
      </c>
      <c r="D1578" s="47" t="s">
        <v>52</v>
      </c>
      <c r="E1578" s="48">
        <v>0</v>
      </c>
    </row>
    <row r="1579" spans="1:5" ht="15.75" customHeight="1" x14ac:dyDescent="0.3">
      <c r="A1579" s="45" t="str">
        <f t="shared" si="6"/>
        <v>NatalBrasíliaAvião</v>
      </c>
      <c r="B1579" s="46" t="s">
        <v>31</v>
      </c>
      <c r="C1579" s="46" t="s">
        <v>61</v>
      </c>
      <c r="D1579" s="47" t="s">
        <v>53</v>
      </c>
      <c r="E1579" s="48">
        <v>0</v>
      </c>
    </row>
    <row r="1580" spans="1:5" ht="15.75" customHeight="1" x14ac:dyDescent="0.3">
      <c r="A1580" s="45" t="str">
        <f t="shared" si="6"/>
        <v>NatalCampinasAvião</v>
      </c>
      <c r="B1580" s="46" t="s">
        <v>31</v>
      </c>
      <c r="C1580" s="46" t="s">
        <v>61</v>
      </c>
      <c r="D1580" s="47" t="s">
        <v>54</v>
      </c>
      <c r="E1580" s="48">
        <v>0</v>
      </c>
    </row>
    <row r="1581" spans="1:5" ht="15.75" customHeight="1" x14ac:dyDescent="0.3">
      <c r="A1581" s="45" t="str">
        <f t="shared" si="6"/>
        <v>NatalCampo GrandeAvião</v>
      </c>
      <c r="B1581" s="46" t="s">
        <v>31</v>
      </c>
      <c r="C1581" s="46" t="s">
        <v>61</v>
      </c>
      <c r="D1581" s="47" t="s">
        <v>55</v>
      </c>
      <c r="E1581" s="48">
        <v>0</v>
      </c>
    </row>
    <row r="1582" spans="1:5" ht="15.75" customHeight="1" x14ac:dyDescent="0.3">
      <c r="A1582" s="45" t="str">
        <f t="shared" si="6"/>
        <v>NatalCuiabáAvião</v>
      </c>
      <c r="B1582" s="46" t="s">
        <v>31</v>
      </c>
      <c r="C1582" s="46" t="s">
        <v>61</v>
      </c>
      <c r="D1582" s="47" t="s">
        <v>37</v>
      </c>
      <c r="E1582" s="48">
        <v>0</v>
      </c>
    </row>
    <row r="1583" spans="1:5" ht="15.75" customHeight="1" x14ac:dyDescent="0.3">
      <c r="A1583" s="45" t="str">
        <f t="shared" si="6"/>
        <v>NatalCuritibaAvião</v>
      </c>
      <c r="B1583" s="46" t="s">
        <v>31</v>
      </c>
      <c r="C1583" s="46" t="s">
        <v>61</v>
      </c>
      <c r="D1583" s="47" t="s">
        <v>56</v>
      </c>
      <c r="E1583" s="48">
        <v>0</v>
      </c>
    </row>
    <row r="1584" spans="1:5" ht="15.75" customHeight="1" x14ac:dyDescent="0.3">
      <c r="A1584" s="45" t="str">
        <f t="shared" si="6"/>
        <v>NatalFortalezaAvião</v>
      </c>
      <c r="B1584" s="46" t="s">
        <v>31</v>
      </c>
      <c r="C1584" s="46" t="s">
        <v>61</v>
      </c>
      <c r="D1584" s="47" t="s">
        <v>57</v>
      </c>
      <c r="E1584" s="48">
        <v>0</v>
      </c>
    </row>
    <row r="1585" spans="1:5" ht="15.75" customHeight="1" x14ac:dyDescent="0.3">
      <c r="A1585" s="45" t="str">
        <f t="shared" si="6"/>
        <v>NatalGoiâniaAvião</v>
      </c>
      <c r="B1585" s="46" t="s">
        <v>31</v>
      </c>
      <c r="C1585" s="46" t="s">
        <v>61</v>
      </c>
      <c r="D1585" s="47" t="s">
        <v>58</v>
      </c>
      <c r="E1585" s="48">
        <v>0</v>
      </c>
    </row>
    <row r="1586" spans="1:5" ht="15.75" customHeight="1" x14ac:dyDescent="0.3">
      <c r="A1586" s="45" t="str">
        <f t="shared" si="6"/>
        <v>NatalJoão PessoaAvião</v>
      </c>
      <c r="B1586" s="46" t="s">
        <v>31</v>
      </c>
      <c r="C1586" s="46" t="s">
        <v>61</v>
      </c>
      <c r="D1586" s="47" t="s">
        <v>59</v>
      </c>
      <c r="E1586" s="48">
        <v>0</v>
      </c>
    </row>
    <row r="1587" spans="1:5" ht="15.75" customHeight="1" x14ac:dyDescent="0.3">
      <c r="A1587" s="45" t="str">
        <f t="shared" si="6"/>
        <v>NatalJoinvilleAvião</v>
      </c>
      <c r="B1587" s="46" t="s">
        <v>31</v>
      </c>
      <c r="C1587" s="46" t="s">
        <v>61</v>
      </c>
      <c r="D1587" s="47" t="s">
        <v>28</v>
      </c>
      <c r="E1587" s="48">
        <v>0</v>
      </c>
    </row>
    <row r="1588" spans="1:5" ht="15.75" customHeight="1" x14ac:dyDescent="0.3">
      <c r="A1588" s="45" t="str">
        <f t="shared" si="6"/>
        <v>NatalMaceióAvião</v>
      </c>
      <c r="B1588" s="46" t="s">
        <v>31</v>
      </c>
      <c r="C1588" s="46" t="s">
        <v>61</v>
      </c>
      <c r="D1588" s="47" t="s">
        <v>60</v>
      </c>
      <c r="E1588" s="48">
        <v>0</v>
      </c>
    </row>
    <row r="1589" spans="1:5" ht="15.75" customHeight="1" x14ac:dyDescent="0.3">
      <c r="A1589" s="45" t="str">
        <f t="shared" si="6"/>
        <v>NatalManausAvião</v>
      </c>
      <c r="B1589" s="46" t="s">
        <v>31</v>
      </c>
      <c r="C1589" s="46" t="s">
        <v>61</v>
      </c>
      <c r="D1589" s="47" t="s">
        <v>23</v>
      </c>
      <c r="E1589" s="48">
        <v>0</v>
      </c>
    </row>
    <row r="1590" spans="1:5" ht="15.75" customHeight="1" x14ac:dyDescent="0.3">
      <c r="A1590" s="45" t="str">
        <f t="shared" si="6"/>
        <v>NatalNatalAvião</v>
      </c>
      <c r="B1590" s="46" t="s">
        <v>31</v>
      </c>
      <c r="C1590" s="46" t="s">
        <v>61</v>
      </c>
      <c r="D1590" s="47" t="s">
        <v>61</v>
      </c>
      <c r="E1590" s="48">
        <v>0</v>
      </c>
    </row>
    <row r="1591" spans="1:5" ht="15.75" customHeight="1" x14ac:dyDescent="0.3">
      <c r="A1591" s="45" t="str">
        <f t="shared" si="6"/>
        <v>NatalPorto AlegreAvião</v>
      </c>
      <c r="B1591" s="46" t="s">
        <v>31</v>
      </c>
      <c r="C1591" s="46" t="s">
        <v>61</v>
      </c>
      <c r="D1591" s="47" t="s">
        <v>44</v>
      </c>
      <c r="E1591" s="48">
        <v>0</v>
      </c>
    </row>
    <row r="1592" spans="1:5" ht="15.75" customHeight="1" x14ac:dyDescent="0.3">
      <c r="A1592" s="45" t="str">
        <f t="shared" si="6"/>
        <v>NatalRecifeAvião</v>
      </c>
      <c r="B1592" s="46" t="s">
        <v>31</v>
      </c>
      <c r="C1592" s="46" t="s">
        <v>61</v>
      </c>
      <c r="D1592" s="47" t="s">
        <v>62</v>
      </c>
      <c r="E1592" s="48">
        <v>0</v>
      </c>
    </row>
    <row r="1593" spans="1:5" ht="15.75" customHeight="1" x14ac:dyDescent="0.3">
      <c r="A1593" s="45" t="str">
        <f t="shared" si="6"/>
        <v>NatalRibeirão PretoAvião</v>
      </c>
      <c r="B1593" s="46" t="s">
        <v>31</v>
      </c>
      <c r="C1593" s="46" t="s">
        <v>61</v>
      </c>
      <c r="D1593" s="47" t="s">
        <v>63</v>
      </c>
      <c r="E1593" s="48">
        <v>0</v>
      </c>
    </row>
    <row r="1594" spans="1:5" ht="15.75" customHeight="1" x14ac:dyDescent="0.3">
      <c r="A1594" s="45" t="str">
        <f t="shared" si="6"/>
        <v>NatalRio de JaneiroAvião</v>
      </c>
      <c r="B1594" s="46" t="s">
        <v>31</v>
      </c>
      <c r="C1594" s="46" t="s">
        <v>61</v>
      </c>
      <c r="D1594" s="47" t="s">
        <v>64</v>
      </c>
      <c r="E1594" s="48">
        <v>0</v>
      </c>
    </row>
    <row r="1595" spans="1:5" ht="15.75" customHeight="1" x14ac:dyDescent="0.3">
      <c r="A1595" s="45" t="str">
        <f t="shared" si="6"/>
        <v>NatalSalvadorAvião</v>
      </c>
      <c r="B1595" s="46" t="s">
        <v>31</v>
      </c>
      <c r="C1595" s="46" t="s">
        <v>61</v>
      </c>
      <c r="D1595" s="47" t="s">
        <v>65</v>
      </c>
      <c r="E1595" s="48">
        <v>0</v>
      </c>
    </row>
    <row r="1596" spans="1:5" ht="15.75" customHeight="1" x14ac:dyDescent="0.3">
      <c r="A1596" s="45" t="str">
        <f t="shared" si="6"/>
        <v>NatalSantosAvião</v>
      </c>
      <c r="B1596" s="46" t="s">
        <v>31</v>
      </c>
      <c r="C1596" s="46" t="s">
        <v>61</v>
      </c>
      <c r="D1596" s="47" t="s">
        <v>47</v>
      </c>
      <c r="E1596" s="48">
        <v>0</v>
      </c>
    </row>
    <row r="1597" spans="1:5" ht="15.75" customHeight="1" x14ac:dyDescent="0.3">
      <c r="A1597" s="45" t="str">
        <f t="shared" si="6"/>
        <v>NatalSão LuísAvião</v>
      </c>
      <c r="B1597" s="46" t="s">
        <v>31</v>
      </c>
      <c r="C1597" s="46" t="s">
        <v>61</v>
      </c>
      <c r="D1597" s="47" t="s">
        <v>50</v>
      </c>
      <c r="E1597" s="48">
        <v>0</v>
      </c>
    </row>
    <row r="1598" spans="1:5" ht="15.75" customHeight="1" x14ac:dyDescent="0.3">
      <c r="A1598" s="45" t="str">
        <f t="shared" si="6"/>
        <v>NatalSão PauloAvião</v>
      </c>
      <c r="B1598" s="46" t="s">
        <v>31</v>
      </c>
      <c r="C1598" s="46" t="s">
        <v>61</v>
      </c>
      <c r="D1598" s="47" t="s">
        <v>66</v>
      </c>
      <c r="E1598" s="48">
        <v>0</v>
      </c>
    </row>
    <row r="1599" spans="1:5" ht="15.75" customHeight="1" x14ac:dyDescent="0.3">
      <c r="A1599" s="45" t="str">
        <f t="shared" si="6"/>
        <v>NatalUberlândiaAvião</v>
      </c>
      <c r="B1599" s="46" t="s">
        <v>31</v>
      </c>
      <c r="C1599" s="46" t="s">
        <v>61</v>
      </c>
      <c r="D1599" s="47" t="s">
        <v>67</v>
      </c>
      <c r="E1599" s="48">
        <v>0</v>
      </c>
    </row>
    <row r="1600" spans="1:5" ht="15.75" customHeight="1" x14ac:dyDescent="0.3">
      <c r="A1600" s="45" t="str">
        <f t="shared" si="6"/>
        <v>NatalVitóriaAvião</v>
      </c>
      <c r="B1600" s="46" t="s">
        <v>31</v>
      </c>
      <c r="C1600" s="46" t="s">
        <v>61</v>
      </c>
      <c r="D1600" s="47" t="s">
        <v>68</v>
      </c>
      <c r="E1600" s="48">
        <v>0</v>
      </c>
    </row>
    <row r="1601" spans="1:5" ht="15.75" customHeight="1" x14ac:dyDescent="0.3">
      <c r="A1601" s="45" t="str">
        <f t="shared" si="6"/>
        <v>NatalVitória da ConquistaAvião</v>
      </c>
      <c r="B1601" s="46" t="s">
        <v>31</v>
      </c>
      <c r="C1601" s="46" t="s">
        <v>61</v>
      </c>
      <c r="D1601" s="47" t="s">
        <v>49</v>
      </c>
      <c r="E1601" s="48">
        <v>0</v>
      </c>
    </row>
    <row r="1602" spans="1:5" ht="15.75" customHeight="1" x14ac:dyDescent="0.3">
      <c r="A1602" s="45" t="str">
        <f t="shared" si="6"/>
        <v>Porto AlegreBelémAvião</v>
      </c>
      <c r="B1602" s="46" t="s">
        <v>31</v>
      </c>
      <c r="C1602" s="46" t="s">
        <v>44</v>
      </c>
      <c r="D1602" s="47" t="s">
        <v>48</v>
      </c>
      <c r="E1602" s="48">
        <v>0</v>
      </c>
    </row>
    <row r="1603" spans="1:5" ht="15.75" customHeight="1" x14ac:dyDescent="0.3">
      <c r="A1603" s="45" t="str">
        <f t="shared" si="6"/>
        <v>Porto AlegreBelo HorizonteAvião</v>
      </c>
      <c r="B1603" s="46" t="s">
        <v>31</v>
      </c>
      <c r="C1603" s="46" t="s">
        <v>44</v>
      </c>
      <c r="D1603" s="47" t="s">
        <v>52</v>
      </c>
      <c r="E1603" s="48">
        <v>0</v>
      </c>
    </row>
    <row r="1604" spans="1:5" ht="15.75" customHeight="1" x14ac:dyDescent="0.3">
      <c r="A1604" s="45" t="str">
        <f t="shared" si="6"/>
        <v>Porto AlegreBrasíliaAvião</v>
      </c>
      <c r="B1604" s="46" t="s">
        <v>31</v>
      </c>
      <c r="C1604" s="46" t="s">
        <v>44</v>
      </c>
      <c r="D1604" s="47" t="s">
        <v>53</v>
      </c>
      <c r="E1604" s="48">
        <v>0</v>
      </c>
    </row>
    <row r="1605" spans="1:5" ht="15.75" customHeight="1" x14ac:dyDescent="0.3">
      <c r="A1605" s="45" t="str">
        <f t="shared" si="6"/>
        <v>Porto AlegreCampinasAvião</v>
      </c>
      <c r="B1605" s="46" t="s">
        <v>31</v>
      </c>
      <c r="C1605" s="46" t="s">
        <v>44</v>
      </c>
      <c r="D1605" s="47" t="s">
        <v>54</v>
      </c>
      <c r="E1605" s="48">
        <v>0</v>
      </c>
    </row>
    <row r="1606" spans="1:5" ht="15.75" customHeight="1" x14ac:dyDescent="0.3">
      <c r="A1606" s="45" t="str">
        <f t="shared" si="6"/>
        <v>Porto AlegreCampo GrandeAvião</v>
      </c>
      <c r="B1606" s="46" t="s">
        <v>31</v>
      </c>
      <c r="C1606" s="46" t="s">
        <v>44</v>
      </c>
      <c r="D1606" s="47" t="s">
        <v>55</v>
      </c>
      <c r="E1606" s="48">
        <v>0</v>
      </c>
    </row>
    <row r="1607" spans="1:5" ht="15.75" customHeight="1" x14ac:dyDescent="0.3">
      <c r="A1607" s="45" t="str">
        <f t="shared" si="6"/>
        <v>Porto AlegreCuiabáAvião</v>
      </c>
      <c r="B1607" s="46" t="s">
        <v>31</v>
      </c>
      <c r="C1607" s="46" t="s">
        <v>44</v>
      </c>
      <c r="D1607" s="47" t="s">
        <v>37</v>
      </c>
      <c r="E1607" s="48">
        <v>0</v>
      </c>
    </row>
    <row r="1608" spans="1:5" ht="15.75" customHeight="1" x14ac:dyDescent="0.3">
      <c r="A1608" s="45" t="str">
        <f t="shared" si="6"/>
        <v>Porto AlegreCuritibaAvião</v>
      </c>
      <c r="B1608" s="46" t="s">
        <v>31</v>
      </c>
      <c r="C1608" s="46" t="s">
        <v>44</v>
      </c>
      <c r="D1608" s="47" t="s">
        <v>56</v>
      </c>
      <c r="E1608" s="48">
        <v>0</v>
      </c>
    </row>
    <row r="1609" spans="1:5" ht="15.75" customHeight="1" x14ac:dyDescent="0.3">
      <c r="A1609" s="45" t="str">
        <f t="shared" si="6"/>
        <v>Porto AlegreFortalezaAvião</v>
      </c>
      <c r="B1609" s="46" t="s">
        <v>31</v>
      </c>
      <c r="C1609" s="46" t="s">
        <v>44</v>
      </c>
      <c r="D1609" s="47" t="s">
        <v>57</v>
      </c>
      <c r="E1609" s="48">
        <v>0</v>
      </c>
    </row>
    <row r="1610" spans="1:5" ht="15.75" customHeight="1" x14ac:dyDescent="0.3">
      <c r="A1610" s="45" t="str">
        <f t="shared" si="6"/>
        <v>Porto AlegreGoiâniaAvião</v>
      </c>
      <c r="B1610" s="46" t="s">
        <v>31</v>
      </c>
      <c r="C1610" s="46" t="s">
        <v>44</v>
      </c>
      <c r="D1610" s="47" t="s">
        <v>58</v>
      </c>
      <c r="E1610" s="48">
        <v>0</v>
      </c>
    </row>
    <row r="1611" spans="1:5" ht="15.75" customHeight="1" x14ac:dyDescent="0.3">
      <c r="A1611" s="45" t="str">
        <f t="shared" si="6"/>
        <v>Porto AlegreJoão PessoaAvião</v>
      </c>
      <c r="B1611" s="46" t="s">
        <v>31</v>
      </c>
      <c r="C1611" s="46" t="s">
        <v>44</v>
      </c>
      <c r="D1611" s="47" t="s">
        <v>59</v>
      </c>
      <c r="E1611" s="48">
        <v>0</v>
      </c>
    </row>
    <row r="1612" spans="1:5" ht="15.75" customHeight="1" x14ac:dyDescent="0.3">
      <c r="A1612" s="45" t="str">
        <f t="shared" si="6"/>
        <v>Porto AlegreJoinvilleAvião</v>
      </c>
      <c r="B1612" s="46" t="s">
        <v>31</v>
      </c>
      <c r="C1612" s="46" t="s">
        <v>44</v>
      </c>
      <c r="D1612" s="47" t="s">
        <v>28</v>
      </c>
      <c r="E1612" s="48">
        <v>0</v>
      </c>
    </row>
    <row r="1613" spans="1:5" ht="15.75" customHeight="1" x14ac:dyDescent="0.3">
      <c r="A1613" s="45" t="str">
        <f t="shared" si="6"/>
        <v>Porto AlegreMaceióAvião</v>
      </c>
      <c r="B1613" s="46" t="s">
        <v>31</v>
      </c>
      <c r="C1613" s="46" t="s">
        <v>44</v>
      </c>
      <c r="D1613" s="47" t="s">
        <v>60</v>
      </c>
      <c r="E1613" s="48">
        <v>0</v>
      </c>
    </row>
    <row r="1614" spans="1:5" ht="15.75" customHeight="1" x14ac:dyDescent="0.3">
      <c r="A1614" s="45" t="str">
        <f t="shared" si="6"/>
        <v>Porto AlegreManausAvião</v>
      </c>
      <c r="B1614" s="46" t="s">
        <v>31</v>
      </c>
      <c r="C1614" s="46" t="s">
        <v>44</v>
      </c>
      <c r="D1614" s="47" t="s">
        <v>23</v>
      </c>
      <c r="E1614" s="48">
        <v>0</v>
      </c>
    </row>
    <row r="1615" spans="1:5" ht="15.75" customHeight="1" x14ac:dyDescent="0.3">
      <c r="A1615" s="45" t="str">
        <f t="shared" si="6"/>
        <v>Porto AlegreNatalAvião</v>
      </c>
      <c r="B1615" s="46" t="s">
        <v>31</v>
      </c>
      <c r="C1615" s="46" t="s">
        <v>44</v>
      </c>
      <c r="D1615" s="47" t="s">
        <v>61</v>
      </c>
      <c r="E1615" s="48">
        <v>0</v>
      </c>
    </row>
    <row r="1616" spans="1:5" ht="15.75" customHeight="1" x14ac:dyDescent="0.3">
      <c r="A1616" s="45" t="str">
        <f t="shared" si="6"/>
        <v>Porto AlegrePorto AlegreAvião</v>
      </c>
      <c r="B1616" s="46" t="s">
        <v>31</v>
      </c>
      <c r="C1616" s="46" t="s">
        <v>44</v>
      </c>
      <c r="D1616" s="47" t="s">
        <v>44</v>
      </c>
      <c r="E1616" s="48">
        <v>0</v>
      </c>
    </row>
    <row r="1617" spans="1:5" ht="15.75" customHeight="1" x14ac:dyDescent="0.3">
      <c r="A1617" s="45" t="str">
        <f t="shared" si="6"/>
        <v>Porto AlegreRecifeAvião</v>
      </c>
      <c r="B1617" s="46" t="s">
        <v>31</v>
      </c>
      <c r="C1617" s="46" t="s">
        <v>44</v>
      </c>
      <c r="D1617" s="47" t="s">
        <v>62</v>
      </c>
      <c r="E1617" s="48">
        <v>0</v>
      </c>
    </row>
    <row r="1618" spans="1:5" ht="15.75" customHeight="1" x14ac:dyDescent="0.3">
      <c r="A1618" s="45" t="str">
        <f t="shared" si="6"/>
        <v>Porto AlegreRibeirão PretoAvião</v>
      </c>
      <c r="B1618" s="46" t="s">
        <v>31</v>
      </c>
      <c r="C1618" s="46" t="s">
        <v>44</v>
      </c>
      <c r="D1618" s="47" t="s">
        <v>63</v>
      </c>
      <c r="E1618" s="48">
        <v>0</v>
      </c>
    </row>
    <row r="1619" spans="1:5" ht="15.75" customHeight="1" x14ac:dyDescent="0.3">
      <c r="A1619" s="45" t="str">
        <f t="shared" si="6"/>
        <v>Porto AlegreRio de JaneiroAvião</v>
      </c>
      <c r="B1619" s="46" t="s">
        <v>31</v>
      </c>
      <c r="C1619" s="46" t="s">
        <v>44</v>
      </c>
      <c r="D1619" s="47" t="s">
        <v>64</v>
      </c>
      <c r="E1619" s="48">
        <v>0</v>
      </c>
    </row>
    <row r="1620" spans="1:5" ht="15.75" customHeight="1" x14ac:dyDescent="0.3">
      <c r="A1620" s="45" t="str">
        <f t="shared" si="6"/>
        <v>Porto AlegreSalvadorAvião</v>
      </c>
      <c r="B1620" s="46" t="s">
        <v>31</v>
      </c>
      <c r="C1620" s="46" t="s">
        <v>44</v>
      </c>
      <c r="D1620" s="47" t="s">
        <v>65</v>
      </c>
      <c r="E1620" s="48">
        <v>0</v>
      </c>
    </row>
    <row r="1621" spans="1:5" ht="15.75" customHeight="1" x14ac:dyDescent="0.3">
      <c r="A1621" s="45" t="str">
        <f t="shared" si="6"/>
        <v>Porto AlegreSantosAvião</v>
      </c>
      <c r="B1621" s="46" t="s">
        <v>31</v>
      </c>
      <c r="C1621" s="46" t="s">
        <v>44</v>
      </c>
      <c r="D1621" s="47" t="s">
        <v>47</v>
      </c>
      <c r="E1621" s="48">
        <v>0</v>
      </c>
    </row>
    <row r="1622" spans="1:5" ht="15.75" customHeight="1" x14ac:dyDescent="0.3">
      <c r="A1622" s="45" t="str">
        <f t="shared" si="6"/>
        <v>Porto AlegreSão LuísAvião</v>
      </c>
      <c r="B1622" s="46" t="s">
        <v>31</v>
      </c>
      <c r="C1622" s="46" t="s">
        <v>44</v>
      </c>
      <c r="D1622" s="47" t="s">
        <v>50</v>
      </c>
      <c r="E1622" s="48">
        <v>0</v>
      </c>
    </row>
    <row r="1623" spans="1:5" ht="15.75" customHeight="1" x14ac:dyDescent="0.3">
      <c r="A1623" s="45" t="str">
        <f t="shared" si="6"/>
        <v>Porto AlegreSão PauloAvião</v>
      </c>
      <c r="B1623" s="46" t="s">
        <v>31</v>
      </c>
      <c r="C1623" s="46" t="s">
        <v>44</v>
      </c>
      <c r="D1623" s="47" t="s">
        <v>66</v>
      </c>
      <c r="E1623" s="48">
        <v>0</v>
      </c>
    </row>
    <row r="1624" spans="1:5" ht="15.75" customHeight="1" x14ac:dyDescent="0.3">
      <c r="A1624" s="45" t="str">
        <f t="shared" si="6"/>
        <v>Porto AlegreUberlândiaAvião</v>
      </c>
      <c r="B1624" s="46" t="s">
        <v>31</v>
      </c>
      <c r="C1624" s="46" t="s">
        <v>44</v>
      </c>
      <c r="D1624" s="47" t="s">
        <v>67</v>
      </c>
      <c r="E1624" s="48">
        <v>0</v>
      </c>
    </row>
    <row r="1625" spans="1:5" ht="15.75" customHeight="1" x14ac:dyDescent="0.3">
      <c r="A1625" s="45" t="str">
        <f t="shared" si="6"/>
        <v>Porto AlegreVitóriaAvião</v>
      </c>
      <c r="B1625" s="46" t="s">
        <v>31</v>
      </c>
      <c r="C1625" s="46" t="s">
        <v>44</v>
      </c>
      <c r="D1625" s="47" t="s">
        <v>68</v>
      </c>
      <c r="E1625" s="48">
        <v>0</v>
      </c>
    </row>
    <row r="1626" spans="1:5" ht="15.75" customHeight="1" x14ac:dyDescent="0.3">
      <c r="A1626" s="45" t="str">
        <f t="shared" si="6"/>
        <v>Porto AlegreVitória da ConquistaAvião</v>
      </c>
      <c r="B1626" s="46" t="s">
        <v>31</v>
      </c>
      <c r="C1626" s="46" t="s">
        <v>44</v>
      </c>
      <c r="D1626" s="47" t="s">
        <v>49</v>
      </c>
      <c r="E1626" s="48">
        <v>0</v>
      </c>
    </row>
    <row r="1627" spans="1:5" ht="15.75" customHeight="1" x14ac:dyDescent="0.3">
      <c r="A1627" s="45" t="str">
        <f t="shared" si="6"/>
        <v>RecifeBelémAvião</v>
      </c>
      <c r="B1627" s="46" t="s">
        <v>31</v>
      </c>
      <c r="C1627" s="46" t="s">
        <v>62</v>
      </c>
      <c r="D1627" s="47" t="s">
        <v>48</v>
      </c>
      <c r="E1627" s="48">
        <v>0</v>
      </c>
    </row>
    <row r="1628" spans="1:5" ht="15.75" customHeight="1" x14ac:dyDescent="0.3">
      <c r="A1628" s="45" t="str">
        <f t="shared" si="6"/>
        <v>RecifeBelo HorizonteAvião</v>
      </c>
      <c r="B1628" s="46" t="s">
        <v>31</v>
      </c>
      <c r="C1628" s="46" t="s">
        <v>62</v>
      </c>
      <c r="D1628" s="47" t="s">
        <v>52</v>
      </c>
      <c r="E1628" s="48">
        <v>0</v>
      </c>
    </row>
    <row r="1629" spans="1:5" ht="15.75" customHeight="1" x14ac:dyDescent="0.3">
      <c r="A1629" s="45" t="str">
        <f t="shared" si="6"/>
        <v>RecifeBrasíliaAvião</v>
      </c>
      <c r="B1629" s="46" t="s">
        <v>31</v>
      </c>
      <c r="C1629" s="46" t="s">
        <v>62</v>
      </c>
      <c r="D1629" s="47" t="s">
        <v>53</v>
      </c>
      <c r="E1629" s="48">
        <v>0</v>
      </c>
    </row>
    <row r="1630" spans="1:5" ht="15.75" customHeight="1" x14ac:dyDescent="0.3">
      <c r="A1630" s="45" t="str">
        <f t="shared" si="6"/>
        <v>RecifeCampinasAvião</v>
      </c>
      <c r="B1630" s="46" t="s">
        <v>31</v>
      </c>
      <c r="C1630" s="46" t="s">
        <v>62</v>
      </c>
      <c r="D1630" s="47" t="s">
        <v>54</v>
      </c>
      <c r="E1630" s="48">
        <v>0</v>
      </c>
    </row>
    <row r="1631" spans="1:5" ht="15.75" customHeight="1" x14ac:dyDescent="0.3">
      <c r="A1631" s="45" t="str">
        <f t="shared" si="6"/>
        <v>RecifeCampo GrandeAvião</v>
      </c>
      <c r="B1631" s="46" t="s">
        <v>31</v>
      </c>
      <c r="C1631" s="46" t="s">
        <v>62</v>
      </c>
      <c r="D1631" s="47" t="s">
        <v>55</v>
      </c>
      <c r="E1631" s="48">
        <v>0</v>
      </c>
    </row>
    <row r="1632" spans="1:5" ht="15.75" customHeight="1" x14ac:dyDescent="0.3">
      <c r="A1632" s="45" t="str">
        <f t="shared" si="6"/>
        <v>RecifeCuiabáAvião</v>
      </c>
      <c r="B1632" s="46" t="s">
        <v>31</v>
      </c>
      <c r="C1632" s="46" t="s">
        <v>62</v>
      </c>
      <c r="D1632" s="47" t="s">
        <v>37</v>
      </c>
      <c r="E1632" s="48">
        <v>0</v>
      </c>
    </row>
    <row r="1633" spans="1:5" ht="15.75" customHeight="1" x14ac:dyDescent="0.3">
      <c r="A1633" s="45" t="str">
        <f t="shared" si="6"/>
        <v>RecifeCuritibaAvião</v>
      </c>
      <c r="B1633" s="46" t="s">
        <v>31</v>
      </c>
      <c r="C1633" s="46" t="s">
        <v>62</v>
      </c>
      <c r="D1633" s="47" t="s">
        <v>56</v>
      </c>
      <c r="E1633" s="48">
        <v>0</v>
      </c>
    </row>
    <row r="1634" spans="1:5" ht="15.75" customHeight="1" x14ac:dyDescent="0.3">
      <c r="A1634" s="45" t="str">
        <f t="shared" si="6"/>
        <v>RecifeFortalezaAvião</v>
      </c>
      <c r="B1634" s="46" t="s">
        <v>31</v>
      </c>
      <c r="C1634" s="46" t="s">
        <v>62</v>
      </c>
      <c r="D1634" s="47" t="s">
        <v>57</v>
      </c>
      <c r="E1634" s="48">
        <v>0</v>
      </c>
    </row>
    <row r="1635" spans="1:5" ht="15.75" customHeight="1" x14ac:dyDescent="0.3">
      <c r="A1635" s="45" t="str">
        <f t="shared" si="6"/>
        <v>RecifeGoiâniaAvião</v>
      </c>
      <c r="B1635" s="46" t="s">
        <v>31</v>
      </c>
      <c r="C1635" s="46" t="s">
        <v>62</v>
      </c>
      <c r="D1635" s="47" t="s">
        <v>58</v>
      </c>
      <c r="E1635" s="48">
        <v>0</v>
      </c>
    </row>
    <row r="1636" spans="1:5" ht="15.75" customHeight="1" x14ac:dyDescent="0.3">
      <c r="A1636" s="45" t="str">
        <f t="shared" si="6"/>
        <v>RecifeJoão PessoaAvião</v>
      </c>
      <c r="B1636" s="46" t="s">
        <v>31</v>
      </c>
      <c r="C1636" s="46" t="s">
        <v>62</v>
      </c>
      <c r="D1636" s="47" t="s">
        <v>59</v>
      </c>
      <c r="E1636" s="48">
        <v>0</v>
      </c>
    </row>
    <row r="1637" spans="1:5" ht="15.75" customHeight="1" x14ac:dyDescent="0.3">
      <c r="A1637" s="45" t="str">
        <f t="shared" si="6"/>
        <v>RecifeJoinvilleAvião</v>
      </c>
      <c r="B1637" s="46" t="s">
        <v>31</v>
      </c>
      <c r="C1637" s="46" t="s">
        <v>62</v>
      </c>
      <c r="D1637" s="47" t="s">
        <v>28</v>
      </c>
      <c r="E1637" s="48">
        <v>0</v>
      </c>
    </row>
    <row r="1638" spans="1:5" ht="15.75" customHeight="1" x14ac:dyDescent="0.3">
      <c r="A1638" s="45" t="str">
        <f t="shared" si="6"/>
        <v>RecifeMaceióAvião</v>
      </c>
      <c r="B1638" s="46" t="s">
        <v>31</v>
      </c>
      <c r="C1638" s="46" t="s">
        <v>62</v>
      </c>
      <c r="D1638" s="47" t="s">
        <v>60</v>
      </c>
      <c r="E1638" s="48">
        <v>0</v>
      </c>
    </row>
    <row r="1639" spans="1:5" ht="15.75" customHeight="1" x14ac:dyDescent="0.3">
      <c r="A1639" s="45" t="str">
        <f t="shared" si="6"/>
        <v>RecifeManausAvião</v>
      </c>
      <c r="B1639" s="46" t="s">
        <v>31</v>
      </c>
      <c r="C1639" s="46" t="s">
        <v>62</v>
      </c>
      <c r="D1639" s="47" t="s">
        <v>23</v>
      </c>
      <c r="E1639" s="48">
        <v>0</v>
      </c>
    </row>
    <row r="1640" spans="1:5" ht="15.75" customHeight="1" x14ac:dyDescent="0.3">
      <c r="A1640" s="45" t="str">
        <f t="shared" si="6"/>
        <v>RecifeNatalAvião</v>
      </c>
      <c r="B1640" s="46" t="s">
        <v>31</v>
      </c>
      <c r="C1640" s="46" t="s">
        <v>62</v>
      </c>
      <c r="D1640" s="47" t="s">
        <v>61</v>
      </c>
      <c r="E1640" s="48">
        <v>0</v>
      </c>
    </row>
    <row r="1641" spans="1:5" ht="15.75" customHeight="1" x14ac:dyDescent="0.3">
      <c r="A1641" s="45" t="str">
        <f t="shared" si="6"/>
        <v>RecifePorto AlegreAvião</v>
      </c>
      <c r="B1641" s="46" t="s">
        <v>31</v>
      </c>
      <c r="C1641" s="46" t="s">
        <v>62</v>
      </c>
      <c r="D1641" s="47" t="s">
        <v>44</v>
      </c>
      <c r="E1641" s="48">
        <v>0</v>
      </c>
    </row>
    <row r="1642" spans="1:5" ht="15.75" customHeight="1" x14ac:dyDescent="0.3">
      <c r="A1642" s="45" t="str">
        <f t="shared" si="6"/>
        <v>RecifeRecifeAvião</v>
      </c>
      <c r="B1642" s="46" t="s">
        <v>31</v>
      </c>
      <c r="C1642" s="46" t="s">
        <v>62</v>
      </c>
      <c r="D1642" s="47" t="s">
        <v>62</v>
      </c>
      <c r="E1642" s="48">
        <v>0</v>
      </c>
    </row>
    <row r="1643" spans="1:5" ht="15.75" customHeight="1" x14ac:dyDescent="0.3">
      <c r="A1643" s="45" t="str">
        <f t="shared" si="6"/>
        <v>RecifeRibeirão PretoAvião</v>
      </c>
      <c r="B1643" s="46" t="s">
        <v>31</v>
      </c>
      <c r="C1643" s="46" t="s">
        <v>62</v>
      </c>
      <c r="D1643" s="47" t="s">
        <v>63</v>
      </c>
      <c r="E1643" s="48">
        <v>0</v>
      </c>
    </row>
    <row r="1644" spans="1:5" ht="15.75" customHeight="1" x14ac:dyDescent="0.3">
      <c r="A1644" s="45" t="str">
        <f t="shared" si="6"/>
        <v>RecifeRio de JaneiroAvião</v>
      </c>
      <c r="B1644" s="46" t="s">
        <v>31</v>
      </c>
      <c r="C1644" s="46" t="s">
        <v>62</v>
      </c>
      <c r="D1644" s="47" t="s">
        <v>64</v>
      </c>
      <c r="E1644" s="48">
        <v>0</v>
      </c>
    </row>
    <row r="1645" spans="1:5" ht="15.75" customHeight="1" x14ac:dyDescent="0.3">
      <c r="A1645" s="45" t="str">
        <f t="shared" si="6"/>
        <v>RecifeSalvadorAvião</v>
      </c>
      <c r="B1645" s="46" t="s">
        <v>31</v>
      </c>
      <c r="C1645" s="46" t="s">
        <v>62</v>
      </c>
      <c r="D1645" s="47" t="s">
        <v>65</v>
      </c>
      <c r="E1645" s="48">
        <v>0</v>
      </c>
    </row>
    <row r="1646" spans="1:5" ht="15.75" customHeight="1" x14ac:dyDescent="0.3">
      <c r="A1646" s="45" t="str">
        <f t="shared" si="6"/>
        <v>RecifeSantosAvião</v>
      </c>
      <c r="B1646" s="46" t="s">
        <v>31</v>
      </c>
      <c r="C1646" s="46" t="s">
        <v>62</v>
      </c>
      <c r="D1646" s="47" t="s">
        <v>47</v>
      </c>
      <c r="E1646" s="48">
        <v>0</v>
      </c>
    </row>
    <row r="1647" spans="1:5" ht="15.75" customHeight="1" x14ac:dyDescent="0.3">
      <c r="A1647" s="45" t="str">
        <f t="shared" si="6"/>
        <v>RecifeSão LuísAvião</v>
      </c>
      <c r="B1647" s="46" t="s">
        <v>31</v>
      </c>
      <c r="C1647" s="46" t="s">
        <v>62</v>
      </c>
      <c r="D1647" s="47" t="s">
        <v>50</v>
      </c>
      <c r="E1647" s="48">
        <v>0</v>
      </c>
    </row>
    <row r="1648" spans="1:5" ht="15.75" customHeight="1" x14ac:dyDescent="0.3">
      <c r="A1648" s="45" t="str">
        <f t="shared" si="6"/>
        <v>RecifeSão PauloAvião</v>
      </c>
      <c r="B1648" s="46" t="s">
        <v>31</v>
      </c>
      <c r="C1648" s="46" t="s">
        <v>62</v>
      </c>
      <c r="D1648" s="47" t="s">
        <v>66</v>
      </c>
      <c r="E1648" s="48">
        <v>0</v>
      </c>
    </row>
    <row r="1649" spans="1:5" ht="15.75" customHeight="1" x14ac:dyDescent="0.3">
      <c r="A1649" s="45" t="str">
        <f t="shared" si="6"/>
        <v>RecifeUberlândiaAvião</v>
      </c>
      <c r="B1649" s="46" t="s">
        <v>31</v>
      </c>
      <c r="C1649" s="46" t="s">
        <v>62</v>
      </c>
      <c r="D1649" s="47" t="s">
        <v>67</v>
      </c>
      <c r="E1649" s="48">
        <v>0</v>
      </c>
    </row>
    <row r="1650" spans="1:5" ht="15.75" customHeight="1" x14ac:dyDescent="0.3">
      <c r="A1650" s="45" t="str">
        <f t="shared" si="6"/>
        <v>RecifeVitóriaAvião</v>
      </c>
      <c r="B1650" s="46" t="s">
        <v>31</v>
      </c>
      <c r="C1650" s="46" t="s">
        <v>62</v>
      </c>
      <c r="D1650" s="47" t="s">
        <v>68</v>
      </c>
      <c r="E1650" s="48">
        <v>0</v>
      </c>
    </row>
    <row r="1651" spans="1:5" ht="15.75" customHeight="1" x14ac:dyDescent="0.3">
      <c r="A1651" s="45" t="str">
        <f t="shared" si="6"/>
        <v>RecifeVitória da ConquistaAvião</v>
      </c>
      <c r="B1651" s="46" t="s">
        <v>31</v>
      </c>
      <c r="C1651" s="46" t="s">
        <v>62</v>
      </c>
      <c r="D1651" s="47" t="s">
        <v>49</v>
      </c>
      <c r="E1651" s="48">
        <v>0</v>
      </c>
    </row>
    <row r="1652" spans="1:5" ht="15.75" customHeight="1" x14ac:dyDescent="0.3">
      <c r="A1652" s="45" t="str">
        <f t="shared" si="6"/>
        <v>Ribeirão PretoBelémAvião</v>
      </c>
      <c r="B1652" s="46" t="s">
        <v>31</v>
      </c>
      <c r="C1652" s="47" t="s">
        <v>63</v>
      </c>
      <c r="D1652" s="47" t="s">
        <v>48</v>
      </c>
      <c r="E1652" s="48">
        <v>0</v>
      </c>
    </row>
    <row r="1653" spans="1:5" ht="15.75" customHeight="1" x14ac:dyDescent="0.3">
      <c r="A1653" s="45" t="str">
        <f t="shared" si="6"/>
        <v>Ribeirão PretoBelo HorizonteAvião</v>
      </c>
      <c r="B1653" s="46" t="s">
        <v>31</v>
      </c>
      <c r="C1653" s="47" t="s">
        <v>63</v>
      </c>
      <c r="D1653" s="47" t="s">
        <v>52</v>
      </c>
      <c r="E1653" s="48">
        <v>0</v>
      </c>
    </row>
    <row r="1654" spans="1:5" ht="15.75" customHeight="1" x14ac:dyDescent="0.3">
      <c r="A1654" s="45" t="str">
        <f t="shared" si="6"/>
        <v>Ribeirão PretoBrasíliaAvião</v>
      </c>
      <c r="B1654" s="46" t="s">
        <v>31</v>
      </c>
      <c r="C1654" s="47" t="s">
        <v>63</v>
      </c>
      <c r="D1654" s="47" t="s">
        <v>53</v>
      </c>
      <c r="E1654" s="48">
        <v>0</v>
      </c>
    </row>
    <row r="1655" spans="1:5" ht="15.75" customHeight="1" x14ac:dyDescent="0.3">
      <c r="A1655" s="45" t="str">
        <f t="shared" si="6"/>
        <v>Ribeirão PretoCampinasAvião</v>
      </c>
      <c r="B1655" s="46" t="s">
        <v>31</v>
      </c>
      <c r="C1655" s="47" t="s">
        <v>63</v>
      </c>
      <c r="D1655" s="47" t="s">
        <v>54</v>
      </c>
      <c r="E1655" s="48">
        <v>0</v>
      </c>
    </row>
    <row r="1656" spans="1:5" ht="15.75" customHeight="1" x14ac:dyDescent="0.3">
      <c r="A1656" s="45" t="str">
        <f t="shared" si="6"/>
        <v>Ribeirão PretoCampo GrandeAvião</v>
      </c>
      <c r="B1656" s="46" t="s">
        <v>31</v>
      </c>
      <c r="C1656" s="47" t="s">
        <v>63</v>
      </c>
      <c r="D1656" s="47" t="s">
        <v>55</v>
      </c>
      <c r="E1656" s="48">
        <v>0</v>
      </c>
    </row>
    <row r="1657" spans="1:5" ht="15.75" customHeight="1" x14ac:dyDescent="0.3">
      <c r="A1657" s="45" t="str">
        <f t="shared" si="6"/>
        <v>Ribeirão PretoCuiabáAvião</v>
      </c>
      <c r="B1657" s="46" t="s">
        <v>31</v>
      </c>
      <c r="C1657" s="47" t="s">
        <v>63</v>
      </c>
      <c r="D1657" s="47" t="s">
        <v>37</v>
      </c>
      <c r="E1657" s="48">
        <v>0</v>
      </c>
    </row>
    <row r="1658" spans="1:5" ht="15.75" customHeight="1" x14ac:dyDescent="0.3">
      <c r="A1658" s="45" t="str">
        <f t="shared" si="6"/>
        <v>Ribeirão PretoCuritibaAvião</v>
      </c>
      <c r="B1658" s="46" t="s">
        <v>31</v>
      </c>
      <c r="C1658" s="47" t="s">
        <v>63</v>
      </c>
      <c r="D1658" s="47" t="s">
        <v>56</v>
      </c>
      <c r="E1658" s="48">
        <v>0</v>
      </c>
    </row>
    <row r="1659" spans="1:5" ht="15.75" customHeight="1" x14ac:dyDescent="0.3">
      <c r="A1659" s="45" t="str">
        <f t="shared" si="6"/>
        <v>Ribeirão PretoFortalezaAvião</v>
      </c>
      <c r="B1659" s="46" t="s">
        <v>31</v>
      </c>
      <c r="C1659" s="47" t="s">
        <v>63</v>
      </c>
      <c r="D1659" s="47" t="s">
        <v>57</v>
      </c>
      <c r="E1659" s="48">
        <v>0</v>
      </c>
    </row>
    <row r="1660" spans="1:5" ht="15.75" customHeight="1" x14ac:dyDescent="0.3">
      <c r="A1660" s="45" t="str">
        <f t="shared" si="6"/>
        <v>Ribeirão PretoGoiâniaAvião</v>
      </c>
      <c r="B1660" s="46" t="s">
        <v>31</v>
      </c>
      <c r="C1660" s="47" t="s">
        <v>63</v>
      </c>
      <c r="D1660" s="47" t="s">
        <v>58</v>
      </c>
      <c r="E1660" s="48">
        <v>0</v>
      </c>
    </row>
    <row r="1661" spans="1:5" ht="15.75" customHeight="1" x14ac:dyDescent="0.3">
      <c r="A1661" s="45" t="str">
        <f t="shared" si="6"/>
        <v>Ribeirão PretoJoão PessoaAvião</v>
      </c>
      <c r="B1661" s="46" t="s">
        <v>31</v>
      </c>
      <c r="C1661" s="47" t="s">
        <v>63</v>
      </c>
      <c r="D1661" s="47" t="s">
        <v>59</v>
      </c>
      <c r="E1661" s="48">
        <v>0</v>
      </c>
    </row>
    <row r="1662" spans="1:5" ht="15.75" customHeight="1" x14ac:dyDescent="0.3">
      <c r="A1662" s="45" t="str">
        <f t="shared" si="6"/>
        <v>Ribeirão PretoJoinvilleAvião</v>
      </c>
      <c r="B1662" s="46" t="s">
        <v>31</v>
      </c>
      <c r="C1662" s="47" t="s">
        <v>63</v>
      </c>
      <c r="D1662" s="47" t="s">
        <v>28</v>
      </c>
      <c r="E1662" s="48">
        <v>0</v>
      </c>
    </row>
    <row r="1663" spans="1:5" ht="15.75" customHeight="1" x14ac:dyDescent="0.3">
      <c r="A1663" s="45" t="str">
        <f t="shared" si="6"/>
        <v>Ribeirão PretoMaceióAvião</v>
      </c>
      <c r="B1663" s="46" t="s">
        <v>31</v>
      </c>
      <c r="C1663" s="47" t="s">
        <v>63</v>
      </c>
      <c r="D1663" s="47" t="s">
        <v>60</v>
      </c>
      <c r="E1663" s="48">
        <v>0</v>
      </c>
    </row>
    <row r="1664" spans="1:5" ht="15.75" customHeight="1" x14ac:dyDescent="0.3">
      <c r="A1664" s="45" t="str">
        <f t="shared" si="6"/>
        <v>Ribeirão PretoManausAvião</v>
      </c>
      <c r="B1664" s="46" t="s">
        <v>31</v>
      </c>
      <c r="C1664" s="47" t="s">
        <v>63</v>
      </c>
      <c r="D1664" s="47" t="s">
        <v>23</v>
      </c>
      <c r="E1664" s="48">
        <v>0</v>
      </c>
    </row>
    <row r="1665" spans="1:5" ht="15.75" customHeight="1" x14ac:dyDescent="0.3">
      <c r="A1665" s="45" t="str">
        <f t="shared" si="6"/>
        <v>Ribeirão PretoNatalAvião</v>
      </c>
      <c r="B1665" s="46" t="s">
        <v>31</v>
      </c>
      <c r="C1665" s="47" t="s">
        <v>63</v>
      </c>
      <c r="D1665" s="47" t="s">
        <v>61</v>
      </c>
      <c r="E1665" s="48">
        <v>0</v>
      </c>
    </row>
    <row r="1666" spans="1:5" ht="15.75" customHeight="1" x14ac:dyDescent="0.3">
      <c r="A1666" s="45" t="str">
        <f t="shared" si="6"/>
        <v>Ribeirão PretoPorto AlegreAvião</v>
      </c>
      <c r="B1666" s="46" t="s">
        <v>31</v>
      </c>
      <c r="C1666" s="47" t="s">
        <v>63</v>
      </c>
      <c r="D1666" s="47" t="s">
        <v>44</v>
      </c>
      <c r="E1666" s="48">
        <v>0</v>
      </c>
    </row>
    <row r="1667" spans="1:5" ht="15.75" customHeight="1" x14ac:dyDescent="0.3">
      <c r="A1667" s="45" t="str">
        <f t="shared" si="6"/>
        <v>Ribeirão PretoRecifeAvião</v>
      </c>
      <c r="B1667" s="46" t="s">
        <v>31</v>
      </c>
      <c r="C1667" s="47" t="s">
        <v>63</v>
      </c>
      <c r="D1667" s="47" t="s">
        <v>62</v>
      </c>
      <c r="E1667" s="48">
        <v>0</v>
      </c>
    </row>
    <row r="1668" spans="1:5" ht="15.75" customHeight="1" x14ac:dyDescent="0.3">
      <c r="A1668" s="45" t="str">
        <f t="shared" si="6"/>
        <v>Ribeirão PretoRibeirão PretoAvião</v>
      </c>
      <c r="B1668" s="46" t="s">
        <v>31</v>
      </c>
      <c r="C1668" s="47" t="s">
        <v>63</v>
      </c>
      <c r="D1668" s="47" t="s">
        <v>63</v>
      </c>
      <c r="E1668" s="48">
        <v>0</v>
      </c>
    </row>
    <row r="1669" spans="1:5" ht="15.75" customHeight="1" x14ac:dyDescent="0.3">
      <c r="A1669" s="45" t="str">
        <f t="shared" si="6"/>
        <v>Ribeirão PretoRio de JaneiroAvião</v>
      </c>
      <c r="B1669" s="46" t="s">
        <v>31</v>
      </c>
      <c r="C1669" s="47" t="s">
        <v>63</v>
      </c>
      <c r="D1669" s="47" t="s">
        <v>64</v>
      </c>
      <c r="E1669" s="48">
        <v>0</v>
      </c>
    </row>
    <row r="1670" spans="1:5" ht="15.75" customHeight="1" x14ac:dyDescent="0.3">
      <c r="A1670" s="45" t="str">
        <f t="shared" si="6"/>
        <v>Ribeirão PretoSalvadorAvião</v>
      </c>
      <c r="B1670" s="46" t="s">
        <v>31</v>
      </c>
      <c r="C1670" s="47" t="s">
        <v>63</v>
      </c>
      <c r="D1670" s="47" t="s">
        <v>65</v>
      </c>
      <c r="E1670" s="48">
        <v>0</v>
      </c>
    </row>
    <row r="1671" spans="1:5" ht="15.75" customHeight="1" x14ac:dyDescent="0.3">
      <c r="A1671" s="45" t="str">
        <f t="shared" si="6"/>
        <v>Ribeirão PretoSantosAvião</v>
      </c>
      <c r="B1671" s="46" t="s">
        <v>31</v>
      </c>
      <c r="C1671" s="47" t="s">
        <v>63</v>
      </c>
      <c r="D1671" s="47" t="s">
        <v>47</v>
      </c>
      <c r="E1671" s="48">
        <v>0</v>
      </c>
    </row>
    <row r="1672" spans="1:5" ht="15.75" customHeight="1" x14ac:dyDescent="0.3">
      <c r="A1672" s="45" t="str">
        <f t="shared" si="6"/>
        <v>Ribeirão PretoSão LuísAvião</v>
      </c>
      <c r="B1672" s="46" t="s">
        <v>31</v>
      </c>
      <c r="C1672" s="47" t="s">
        <v>63</v>
      </c>
      <c r="D1672" s="47" t="s">
        <v>50</v>
      </c>
      <c r="E1672" s="48">
        <v>0</v>
      </c>
    </row>
    <row r="1673" spans="1:5" ht="15.75" customHeight="1" x14ac:dyDescent="0.3">
      <c r="A1673" s="45" t="str">
        <f t="shared" si="6"/>
        <v>Ribeirão PretoSão PauloAvião</v>
      </c>
      <c r="B1673" s="46" t="s">
        <v>31</v>
      </c>
      <c r="C1673" s="47" t="s">
        <v>63</v>
      </c>
      <c r="D1673" s="47" t="s">
        <v>66</v>
      </c>
      <c r="E1673" s="48">
        <v>0</v>
      </c>
    </row>
    <row r="1674" spans="1:5" ht="15.75" customHeight="1" x14ac:dyDescent="0.3">
      <c r="A1674" s="45" t="str">
        <f t="shared" si="6"/>
        <v>Ribeirão PretoUberlândiaAvião</v>
      </c>
      <c r="B1674" s="46" t="s">
        <v>31</v>
      </c>
      <c r="C1674" s="47" t="s">
        <v>63</v>
      </c>
      <c r="D1674" s="47" t="s">
        <v>67</v>
      </c>
      <c r="E1674" s="48">
        <v>0</v>
      </c>
    </row>
    <row r="1675" spans="1:5" ht="15.75" customHeight="1" x14ac:dyDescent="0.3">
      <c r="A1675" s="45" t="str">
        <f t="shared" si="6"/>
        <v>Ribeirão PretoVitóriaAvião</v>
      </c>
      <c r="B1675" s="46" t="s">
        <v>31</v>
      </c>
      <c r="C1675" s="47" t="s">
        <v>63</v>
      </c>
      <c r="D1675" s="47" t="s">
        <v>68</v>
      </c>
      <c r="E1675" s="48">
        <v>0</v>
      </c>
    </row>
    <row r="1676" spans="1:5" ht="15.75" customHeight="1" x14ac:dyDescent="0.3">
      <c r="A1676" s="45" t="str">
        <f t="shared" si="6"/>
        <v>Ribeirão PretoVitória da ConquistaAvião</v>
      </c>
      <c r="B1676" s="46" t="s">
        <v>31</v>
      </c>
      <c r="C1676" s="47" t="s">
        <v>63</v>
      </c>
      <c r="D1676" s="47" t="s">
        <v>49</v>
      </c>
      <c r="E1676" s="48">
        <v>0</v>
      </c>
    </row>
    <row r="1677" spans="1:5" ht="15.75" customHeight="1" x14ac:dyDescent="0.3">
      <c r="A1677" s="45" t="str">
        <f t="shared" si="6"/>
        <v>Rio de JaneiroBelémAvião</v>
      </c>
      <c r="B1677" s="46" t="s">
        <v>31</v>
      </c>
      <c r="C1677" s="46" t="s">
        <v>64</v>
      </c>
      <c r="D1677" s="47" t="s">
        <v>48</v>
      </c>
      <c r="E1677" s="48">
        <v>0</v>
      </c>
    </row>
    <row r="1678" spans="1:5" ht="15.75" customHeight="1" x14ac:dyDescent="0.3">
      <c r="A1678" s="45" t="str">
        <f t="shared" si="6"/>
        <v>Rio de JaneiroBelo HorizonteAvião</v>
      </c>
      <c r="B1678" s="46" t="s">
        <v>31</v>
      </c>
      <c r="C1678" s="46" t="s">
        <v>64</v>
      </c>
      <c r="D1678" s="47" t="s">
        <v>52</v>
      </c>
      <c r="E1678" s="48">
        <v>0</v>
      </c>
    </row>
    <row r="1679" spans="1:5" ht="15.75" customHeight="1" x14ac:dyDescent="0.3">
      <c r="A1679" s="45" t="str">
        <f t="shared" si="6"/>
        <v>Rio de JaneiroBrasíliaAvião</v>
      </c>
      <c r="B1679" s="46" t="s">
        <v>31</v>
      </c>
      <c r="C1679" s="46" t="s">
        <v>64</v>
      </c>
      <c r="D1679" s="47" t="s">
        <v>53</v>
      </c>
      <c r="E1679" s="48">
        <v>0</v>
      </c>
    </row>
    <row r="1680" spans="1:5" ht="15.75" customHeight="1" x14ac:dyDescent="0.3">
      <c r="A1680" s="45" t="str">
        <f t="shared" si="6"/>
        <v>Rio de JaneiroCampinasAvião</v>
      </c>
      <c r="B1680" s="46" t="s">
        <v>31</v>
      </c>
      <c r="C1680" s="46" t="s">
        <v>64</v>
      </c>
      <c r="D1680" s="47" t="s">
        <v>54</v>
      </c>
      <c r="E1680" s="48">
        <v>0</v>
      </c>
    </row>
    <row r="1681" spans="1:5" ht="15.75" customHeight="1" x14ac:dyDescent="0.3">
      <c r="A1681" s="45" t="str">
        <f t="shared" si="6"/>
        <v>Rio de JaneiroCampo GrandeAvião</v>
      </c>
      <c r="B1681" s="46" t="s">
        <v>31</v>
      </c>
      <c r="C1681" s="46" t="s">
        <v>64</v>
      </c>
      <c r="D1681" s="47" t="s">
        <v>55</v>
      </c>
      <c r="E1681" s="48">
        <v>0</v>
      </c>
    </row>
    <row r="1682" spans="1:5" ht="15.75" customHeight="1" x14ac:dyDescent="0.3">
      <c r="A1682" s="45" t="str">
        <f t="shared" si="6"/>
        <v>Rio de JaneiroCuiabáAvião</v>
      </c>
      <c r="B1682" s="46" t="s">
        <v>31</v>
      </c>
      <c r="C1682" s="46" t="s">
        <v>64</v>
      </c>
      <c r="D1682" s="47" t="s">
        <v>37</v>
      </c>
      <c r="E1682" s="48">
        <v>0</v>
      </c>
    </row>
    <row r="1683" spans="1:5" ht="15.75" customHeight="1" x14ac:dyDescent="0.3">
      <c r="A1683" s="45" t="str">
        <f t="shared" si="6"/>
        <v>Rio de JaneiroCuritibaAvião</v>
      </c>
      <c r="B1683" s="46" t="s">
        <v>31</v>
      </c>
      <c r="C1683" s="46" t="s">
        <v>64</v>
      </c>
      <c r="D1683" s="47" t="s">
        <v>56</v>
      </c>
      <c r="E1683" s="48">
        <v>0</v>
      </c>
    </row>
    <row r="1684" spans="1:5" ht="15.75" customHeight="1" x14ac:dyDescent="0.3">
      <c r="A1684" s="45" t="str">
        <f t="shared" si="6"/>
        <v>Rio de JaneiroFortalezaAvião</v>
      </c>
      <c r="B1684" s="46" t="s">
        <v>31</v>
      </c>
      <c r="C1684" s="46" t="s">
        <v>64</v>
      </c>
      <c r="D1684" s="47" t="s">
        <v>57</v>
      </c>
      <c r="E1684" s="48">
        <v>0</v>
      </c>
    </row>
    <row r="1685" spans="1:5" ht="15.75" customHeight="1" x14ac:dyDescent="0.3">
      <c r="A1685" s="45" t="str">
        <f t="shared" si="6"/>
        <v>Rio de JaneiroGoiâniaAvião</v>
      </c>
      <c r="B1685" s="46" t="s">
        <v>31</v>
      </c>
      <c r="C1685" s="46" t="s">
        <v>64</v>
      </c>
      <c r="D1685" s="47" t="s">
        <v>58</v>
      </c>
      <c r="E1685" s="48">
        <v>0</v>
      </c>
    </row>
    <row r="1686" spans="1:5" ht="15.75" customHeight="1" x14ac:dyDescent="0.3">
      <c r="A1686" s="45" t="str">
        <f t="shared" si="6"/>
        <v>Rio de JaneiroJoão PessoaAvião</v>
      </c>
      <c r="B1686" s="46" t="s">
        <v>31</v>
      </c>
      <c r="C1686" s="46" t="s">
        <v>64</v>
      </c>
      <c r="D1686" s="47" t="s">
        <v>59</v>
      </c>
      <c r="E1686" s="48">
        <v>0</v>
      </c>
    </row>
    <row r="1687" spans="1:5" ht="15.75" customHeight="1" x14ac:dyDescent="0.3">
      <c r="A1687" s="45" t="str">
        <f t="shared" si="6"/>
        <v>Rio de JaneiroJoinvilleAvião</v>
      </c>
      <c r="B1687" s="46" t="s">
        <v>31</v>
      </c>
      <c r="C1687" s="46" t="s">
        <v>64</v>
      </c>
      <c r="D1687" s="47" t="s">
        <v>28</v>
      </c>
      <c r="E1687" s="48">
        <v>0</v>
      </c>
    </row>
    <row r="1688" spans="1:5" ht="15.75" customHeight="1" x14ac:dyDescent="0.3">
      <c r="A1688" s="45" t="str">
        <f t="shared" si="6"/>
        <v>Rio de JaneiroMaceióAvião</v>
      </c>
      <c r="B1688" s="46" t="s">
        <v>31</v>
      </c>
      <c r="C1688" s="46" t="s">
        <v>64</v>
      </c>
      <c r="D1688" s="47" t="s">
        <v>60</v>
      </c>
      <c r="E1688" s="48">
        <v>0</v>
      </c>
    </row>
    <row r="1689" spans="1:5" ht="15.75" customHeight="1" x14ac:dyDescent="0.3">
      <c r="A1689" s="45" t="str">
        <f t="shared" si="6"/>
        <v>Rio de JaneiroManausAvião</v>
      </c>
      <c r="B1689" s="46" t="s">
        <v>31</v>
      </c>
      <c r="C1689" s="46" t="s">
        <v>64</v>
      </c>
      <c r="D1689" s="47" t="s">
        <v>23</v>
      </c>
      <c r="E1689" s="48">
        <v>0</v>
      </c>
    </row>
    <row r="1690" spans="1:5" ht="15.75" customHeight="1" x14ac:dyDescent="0.3">
      <c r="A1690" s="45" t="str">
        <f t="shared" si="6"/>
        <v>Rio de JaneiroNatalAvião</v>
      </c>
      <c r="B1690" s="46" t="s">
        <v>31</v>
      </c>
      <c r="C1690" s="46" t="s">
        <v>64</v>
      </c>
      <c r="D1690" s="47" t="s">
        <v>61</v>
      </c>
      <c r="E1690" s="48">
        <v>0</v>
      </c>
    </row>
    <row r="1691" spans="1:5" ht="15.75" customHeight="1" x14ac:dyDescent="0.3">
      <c r="A1691" s="45" t="str">
        <f t="shared" si="6"/>
        <v>Rio de JaneiroPorto AlegreAvião</v>
      </c>
      <c r="B1691" s="46" t="s">
        <v>31</v>
      </c>
      <c r="C1691" s="46" t="s">
        <v>64</v>
      </c>
      <c r="D1691" s="47" t="s">
        <v>44</v>
      </c>
      <c r="E1691" s="48">
        <v>0</v>
      </c>
    </row>
    <row r="1692" spans="1:5" ht="15.75" customHeight="1" x14ac:dyDescent="0.3">
      <c r="A1692" s="45" t="str">
        <f t="shared" si="6"/>
        <v>Rio de JaneiroRecifeAvião</v>
      </c>
      <c r="B1692" s="46" t="s">
        <v>31</v>
      </c>
      <c r="C1692" s="46" t="s">
        <v>64</v>
      </c>
      <c r="D1692" s="47" t="s">
        <v>62</v>
      </c>
      <c r="E1692" s="48">
        <v>0</v>
      </c>
    </row>
    <row r="1693" spans="1:5" ht="15.75" customHeight="1" x14ac:dyDescent="0.3">
      <c r="A1693" s="45" t="str">
        <f t="shared" si="6"/>
        <v>Rio de JaneiroRibeirão PretoAvião</v>
      </c>
      <c r="B1693" s="46" t="s">
        <v>31</v>
      </c>
      <c r="C1693" s="46" t="s">
        <v>64</v>
      </c>
      <c r="D1693" s="47" t="s">
        <v>63</v>
      </c>
      <c r="E1693" s="48">
        <v>0</v>
      </c>
    </row>
    <row r="1694" spans="1:5" ht="15.75" customHeight="1" x14ac:dyDescent="0.3">
      <c r="A1694" s="45" t="str">
        <f t="shared" si="6"/>
        <v>Rio de JaneiroRio de JaneiroAvião</v>
      </c>
      <c r="B1694" s="46" t="s">
        <v>31</v>
      </c>
      <c r="C1694" s="46" t="s">
        <v>64</v>
      </c>
      <c r="D1694" s="47" t="s">
        <v>64</v>
      </c>
      <c r="E1694" s="48">
        <v>0</v>
      </c>
    </row>
    <row r="1695" spans="1:5" ht="15.75" customHeight="1" x14ac:dyDescent="0.3">
      <c r="A1695" s="45" t="str">
        <f t="shared" si="6"/>
        <v>Rio de JaneiroSalvadorAvião</v>
      </c>
      <c r="B1695" s="46" t="s">
        <v>31</v>
      </c>
      <c r="C1695" s="46" t="s">
        <v>64</v>
      </c>
      <c r="D1695" s="47" t="s">
        <v>65</v>
      </c>
      <c r="E1695" s="48">
        <v>0</v>
      </c>
    </row>
    <row r="1696" spans="1:5" ht="15.75" customHeight="1" x14ac:dyDescent="0.3">
      <c r="A1696" s="45" t="str">
        <f t="shared" si="6"/>
        <v>Rio de JaneiroSantosAvião</v>
      </c>
      <c r="B1696" s="46" t="s">
        <v>31</v>
      </c>
      <c r="C1696" s="46" t="s">
        <v>64</v>
      </c>
      <c r="D1696" s="47" t="s">
        <v>47</v>
      </c>
      <c r="E1696" s="48">
        <v>0</v>
      </c>
    </row>
    <row r="1697" spans="1:5" ht="15.75" customHeight="1" x14ac:dyDescent="0.3">
      <c r="A1697" s="45" t="str">
        <f t="shared" si="6"/>
        <v>Rio de JaneiroSão LuísAvião</v>
      </c>
      <c r="B1697" s="46" t="s">
        <v>31</v>
      </c>
      <c r="C1697" s="46" t="s">
        <v>64</v>
      </c>
      <c r="D1697" s="47" t="s">
        <v>50</v>
      </c>
      <c r="E1697" s="48">
        <v>0</v>
      </c>
    </row>
    <row r="1698" spans="1:5" ht="15.75" customHeight="1" x14ac:dyDescent="0.3">
      <c r="A1698" s="45" t="str">
        <f t="shared" si="6"/>
        <v>Rio de JaneiroSão PauloAvião</v>
      </c>
      <c r="B1698" s="46" t="s">
        <v>31</v>
      </c>
      <c r="C1698" s="46" t="s">
        <v>64</v>
      </c>
      <c r="D1698" s="47" t="s">
        <v>66</v>
      </c>
      <c r="E1698" s="48">
        <v>0</v>
      </c>
    </row>
    <row r="1699" spans="1:5" ht="15.75" customHeight="1" x14ac:dyDescent="0.3">
      <c r="A1699" s="45" t="str">
        <f t="shared" si="6"/>
        <v>Rio de JaneiroUberlândiaAvião</v>
      </c>
      <c r="B1699" s="46" t="s">
        <v>31</v>
      </c>
      <c r="C1699" s="46" t="s">
        <v>64</v>
      </c>
      <c r="D1699" s="47" t="s">
        <v>67</v>
      </c>
      <c r="E1699" s="48">
        <v>0</v>
      </c>
    </row>
    <row r="1700" spans="1:5" ht="15.75" customHeight="1" x14ac:dyDescent="0.3">
      <c r="A1700" s="45" t="str">
        <f t="shared" si="6"/>
        <v>Rio de JaneiroVitóriaAvião</v>
      </c>
      <c r="B1700" s="46" t="s">
        <v>31</v>
      </c>
      <c r="C1700" s="46" t="s">
        <v>64</v>
      </c>
      <c r="D1700" s="47" t="s">
        <v>68</v>
      </c>
      <c r="E1700" s="48">
        <v>0</v>
      </c>
    </row>
    <row r="1701" spans="1:5" ht="15.75" customHeight="1" x14ac:dyDescent="0.3">
      <c r="A1701" s="45" t="str">
        <f t="shared" si="6"/>
        <v>Rio de JaneiroVitória da ConquistaAvião</v>
      </c>
      <c r="B1701" s="46" t="s">
        <v>31</v>
      </c>
      <c r="C1701" s="46" t="s">
        <v>64</v>
      </c>
      <c r="D1701" s="47" t="s">
        <v>49</v>
      </c>
      <c r="E1701" s="48">
        <v>0</v>
      </c>
    </row>
    <row r="1702" spans="1:5" ht="15.75" customHeight="1" x14ac:dyDescent="0.3">
      <c r="A1702" s="45" t="str">
        <f t="shared" si="6"/>
        <v>SalvadorBelémAvião</v>
      </c>
      <c r="B1702" s="46" t="s">
        <v>31</v>
      </c>
      <c r="C1702" s="46" t="s">
        <v>65</v>
      </c>
      <c r="D1702" s="47" t="s">
        <v>48</v>
      </c>
      <c r="E1702" s="48">
        <v>0</v>
      </c>
    </row>
    <row r="1703" spans="1:5" ht="15.75" customHeight="1" x14ac:dyDescent="0.3">
      <c r="A1703" s="45" t="str">
        <f t="shared" si="6"/>
        <v>SalvadorBelo HorizonteAvião</v>
      </c>
      <c r="B1703" s="46" t="s">
        <v>31</v>
      </c>
      <c r="C1703" s="46" t="s">
        <v>65</v>
      </c>
      <c r="D1703" s="47" t="s">
        <v>52</v>
      </c>
      <c r="E1703" s="48">
        <v>0</v>
      </c>
    </row>
    <row r="1704" spans="1:5" ht="15.75" customHeight="1" x14ac:dyDescent="0.3">
      <c r="A1704" s="45" t="str">
        <f t="shared" si="6"/>
        <v>SalvadorBrasíliaAvião</v>
      </c>
      <c r="B1704" s="46" t="s">
        <v>31</v>
      </c>
      <c r="C1704" s="46" t="s">
        <v>65</v>
      </c>
      <c r="D1704" s="47" t="s">
        <v>53</v>
      </c>
      <c r="E1704" s="48">
        <v>0</v>
      </c>
    </row>
    <row r="1705" spans="1:5" ht="15.75" customHeight="1" x14ac:dyDescent="0.3">
      <c r="A1705" s="45" t="str">
        <f t="shared" si="6"/>
        <v>SalvadorCampinasAvião</v>
      </c>
      <c r="B1705" s="46" t="s">
        <v>31</v>
      </c>
      <c r="C1705" s="46" t="s">
        <v>65</v>
      </c>
      <c r="D1705" s="47" t="s">
        <v>54</v>
      </c>
      <c r="E1705" s="48">
        <v>0</v>
      </c>
    </row>
    <row r="1706" spans="1:5" ht="15.75" customHeight="1" x14ac:dyDescent="0.3">
      <c r="A1706" s="45" t="str">
        <f t="shared" si="6"/>
        <v>SalvadorCampo GrandeAvião</v>
      </c>
      <c r="B1706" s="46" t="s">
        <v>31</v>
      </c>
      <c r="C1706" s="46" t="s">
        <v>65</v>
      </c>
      <c r="D1706" s="47" t="s">
        <v>55</v>
      </c>
      <c r="E1706" s="48">
        <v>0</v>
      </c>
    </row>
    <row r="1707" spans="1:5" ht="15.75" customHeight="1" x14ac:dyDescent="0.3">
      <c r="A1707" s="45" t="str">
        <f t="shared" si="6"/>
        <v>SalvadorCuiabáAvião</v>
      </c>
      <c r="B1707" s="46" t="s">
        <v>31</v>
      </c>
      <c r="C1707" s="46" t="s">
        <v>65</v>
      </c>
      <c r="D1707" s="47" t="s">
        <v>37</v>
      </c>
      <c r="E1707" s="48">
        <v>0</v>
      </c>
    </row>
    <row r="1708" spans="1:5" ht="15.75" customHeight="1" x14ac:dyDescent="0.3">
      <c r="A1708" s="45" t="str">
        <f t="shared" si="6"/>
        <v>SalvadorCuritibaAvião</v>
      </c>
      <c r="B1708" s="46" t="s">
        <v>31</v>
      </c>
      <c r="C1708" s="46" t="s">
        <v>65</v>
      </c>
      <c r="D1708" s="47" t="s">
        <v>56</v>
      </c>
      <c r="E1708" s="48">
        <v>0</v>
      </c>
    </row>
    <row r="1709" spans="1:5" ht="15.75" customHeight="1" x14ac:dyDescent="0.3">
      <c r="A1709" s="45" t="str">
        <f t="shared" si="6"/>
        <v>SalvadorFortalezaAvião</v>
      </c>
      <c r="B1709" s="46" t="s">
        <v>31</v>
      </c>
      <c r="C1709" s="46" t="s">
        <v>65</v>
      </c>
      <c r="D1709" s="47" t="s">
        <v>57</v>
      </c>
      <c r="E1709" s="48">
        <v>0</v>
      </c>
    </row>
    <row r="1710" spans="1:5" ht="15.75" customHeight="1" x14ac:dyDescent="0.3">
      <c r="A1710" s="45" t="str">
        <f t="shared" si="6"/>
        <v>SalvadorGoiâniaAvião</v>
      </c>
      <c r="B1710" s="46" t="s">
        <v>31</v>
      </c>
      <c r="C1710" s="46" t="s">
        <v>65</v>
      </c>
      <c r="D1710" s="47" t="s">
        <v>58</v>
      </c>
      <c r="E1710" s="48">
        <v>0</v>
      </c>
    </row>
    <row r="1711" spans="1:5" ht="15.75" customHeight="1" x14ac:dyDescent="0.3">
      <c r="A1711" s="45" t="str">
        <f t="shared" si="6"/>
        <v>SalvadorJoão PessoaAvião</v>
      </c>
      <c r="B1711" s="46" t="s">
        <v>31</v>
      </c>
      <c r="C1711" s="46" t="s">
        <v>65</v>
      </c>
      <c r="D1711" s="47" t="s">
        <v>59</v>
      </c>
      <c r="E1711" s="48">
        <v>0</v>
      </c>
    </row>
    <row r="1712" spans="1:5" ht="15.75" customHeight="1" x14ac:dyDescent="0.3">
      <c r="A1712" s="45" t="str">
        <f t="shared" si="6"/>
        <v>SalvadorJoinvilleAvião</v>
      </c>
      <c r="B1712" s="46" t="s">
        <v>31</v>
      </c>
      <c r="C1712" s="46" t="s">
        <v>65</v>
      </c>
      <c r="D1712" s="47" t="s">
        <v>28</v>
      </c>
      <c r="E1712" s="48">
        <v>0</v>
      </c>
    </row>
    <row r="1713" spans="1:5" ht="15.75" customHeight="1" x14ac:dyDescent="0.3">
      <c r="A1713" s="45" t="str">
        <f t="shared" si="6"/>
        <v>SalvadorMaceióAvião</v>
      </c>
      <c r="B1713" s="46" t="s">
        <v>31</v>
      </c>
      <c r="C1713" s="46" t="s">
        <v>65</v>
      </c>
      <c r="D1713" s="47" t="s">
        <v>60</v>
      </c>
      <c r="E1713" s="48">
        <v>0</v>
      </c>
    </row>
    <row r="1714" spans="1:5" ht="15.75" customHeight="1" x14ac:dyDescent="0.3">
      <c r="A1714" s="45" t="str">
        <f t="shared" si="6"/>
        <v>SalvadorManausAvião</v>
      </c>
      <c r="B1714" s="46" t="s">
        <v>31</v>
      </c>
      <c r="C1714" s="46" t="s">
        <v>65</v>
      </c>
      <c r="D1714" s="47" t="s">
        <v>23</v>
      </c>
      <c r="E1714" s="48">
        <v>0</v>
      </c>
    </row>
    <row r="1715" spans="1:5" ht="15.75" customHeight="1" x14ac:dyDescent="0.3">
      <c r="A1715" s="45" t="str">
        <f t="shared" si="6"/>
        <v>SalvadorNatalAvião</v>
      </c>
      <c r="B1715" s="46" t="s">
        <v>31</v>
      </c>
      <c r="C1715" s="46" t="s">
        <v>65</v>
      </c>
      <c r="D1715" s="47" t="s">
        <v>61</v>
      </c>
      <c r="E1715" s="48">
        <v>0</v>
      </c>
    </row>
    <row r="1716" spans="1:5" ht="15.75" customHeight="1" x14ac:dyDescent="0.3">
      <c r="A1716" s="45" t="str">
        <f t="shared" si="6"/>
        <v>SalvadorPorto AlegreAvião</v>
      </c>
      <c r="B1716" s="46" t="s">
        <v>31</v>
      </c>
      <c r="C1716" s="46" t="s">
        <v>65</v>
      </c>
      <c r="D1716" s="47" t="s">
        <v>44</v>
      </c>
      <c r="E1716" s="48">
        <v>0</v>
      </c>
    </row>
    <row r="1717" spans="1:5" ht="15.75" customHeight="1" x14ac:dyDescent="0.3">
      <c r="A1717" s="45" t="str">
        <f t="shared" si="6"/>
        <v>SalvadorRecifeAvião</v>
      </c>
      <c r="B1717" s="46" t="s">
        <v>31</v>
      </c>
      <c r="C1717" s="46" t="s">
        <v>65</v>
      </c>
      <c r="D1717" s="47" t="s">
        <v>62</v>
      </c>
      <c r="E1717" s="48">
        <v>0</v>
      </c>
    </row>
    <row r="1718" spans="1:5" ht="15.75" customHeight="1" x14ac:dyDescent="0.3">
      <c r="A1718" s="45" t="str">
        <f t="shared" si="6"/>
        <v>SalvadorRibeirão PretoAvião</v>
      </c>
      <c r="B1718" s="46" t="s">
        <v>31</v>
      </c>
      <c r="C1718" s="46" t="s">
        <v>65</v>
      </c>
      <c r="D1718" s="47" t="s">
        <v>63</v>
      </c>
      <c r="E1718" s="48">
        <v>0</v>
      </c>
    </row>
    <row r="1719" spans="1:5" ht="15.75" customHeight="1" x14ac:dyDescent="0.3">
      <c r="A1719" s="45" t="str">
        <f t="shared" si="6"/>
        <v>SalvadorRio de JaneiroAvião</v>
      </c>
      <c r="B1719" s="46" t="s">
        <v>31</v>
      </c>
      <c r="C1719" s="46" t="s">
        <v>65</v>
      </c>
      <c r="D1719" s="47" t="s">
        <v>64</v>
      </c>
      <c r="E1719" s="48">
        <v>0</v>
      </c>
    </row>
    <row r="1720" spans="1:5" ht="15.75" customHeight="1" x14ac:dyDescent="0.3">
      <c r="A1720" s="45" t="str">
        <f t="shared" si="6"/>
        <v>SalvadorSalvadorAvião</v>
      </c>
      <c r="B1720" s="46" t="s">
        <v>31</v>
      </c>
      <c r="C1720" s="46" t="s">
        <v>65</v>
      </c>
      <c r="D1720" s="47" t="s">
        <v>65</v>
      </c>
      <c r="E1720" s="48">
        <v>0</v>
      </c>
    </row>
    <row r="1721" spans="1:5" ht="15.75" customHeight="1" x14ac:dyDescent="0.3">
      <c r="A1721" s="45" t="str">
        <f t="shared" si="6"/>
        <v>SalvadorSantosAvião</v>
      </c>
      <c r="B1721" s="46" t="s">
        <v>31</v>
      </c>
      <c r="C1721" s="46" t="s">
        <v>65</v>
      </c>
      <c r="D1721" s="47" t="s">
        <v>47</v>
      </c>
      <c r="E1721" s="48">
        <v>0</v>
      </c>
    </row>
    <row r="1722" spans="1:5" ht="15.75" customHeight="1" x14ac:dyDescent="0.3">
      <c r="A1722" s="45" t="str">
        <f t="shared" si="6"/>
        <v>SalvadorSão LuísAvião</v>
      </c>
      <c r="B1722" s="46" t="s">
        <v>31</v>
      </c>
      <c r="C1722" s="46" t="s">
        <v>65</v>
      </c>
      <c r="D1722" s="47" t="s">
        <v>50</v>
      </c>
      <c r="E1722" s="48">
        <v>0</v>
      </c>
    </row>
    <row r="1723" spans="1:5" ht="15.75" customHeight="1" x14ac:dyDescent="0.3">
      <c r="A1723" s="45" t="str">
        <f t="shared" si="6"/>
        <v>SalvadorSão PauloAvião</v>
      </c>
      <c r="B1723" s="46" t="s">
        <v>31</v>
      </c>
      <c r="C1723" s="46" t="s">
        <v>65</v>
      </c>
      <c r="D1723" s="47" t="s">
        <v>66</v>
      </c>
      <c r="E1723" s="48">
        <v>0</v>
      </c>
    </row>
    <row r="1724" spans="1:5" ht="15.75" customHeight="1" x14ac:dyDescent="0.3">
      <c r="A1724" s="45" t="str">
        <f t="shared" si="6"/>
        <v>SalvadorUberlândiaAvião</v>
      </c>
      <c r="B1724" s="46" t="s">
        <v>31</v>
      </c>
      <c r="C1724" s="46" t="s">
        <v>65</v>
      </c>
      <c r="D1724" s="47" t="s">
        <v>67</v>
      </c>
      <c r="E1724" s="48">
        <v>0</v>
      </c>
    </row>
    <row r="1725" spans="1:5" ht="15.75" customHeight="1" x14ac:dyDescent="0.3">
      <c r="A1725" s="45" t="str">
        <f t="shared" si="6"/>
        <v>SalvadorVitóriaAvião</v>
      </c>
      <c r="B1725" s="46" t="s">
        <v>31</v>
      </c>
      <c r="C1725" s="46" t="s">
        <v>65</v>
      </c>
      <c r="D1725" s="47" t="s">
        <v>68</v>
      </c>
      <c r="E1725" s="48">
        <v>0</v>
      </c>
    </row>
    <row r="1726" spans="1:5" ht="15.75" customHeight="1" x14ac:dyDescent="0.3">
      <c r="A1726" s="45" t="str">
        <f t="shared" si="6"/>
        <v>SalvadorVitória da ConquistaAvião</v>
      </c>
      <c r="B1726" s="46" t="s">
        <v>31</v>
      </c>
      <c r="C1726" s="46" t="s">
        <v>65</v>
      </c>
      <c r="D1726" s="47" t="s">
        <v>49</v>
      </c>
      <c r="E1726" s="48">
        <v>0</v>
      </c>
    </row>
    <row r="1727" spans="1:5" ht="15.75" customHeight="1" x14ac:dyDescent="0.3">
      <c r="A1727" s="45" t="str">
        <f t="shared" si="6"/>
        <v>SantosBelémAvião</v>
      </c>
      <c r="B1727" s="46" t="s">
        <v>31</v>
      </c>
      <c r="C1727" s="46" t="s">
        <v>47</v>
      </c>
      <c r="D1727" s="47" t="s">
        <v>48</v>
      </c>
      <c r="E1727" s="48">
        <v>0</v>
      </c>
    </row>
    <row r="1728" spans="1:5" ht="15.75" customHeight="1" x14ac:dyDescent="0.3">
      <c r="A1728" s="45" t="str">
        <f t="shared" si="6"/>
        <v>SantosBelo HorizonteAvião</v>
      </c>
      <c r="B1728" s="46" t="s">
        <v>31</v>
      </c>
      <c r="C1728" s="46" t="s">
        <v>47</v>
      </c>
      <c r="D1728" s="47" t="s">
        <v>52</v>
      </c>
      <c r="E1728" s="48">
        <v>0</v>
      </c>
    </row>
    <row r="1729" spans="1:5" ht="15.75" customHeight="1" x14ac:dyDescent="0.3">
      <c r="A1729" s="45" t="str">
        <f t="shared" si="6"/>
        <v>SantosBrasíliaAvião</v>
      </c>
      <c r="B1729" s="46" t="s">
        <v>31</v>
      </c>
      <c r="C1729" s="46" t="s">
        <v>47</v>
      </c>
      <c r="D1729" s="47" t="s">
        <v>53</v>
      </c>
      <c r="E1729" s="48">
        <v>0</v>
      </c>
    </row>
    <row r="1730" spans="1:5" ht="15.75" customHeight="1" x14ac:dyDescent="0.3">
      <c r="A1730" s="45" t="str">
        <f t="shared" si="6"/>
        <v>SantosCampinasAvião</v>
      </c>
      <c r="B1730" s="46" t="s">
        <v>31</v>
      </c>
      <c r="C1730" s="46" t="s">
        <v>47</v>
      </c>
      <c r="D1730" s="47" t="s">
        <v>54</v>
      </c>
      <c r="E1730" s="48">
        <v>0</v>
      </c>
    </row>
    <row r="1731" spans="1:5" ht="15.75" customHeight="1" x14ac:dyDescent="0.3">
      <c r="A1731" s="45" t="str">
        <f t="shared" si="6"/>
        <v>SantosCampo GrandeAvião</v>
      </c>
      <c r="B1731" s="46" t="s">
        <v>31</v>
      </c>
      <c r="C1731" s="46" t="s">
        <v>47</v>
      </c>
      <c r="D1731" s="47" t="s">
        <v>55</v>
      </c>
      <c r="E1731" s="48">
        <v>0</v>
      </c>
    </row>
    <row r="1732" spans="1:5" ht="15.75" customHeight="1" x14ac:dyDescent="0.3">
      <c r="A1732" s="45" t="str">
        <f t="shared" si="6"/>
        <v>SantosCuiabáAvião</v>
      </c>
      <c r="B1732" s="46" t="s">
        <v>31</v>
      </c>
      <c r="C1732" s="46" t="s">
        <v>47</v>
      </c>
      <c r="D1732" s="47" t="s">
        <v>37</v>
      </c>
      <c r="E1732" s="48">
        <v>0</v>
      </c>
    </row>
    <row r="1733" spans="1:5" ht="15.75" customHeight="1" x14ac:dyDescent="0.3">
      <c r="A1733" s="45" t="str">
        <f t="shared" si="6"/>
        <v>SantosCuritibaAvião</v>
      </c>
      <c r="B1733" s="46" t="s">
        <v>31</v>
      </c>
      <c r="C1733" s="46" t="s">
        <v>47</v>
      </c>
      <c r="D1733" s="47" t="s">
        <v>56</v>
      </c>
      <c r="E1733" s="48">
        <v>0</v>
      </c>
    </row>
    <row r="1734" spans="1:5" ht="15.75" customHeight="1" x14ac:dyDescent="0.3">
      <c r="A1734" s="45" t="str">
        <f t="shared" si="6"/>
        <v>SantosFortalezaAvião</v>
      </c>
      <c r="B1734" s="46" t="s">
        <v>31</v>
      </c>
      <c r="C1734" s="46" t="s">
        <v>47</v>
      </c>
      <c r="D1734" s="47" t="s">
        <v>57</v>
      </c>
      <c r="E1734" s="48">
        <v>0</v>
      </c>
    </row>
    <row r="1735" spans="1:5" ht="15.75" customHeight="1" x14ac:dyDescent="0.3">
      <c r="A1735" s="45" t="str">
        <f t="shared" si="6"/>
        <v>SantosGoiâniaAvião</v>
      </c>
      <c r="B1735" s="46" t="s">
        <v>31</v>
      </c>
      <c r="C1735" s="46" t="s">
        <v>47</v>
      </c>
      <c r="D1735" s="47" t="s">
        <v>58</v>
      </c>
      <c r="E1735" s="48">
        <v>0</v>
      </c>
    </row>
    <row r="1736" spans="1:5" ht="15.75" customHeight="1" x14ac:dyDescent="0.3">
      <c r="A1736" s="45" t="str">
        <f t="shared" si="6"/>
        <v>SantosJoão PessoaAvião</v>
      </c>
      <c r="B1736" s="46" t="s">
        <v>31</v>
      </c>
      <c r="C1736" s="46" t="s">
        <v>47</v>
      </c>
      <c r="D1736" s="47" t="s">
        <v>59</v>
      </c>
      <c r="E1736" s="48">
        <v>0</v>
      </c>
    </row>
    <row r="1737" spans="1:5" ht="15.75" customHeight="1" x14ac:dyDescent="0.3">
      <c r="A1737" s="45" t="str">
        <f t="shared" si="6"/>
        <v>SantosJoinvilleAvião</v>
      </c>
      <c r="B1737" s="46" t="s">
        <v>31</v>
      </c>
      <c r="C1737" s="46" t="s">
        <v>47</v>
      </c>
      <c r="D1737" s="47" t="s">
        <v>28</v>
      </c>
      <c r="E1737" s="48">
        <v>0</v>
      </c>
    </row>
    <row r="1738" spans="1:5" ht="15.75" customHeight="1" x14ac:dyDescent="0.3">
      <c r="A1738" s="45" t="str">
        <f t="shared" si="6"/>
        <v>SantosMaceióAvião</v>
      </c>
      <c r="B1738" s="46" t="s">
        <v>31</v>
      </c>
      <c r="C1738" s="46" t="s">
        <v>47</v>
      </c>
      <c r="D1738" s="47" t="s">
        <v>60</v>
      </c>
      <c r="E1738" s="48">
        <v>0</v>
      </c>
    </row>
    <row r="1739" spans="1:5" ht="15.75" customHeight="1" x14ac:dyDescent="0.3">
      <c r="A1739" s="45" t="str">
        <f t="shared" si="6"/>
        <v>SantosManausAvião</v>
      </c>
      <c r="B1739" s="46" t="s">
        <v>31</v>
      </c>
      <c r="C1739" s="46" t="s">
        <v>47</v>
      </c>
      <c r="D1739" s="47" t="s">
        <v>23</v>
      </c>
      <c r="E1739" s="48">
        <v>0</v>
      </c>
    </row>
    <row r="1740" spans="1:5" ht="15.75" customHeight="1" x14ac:dyDescent="0.3">
      <c r="A1740" s="45" t="str">
        <f t="shared" si="6"/>
        <v>SantosNatalAvião</v>
      </c>
      <c r="B1740" s="46" t="s">
        <v>31</v>
      </c>
      <c r="C1740" s="46" t="s">
        <v>47</v>
      </c>
      <c r="D1740" s="47" t="s">
        <v>61</v>
      </c>
      <c r="E1740" s="48">
        <v>0</v>
      </c>
    </row>
    <row r="1741" spans="1:5" ht="15.75" customHeight="1" x14ac:dyDescent="0.3">
      <c r="A1741" s="45" t="str">
        <f t="shared" si="6"/>
        <v>SantosPorto AlegreAvião</v>
      </c>
      <c r="B1741" s="46" t="s">
        <v>31</v>
      </c>
      <c r="C1741" s="46" t="s">
        <v>47</v>
      </c>
      <c r="D1741" s="47" t="s">
        <v>44</v>
      </c>
      <c r="E1741" s="48">
        <v>0</v>
      </c>
    </row>
    <row r="1742" spans="1:5" ht="15.75" customHeight="1" x14ac:dyDescent="0.3">
      <c r="A1742" s="45" t="str">
        <f t="shared" si="6"/>
        <v>SantosRecifeAvião</v>
      </c>
      <c r="B1742" s="46" t="s">
        <v>31</v>
      </c>
      <c r="C1742" s="46" t="s">
        <v>47</v>
      </c>
      <c r="D1742" s="47" t="s">
        <v>62</v>
      </c>
      <c r="E1742" s="48">
        <v>0</v>
      </c>
    </row>
    <row r="1743" spans="1:5" ht="15.75" customHeight="1" x14ac:dyDescent="0.3">
      <c r="A1743" s="45" t="str">
        <f t="shared" si="6"/>
        <v>SantosRibeirão PretoAvião</v>
      </c>
      <c r="B1743" s="46" t="s">
        <v>31</v>
      </c>
      <c r="C1743" s="46" t="s">
        <v>47</v>
      </c>
      <c r="D1743" s="47" t="s">
        <v>63</v>
      </c>
      <c r="E1743" s="48">
        <v>0</v>
      </c>
    </row>
    <row r="1744" spans="1:5" ht="15.75" customHeight="1" x14ac:dyDescent="0.3">
      <c r="A1744" s="45" t="str">
        <f t="shared" si="6"/>
        <v>SantosRio de JaneiroAvião</v>
      </c>
      <c r="B1744" s="46" t="s">
        <v>31</v>
      </c>
      <c r="C1744" s="46" t="s">
        <v>47</v>
      </c>
      <c r="D1744" s="47" t="s">
        <v>64</v>
      </c>
      <c r="E1744" s="48">
        <v>0</v>
      </c>
    </row>
    <row r="1745" spans="1:5" ht="15.75" customHeight="1" x14ac:dyDescent="0.3">
      <c r="A1745" s="45" t="str">
        <f t="shared" si="6"/>
        <v>SantosSalvadorAvião</v>
      </c>
      <c r="B1745" s="46" t="s">
        <v>31</v>
      </c>
      <c r="C1745" s="46" t="s">
        <v>47</v>
      </c>
      <c r="D1745" s="47" t="s">
        <v>65</v>
      </c>
      <c r="E1745" s="48">
        <v>0</v>
      </c>
    </row>
    <row r="1746" spans="1:5" ht="15.75" customHeight="1" x14ac:dyDescent="0.3">
      <c r="A1746" s="45" t="str">
        <f t="shared" si="6"/>
        <v>SantosSantosAvião</v>
      </c>
      <c r="B1746" s="46" t="s">
        <v>31</v>
      </c>
      <c r="C1746" s="46" t="s">
        <v>47</v>
      </c>
      <c r="D1746" s="47" t="s">
        <v>47</v>
      </c>
      <c r="E1746" s="48">
        <v>0</v>
      </c>
    </row>
    <row r="1747" spans="1:5" ht="15.75" customHeight="1" x14ac:dyDescent="0.3">
      <c r="A1747" s="45" t="str">
        <f t="shared" si="6"/>
        <v>SantosSão LuísAvião</v>
      </c>
      <c r="B1747" s="46" t="s">
        <v>31</v>
      </c>
      <c r="C1747" s="46" t="s">
        <v>47</v>
      </c>
      <c r="D1747" s="47" t="s">
        <v>50</v>
      </c>
      <c r="E1747" s="48">
        <v>0</v>
      </c>
    </row>
    <row r="1748" spans="1:5" ht="15.75" customHeight="1" x14ac:dyDescent="0.3">
      <c r="A1748" s="45" t="str">
        <f t="shared" si="6"/>
        <v>SantosSão PauloAvião</v>
      </c>
      <c r="B1748" s="46" t="s">
        <v>31</v>
      </c>
      <c r="C1748" s="46" t="s">
        <v>47</v>
      </c>
      <c r="D1748" s="47" t="s">
        <v>66</v>
      </c>
      <c r="E1748" s="48">
        <v>0</v>
      </c>
    </row>
    <row r="1749" spans="1:5" ht="15.75" customHeight="1" x14ac:dyDescent="0.3">
      <c r="A1749" s="45" t="str">
        <f t="shared" si="6"/>
        <v>SantosUberlândiaAvião</v>
      </c>
      <c r="B1749" s="46" t="s">
        <v>31</v>
      </c>
      <c r="C1749" s="46" t="s">
        <v>47</v>
      </c>
      <c r="D1749" s="47" t="s">
        <v>67</v>
      </c>
      <c r="E1749" s="48">
        <v>0</v>
      </c>
    </row>
    <row r="1750" spans="1:5" ht="15.75" customHeight="1" x14ac:dyDescent="0.3">
      <c r="A1750" s="45" t="str">
        <f t="shared" si="6"/>
        <v>SantosVitóriaAvião</v>
      </c>
      <c r="B1750" s="46" t="s">
        <v>31</v>
      </c>
      <c r="C1750" s="46" t="s">
        <v>47</v>
      </c>
      <c r="D1750" s="47" t="s">
        <v>68</v>
      </c>
      <c r="E1750" s="48">
        <v>0</v>
      </c>
    </row>
    <row r="1751" spans="1:5" ht="15.75" customHeight="1" x14ac:dyDescent="0.3">
      <c r="A1751" s="45" t="str">
        <f t="shared" si="6"/>
        <v>SantosVitória da ConquistaAvião</v>
      </c>
      <c r="B1751" s="46" t="s">
        <v>31</v>
      </c>
      <c r="C1751" s="46" t="s">
        <v>47</v>
      </c>
      <c r="D1751" s="47" t="s">
        <v>49</v>
      </c>
      <c r="E1751" s="48">
        <v>0</v>
      </c>
    </row>
    <row r="1752" spans="1:5" ht="15.75" customHeight="1" x14ac:dyDescent="0.3">
      <c r="A1752" s="45" t="str">
        <f t="shared" si="6"/>
        <v>São LuísBelémAvião</v>
      </c>
      <c r="B1752" s="46" t="s">
        <v>31</v>
      </c>
      <c r="C1752" s="47" t="s">
        <v>50</v>
      </c>
      <c r="D1752" s="47" t="s">
        <v>48</v>
      </c>
      <c r="E1752" s="48">
        <v>0</v>
      </c>
    </row>
    <row r="1753" spans="1:5" ht="15.75" customHeight="1" x14ac:dyDescent="0.3">
      <c r="A1753" s="45" t="str">
        <f t="shared" si="6"/>
        <v>São LuísBelo HorizonteAvião</v>
      </c>
      <c r="B1753" s="46" t="s">
        <v>31</v>
      </c>
      <c r="C1753" s="47" t="s">
        <v>50</v>
      </c>
      <c r="D1753" s="47" t="s">
        <v>52</v>
      </c>
      <c r="E1753" s="48">
        <v>0</v>
      </c>
    </row>
    <row r="1754" spans="1:5" ht="15.75" customHeight="1" x14ac:dyDescent="0.3">
      <c r="A1754" s="45" t="str">
        <f t="shared" si="6"/>
        <v>São LuísBrasíliaAvião</v>
      </c>
      <c r="B1754" s="46" t="s">
        <v>31</v>
      </c>
      <c r="C1754" s="47" t="s">
        <v>50</v>
      </c>
      <c r="D1754" s="47" t="s">
        <v>53</v>
      </c>
      <c r="E1754" s="48">
        <v>0</v>
      </c>
    </row>
    <row r="1755" spans="1:5" ht="15.75" customHeight="1" x14ac:dyDescent="0.3">
      <c r="A1755" s="45" t="str">
        <f t="shared" si="6"/>
        <v>São LuísCampinasAvião</v>
      </c>
      <c r="B1755" s="46" t="s">
        <v>31</v>
      </c>
      <c r="C1755" s="47" t="s">
        <v>50</v>
      </c>
      <c r="D1755" s="47" t="s">
        <v>54</v>
      </c>
      <c r="E1755" s="48">
        <v>0</v>
      </c>
    </row>
    <row r="1756" spans="1:5" ht="15.75" customHeight="1" x14ac:dyDescent="0.3">
      <c r="A1756" s="45" t="str">
        <f t="shared" si="6"/>
        <v>São LuísCampo GrandeAvião</v>
      </c>
      <c r="B1756" s="46" t="s">
        <v>31</v>
      </c>
      <c r="C1756" s="47" t="s">
        <v>50</v>
      </c>
      <c r="D1756" s="47" t="s">
        <v>55</v>
      </c>
      <c r="E1756" s="48">
        <v>0</v>
      </c>
    </row>
    <row r="1757" spans="1:5" ht="15.75" customHeight="1" x14ac:dyDescent="0.3">
      <c r="A1757" s="45" t="str">
        <f t="shared" si="6"/>
        <v>São LuísCuiabáAvião</v>
      </c>
      <c r="B1757" s="46" t="s">
        <v>31</v>
      </c>
      <c r="C1757" s="47" t="s">
        <v>50</v>
      </c>
      <c r="D1757" s="47" t="s">
        <v>37</v>
      </c>
      <c r="E1757" s="48">
        <v>0</v>
      </c>
    </row>
    <row r="1758" spans="1:5" ht="15.75" customHeight="1" x14ac:dyDescent="0.3">
      <c r="A1758" s="45" t="str">
        <f t="shared" si="6"/>
        <v>São LuísCuritibaAvião</v>
      </c>
      <c r="B1758" s="46" t="s">
        <v>31</v>
      </c>
      <c r="C1758" s="47" t="s">
        <v>50</v>
      </c>
      <c r="D1758" s="47" t="s">
        <v>56</v>
      </c>
      <c r="E1758" s="48">
        <v>0</v>
      </c>
    </row>
    <row r="1759" spans="1:5" ht="15.75" customHeight="1" x14ac:dyDescent="0.3">
      <c r="A1759" s="45" t="str">
        <f t="shared" si="6"/>
        <v>São LuísFortalezaAvião</v>
      </c>
      <c r="B1759" s="46" t="s">
        <v>31</v>
      </c>
      <c r="C1759" s="47" t="s">
        <v>50</v>
      </c>
      <c r="D1759" s="47" t="s">
        <v>57</v>
      </c>
      <c r="E1759" s="48">
        <v>0</v>
      </c>
    </row>
    <row r="1760" spans="1:5" ht="15.75" customHeight="1" x14ac:dyDescent="0.3">
      <c r="A1760" s="45" t="str">
        <f t="shared" si="6"/>
        <v>São LuísGoiâniaAvião</v>
      </c>
      <c r="B1760" s="46" t="s">
        <v>31</v>
      </c>
      <c r="C1760" s="47" t="s">
        <v>50</v>
      </c>
      <c r="D1760" s="47" t="s">
        <v>58</v>
      </c>
      <c r="E1760" s="48">
        <v>0</v>
      </c>
    </row>
    <row r="1761" spans="1:5" ht="15.75" customHeight="1" x14ac:dyDescent="0.3">
      <c r="A1761" s="45" t="str">
        <f t="shared" si="6"/>
        <v>São LuísJoão PessoaAvião</v>
      </c>
      <c r="B1761" s="46" t="s">
        <v>31</v>
      </c>
      <c r="C1761" s="47" t="s">
        <v>50</v>
      </c>
      <c r="D1761" s="47" t="s">
        <v>59</v>
      </c>
      <c r="E1761" s="48">
        <v>0</v>
      </c>
    </row>
    <row r="1762" spans="1:5" ht="15.75" customHeight="1" x14ac:dyDescent="0.3">
      <c r="A1762" s="45" t="str">
        <f t="shared" si="6"/>
        <v>São LuísJoinvilleAvião</v>
      </c>
      <c r="B1762" s="46" t="s">
        <v>31</v>
      </c>
      <c r="C1762" s="47" t="s">
        <v>50</v>
      </c>
      <c r="D1762" s="47" t="s">
        <v>28</v>
      </c>
      <c r="E1762" s="48">
        <v>0</v>
      </c>
    </row>
    <row r="1763" spans="1:5" ht="15.75" customHeight="1" x14ac:dyDescent="0.3">
      <c r="A1763" s="45" t="str">
        <f t="shared" si="6"/>
        <v>São LuísMaceióAvião</v>
      </c>
      <c r="B1763" s="46" t="s">
        <v>31</v>
      </c>
      <c r="C1763" s="47" t="s">
        <v>50</v>
      </c>
      <c r="D1763" s="47" t="s">
        <v>60</v>
      </c>
      <c r="E1763" s="48">
        <v>0</v>
      </c>
    </row>
    <row r="1764" spans="1:5" ht="15.75" customHeight="1" x14ac:dyDescent="0.3">
      <c r="A1764" s="45" t="str">
        <f t="shared" si="6"/>
        <v>São LuísManausAvião</v>
      </c>
      <c r="B1764" s="46" t="s">
        <v>31</v>
      </c>
      <c r="C1764" s="47" t="s">
        <v>50</v>
      </c>
      <c r="D1764" s="47" t="s">
        <v>23</v>
      </c>
      <c r="E1764" s="48">
        <v>0</v>
      </c>
    </row>
    <row r="1765" spans="1:5" ht="15.75" customHeight="1" x14ac:dyDescent="0.3">
      <c r="A1765" s="45" t="str">
        <f t="shared" si="6"/>
        <v>São LuísNatalAvião</v>
      </c>
      <c r="B1765" s="46" t="s">
        <v>31</v>
      </c>
      <c r="C1765" s="47" t="s">
        <v>50</v>
      </c>
      <c r="D1765" s="47" t="s">
        <v>61</v>
      </c>
      <c r="E1765" s="48">
        <v>0</v>
      </c>
    </row>
    <row r="1766" spans="1:5" ht="15.75" customHeight="1" x14ac:dyDescent="0.3">
      <c r="A1766" s="45" t="str">
        <f t="shared" si="6"/>
        <v>São LuísPorto AlegreAvião</v>
      </c>
      <c r="B1766" s="46" t="s">
        <v>31</v>
      </c>
      <c r="C1766" s="47" t="s">
        <v>50</v>
      </c>
      <c r="D1766" s="47" t="s">
        <v>44</v>
      </c>
      <c r="E1766" s="48">
        <v>0</v>
      </c>
    </row>
    <row r="1767" spans="1:5" ht="15.75" customHeight="1" x14ac:dyDescent="0.3">
      <c r="A1767" s="45" t="str">
        <f t="shared" si="6"/>
        <v>São LuísRecifeAvião</v>
      </c>
      <c r="B1767" s="46" t="s">
        <v>31</v>
      </c>
      <c r="C1767" s="47" t="s">
        <v>50</v>
      </c>
      <c r="D1767" s="47" t="s">
        <v>62</v>
      </c>
      <c r="E1767" s="48">
        <v>0</v>
      </c>
    </row>
    <row r="1768" spans="1:5" ht="15.75" customHeight="1" x14ac:dyDescent="0.3">
      <c r="A1768" s="45" t="str">
        <f t="shared" si="6"/>
        <v>São LuísRibeirão PretoAvião</v>
      </c>
      <c r="B1768" s="46" t="s">
        <v>31</v>
      </c>
      <c r="C1768" s="47" t="s">
        <v>50</v>
      </c>
      <c r="D1768" s="47" t="s">
        <v>63</v>
      </c>
      <c r="E1768" s="48">
        <v>0</v>
      </c>
    </row>
    <row r="1769" spans="1:5" ht="15.75" customHeight="1" x14ac:dyDescent="0.3">
      <c r="A1769" s="45" t="str">
        <f t="shared" si="6"/>
        <v>São LuísRio de JaneiroAvião</v>
      </c>
      <c r="B1769" s="46" t="s">
        <v>31</v>
      </c>
      <c r="C1769" s="47" t="s">
        <v>50</v>
      </c>
      <c r="D1769" s="47" t="s">
        <v>64</v>
      </c>
      <c r="E1769" s="48">
        <v>0</v>
      </c>
    </row>
    <row r="1770" spans="1:5" ht="15.75" customHeight="1" x14ac:dyDescent="0.3">
      <c r="A1770" s="45" t="str">
        <f t="shared" si="6"/>
        <v>São LuísSalvadorAvião</v>
      </c>
      <c r="B1770" s="46" t="s">
        <v>31</v>
      </c>
      <c r="C1770" s="47" t="s">
        <v>50</v>
      </c>
      <c r="D1770" s="47" t="s">
        <v>65</v>
      </c>
      <c r="E1770" s="48">
        <v>0</v>
      </c>
    </row>
    <row r="1771" spans="1:5" ht="15.75" customHeight="1" x14ac:dyDescent="0.3">
      <c r="A1771" s="45" t="str">
        <f t="shared" si="6"/>
        <v>São LuísSantosAvião</v>
      </c>
      <c r="B1771" s="46" t="s">
        <v>31</v>
      </c>
      <c r="C1771" s="47" t="s">
        <v>50</v>
      </c>
      <c r="D1771" s="47" t="s">
        <v>47</v>
      </c>
      <c r="E1771" s="48">
        <v>0</v>
      </c>
    </row>
    <row r="1772" spans="1:5" ht="15.75" customHeight="1" x14ac:dyDescent="0.3">
      <c r="A1772" s="45" t="str">
        <f t="shared" si="6"/>
        <v>São LuísSão LuísAvião</v>
      </c>
      <c r="B1772" s="46" t="s">
        <v>31</v>
      </c>
      <c r="C1772" s="47" t="s">
        <v>50</v>
      </c>
      <c r="D1772" s="47" t="s">
        <v>50</v>
      </c>
      <c r="E1772" s="48">
        <v>0</v>
      </c>
    </row>
    <row r="1773" spans="1:5" ht="15.75" customHeight="1" x14ac:dyDescent="0.3">
      <c r="A1773" s="45" t="str">
        <f t="shared" si="6"/>
        <v>São LuísSão PauloAvião</v>
      </c>
      <c r="B1773" s="46" t="s">
        <v>31</v>
      </c>
      <c r="C1773" s="47" t="s">
        <v>50</v>
      </c>
      <c r="D1773" s="47" t="s">
        <v>66</v>
      </c>
      <c r="E1773" s="48">
        <v>0</v>
      </c>
    </row>
    <row r="1774" spans="1:5" ht="15.75" customHeight="1" x14ac:dyDescent="0.3">
      <c r="A1774" s="45" t="str">
        <f t="shared" si="6"/>
        <v>São LuísUberlândiaAvião</v>
      </c>
      <c r="B1774" s="46" t="s">
        <v>31</v>
      </c>
      <c r="C1774" s="47" t="s">
        <v>50</v>
      </c>
      <c r="D1774" s="47" t="s">
        <v>67</v>
      </c>
      <c r="E1774" s="48">
        <v>0</v>
      </c>
    </row>
    <row r="1775" spans="1:5" ht="15.75" customHeight="1" x14ac:dyDescent="0.3">
      <c r="A1775" s="45" t="str">
        <f t="shared" si="6"/>
        <v>São LuísVitóriaAvião</v>
      </c>
      <c r="B1775" s="46" t="s">
        <v>31</v>
      </c>
      <c r="C1775" s="47" t="s">
        <v>50</v>
      </c>
      <c r="D1775" s="47" t="s">
        <v>68</v>
      </c>
      <c r="E1775" s="48">
        <v>0</v>
      </c>
    </row>
    <row r="1776" spans="1:5" ht="15.75" customHeight="1" x14ac:dyDescent="0.3">
      <c r="A1776" s="45" t="str">
        <f t="shared" si="6"/>
        <v>São LuísVitória da ConquistaAvião</v>
      </c>
      <c r="B1776" s="46" t="s">
        <v>31</v>
      </c>
      <c r="C1776" s="47" t="s">
        <v>50</v>
      </c>
      <c r="D1776" s="47" t="s">
        <v>49</v>
      </c>
      <c r="E1776" s="48">
        <v>0</v>
      </c>
    </row>
    <row r="1777" spans="1:5" ht="15.75" customHeight="1" x14ac:dyDescent="0.3">
      <c r="A1777" s="45" t="str">
        <f t="shared" si="6"/>
        <v>São PauloBelémAvião</v>
      </c>
      <c r="B1777" s="46" t="s">
        <v>31</v>
      </c>
      <c r="C1777" s="46" t="s">
        <v>66</v>
      </c>
      <c r="D1777" s="47" t="s">
        <v>48</v>
      </c>
      <c r="E1777" s="48">
        <v>0</v>
      </c>
    </row>
    <row r="1778" spans="1:5" ht="15.75" customHeight="1" x14ac:dyDescent="0.3">
      <c r="A1778" s="45" t="str">
        <f t="shared" si="6"/>
        <v>São PauloBelo HorizonteAvião</v>
      </c>
      <c r="B1778" s="46" t="s">
        <v>31</v>
      </c>
      <c r="C1778" s="46" t="s">
        <v>66</v>
      </c>
      <c r="D1778" s="47" t="s">
        <v>52</v>
      </c>
      <c r="E1778" s="48">
        <v>0</v>
      </c>
    </row>
    <row r="1779" spans="1:5" ht="15.75" customHeight="1" x14ac:dyDescent="0.3">
      <c r="A1779" s="45" t="str">
        <f t="shared" si="6"/>
        <v>São PauloBrasíliaAvião</v>
      </c>
      <c r="B1779" s="46" t="s">
        <v>31</v>
      </c>
      <c r="C1779" s="46" t="s">
        <v>66</v>
      </c>
      <c r="D1779" s="47" t="s">
        <v>53</v>
      </c>
      <c r="E1779" s="48">
        <v>0</v>
      </c>
    </row>
    <row r="1780" spans="1:5" ht="15.75" customHeight="1" x14ac:dyDescent="0.3">
      <c r="A1780" s="45" t="str">
        <f t="shared" si="6"/>
        <v>São PauloCampinasAvião</v>
      </c>
      <c r="B1780" s="46" t="s">
        <v>31</v>
      </c>
      <c r="C1780" s="46" t="s">
        <v>66</v>
      </c>
      <c r="D1780" s="47" t="s">
        <v>54</v>
      </c>
      <c r="E1780" s="48">
        <v>0</v>
      </c>
    </row>
    <row r="1781" spans="1:5" ht="15.75" customHeight="1" x14ac:dyDescent="0.3">
      <c r="A1781" s="45" t="str">
        <f t="shared" si="6"/>
        <v>São PauloCampo GrandeAvião</v>
      </c>
      <c r="B1781" s="46" t="s">
        <v>31</v>
      </c>
      <c r="C1781" s="46" t="s">
        <v>66</v>
      </c>
      <c r="D1781" s="47" t="s">
        <v>55</v>
      </c>
      <c r="E1781" s="48">
        <v>0</v>
      </c>
    </row>
    <row r="1782" spans="1:5" ht="15.75" customHeight="1" x14ac:dyDescent="0.3">
      <c r="A1782" s="45" t="str">
        <f t="shared" si="6"/>
        <v>São PauloCuiabáAvião</v>
      </c>
      <c r="B1782" s="46" t="s">
        <v>31</v>
      </c>
      <c r="C1782" s="46" t="s">
        <v>66</v>
      </c>
      <c r="D1782" s="47" t="s">
        <v>37</v>
      </c>
      <c r="E1782" s="48">
        <v>0</v>
      </c>
    </row>
    <row r="1783" spans="1:5" ht="15.75" customHeight="1" x14ac:dyDescent="0.3">
      <c r="A1783" s="45" t="str">
        <f t="shared" si="6"/>
        <v>São PauloCuritibaAvião</v>
      </c>
      <c r="B1783" s="46" t="s">
        <v>31</v>
      </c>
      <c r="C1783" s="46" t="s">
        <v>66</v>
      </c>
      <c r="D1783" s="47" t="s">
        <v>56</v>
      </c>
      <c r="E1783" s="48">
        <v>0</v>
      </c>
    </row>
    <row r="1784" spans="1:5" ht="15.75" customHeight="1" x14ac:dyDescent="0.3">
      <c r="A1784" s="45" t="str">
        <f t="shared" si="6"/>
        <v>São PauloFortalezaAvião</v>
      </c>
      <c r="B1784" s="46" t="s">
        <v>31</v>
      </c>
      <c r="C1784" s="46" t="s">
        <v>66</v>
      </c>
      <c r="D1784" s="47" t="s">
        <v>57</v>
      </c>
      <c r="E1784" s="48">
        <v>0</v>
      </c>
    </row>
    <row r="1785" spans="1:5" ht="15.75" customHeight="1" x14ac:dyDescent="0.3">
      <c r="A1785" s="45" t="str">
        <f t="shared" si="6"/>
        <v>São PauloGoiâniaAvião</v>
      </c>
      <c r="B1785" s="46" t="s">
        <v>31</v>
      </c>
      <c r="C1785" s="46" t="s">
        <v>66</v>
      </c>
      <c r="D1785" s="47" t="s">
        <v>58</v>
      </c>
      <c r="E1785" s="48">
        <v>0</v>
      </c>
    </row>
    <row r="1786" spans="1:5" ht="15.75" customHeight="1" x14ac:dyDescent="0.3">
      <c r="A1786" s="45" t="str">
        <f t="shared" si="6"/>
        <v>São PauloJoão PessoaAvião</v>
      </c>
      <c r="B1786" s="46" t="s">
        <v>31</v>
      </c>
      <c r="C1786" s="46" t="s">
        <v>66</v>
      </c>
      <c r="D1786" s="47" t="s">
        <v>59</v>
      </c>
      <c r="E1786" s="48">
        <v>0</v>
      </c>
    </row>
    <row r="1787" spans="1:5" ht="15.75" customHeight="1" x14ac:dyDescent="0.3">
      <c r="A1787" s="45" t="str">
        <f t="shared" ref="A1787:A1876" si="7">C1787&amp;D1787&amp;B1787</f>
        <v>São PauloJoinvilleAvião</v>
      </c>
      <c r="B1787" s="46" t="s">
        <v>31</v>
      </c>
      <c r="C1787" s="46" t="s">
        <v>66</v>
      </c>
      <c r="D1787" s="47" t="s">
        <v>28</v>
      </c>
      <c r="E1787" s="48">
        <v>0</v>
      </c>
    </row>
    <row r="1788" spans="1:5" ht="15.75" customHeight="1" x14ac:dyDescent="0.3">
      <c r="A1788" s="45" t="str">
        <f t="shared" si="7"/>
        <v>São PauloMaceióAvião</v>
      </c>
      <c r="B1788" s="46" t="s">
        <v>31</v>
      </c>
      <c r="C1788" s="46" t="s">
        <v>66</v>
      </c>
      <c r="D1788" s="47" t="s">
        <v>60</v>
      </c>
      <c r="E1788" s="48">
        <v>0</v>
      </c>
    </row>
    <row r="1789" spans="1:5" ht="15.75" customHeight="1" x14ac:dyDescent="0.3">
      <c r="A1789" s="45" t="str">
        <f t="shared" si="7"/>
        <v>São PauloManausAvião</v>
      </c>
      <c r="B1789" s="46" t="s">
        <v>31</v>
      </c>
      <c r="C1789" s="46" t="s">
        <v>66</v>
      </c>
      <c r="D1789" s="47" t="s">
        <v>23</v>
      </c>
      <c r="E1789" s="48">
        <v>0</v>
      </c>
    </row>
    <row r="1790" spans="1:5" ht="15.75" customHeight="1" x14ac:dyDescent="0.3">
      <c r="A1790" s="45" t="str">
        <f t="shared" si="7"/>
        <v>São PauloNatalAvião</v>
      </c>
      <c r="B1790" s="46" t="s">
        <v>31</v>
      </c>
      <c r="C1790" s="46" t="s">
        <v>66</v>
      </c>
      <c r="D1790" s="47" t="s">
        <v>61</v>
      </c>
      <c r="E1790" s="48">
        <v>0</v>
      </c>
    </row>
    <row r="1791" spans="1:5" ht="15.75" customHeight="1" x14ac:dyDescent="0.3">
      <c r="A1791" s="45" t="str">
        <f t="shared" si="7"/>
        <v>São PauloPorto AlegreAvião</v>
      </c>
      <c r="B1791" s="46" t="s">
        <v>31</v>
      </c>
      <c r="C1791" s="46" t="s">
        <v>66</v>
      </c>
      <c r="D1791" s="47" t="s">
        <v>44</v>
      </c>
      <c r="E1791" s="48">
        <v>0</v>
      </c>
    </row>
    <row r="1792" spans="1:5" ht="15.75" customHeight="1" x14ac:dyDescent="0.3">
      <c r="A1792" s="45" t="str">
        <f t="shared" si="7"/>
        <v>São PauloRecifeAvião</v>
      </c>
      <c r="B1792" s="46" t="s">
        <v>31</v>
      </c>
      <c r="C1792" s="46" t="s">
        <v>66</v>
      </c>
      <c r="D1792" s="47" t="s">
        <v>62</v>
      </c>
      <c r="E1792" s="48">
        <v>0</v>
      </c>
    </row>
    <row r="1793" spans="1:5" ht="15.75" customHeight="1" x14ac:dyDescent="0.3">
      <c r="A1793" s="45" t="str">
        <f t="shared" si="7"/>
        <v>São PauloRibeirão PretoAvião</v>
      </c>
      <c r="B1793" s="46" t="s">
        <v>31</v>
      </c>
      <c r="C1793" s="46" t="s">
        <v>66</v>
      </c>
      <c r="D1793" s="47" t="s">
        <v>63</v>
      </c>
      <c r="E1793" s="48">
        <v>0</v>
      </c>
    </row>
    <row r="1794" spans="1:5" ht="15.75" customHeight="1" x14ac:dyDescent="0.3">
      <c r="A1794" s="45" t="str">
        <f t="shared" si="7"/>
        <v>São PauloRio de JaneiroAvião</v>
      </c>
      <c r="B1794" s="46" t="s">
        <v>31</v>
      </c>
      <c r="C1794" s="46" t="s">
        <v>66</v>
      </c>
      <c r="D1794" s="47" t="s">
        <v>64</v>
      </c>
      <c r="E1794" s="48">
        <v>0</v>
      </c>
    </row>
    <row r="1795" spans="1:5" ht="15.75" customHeight="1" x14ac:dyDescent="0.3">
      <c r="A1795" s="45" t="str">
        <f t="shared" si="7"/>
        <v>São PauloSalvadorAvião</v>
      </c>
      <c r="B1795" s="46" t="s">
        <v>31</v>
      </c>
      <c r="C1795" s="46" t="s">
        <v>66</v>
      </c>
      <c r="D1795" s="47" t="s">
        <v>65</v>
      </c>
      <c r="E1795" s="48">
        <v>0</v>
      </c>
    </row>
    <row r="1796" spans="1:5" ht="15.75" customHeight="1" x14ac:dyDescent="0.3">
      <c r="A1796" s="45" t="str">
        <f t="shared" si="7"/>
        <v>São PauloSantosAvião</v>
      </c>
      <c r="B1796" s="46" t="s">
        <v>31</v>
      </c>
      <c r="C1796" s="46" t="s">
        <v>66</v>
      </c>
      <c r="D1796" s="47" t="s">
        <v>47</v>
      </c>
      <c r="E1796" s="48">
        <v>0</v>
      </c>
    </row>
    <row r="1797" spans="1:5" ht="15.75" customHeight="1" x14ac:dyDescent="0.3">
      <c r="A1797" s="45" t="str">
        <f t="shared" si="7"/>
        <v>São PauloSão LuísAvião</v>
      </c>
      <c r="B1797" s="46" t="s">
        <v>31</v>
      </c>
      <c r="C1797" s="46" t="s">
        <v>66</v>
      </c>
      <c r="D1797" s="47" t="s">
        <v>50</v>
      </c>
      <c r="E1797" s="48">
        <v>0</v>
      </c>
    </row>
    <row r="1798" spans="1:5" ht="15.75" customHeight="1" x14ac:dyDescent="0.3">
      <c r="A1798" s="45" t="str">
        <f t="shared" si="7"/>
        <v>São PauloSão PauloAvião</v>
      </c>
      <c r="B1798" s="46" t="s">
        <v>31</v>
      </c>
      <c r="C1798" s="46" t="s">
        <v>66</v>
      </c>
      <c r="D1798" s="47" t="s">
        <v>66</v>
      </c>
      <c r="E1798" s="48">
        <v>0</v>
      </c>
    </row>
    <row r="1799" spans="1:5" ht="15.75" customHeight="1" x14ac:dyDescent="0.3">
      <c r="A1799" s="45" t="str">
        <f t="shared" si="7"/>
        <v>São PauloUberlândiaAvião</v>
      </c>
      <c r="B1799" s="46" t="s">
        <v>31</v>
      </c>
      <c r="C1799" s="46" t="s">
        <v>66</v>
      </c>
      <c r="D1799" s="47" t="s">
        <v>67</v>
      </c>
      <c r="E1799" s="48">
        <v>0</v>
      </c>
    </row>
    <row r="1800" spans="1:5" ht="15.75" customHeight="1" x14ac:dyDescent="0.3">
      <c r="A1800" s="45" t="str">
        <f t="shared" si="7"/>
        <v>São PauloVitóriaAvião</v>
      </c>
      <c r="B1800" s="46" t="s">
        <v>31</v>
      </c>
      <c r="C1800" s="46" t="s">
        <v>66</v>
      </c>
      <c r="D1800" s="47" t="s">
        <v>68</v>
      </c>
      <c r="E1800" s="48">
        <v>0</v>
      </c>
    </row>
    <row r="1801" spans="1:5" ht="15.75" customHeight="1" x14ac:dyDescent="0.3">
      <c r="A1801" s="45" t="str">
        <f t="shared" si="7"/>
        <v>São PauloVitória da ConquistaAvião</v>
      </c>
      <c r="B1801" s="46" t="s">
        <v>31</v>
      </c>
      <c r="C1801" s="46" t="s">
        <v>66</v>
      </c>
      <c r="D1801" s="47" t="s">
        <v>49</v>
      </c>
      <c r="E1801" s="48">
        <v>0</v>
      </c>
    </row>
    <row r="1802" spans="1:5" ht="15.75" customHeight="1" x14ac:dyDescent="0.3">
      <c r="A1802" s="45" t="str">
        <f t="shared" si="7"/>
        <v>UberlândiaBelémAvião</v>
      </c>
      <c r="B1802" s="46" t="s">
        <v>31</v>
      </c>
      <c r="C1802" s="46" t="s">
        <v>67</v>
      </c>
      <c r="D1802" s="47" t="s">
        <v>48</v>
      </c>
      <c r="E1802" s="48">
        <v>0</v>
      </c>
    </row>
    <row r="1803" spans="1:5" ht="15.75" customHeight="1" x14ac:dyDescent="0.3">
      <c r="A1803" s="45" t="str">
        <f t="shared" si="7"/>
        <v>UberlândiaBelo HorizonteAvião</v>
      </c>
      <c r="B1803" s="46" t="s">
        <v>31</v>
      </c>
      <c r="C1803" s="46" t="s">
        <v>67</v>
      </c>
      <c r="D1803" s="47" t="s">
        <v>52</v>
      </c>
      <c r="E1803" s="48">
        <v>0</v>
      </c>
    </row>
    <row r="1804" spans="1:5" ht="15.75" customHeight="1" x14ac:dyDescent="0.3">
      <c r="A1804" s="45" t="str">
        <f t="shared" si="7"/>
        <v>UberlândiaBrasíliaAvião</v>
      </c>
      <c r="B1804" s="46" t="s">
        <v>31</v>
      </c>
      <c r="C1804" s="46" t="s">
        <v>67</v>
      </c>
      <c r="D1804" s="47" t="s">
        <v>53</v>
      </c>
      <c r="E1804" s="48">
        <v>0</v>
      </c>
    </row>
    <row r="1805" spans="1:5" ht="15.75" customHeight="1" x14ac:dyDescent="0.3">
      <c r="A1805" s="45" t="str">
        <f t="shared" si="7"/>
        <v>UberlândiaCampinasAvião</v>
      </c>
      <c r="B1805" s="46" t="s">
        <v>31</v>
      </c>
      <c r="C1805" s="46" t="s">
        <v>67</v>
      </c>
      <c r="D1805" s="47" t="s">
        <v>54</v>
      </c>
      <c r="E1805" s="48">
        <v>0</v>
      </c>
    </row>
    <row r="1806" spans="1:5" ht="15.75" customHeight="1" x14ac:dyDescent="0.3">
      <c r="A1806" s="45" t="str">
        <f t="shared" si="7"/>
        <v>UberlândiaCampo GrandeAvião</v>
      </c>
      <c r="B1806" s="46" t="s">
        <v>31</v>
      </c>
      <c r="C1806" s="46" t="s">
        <v>67</v>
      </c>
      <c r="D1806" s="47" t="s">
        <v>55</v>
      </c>
      <c r="E1806" s="48">
        <v>0</v>
      </c>
    </row>
    <row r="1807" spans="1:5" ht="15.75" customHeight="1" x14ac:dyDescent="0.3">
      <c r="A1807" s="45" t="str">
        <f t="shared" si="7"/>
        <v>UberlândiaCuiabáAvião</v>
      </c>
      <c r="B1807" s="46" t="s">
        <v>31</v>
      </c>
      <c r="C1807" s="46" t="s">
        <v>67</v>
      </c>
      <c r="D1807" s="47" t="s">
        <v>37</v>
      </c>
      <c r="E1807" s="48">
        <v>0</v>
      </c>
    </row>
    <row r="1808" spans="1:5" ht="15.75" customHeight="1" x14ac:dyDescent="0.3">
      <c r="A1808" s="45" t="str">
        <f t="shared" si="7"/>
        <v>UberlândiaCuritibaAvião</v>
      </c>
      <c r="B1808" s="46" t="s">
        <v>31</v>
      </c>
      <c r="C1808" s="46" t="s">
        <v>67</v>
      </c>
      <c r="D1808" s="47" t="s">
        <v>56</v>
      </c>
      <c r="E1808" s="48">
        <v>0</v>
      </c>
    </row>
    <row r="1809" spans="1:5" ht="15.75" customHeight="1" x14ac:dyDescent="0.3">
      <c r="A1809" s="45" t="str">
        <f t="shared" si="7"/>
        <v>UberlândiaFortalezaAvião</v>
      </c>
      <c r="B1809" s="46" t="s">
        <v>31</v>
      </c>
      <c r="C1809" s="46" t="s">
        <v>67</v>
      </c>
      <c r="D1809" s="47" t="s">
        <v>57</v>
      </c>
      <c r="E1809" s="48">
        <v>0</v>
      </c>
    </row>
    <row r="1810" spans="1:5" ht="15.75" customHeight="1" x14ac:dyDescent="0.3">
      <c r="A1810" s="45" t="str">
        <f t="shared" si="7"/>
        <v>UberlândiaGoiâniaAvião</v>
      </c>
      <c r="B1810" s="46" t="s">
        <v>31</v>
      </c>
      <c r="C1810" s="46" t="s">
        <v>67</v>
      </c>
      <c r="D1810" s="47" t="s">
        <v>58</v>
      </c>
      <c r="E1810" s="48">
        <v>0</v>
      </c>
    </row>
    <row r="1811" spans="1:5" ht="15.75" customHeight="1" x14ac:dyDescent="0.3">
      <c r="A1811" s="45" t="str">
        <f t="shared" si="7"/>
        <v>UberlândiaJoão PessoaAvião</v>
      </c>
      <c r="B1811" s="46" t="s">
        <v>31</v>
      </c>
      <c r="C1811" s="46" t="s">
        <v>67</v>
      </c>
      <c r="D1811" s="47" t="s">
        <v>59</v>
      </c>
      <c r="E1811" s="48">
        <v>0</v>
      </c>
    </row>
    <row r="1812" spans="1:5" ht="15.75" customHeight="1" x14ac:dyDescent="0.3">
      <c r="A1812" s="45" t="str">
        <f t="shared" si="7"/>
        <v>UberlândiaJoinvilleAvião</v>
      </c>
      <c r="B1812" s="46" t="s">
        <v>31</v>
      </c>
      <c r="C1812" s="46" t="s">
        <v>67</v>
      </c>
      <c r="D1812" s="47" t="s">
        <v>28</v>
      </c>
      <c r="E1812" s="48">
        <v>0</v>
      </c>
    </row>
    <row r="1813" spans="1:5" ht="15.75" customHeight="1" x14ac:dyDescent="0.3">
      <c r="A1813" s="45" t="str">
        <f t="shared" si="7"/>
        <v>UberlândiaMaceióAvião</v>
      </c>
      <c r="B1813" s="46" t="s">
        <v>31</v>
      </c>
      <c r="C1813" s="46" t="s">
        <v>67</v>
      </c>
      <c r="D1813" s="47" t="s">
        <v>60</v>
      </c>
      <c r="E1813" s="48">
        <v>0</v>
      </c>
    </row>
    <row r="1814" spans="1:5" ht="15.75" customHeight="1" x14ac:dyDescent="0.3">
      <c r="A1814" s="45" t="str">
        <f t="shared" si="7"/>
        <v>UberlândiaManausAvião</v>
      </c>
      <c r="B1814" s="46" t="s">
        <v>31</v>
      </c>
      <c r="C1814" s="46" t="s">
        <v>67</v>
      </c>
      <c r="D1814" s="47" t="s">
        <v>23</v>
      </c>
      <c r="E1814" s="48">
        <v>0</v>
      </c>
    </row>
    <row r="1815" spans="1:5" ht="15.75" customHeight="1" x14ac:dyDescent="0.3">
      <c r="A1815" s="45" t="str">
        <f t="shared" si="7"/>
        <v>UberlândiaNatalAvião</v>
      </c>
      <c r="B1815" s="46" t="s">
        <v>31</v>
      </c>
      <c r="C1815" s="46" t="s">
        <v>67</v>
      </c>
      <c r="D1815" s="47" t="s">
        <v>61</v>
      </c>
      <c r="E1815" s="48">
        <v>0</v>
      </c>
    </row>
    <row r="1816" spans="1:5" ht="15.75" customHeight="1" x14ac:dyDescent="0.3">
      <c r="A1816" s="45" t="str">
        <f t="shared" si="7"/>
        <v>UberlândiaPorto AlegreAvião</v>
      </c>
      <c r="B1816" s="46" t="s">
        <v>31</v>
      </c>
      <c r="C1816" s="46" t="s">
        <v>67</v>
      </c>
      <c r="D1816" s="47" t="s">
        <v>44</v>
      </c>
      <c r="E1816" s="48">
        <v>0</v>
      </c>
    </row>
    <row r="1817" spans="1:5" ht="15.75" customHeight="1" x14ac:dyDescent="0.3">
      <c r="A1817" s="45" t="str">
        <f t="shared" si="7"/>
        <v>UberlândiaRecifeAvião</v>
      </c>
      <c r="B1817" s="46" t="s">
        <v>31</v>
      </c>
      <c r="C1817" s="46" t="s">
        <v>67</v>
      </c>
      <c r="D1817" s="47" t="s">
        <v>62</v>
      </c>
      <c r="E1817" s="48">
        <v>0</v>
      </c>
    </row>
    <row r="1818" spans="1:5" ht="15.75" customHeight="1" x14ac:dyDescent="0.3">
      <c r="A1818" s="45" t="str">
        <f t="shared" si="7"/>
        <v>UberlândiaRibeirão PretoAvião</v>
      </c>
      <c r="B1818" s="46" t="s">
        <v>31</v>
      </c>
      <c r="C1818" s="46" t="s">
        <v>67</v>
      </c>
      <c r="D1818" s="47" t="s">
        <v>63</v>
      </c>
      <c r="E1818" s="48">
        <v>0</v>
      </c>
    </row>
    <row r="1819" spans="1:5" ht="15.75" customHeight="1" x14ac:dyDescent="0.3">
      <c r="A1819" s="45" t="str">
        <f t="shared" si="7"/>
        <v>UberlândiaRio de JaneiroAvião</v>
      </c>
      <c r="B1819" s="46" t="s">
        <v>31</v>
      </c>
      <c r="C1819" s="46" t="s">
        <v>67</v>
      </c>
      <c r="D1819" s="47" t="s">
        <v>64</v>
      </c>
      <c r="E1819" s="48">
        <v>0</v>
      </c>
    </row>
    <row r="1820" spans="1:5" ht="15.75" customHeight="1" x14ac:dyDescent="0.3">
      <c r="A1820" s="45" t="str">
        <f t="shared" si="7"/>
        <v>UberlândiaSalvadorAvião</v>
      </c>
      <c r="B1820" s="46" t="s">
        <v>31</v>
      </c>
      <c r="C1820" s="46" t="s">
        <v>67</v>
      </c>
      <c r="D1820" s="47" t="s">
        <v>65</v>
      </c>
      <c r="E1820" s="48">
        <v>0</v>
      </c>
    </row>
    <row r="1821" spans="1:5" ht="15.75" customHeight="1" x14ac:dyDescent="0.3">
      <c r="A1821" s="45" t="str">
        <f t="shared" si="7"/>
        <v>UberlândiaSantosAvião</v>
      </c>
      <c r="B1821" s="46" t="s">
        <v>31</v>
      </c>
      <c r="C1821" s="46" t="s">
        <v>67</v>
      </c>
      <c r="D1821" s="47" t="s">
        <v>47</v>
      </c>
      <c r="E1821" s="48">
        <v>0</v>
      </c>
    </row>
    <row r="1822" spans="1:5" ht="15.75" customHeight="1" x14ac:dyDescent="0.3">
      <c r="A1822" s="45" t="str">
        <f t="shared" si="7"/>
        <v>UberlândiaSão LuísAvião</v>
      </c>
      <c r="B1822" s="46" t="s">
        <v>31</v>
      </c>
      <c r="C1822" s="46" t="s">
        <v>67</v>
      </c>
      <c r="D1822" s="47" t="s">
        <v>50</v>
      </c>
      <c r="E1822" s="48">
        <v>0</v>
      </c>
    </row>
    <row r="1823" spans="1:5" ht="15.75" customHeight="1" x14ac:dyDescent="0.3">
      <c r="A1823" s="45" t="str">
        <f t="shared" si="7"/>
        <v>UberlândiaSão PauloAvião</v>
      </c>
      <c r="B1823" s="46" t="s">
        <v>31</v>
      </c>
      <c r="C1823" s="46" t="s">
        <v>67</v>
      </c>
      <c r="D1823" s="47" t="s">
        <v>66</v>
      </c>
      <c r="E1823" s="48">
        <v>0</v>
      </c>
    </row>
    <row r="1824" spans="1:5" ht="15.75" customHeight="1" x14ac:dyDescent="0.3">
      <c r="A1824" s="45" t="str">
        <f t="shared" si="7"/>
        <v>UberlândiaUberlândiaAvião</v>
      </c>
      <c r="B1824" s="46" t="s">
        <v>31</v>
      </c>
      <c r="C1824" s="46" t="s">
        <v>67</v>
      </c>
      <c r="D1824" s="47" t="s">
        <v>67</v>
      </c>
      <c r="E1824" s="48">
        <v>0</v>
      </c>
    </row>
    <row r="1825" spans="1:5" ht="15.75" customHeight="1" x14ac:dyDescent="0.3">
      <c r="A1825" s="45" t="str">
        <f t="shared" si="7"/>
        <v>UberlândiaVitóriaAvião</v>
      </c>
      <c r="B1825" s="46" t="s">
        <v>31</v>
      </c>
      <c r="C1825" s="46" t="s">
        <v>67</v>
      </c>
      <c r="D1825" s="47" t="s">
        <v>68</v>
      </c>
      <c r="E1825" s="48">
        <v>0</v>
      </c>
    </row>
    <row r="1826" spans="1:5" ht="15.75" customHeight="1" x14ac:dyDescent="0.3">
      <c r="A1826" s="45" t="str">
        <f t="shared" si="7"/>
        <v>UberlândiaVitória da ConquistaAvião</v>
      </c>
      <c r="B1826" s="46" t="s">
        <v>31</v>
      </c>
      <c r="C1826" s="46" t="s">
        <v>67</v>
      </c>
      <c r="D1826" s="47" t="s">
        <v>49</v>
      </c>
      <c r="E1826" s="48">
        <v>0</v>
      </c>
    </row>
    <row r="1827" spans="1:5" ht="15.75" customHeight="1" x14ac:dyDescent="0.3">
      <c r="A1827" s="45" t="str">
        <f t="shared" si="7"/>
        <v>VitóriaBelémAvião</v>
      </c>
      <c r="B1827" s="46" t="s">
        <v>31</v>
      </c>
      <c r="C1827" s="46" t="s">
        <v>68</v>
      </c>
      <c r="D1827" s="47" t="s">
        <v>48</v>
      </c>
      <c r="E1827" s="48">
        <v>0</v>
      </c>
    </row>
    <row r="1828" spans="1:5" ht="15.75" customHeight="1" x14ac:dyDescent="0.3">
      <c r="A1828" s="45" t="str">
        <f t="shared" si="7"/>
        <v>VitóriaBelo HorizonteAvião</v>
      </c>
      <c r="B1828" s="46" t="s">
        <v>31</v>
      </c>
      <c r="C1828" s="46" t="s">
        <v>68</v>
      </c>
      <c r="D1828" s="47" t="s">
        <v>52</v>
      </c>
      <c r="E1828" s="48">
        <v>0</v>
      </c>
    </row>
    <row r="1829" spans="1:5" ht="15.75" customHeight="1" x14ac:dyDescent="0.3">
      <c r="A1829" s="45" t="str">
        <f t="shared" si="7"/>
        <v>VitóriaBrasíliaAvião</v>
      </c>
      <c r="B1829" s="46" t="s">
        <v>31</v>
      </c>
      <c r="C1829" s="46" t="s">
        <v>68</v>
      </c>
      <c r="D1829" s="47" t="s">
        <v>53</v>
      </c>
      <c r="E1829" s="48">
        <v>0</v>
      </c>
    </row>
    <row r="1830" spans="1:5" ht="15.75" customHeight="1" x14ac:dyDescent="0.3">
      <c r="A1830" s="45" t="str">
        <f t="shared" si="7"/>
        <v>VitóriaCampinasAvião</v>
      </c>
      <c r="B1830" s="46" t="s">
        <v>31</v>
      </c>
      <c r="C1830" s="46" t="s">
        <v>68</v>
      </c>
      <c r="D1830" s="47" t="s">
        <v>54</v>
      </c>
      <c r="E1830" s="48">
        <v>0</v>
      </c>
    </row>
    <row r="1831" spans="1:5" ht="15.75" customHeight="1" x14ac:dyDescent="0.3">
      <c r="A1831" s="45" t="str">
        <f t="shared" si="7"/>
        <v>VitóriaCampo GrandeAvião</v>
      </c>
      <c r="B1831" s="46" t="s">
        <v>31</v>
      </c>
      <c r="C1831" s="46" t="s">
        <v>68</v>
      </c>
      <c r="D1831" s="47" t="s">
        <v>55</v>
      </c>
      <c r="E1831" s="48">
        <v>0</v>
      </c>
    </row>
    <row r="1832" spans="1:5" ht="15.75" customHeight="1" x14ac:dyDescent="0.3">
      <c r="A1832" s="45" t="str">
        <f t="shared" si="7"/>
        <v>VitóriaCuiabáAvião</v>
      </c>
      <c r="B1832" s="46" t="s">
        <v>31</v>
      </c>
      <c r="C1832" s="46" t="s">
        <v>68</v>
      </c>
      <c r="D1832" s="47" t="s">
        <v>37</v>
      </c>
      <c r="E1832" s="48">
        <v>0</v>
      </c>
    </row>
    <row r="1833" spans="1:5" ht="15.75" customHeight="1" x14ac:dyDescent="0.3">
      <c r="A1833" s="45" t="str">
        <f t="shared" si="7"/>
        <v>VitóriaCuritibaAvião</v>
      </c>
      <c r="B1833" s="46" t="s">
        <v>31</v>
      </c>
      <c r="C1833" s="46" t="s">
        <v>68</v>
      </c>
      <c r="D1833" s="47" t="s">
        <v>56</v>
      </c>
      <c r="E1833" s="48">
        <v>0</v>
      </c>
    </row>
    <row r="1834" spans="1:5" ht="15.75" customHeight="1" x14ac:dyDescent="0.3">
      <c r="A1834" s="45" t="str">
        <f t="shared" si="7"/>
        <v>VitóriaFortalezaAvião</v>
      </c>
      <c r="B1834" s="46" t="s">
        <v>31</v>
      </c>
      <c r="C1834" s="46" t="s">
        <v>68</v>
      </c>
      <c r="D1834" s="47" t="s">
        <v>57</v>
      </c>
      <c r="E1834" s="48">
        <v>0</v>
      </c>
    </row>
    <row r="1835" spans="1:5" ht="15.75" customHeight="1" x14ac:dyDescent="0.3">
      <c r="A1835" s="45" t="str">
        <f t="shared" si="7"/>
        <v>VitóriaGoiâniaAvião</v>
      </c>
      <c r="B1835" s="46" t="s">
        <v>31</v>
      </c>
      <c r="C1835" s="46" t="s">
        <v>68</v>
      </c>
      <c r="D1835" s="47" t="s">
        <v>58</v>
      </c>
      <c r="E1835" s="48">
        <v>0</v>
      </c>
    </row>
    <row r="1836" spans="1:5" ht="15.75" customHeight="1" x14ac:dyDescent="0.3">
      <c r="A1836" s="45" t="str">
        <f t="shared" si="7"/>
        <v>VitóriaJoão PessoaAvião</v>
      </c>
      <c r="B1836" s="46" t="s">
        <v>31</v>
      </c>
      <c r="C1836" s="46" t="s">
        <v>68</v>
      </c>
      <c r="D1836" s="47" t="s">
        <v>59</v>
      </c>
      <c r="E1836" s="48">
        <v>0</v>
      </c>
    </row>
    <row r="1837" spans="1:5" ht="15.75" customHeight="1" x14ac:dyDescent="0.3">
      <c r="A1837" s="45" t="str">
        <f t="shared" si="7"/>
        <v>VitóriaJoinvilleAvião</v>
      </c>
      <c r="B1837" s="46" t="s">
        <v>31</v>
      </c>
      <c r="C1837" s="46" t="s">
        <v>68</v>
      </c>
      <c r="D1837" s="47" t="s">
        <v>28</v>
      </c>
      <c r="E1837" s="48">
        <v>0</v>
      </c>
    </row>
    <row r="1838" spans="1:5" ht="15.75" customHeight="1" x14ac:dyDescent="0.3">
      <c r="A1838" s="45" t="str">
        <f t="shared" si="7"/>
        <v>VitóriaMaceióAvião</v>
      </c>
      <c r="B1838" s="46" t="s">
        <v>31</v>
      </c>
      <c r="C1838" s="46" t="s">
        <v>68</v>
      </c>
      <c r="D1838" s="47" t="s">
        <v>60</v>
      </c>
      <c r="E1838" s="48">
        <v>0</v>
      </c>
    </row>
    <row r="1839" spans="1:5" ht="15.75" customHeight="1" x14ac:dyDescent="0.3">
      <c r="A1839" s="45" t="str">
        <f t="shared" si="7"/>
        <v>VitóriaManausAvião</v>
      </c>
      <c r="B1839" s="46" t="s">
        <v>31</v>
      </c>
      <c r="C1839" s="46" t="s">
        <v>68</v>
      </c>
      <c r="D1839" s="47" t="s">
        <v>23</v>
      </c>
      <c r="E1839" s="48">
        <v>0</v>
      </c>
    </row>
    <row r="1840" spans="1:5" ht="15.75" customHeight="1" x14ac:dyDescent="0.3">
      <c r="A1840" s="45" t="str">
        <f t="shared" si="7"/>
        <v>VitóriaNatalAvião</v>
      </c>
      <c r="B1840" s="46" t="s">
        <v>31</v>
      </c>
      <c r="C1840" s="46" t="s">
        <v>68</v>
      </c>
      <c r="D1840" s="47" t="s">
        <v>61</v>
      </c>
      <c r="E1840" s="48">
        <v>0</v>
      </c>
    </row>
    <row r="1841" spans="1:5" ht="15.75" customHeight="1" x14ac:dyDescent="0.3">
      <c r="A1841" s="45" t="str">
        <f t="shared" si="7"/>
        <v>VitóriaPorto AlegreAvião</v>
      </c>
      <c r="B1841" s="46" t="s">
        <v>31</v>
      </c>
      <c r="C1841" s="46" t="s">
        <v>68</v>
      </c>
      <c r="D1841" s="47" t="s">
        <v>44</v>
      </c>
      <c r="E1841" s="48">
        <v>0</v>
      </c>
    </row>
    <row r="1842" spans="1:5" ht="15.75" customHeight="1" x14ac:dyDescent="0.3">
      <c r="A1842" s="45" t="str">
        <f t="shared" si="7"/>
        <v>VitóriaRecifeAvião</v>
      </c>
      <c r="B1842" s="46" t="s">
        <v>31</v>
      </c>
      <c r="C1842" s="46" t="s">
        <v>68</v>
      </c>
      <c r="D1842" s="47" t="s">
        <v>62</v>
      </c>
      <c r="E1842" s="48">
        <v>0</v>
      </c>
    </row>
    <row r="1843" spans="1:5" ht="15.75" customHeight="1" x14ac:dyDescent="0.3">
      <c r="A1843" s="45" t="str">
        <f t="shared" si="7"/>
        <v>VitóriaRibeirão PretoAvião</v>
      </c>
      <c r="B1843" s="46" t="s">
        <v>31</v>
      </c>
      <c r="C1843" s="46" t="s">
        <v>68</v>
      </c>
      <c r="D1843" s="47" t="s">
        <v>63</v>
      </c>
      <c r="E1843" s="48">
        <v>0</v>
      </c>
    </row>
    <row r="1844" spans="1:5" ht="15.75" customHeight="1" x14ac:dyDescent="0.3">
      <c r="A1844" s="45" t="str">
        <f t="shared" si="7"/>
        <v>VitóriaRio de JaneiroAvião</v>
      </c>
      <c r="B1844" s="46" t="s">
        <v>31</v>
      </c>
      <c r="C1844" s="46" t="s">
        <v>68</v>
      </c>
      <c r="D1844" s="47" t="s">
        <v>64</v>
      </c>
      <c r="E1844" s="48">
        <v>0</v>
      </c>
    </row>
    <row r="1845" spans="1:5" ht="15.75" customHeight="1" x14ac:dyDescent="0.3">
      <c r="A1845" s="45" t="str">
        <f t="shared" si="7"/>
        <v>VitóriaSalvadorAvião</v>
      </c>
      <c r="B1845" s="46" t="s">
        <v>31</v>
      </c>
      <c r="C1845" s="46" t="s">
        <v>68</v>
      </c>
      <c r="D1845" s="47" t="s">
        <v>65</v>
      </c>
      <c r="E1845" s="48">
        <v>0</v>
      </c>
    </row>
    <row r="1846" spans="1:5" ht="15.75" customHeight="1" x14ac:dyDescent="0.3">
      <c r="A1846" s="45" t="str">
        <f t="shared" si="7"/>
        <v>VitóriaSantosAvião</v>
      </c>
      <c r="B1846" s="46" t="s">
        <v>31</v>
      </c>
      <c r="C1846" s="46" t="s">
        <v>68</v>
      </c>
      <c r="D1846" s="47" t="s">
        <v>47</v>
      </c>
      <c r="E1846" s="48">
        <v>0</v>
      </c>
    </row>
    <row r="1847" spans="1:5" ht="15.75" customHeight="1" x14ac:dyDescent="0.3">
      <c r="A1847" s="45" t="str">
        <f t="shared" si="7"/>
        <v>VitóriaSão LuísAvião</v>
      </c>
      <c r="B1847" s="46" t="s">
        <v>31</v>
      </c>
      <c r="C1847" s="46" t="s">
        <v>68</v>
      </c>
      <c r="D1847" s="47" t="s">
        <v>50</v>
      </c>
      <c r="E1847" s="48">
        <v>0</v>
      </c>
    </row>
    <row r="1848" spans="1:5" ht="15.75" customHeight="1" x14ac:dyDescent="0.3">
      <c r="A1848" s="45" t="str">
        <f t="shared" si="7"/>
        <v>VitóriaSão PauloAvião</v>
      </c>
      <c r="B1848" s="46" t="s">
        <v>31</v>
      </c>
      <c r="C1848" s="46" t="s">
        <v>68</v>
      </c>
      <c r="D1848" s="47" t="s">
        <v>66</v>
      </c>
      <c r="E1848" s="48">
        <v>0</v>
      </c>
    </row>
    <row r="1849" spans="1:5" ht="15.75" customHeight="1" x14ac:dyDescent="0.3">
      <c r="A1849" s="45" t="str">
        <f t="shared" si="7"/>
        <v>VitóriaUberlândiaAvião</v>
      </c>
      <c r="B1849" s="46" t="s">
        <v>31</v>
      </c>
      <c r="C1849" s="46" t="s">
        <v>68</v>
      </c>
      <c r="D1849" s="47" t="s">
        <v>67</v>
      </c>
      <c r="E1849" s="48">
        <v>0</v>
      </c>
    </row>
    <row r="1850" spans="1:5" ht="15.75" customHeight="1" x14ac:dyDescent="0.3">
      <c r="A1850" s="45" t="str">
        <f t="shared" si="7"/>
        <v>VitóriaVitóriaAvião</v>
      </c>
      <c r="B1850" s="46" t="s">
        <v>31</v>
      </c>
      <c r="C1850" s="46" t="s">
        <v>68</v>
      </c>
      <c r="D1850" s="47" t="s">
        <v>68</v>
      </c>
      <c r="E1850" s="48">
        <v>0</v>
      </c>
    </row>
    <row r="1851" spans="1:5" ht="15.75" customHeight="1" x14ac:dyDescent="0.3">
      <c r="A1851" s="45" t="str">
        <f t="shared" si="7"/>
        <v>VitóriaVitória da ConquistaAvião</v>
      </c>
      <c r="B1851" s="46" t="s">
        <v>31</v>
      </c>
      <c r="C1851" s="46" t="s">
        <v>68</v>
      </c>
      <c r="D1851" s="47" t="s">
        <v>49</v>
      </c>
      <c r="E1851" s="48">
        <v>0</v>
      </c>
    </row>
    <row r="1852" spans="1:5" ht="15.75" customHeight="1" x14ac:dyDescent="0.3">
      <c r="A1852" s="45" t="str">
        <f t="shared" si="7"/>
        <v>Vitória da ConquistaBelémAvião</v>
      </c>
      <c r="B1852" s="46" t="s">
        <v>31</v>
      </c>
      <c r="C1852" s="46" t="s">
        <v>49</v>
      </c>
      <c r="D1852" s="47" t="s">
        <v>48</v>
      </c>
      <c r="E1852" s="48">
        <v>0</v>
      </c>
    </row>
    <row r="1853" spans="1:5" ht="15.75" customHeight="1" x14ac:dyDescent="0.3">
      <c r="A1853" s="45" t="str">
        <f t="shared" si="7"/>
        <v>Vitória da ConquistaBelo HorizonteAvião</v>
      </c>
      <c r="B1853" s="46" t="s">
        <v>31</v>
      </c>
      <c r="C1853" s="46" t="s">
        <v>49</v>
      </c>
      <c r="D1853" s="47" t="s">
        <v>52</v>
      </c>
      <c r="E1853" s="48">
        <v>0</v>
      </c>
    </row>
    <row r="1854" spans="1:5" ht="15.75" customHeight="1" x14ac:dyDescent="0.3">
      <c r="A1854" s="45" t="str">
        <f t="shared" si="7"/>
        <v>Vitória da ConquistaBrasíliaAvião</v>
      </c>
      <c r="B1854" s="46" t="s">
        <v>31</v>
      </c>
      <c r="C1854" s="46" t="s">
        <v>49</v>
      </c>
      <c r="D1854" s="47" t="s">
        <v>53</v>
      </c>
      <c r="E1854" s="48">
        <v>0</v>
      </c>
    </row>
    <row r="1855" spans="1:5" ht="15.75" customHeight="1" x14ac:dyDescent="0.3">
      <c r="A1855" s="45" t="str">
        <f t="shared" si="7"/>
        <v>Vitória da ConquistaCampinasAvião</v>
      </c>
      <c r="B1855" s="46" t="s">
        <v>31</v>
      </c>
      <c r="C1855" s="46" t="s">
        <v>49</v>
      </c>
      <c r="D1855" s="47" t="s">
        <v>54</v>
      </c>
      <c r="E1855" s="48">
        <v>0</v>
      </c>
    </row>
    <row r="1856" spans="1:5" ht="15.75" customHeight="1" x14ac:dyDescent="0.3">
      <c r="A1856" s="45" t="str">
        <f t="shared" si="7"/>
        <v>Vitória da ConquistaCampo GrandeAvião</v>
      </c>
      <c r="B1856" s="46" t="s">
        <v>31</v>
      </c>
      <c r="C1856" s="46" t="s">
        <v>49</v>
      </c>
      <c r="D1856" s="47" t="s">
        <v>55</v>
      </c>
      <c r="E1856" s="48">
        <v>0</v>
      </c>
    </row>
    <row r="1857" spans="1:5" ht="15.75" customHeight="1" x14ac:dyDescent="0.3">
      <c r="A1857" s="45" t="str">
        <f t="shared" si="7"/>
        <v>Vitória da ConquistaCuiabáAvião</v>
      </c>
      <c r="B1857" s="46" t="s">
        <v>31</v>
      </c>
      <c r="C1857" s="46" t="s">
        <v>49</v>
      </c>
      <c r="D1857" s="47" t="s">
        <v>37</v>
      </c>
      <c r="E1857" s="48">
        <v>0</v>
      </c>
    </row>
    <row r="1858" spans="1:5" ht="15.75" customHeight="1" x14ac:dyDescent="0.3">
      <c r="A1858" s="45" t="str">
        <f t="shared" si="7"/>
        <v>Vitória da ConquistaCuritibaAvião</v>
      </c>
      <c r="B1858" s="46" t="s">
        <v>31</v>
      </c>
      <c r="C1858" s="46" t="s">
        <v>49</v>
      </c>
      <c r="D1858" s="47" t="s">
        <v>56</v>
      </c>
      <c r="E1858" s="48">
        <v>0</v>
      </c>
    </row>
    <row r="1859" spans="1:5" ht="15.75" customHeight="1" x14ac:dyDescent="0.3">
      <c r="A1859" s="45" t="str">
        <f t="shared" si="7"/>
        <v>Vitória da ConquistaFortalezaAvião</v>
      </c>
      <c r="B1859" s="46" t="s">
        <v>31</v>
      </c>
      <c r="C1859" s="46" t="s">
        <v>49</v>
      </c>
      <c r="D1859" s="47" t="s">
        <v>57</v>
      </c>
      <c r="E1859" s="48">
        <v>0</v>
      </c>
    </row>
    <row r="1860" spans="1:5" ht="15.75" customHeight="1" x14ac:dyDescent="0.3">
      <c r="A1860" s="45" t="str">
        <f t="shared" si="7"/>
        <v>Vitória da ConquistaGoiâniaAvião</v>
      </c>
      <c r="B1860" s="46" t="s">
        <v>31</v>
      </c>
      <c r="C1860" s="46" t="s">
        <v>49</v>
      </c>
      <c r="D1860" s="47" t="s">
        <v>58</v>
      </c>
      <c r="E1860" s="48">
        <v>0</v>
      </c>
    </row>
    <row r="1861" spans="1:5" ht="15.75" customHeight="1" x14ac:dyDescent="0.3">
      <c r="A1861" s="45" t="str">
        <f t="shared" si="7"/>
        <v>Vitória da ConquistaJoão PessoaAvião</v>
      </c>
      <c r="B1861" s="46" t="s">
        <v>31</v>
      </c>
      <c r="C1861" s="46" t="s">
        <v>49</v>
      </c>
      <c r="D1861" s="47" t="s">
        <v>59</v>
      </c>
      <c r="E1861" s="48">
        <v>0</v>
      </c>
    </row>
    <row r="1862" spans="1:5" ht="15.75" customHeight="1" x14ac:dyDescent="0.3">
      <c r="A1862" s="45" t="str">
        <f t="shared" si="7"/>
        <v>Vitória da ConquistaJoinvilleAvião</v>
      </c>
      <c r="B1862" s="46" t="s">
        <v>31</v>
      </c>
      <c r="C1862" s="46" t="s">
        <v>49</v>
      </c>
      <c r="D1862" s="47" t="s">
        <v>28</v>
      </c>
      <c r="E1862" s="48">
        <v>0</v>
      </c>
    </row>
    <row r="1863" spans="1:5" ht="15.75" customHeight="1" x14ac:dyDescent="0.3">
      <c r="A1863" s="45" t="str">
        <f t="shared" si="7"/>
        <v>Vitória da ConquistaMaceióAvião</v>
      </c>
      <c r="B1863" s="46" t="s">
        <v>31</v>
      </c>
      <c r="C1863" s="46" t="s">
        <v>49</v>
      </c>
      <c r="D1863" s="47" t="s">
        <v>60</v>
      </c>
      <c r="E1863" s="48">
        <v>0</v>
      </c>
    </row>
    <row r="1864" spans="1:5" ht="15.75" customHeight="1" x14ac:dyDescent="0.3">
      <c r="A1864" s="45" t="str">
        <f t="shared" si="7"/>
        <v>Vitória da ConquistaManausAvião</v>
      </c>
      <c r="B1864" s="46" t="s">
        <v>31</v>
      </c>
      <c r="C1864" s="46" t="s">
        <v>49</v>
      </c>
      <c r="D1864" s="47" t="s">
        <v>23</v>
      </c>
      <c r="E1864" s="48">
        <v>0</v>
      </c>
    </row>
    <row r="1865" spans="1:5" ht="15.75" customHeight="1" x14ac:dyDescent="0.3">
      <c r="A1865" s="45" t="str">
        <f t="shared" si="7"/>
        <v>Vitória da ConquistaNatalAvião</v>
      </c>
      <c r="B1865" s="46" t="s">
        <v>31</v>
      </c>
      <c r="C1865" s="46" t="s">
        <v>49</v>
      </c>
      <c r="D1865" s="47" t="s">
        <v>61</v>
      </c>
      <c r="E1865" s="48">
        <v>0</v>
      </c>
    </row>
    <row r="1866" spans="1:5" ht="15.75" customHeight="1" x14ac:dyDescent="0.3">
      <c r="A1866" s="45" t="str">
        <f t="shared" si="7"/>
        <v>Vitória da ConquistaPorto AlegreAvião</v>
      </c>
      <c r="B1866" s="46" t="s">
        <v>31</v>
      </c>
      <c r="C1866" s="46" t="s">
        <v>49</v>
      </c>
      <c r="D1866" s="47" t="s">
        <v>44</v>
      </c>
      <c r="E1866" s="48">
        <v>0</v>
      </c>
    </row>
    <row r="1867" spans="1:5" ht="15.75" customHeight="1" x14ac:dyDescent="0.3">
      <c r="A1867" s="45" t="str">
        <f t="shared" si="7"/>
        <v>Vitória da ConquistaRecifeAvião</v>
      </c>
      <c r="B1867" s="46" t="s">
        <v>31</v>
      </c>
      <c r="C1867" s="46" t="s">
        <v>49</v>
      </c>
      <c r="D1867" s="47" t="s">
        <v>62</v>
      </c>
      <c r="E1867" s="48">
        <v>0</v>
      </c>
    </row>
    <row r="1868" spans="1:5" ht="15.75" customHeight="1" x14ac:dyDescent="0.3">
      <c r="A1868" s="45" t="str">
        <f t="shared" si="7"/>
        <v>Vitória da ConquistaRibeirão PretoAvião</v>
      </c>
      <c r="B1868" s="46" t="s">
        <v>31</v>
      </c>
      <c r="C1868" s="46" t="s">
        <v>49</v>
      </c>
      <c r="D1868" s="47" t="s">
        <v>63</v>
      </c>
      <c r="E1868" s="48">
        <v>0</v>
      </c>
    </row>
    <row r="1869" spans="1:5" ht="15.75" customHeight="1" x14ac:dyDescent="0.3">
      <c r="A1869" s="45" t="str">
        <f t="shared" si="7"/>
        <v>Vitória da ConquistaRio de JaneiroAvião</v>
      </c>
      <c r="B1869" s="46" t="s">
        <v>31</v>
      </c>
      <c r="C1869" s="46" t="s">
        <v>49</v>
      </c>
      <c r="D1869" s="47" t="s">
        <v>64</v>
      </c>
      <c r="E1869" s="48">
        <v>0</v>
      </c>
    </row>
    <row r="1870" spans="1:5" ht="15.75" customHeight="1" x14ac:dyDescent="0.3">
      <c r="A1870" s="45" t="str">
        <f t="shared" si="7"/>
        <v>Vitória da ConquistaSalvadorAvião</v>
      </c>
      <c r="B1870" s="46" t="s">
        <v>31</v>
      </c>
      <c r="C1870" s="46" t="s">
        <v>49</v>
      </c>
      <c r="D1870" s="47" t="s">
        <v>65</v>
      </c>
      <c r="E1870" s="48">
        <v>0</v>
      </c>
    </row>
    <row r="1871" spans="1:5" ht="15.75" customHeight="1" x14ac:dyDescent="0.3">
      <c r="A1871" s="45" t="str">
        <f t="shared" si="7"/>
        <v>Vitória da ConquistaSantosAvião</v>
      </c>
      <c r="B1871" s="46" t="s">
        <v>31</v>
      </c>
      <c r="C1871" s="46" t="s">
        <v>49</v>
      </c>
      <c r="D1871" s="47" t="s">
        <v>47</v>
      </c>
      <c r="E1871" s="48">
        <v>0</v>
      </c>
    </row>
    <row r="1872" spans="1:5" ht="15.75" customHeight="1" x14ac:dyDescent="0.3">
      <c r="A1872" s="45" t="str">
        <f t="shared" si="7"/>
        <v>Vitória da ConquistaSão LuísAvião</v>
      </c>
      <c r="B1872" s="46" t="s">
        <v>31</v>
      </c>
      <c r="C1872" s="46" t="s">
        <v>49</v>
      </c>
      <c r="D1872" s="47" t="s">
        <v>50</v>
      </c>
      <c r="E1872" s="48">
        <v>0</v>
      </c>
    </row>
    <row r="1873" spans="1:5" ht="15.75" customHeight="1" x14ac:dyDescent="0.3">
      <c r="A1873" s="45" t="str">
        <f t="shared" si="7"/>
        <v>Vitória da ConquistaSão PauloAvião</v>
      </c>
      <c r="B1873" s="46" t="s">
        <v>31</v>
      </c>
      <c r="C1873" s="46" t="s">
        <v>49</v>
      </c>
      <c r="D1873" s="47" t="s">
        <v>66</v>
      </c>
      <c r="E1873" s="48">
        <v>0</v>
      </c>
    </row>
    <row r="1874" spans="1:5" ht="15.75" customHeight="1" x14ac:dyDescent="0.3">
      <c r="A1874" s="45" t="str">
        <f t="shared" si="7"/>
        <v>Vitória da ConquistaUberlândiaAvião</v>
      </c>
      <c r="B1874" s="46" t="s">
        <v>31</v>
      </c>
      <c r="C1874" s="46" t="s">
        <v>49</v>
      </c>
      <c r="D1874" s="47" t="s">
        <v>67</v>
      </c>
      <c r="E1874" s="48">
        <v>0</v>
      </c>
    </row>
    <row r="1875" spans="1:5" ht="15.75" customHeight="1" x14ac:dyDescent="0.3">
      <c r="A1875" s="45" t="str">
        <f t="shared" si="7"/>
        <v>Vitória da ConquistaVitóriaAvião</v>
      </c>
      <c r="B1875" s="46" t="s">
        <v>31</v>
      </c>
      <c r="C1875" s="46" t="s">
        <v>49</v>
      </c>
      <c r="D1875" s="47" t="s">
        <v>68</v>
      </c>
      <c r="E1875" s="48">
        <v>0</v>
      </c>
    </row>
    <row r="1876" spans="1:5" ht="15.75" customHeight="1" x14ac:dyDescent="0.3">
      <c r="A1876" s="45" t="str">
        <f t="shared" si="7"/>
        <v>Vitória da ConquistaVitória da ConquistaAvião</v>
      </c>
      <c r="B1876" s="46" t="s">
        <v>31</v>
      </c>
      <c r="C1876" s="46" t="s">
        <v>49</v>
      </c>
      <c r="D1876" s="47" t="s">
        <v>49</v>
      </c>
      <c r="E1876" s="48">
        <v>0</v>
      </c>
    </row>
  </sheetData>
  <pageMargins left="0.511811024" right="0.511811024" top="0.78740157499999996" bottom="0.78740157499999996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1:BL1000"/>
  <sheetViews>
    <sheetView workbookViewId="0"/>
  </sheetViews>
  <sheetFormatPr defaultColWidth="14.44140625" defaultRowHeight="15" customHeight="1" x14ac:dyDescent="0.3"/>
  <cols>
    <col min="1" max="1" width="13.6640625" customWidth="1"/>
    <col min="2" max="2" width="19.109375" customWidth="1"/>
    <col min="3" max="3" width="11.33203125" customWidth="1"/>
    <col min="4" max="4" width="10.33203125" customWidth="1"/>
    <col min="5" max="5" width="15.33203125" customWidth="1"/>
    <col min="6" max="6" width="8.33203125" customWidth="1"/>
    <col min="7" max="7" width="13.6640625" customWidth="1"/>
    <col min="8" max="8" width="10" customWidth="1"/>
    <col min="9" max="9" width="7.109375" customWidth="1"/>
    <col min="10" max="10" width="1.6640625" customWidth="1"/>
    <col min="11" max="11" width="7.109375" customWidth="1"/>
    <col min="12" max="12" width="10" customWidth="1"/>
    <col min="13" max="13" width="9.44140625" customWidth="1"/>
    <col min="14" max="14" width="9.6640625" customWidth="1"/>
    <col min="15" max="15" width="7.6640625" customWidth="1"/>
    <col min="16" max="16" width="1.109375" customWidth="1"/>
    <col min="17" max="17" width="8.6640625" customWidth="1"/>
    <col min="18" max="46" width="8.6640625" hidden="1" customWidth="1"/>
    <col min="47" max="64" width="8.6640625" customWidth="1"/>
  </cols>
  <sheetData>
    <row r="1" spans="1:64" ht="11.25" customHeight="1" x14ac:dyDescent="0.3">
      <c r="A1" s="49" t="s">
        <v>27</v>
      </c>
      <c r="B1" s="49" t="s">
        <v>46</v>
      </c>
      <c r="C1" s="50" t="s">
        <v>5</v>
      </c>
      <c r="D1" s="51" t="s">
        <v>11</v>
      </c>
      <c r="E1" s="51" t="s">
        <v>22</v>
      </c>
      <c r="F1" s="52" t="s">
        <v>102</v>
      </c>
      <c r="G1" s="51" t="s">
        <v>51</v>
      </c>
      <c r="H1" s="53" t="s">
        <v>8</v>
      </c>
      <c r="I1" s="51" t="s">
        <v>29</v>
      </c>
      <c r="J1" s="54"/>
      <c r="K1" s="52" t="s">
        <v>29</v>
      </c>
      <c r="L1" s="52" t="s">
        <v>103</v>
      </c>
      <c r="M1" s="55" t="s">
        <v>31</v>
      </c>
      <c r="N1" s="55" t="s">
        <v>25</v>
      </c>
      <c r="O1" s="55" t="s">
        <v>32</v>
      </c>
      <c r="P1" s="54"/>
      <c r="Q1" s="52" t="s">
        <v>104</v>
      </c>
      <c r="R1" s="52" t="s">
        <v>105</v>
      </c>
      <c r="S1" s="52" t="s">
        <v>106</v>
      </c>
      <c r="T1" s="52" t="s">
        <v>107</v>
      </c>
      <c r="U1" s="52" t="s">
        <v>108</v>
      </c>
      <c r="V1" s="52" t="s">
        <v>109</v>
      </c>
      <c r="W1" s="52" t="s">
        <v>110</v>
      </c>
      <c r="X1" s="52" t="s">
        <v>111</v>
      </c>
      <c r="Y1" s="52" t="s">
        <v>21</v>
      </c>
      <c r="Z1" s="52" t="s">
        <v>112</v>
      </c>
      <c r="AA1" s="52" t="s">
        <v>113</v>
      </c>
      <c r="AB1" s="52" t="s">
        <v>114</v>
      </c>
      <c r="AC1" s="52" t="s">
        <v>115</v>
      </c>
      <c r="AD1" s="52" t="s">
        <v>116</v>
      </c>
      <c r="AE1" s="52" t="s">
        <v>117</v>
      </c>
      <c r="AF1" s="52" t="s">
        <v>118</v>
      </c>
      <c r="AG1" s="52" t="s">
        <v>119</v>
      </c>
      <c r="AH1" s="52" t="s">
        <v>120</v>
      </c>
      <c r="AI1" s="52" t="s">
        <v>121</v>
      </c>
      <c r="AJ1" s="52" t="s">
        <v>122</v>
      </c>
      <c r="AK1" s="52" t="s">
        <v>123</v>
      </c>
      <c r="AL1" s="52" t="s">
        <v>124</v>
      </c>
      <c r="AM1" s="52" t="s">
        <v>125</v>
      </c>
      <c r="AN1" s="52" t="s">
        <v>126</v>
      </c>
      <c r="AO1" s="52" t="s">
        <v>127</v>
      </c>
      <c r="AP1" s="52" t="s">
        <v>128</v>
      </c>
      <c r="AQ1" s="52" t="s">
        <v>129</v>
      </c>
      <c r="AR1" s="52" t="s">
        <v>130</v>
      </c>
      <c r="AS1" s="52" t="s">
        <v>131</v>
      </c>
      <c r="AT1" s="52" t="s">
        <v>132</v>
      </c>
      <c r="AU1" s="52" t="s">
        <v>133</v>
      </c>
      <c r="AV1" s="52" t="s">
        <v>134</v>
      </c>
      <c r="AW1" s="52" t="s">
        <v>135</v>
      </c>
      <c r="AX1" s="52" t="s">
        <v>136</v>
      </c>
      <c r="AY1" s="52" t="s">
        <v>137</v>
      </c>
      <c r="AZ1" s="52" t="s">
        <v>138</v>
      </c>
      <c r="BA1" s="52" t="s">
        <v>139</v>
      </c>
      <c r="BB1" s="52" t="s">
        <v>140</v>
      </c>
      <c r="BC1" s="52" t="s">
        <v>141</v>
      </c>
      <c r="BD1" s="52" t="s">
        <v>142</v>
      </c>
      <c r="BE1" s="52" t="s">
        <v>143</v>
      </c>
      <c r="BF1" s="52" t="s">
        <v>144</v>
      </c>
      <c r="BG1" s="52" t="s">
        <v>145</v>
      </c>
      <c r="BH1" s="52" t="s">
        <v>146</v>
      </c>
      <c r="BI1" s="52" t="s">
        <v>147</v>
      </c>
      <c r="BJ1" s="52" t="s">
        <v>148</v>
      </c>
      <c r="BK1" s="52" t="s">
        <v>149</v>
      </c>
      <c r="BL1" s="52" t="s">
        <v>150</v>
      </c>
    </row>
    <row r="2" spans="1:64" ht="11.25" customHeight="1" x14ac:dyDescent="0.3">
      <c r="A2" s="56" t="str">
        <f>INSTALAÇÕES!B8</f>
        <v>Joinville</v>
      </c>
      <c r="B2" s="57" t="str">
        <f>INSTALAÇÕES!B12</f>
        <v>São Luís</v>
      </c>
      <c r="C2" s="58" t="s">
        <v>22</v>
      </c>
      <c r="D2" s="59" t="s">
        <v>27</v>
      </c>
      <c r="E2" s="59" t="s">
        <v>23</v>
      </c>
      <c r="F2" s="60" t="s">
        <v>26</v>
      </c>
      <c r="G2" s="59" t="s">
        <v>48</v>
      </c>
      <c r="H2" s="61" t="s">
        <v>31</v>
      </c>
      <c r="I2" s="52" t="s">
        <v>33</v>
      </c>
      <c r="J2" s="54"/>
      <c r="K2" s="52" t="s">
        <v>33</v>
      </c>
      <c r="L2" s="55" t="s">
        <v>34</v>
      </c>
      <c r="M2" s="62">
        <f t="shared" ref="M2:O2" si="0">ROUND(M5/VLOOKUP($K2,$K$10:$M$12,3,FALSE),0)</f>
        <v>3333</v>
      </c>
      <c r="N2" s="62">
        <f t="shared" si="0"/>
        <v>80000</v>
      </c>
      <c r="O2" s="62">
        <f t="shared" si="0"/>
        <v>333333</v>
      </c>
      <c r="P2" s="54"/>
      <c r="Q2" s="63" t="s">
        <v>151</v>
      </c>
      <c r="R2" s="63" t="s">
        <v>152</v>
      </c>
      <c r="S2" s="63" t="s">
        <v>153</v>
      </c>
      <c r="T2" s="63" t="s">
        <v>154</v>
      </c>
      <c r="U2" s="63" t="s">
        <v>155</v>
      </c>
      <c r="V2" s="63" t="s">
        <v>156</v>
      </c>
      <c r="W2" s="63" t="s">
        <v>157</v>
      </c>
      <c r="X2" s="63" t="s">
        <v>158</v>
      </c>
      <c r="Y2" s="63" t="s">
        <v>38</v>
      </c>
      <c r="Z2" s="63" t="s">
        <v>159</v>
      </c>
      <c r="AA2" s="63" t="s">
        <v>160</v>
      </c>
      <c r="AB2" s="63" t="s">
        <v>161</v>
      </c>
      <c r="AC2" s="63" t="s">
        <v>162</v>
      </c>
      <c r="AD2" s="63" t="s">
        <v>163</v>
      </c>
      <c r="AE2" s="63" t="s">
        <v>164</v>
      </c>
      <c r="AF2" s="63" t="s">
        <v>165</v>
      </c>
      <c r="AG2" s="63" t="s">
        <v>166</v>
      </c>
      <c r="AH2" s="63" t="s">
        <v>167</v>
      </c>
      <c r="AI2" s="63" t="s">
        <v>168</v>
      </c>
      <c r="AJ2" s="63" t="s">
        <v>169</v>
      </c>
      <c r="AK2" s="63" t="s">
        <v>170</v>
      </c>
      <c r="AL2" s="63" t="s">
        <v>171</v>
      </c>
      <c r="AM2" s="63" t="s">
        <v>172</v>
      </c>
      <c r="AN2" s="63" t="s">
        <v>173</v>
      </c>
      <c r="AO2" s="63" t="s">
        <v>174</v>
      </c>
      <c r="AP2" s="63" t="s">
        <v>175</v>
      </c>
      <c r="AQ2" s="63" t="s">
        <v>176</v>
      </c>
      <c r="AR2" s="63" t="s">
        <v>177</v>
      </c>
      <c r="AS2" s="63" t="s">
        <v>178</v>
      </c>
      <c r="AT2" s="63" t="s">
        <v>179</v>
      </c>
      <c r="AU2" s="63" t="s">
        <v>180</v>
      </c>
      <c r="AV2" s="63" t="s">
        <v>181</v>
      </c>
      <c r="AW2" s="63" t="s">
        <v>182</v>
      </c>
      <c r="AX2" s="63" t="s">
        <v>183</v>
      </c>
      <c r="AY2" s="63" t="s">
        <v>184</v>
      </c>
      <c r="AZ2" s="63" t="s">
        <v>185</v>
      </c>
      <c r="BA2" s="63" t="s">
        <v>186</v>
      </c>
      <c r="BB2" s="63" t="s">
        <v>187</v>
      </c>
      <c r="BC2" s="63" t="s">
        <v>188</v>
      </c>
      <c r="BD2" s="63" t="s">
        <v>189</v>
      </c>
      <c r="BE2" s="63" t="s">
        <v>190</v>
      </c>
      <c r="BF2" s="63" t="s">
        <v>191</v>
      </c>
      <c r="BG2" s="63" t="s">
        <v>192</v>
      </c>
      <c r="BH2" s="63" t="s">
        <v>193</v>
      </c>
      <c r="BI2" s="63" t="s">
        <v>194</v>
      </c>
      <c r="BJ2" s="63" t="s">
        <v>195</v>
      </c>
      <c r="BK2" s="63" t="s">
        <v>196</v>
      </c>
      <c r="BL2" s="63" t="s">
        <v>197</v>
      </c>
    </row>
    <row r="3" spans="1:64" ht="11.25" customHeight="1" x14ac:dyDescent="0.3">
      <c r="A3" s="56">
        <f>INSTALAÇÕES!B9</f>
        <v>0</v>
      </c>
      <c r="B3" s="57" t="str">
        <f>INSTALAÇÕES!B13</f>
        <v>Santos</v>
      </c>
      <c r="C3" s="58" t="s">
        <v>27</v>
      </c>
      <c r="D3" s="59" t="s">
        <v>46</v>
      </c>
      <c r="E3" s="59" t="s">
        <v>48</v>
      </c>
      <c r="F3" s="60" t="s">
        <v>26</v>
      </c>
      <c r="G3" s="59" t="s">
        <v>52</v>
      </c>
      <c r="H3" s="61" t="s">
        <v>25</v>
      </c>
      <c r="I3" s="52" t="s">
        <v>35</v>
      </c>
      <c r="J3" s="54"/>
      <c r="K3" s="52" t="s">
        <v>35</v>
      </c>
      <c r="L3" s="55" t="s">
        <v>34</v>
      </c>
      <c r="M3" s="62">
        <f t="shared" ref="M3:O3" si="1">ROUND(M6/VLOOKUP($K3,$K$10:$M$12,3,FALSE),0)</f>
        <v>4000</v>
      </c>
      <c r="N3" s="62">
        <f t="shared" si="1"/>
        <v>96000</v>
      </c>
      <c r="O3" s="62">
        <f t="shared" si="1"/>
        <v>400000</v>
      </c>
      <c r="P3" s="54"/>
      <c r="Q3" s="63" t="s">
        <v>198</v>
      </c>
      <c r="R3" s="63" t="s">
        <v>199</v>
      </c>
      <c r="S3" s="63" t="s">
        <v>200</v>
      </c>
      <c r="T3" s="63" t="s">
        <v>201</v>
      </c>
      <c r="U3" s="63" t="s">
        <v>202</v>
      </c>
      <c r="V3" s="63" t="s">
        <v>203</v>
      </c>
      <c r="W3" s="63" t="s">
        <v>204</v>
      </c>
      <c r="X3" s="63" t="s">
        <v>205</v>
      </c>
      <c r="Y3" s="63" t="s">
        <v>24</v>
      </c>
      <c r="Z3" s="63" t="s">
        <v>206</v>
      </c>
      <c r="AA3" s="63" t="s">
        <v>207</v>
      </c>
      <c r="AB3" s="63" t="s">
        <v>208</v>
      </c>
      <c r="AC3" s="63" t="s">
        <v>209</v>
      </c>
      <c r="AD3" s="63" t="s">
        <v>210</v>
      </c>
      <c r="AE3" s="63" t="s">
        <v>211</v>
      </c>
      <c r="AF3" s="63" t="s">
        <v>212</v>
      </c>
      <c r="AG3" s="63" t="s">
        <v>213</v>
      </c>
      <c r="AH3" s="63" t="s">
        <v>214</v>
      </c>
      <c r="AI3" s="63" t="s">
        <v>215</v>
      </c>
      <c r="AJ3" s="63" t="s">
        <v>216</v>
      </c>
      <c r="AK3" s="63" t="s">
        <v>217</v>
      </c>
      <c r="AL3" s="63" t="s">
        <v>218</v>
      </c>
      <c r="AM3" s="63" t="s">
        <v>219</v>
      </c>
      <c r="AN3" s="63" t="s">
        <v>220</v>
      </c>
      <c r="AO3" s="63" t="s">
        <v>221</v>
      </c>
      <c r="AP3" s="63" t="s">
        <v>222</v>
      </c>
      <c r="AQ3" s="63" t="s">
        <v>223</v>
      </c>
      <c r="AR3" s="63" t="s">
        <v>224</v>
      </c>
      <c r="AS3" s="63" t="s">
        <v>225</v>
      </c>
      <c r="AT3" s="63" t="s">
        <v>226</v>
      </c>
      <c r="AU3" s="63" t="s">
        <v>227</v>
      </c>
      <c r="AV3" s="63" t="s">
        <v>228</v>
      </c>
      <c r="AW3" s="63" t="s">
        <v>229</v>
      </c>
      <c r="AX3" s="63" t="s">
        <v>230</v>
      </c>
      <c r="AY3" s="63" t="s">
        <v>231</v>
      </c>
      <c r="AZ3" s="63" t="s">
        <v>232</v>
      </c>
      <c r="BA3" s="63" t="s">
        <v>233</v>
      </c>
      <c r="BB3" s="63" t="s">
        <v>234</v>
      </c>
      <c r="BC3" s="63" t="s">
        <v>235</v>
      </c>
      <c r="BD3" s="63" t="s">
        <v>236</v>
      </c>
      <c r="BE3" s="63" t="s">
        <v>237</v>
      </c>
      <c r="BF3" s="63" t="s">
        <v>238</v>
      </c>
      <c r="BG3" s="63" t="s">
        <v>239</v>
      </c>
      <c r="BH3" s="63" t="s">
        <v>240</v>
      </c>
      <c r="BI3" s="63" t="s">
        <v>241</v>
      </c>
      <c r="BJ3" s="63" t="s">
        <v>242</v>
      </c>
      <c r="BK3" s="63" t="s">
        <v>243</v>
      </c>
      <c r="BL3" s="63" t="s">
        <v>244</v>
      </c>
    </row>
    <row r="4" spans="1:64" ht="11.25" customHeight="1" x14ac:dyDescent="0.3">
      <c r="A4" s="54"/>
      <c r="B4" s="57">
        <f>INSTALAÇÕES!B14</f>
        <v>0</v>
      </c>
      <c r="C4" s="58" t="s">
        <v>46</v>
      </c>
      <c r="D4" s="59" t="s">
        <v>51</v>
      </c>
      <c r="E4" s="59" t="s">
        <v>37</v>
      </c>
      <c r="F4" s="60" t="s">
        <v>39</v>
      </c>
      <c r="G4" s="59" t="s">
        <v>53</v>
      </c>
      <c r="H4" s="61" t="s">
        <v>32</v>
      </c>
      <c r="I4" s="52" t="s">
        <v>36</v>
      </c>
      <c r="J4" s="54"/>
      <c r="K4" s="52" t="s">
        <v>36</v>
      </c>
      <c r="L4" s="55" t="s">
        <v>34</v>
      </c>
      <c r="M4" s="62">
        <f t="shared" ref="M4:O4" si="2">ROUND(M7/VLOOKUP($K4,$K$10:$M$12,3,FALSE),0)</f>
        <v>6667</v>
      </c>
      <c r="N4" s="62">
        <f t="shared" si="2"/>
        <v>160000</v>
      </c>
      <c r="O4" s="62">
        <f t="shared" si="2"/>
        <v>666667</v>
      </c>
      <c r="P4" s="54"/>
      <c r="Q4" s="63" t="s">
        <v>245</v>
      </c>
      <c r="R4" s="63" t="s">
        <v>246</v>
      </c>
      <c r="S4" s="63" t="s">
        <v>247</v>
      </c>
      <c r="T4" s="63" t="s">
        <v>248</v>
      </c>
      <c r="U4" s="63" t="s">
        <v>249</v>
      </c>
      <c r="V4" s="63" t="s">
        <v>250</v>
      </c>
      <c r="W4" s="63" t="s">
        <v>251</v>
      </c>
      <c r="X4" s="63" t="s">
        <v>252</v>
      </c>
      <c r="Y4" s="63" t="s">
        <v>42</v>
      </c>
      <c r="Z4" s="63" t="s">
        <v>253</v>
      </c>
      <c r="AA4" s="63" t="s">
        <v>254</v>
      </c>
      <c r="AB4" s="63" t="s">
        <v>255</v>
      </c>
      <c r="AC4" s="63" t="s">
        <v>256</v>
      </c>
      <c r="AD4" s="63" t="s">
        <v>257</v>
      </c>
      <c r="AE4" s="63" t="s">
        <v>258</v>
      </c>
      <c r="AF4" s="63" t="s">
        <v>259</v>
      </c>
      <c r="AG4" s="63" t="s">
        <v>260</v>
      </c>
      <c r="AH4" s="63" t="s">
        <v>261</v>
      </c>
      <c r="AI4" s="63" t="s">
        <v>262</v>
      </c>
      <c r="AJ4" s="63" t="s">
        <v>263</v>
      </c>
      <c r="AK4" s="63" t="s">
        <v>264</v>
      </c>
      <c r="AL4" s="63" t="s">
        <v>265</v>
      </c>
      <c r="AM4" s="63" t="s">
        <v>266</v>
      </c>
      <c r="AN4" s="63" t="s">
        <v>267</v>
      </c>
      <c r="AO4" s="63" t="s">
        <v>268</v>
      </c>
      <c r="AP4" s="63" t="s">
        <v>269</v>
      </c>
      <c r="AQ4" s="63" t="s">
        <v>270</v>
      </c>
      <c r="AR4" s="63" t="s">
        <v>271</v>
      </c>
      <c r="AS4" s="63" t="s">
        <v>272</v>
      </c>
      <c r="AT4" s="63" t="s">
        <v>273</v>
      </c>
      <c r="AU4" s="63" t="s">
        <v>274</v>
      </c>
      <c r="AV4" s="63" t="s">
        <v>275</v>
      </c>
      <c r="AW4" s="63" t="s">
        <v>276</v>
      </c>
      <c r="AX4" s="63" t="s">
        <v>277</v>
      </c>
      <c r="AY4" s="63" t="s">
        <v>278</v>
      </c>
      <c r="AZ4" s="63" t="s">
        <v>279</v>
      </c>
      <c r="BA4" s="63" t="s">
        <v>280</v>
      </c>
      <c r="BB4" s="63" t="s">
        <v>281</v>
      </c>
      <c r="BC4" s="63" t="s">
        <v>282</v>
      </c>
      <c r="BD4" s="63" t="s">
        <v>283</v>
      </c>
      <c r="BE4" s="63" t="s">
        <v>284</v>
      </c>
      <c r="BF4" s="63" t="s">
        <v>285</v>
      </c>
      <c r="BG4" s="63" t="s">
        <v>286</v>
      </c>
      <c r="BH4" s="63" t="s">
        <v>287</v>
      </c>
      <c r="BI4" s="63" t="s">
        <v>288</v>
      </c>
      <c r="BJ4" s="63" t="s">
        <v>289</v>
      </c>
      <c r="BK4" s="63" t="s">
        <v>290</v>
      </c>
      <c r="BL4" s="63" t="s">
        <v>291</v>
      </c>
    </row>
    <row r="5" spans="1:64" ht="11.25" customHeight="1" x14ac:dyDescent="0.3">
      <c r="A5" s="54"/>
      <c r="B5" s="57">
        <f>INSTALAÇÕES!B15</f>
        <v>0</v>
      </c>
      <c r="C5" s="64"/>
      <c r="D5" s="64"/>
      <c r="E5" s="59" t="s">
        <v>49</v>
      </c>
      <c r="F5" s="60" t="s">
        <v>39</v>
      </c>
      <c r="G5" s="59" t="s">
        <v>54</v>
      </c>
      <c r="H5" s="64"/>
      <c r="I5" s="52" t="s">
        <v>26</v>
      </c>
      <c r="J5" s="54"/>
      <c r="K5" s="52" t="s">
        <v>26</v>
      </c>
      <c r="L5" s="55" t="s">
        <v>40</v>
      </c>
      <c r="M5" s="65">
        <v>1</v>
      </c>
      <c r="N5" s="65">
        <v>24</v>
      </c>
      <c r="O5" s="65">
        <v>100</v>
      </c>
      <c r="P5" s="54"/>
      <c r="Q5" s="63" t="s">
        <v>292</v>
      </c>
      <c r="R5" s="63" t="s">
        <v>293</v>
      </c>
      <c r="S5" s="63" t="s">
        <v>294</v>
      </c>
      <c r="T5" s="63" t="s">
        <v>295</v>
      </c>
      <c r="U5" s="63" t="s">
        <v>296</v>
      </c>
      <c r="V5" s="63" t="s">
        <v>297</v>
      </c>
      <c r="W5" s="63" t="s">
        <v>298</v>
      </c>
      <c r="X5" s="63" t="s">
        <v>299</v>
      </c>
      <c r="Y5" s="63" t="s">
        <v>45</v>
      </c>
      <c r="Z5" s="63" t="s">
        <v>300</v>
      </c>
      <c r="AA5" s="63" t="s">
        <v>301</v>
      </c>
      <c r="AB5" s="63" t="s">
        <v>302</v>
      </c>
      <c r="AC5" s="63" t="s">
        <v>303</v>
      </c>
      <c r="AD5" s="63" t="s">
        <v>304</v>
      </c>
      <c r="AE5" s="63" t="s">
        <v>305</v>
      </c>
      <c r="AF5" s="63" t="s">
        <v>306</v>
      </c>
      <c r="AG5" s="63" t="s">
        <v>307</v>
      </c>
      <c r="AH5" s="63" t="s">
        <v>308</v>
      </c>
      <c r="AI5" s="63" t="s">
        <v>309</v>
      </c>
      <c r="AJ5" s="63" t="s">
        <v>310</v>
      </c>
      <c r="AK5" s="63" t="s">
        <v>311</v>
      </c>
      <c r="AL5" s="63" t="s">
        <v>312</v>
      </c>
      <c r="AM5" s="63" t="s">
        <v>313</v>
      </c>
      <c r="AN5" s="63" t="s">
        <v>314</v>
      </c>
      <c r="AO5" s="63" t="s">
        <v>315</v>
      </c>
      <c r="AP5" s="63" t="s">
        <v>316</v>
      </c>
      <c r="AQ5" s="63" t="s">
        <v>317</v>
      </c>
      <c r="AR5" s="63" t="s">
        <v>318</v>
      </c>
      <c r="AS5" s="63" t="s">
        <v>319</v>
      </c>
      <c r="AT5" s="63" t="s">
        <v>320</v>
      </c>
      <c r="AU5" s="63" t="s">
        <v>321</v>
      </c>
      <c r="AV5" s="63" t="s">
        <v>322</v>
      </c>
      <c r="AW5" s="63" t="s">
        <v>323</v>
      </c>
      <c r="AX5" s="63" t="s">
        <v>324</v>
      </c>
      <c r="AY5" s="63" t="s">
        <v>325</v>
      </c>
      <c r="AZ5" s="63" t="s">
        <v>326</v>
      </c>
      <c r="BA5" s="63" t="s">
        <v>327</v>
      </c>
      <c r="BB5" s="63" t="s">
        <v>328</v>
      </c>
      <c r="BC5" s="63" t="s">
        <v>329</v>
      </c>
      <c r="BD5" s="63" t="s">
        <v>330</v>
      </c>
      <c r="BE5" s="63" t="s">
        <v>331</v>
      </c>
      <c r="BF5" s="63" t="s">
        <v>332</v>
      </c>
      <c r="BG5" s="63" t="s">
        <v>333</v>
      </c>
      <c r="BH5" s="63" t="s">
        <v>334</v>
      </c>
      <c r="BI5" s="63" t="s">
        <v>335</v>
      </c>
      <c r="BJ5" s="63" t="s">
        <v>336</v>
      </c>
      <c r="BK5" s="63" t="s">
        <v>337</v>
      </c>
      <c r="BL5" s="63" t="s">
        <v>338</v>
      </c>
    </row>
    <row r="6" spans="1:64" ht="11.25" customHeight="1" x14ac:dyDescent="0.3">
      <c r="A6" s="54"/>
      <c r="B6" s="54"/>
      <c r="C6" s="64"/>
      <c r="D6" s="64"/>
      <c r="E6" s="59" t="s">
        <v>28</v>
      </c>
      <c r="F6" s="60" t="s">
        <v>41</v>
      </c>
      <c r="G6" s="59" t="s">
        <v>55</v>
      </c>
      <c r="H6" s="64"/>
      <c r="I6" s="52" t="s">
        <v>39</v>
      </c>
      <c r="J6" s="54"/>
      <c r="K6" s="52" t="s">
        <v>39</v>
      </c>
      <c r="L6" s="55" t="s">
        <v>40</v>
      </c>
      <c r="M6" s="65">
        <v>1</v>
      </c>
      <c r="N6" s="65">
        <v>24</v>
      </c>
      <c r="O6" s="65">
        <v>100</v>
      </c>
      <c r="P6" s="54"/>
      <c r="Q6" s="63" t="s">
        <v>339</v>
      </c>
      <c r="R6" s="63" t="s">
        <v>340</v>
      </c>
      <c r="S6" s="63" t="s">
        <v>341</v>
      </c>
      <c r="T6" s="63" t="s">
        <v>342</v>
      </c>
      <c r="U6" s="63" t="s">
        <v>343</v>
      </c>
      <c r="V6" s="63" t="s">
        <v>344</v>
      </c>
      <c r="W6" s="63" t="s">
        <v>345</v>
      </c>
      <c r="X6" s="63" t="s">
        <v>346</v>
      </c>
      <c r="Y6" s="63" t="s">
        <v>347</v>
      </c>
      <c r="Z6" s="63" t="s">
        <v>348</v>
      </c>
      <c r="AA6" s="63" t="s">
        <v>349</v>
      </c>
      <c r="AB6" s="63" t="s">
        <v>350</v>
      </c>
      <c r="AC6" s="63" t="s">
        <v>351</v>
      </c>
      <c r="AD6" s="63" t="s">
        <v>352</v>
      </c>
      <c r="AE6" s="63" t="s">
        <v>353</v>
      </c>
      <c r="AF6" s="63" t="s">
        <v>354</v>
      </c>
      <c r="AG6" s="63" t="s">
        <v>355</v>
      </c>
      <c r="AH6" s="63" t="s">
        <v>356</v>
      </c>
      <c r="AI6" s="63" t="s">
        <v>357</v>
      </c>
      <c r="AJ6" s="63" t="s">
        <v>358</v>
      </c>
      <c r="AK6" s="63" t="s">
        <v>359</v>
      </c>
      <c r="AL6" s="63" t="s">
        <v>360</v>
      </c>
      <c r="AM6" s="63" t="s">
        <v>361</v>
      </c>
      <c r="AN6" s="63" t="s">
        <v>362</v>
      </c>
      <c r="AO6" s="63" t="s">
        <v>363</v>
      </c>
      <c r="AP6" s="63" t="s">
        <v>364</v>
      </c>
      <c r="AQ6" s="63" t="s">
        <v>365</v>
      </c>
      <c r="AR6" s="63" t="s">
        <v>366</v>
      </c>
      <c r="AS6" s="63" t="s">
        <v>367</v>
      </c>
      <c r="AT6" s="63" t="s">
        <v>368</v>
      </c>
      <c r="AU6" s="63" t="s">
        <v>369</v>
      </c>
      <c r="AV6" s="63" t="s">
        <v>370</v>
      </c>
      <c r="AW6" s="63" t="s">
        <v>371</v>
      </c>
      <c r="AX6" s="63" t="s">
        <v>372</v>
      </c>
      <c r="AY6" s="63" t="s">
        <v>373</v>
      </c>
      <c r="AZ6" s="63" t="s">
        <v>374</v>
      </c>
      <c r="BA6" s="63" t="s">
        <v>375</v>
      </c>
      <c r="BB6" s="63" t="s">
        <v>376</v>
      </c>
      <c r="BC6" s="63" t="s">
        <v>377</v>
      </c>
      <c r="BD6" s="63" t="s">
        <v>378</v>
      </c>
      <c r="BE6" s="63" t="s">
        <v>379</v>
      </c>
      <c r="BF6" s="63" t="s">
        <v>380</v>
      </c>
      <c r="BG6" s="63" t="s">
        <v>381</v>
      </c>
      <c r="BH6" s="63" t="s">
        <v>382</v>
      </c>
      <c r="BI6" s="63" t="s">
        <v>383</v>
      </c>
      <c r="BJ6" s="63" t="s">
        <v>384</v>
      </c>
      <c r="BK6" s="63" t="s">
        <v>385</v>
      </c>
      <c r="BL6" s="63" t="s">
        <v>386</v>
      </c>
    </row>
    <row r="7" spans="1:64" ht="11.25" customHeight="1" x14ac:dyDescent="0.3">
      <c r="A7" s="54"/>
      <c r="B7" s="54"/>
      <c r="C7" s="64"/>
      <c r="D7" s="64"/>
      <c r="E7" s="59" t="s">
        <v>44</v>
      </c>
      <c r="F7" s="60" t="s">
        <v>41</v>
      </c>
      <c r="G7" s="59" t="s">
        <v>37</v>
      </c>
      <c r="H7" s="64"/>
      <c r="I7" s="52" t="s">
        <v>41</v>
      </c>
      <c r="J7" s="54"/>
      <c r="K7" s="52" t="s">
        <v>41</v>
      </c>
      <c r="L7" s="55" t="s">
        <v>40</v>
      </c>
      <c r="M7" s="65">
        <v>1</v>
      </c>
      <c r="N7" s="65">
        <v>24</v>
      </c>
      <c r="O7" s="65">
        <v>100</v>
      </c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/>
      <c r="BB7" s="54"/>
      <c r="BC7" s="54"/>
      <c r="BD7" s="54"/>
      <c r="BE7" s="54"/>
      <c r="BF7" s="54"/>
      <c r="BG7" s="54"/>
      <c r="BH7" s="54"/>
      <c r="BI7" s="54"/>
      <c r="BJ7" s="54"/>
      <c r="BK7" s="54"/>
      <c r="BL7" s="54"/>
    </row>
    <row r="8" spans="1:64" ht="11.25" customHeight="1" x14ac:dyDescent="0.3">
      <c r="A8" s="54"/>
      <c r="B8" s="54"/>
      <c r="C8" s="64"/>
      <c r="D8" s="64"/>
      <c r="E8" s="54"/>
      <c r="F8" s="54"/>
      <c r="G8" s="59" t="s">
        <v>56</v>
      </c>
      <c r="H8" s="6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/>
      <c r="BB8" s="54"/>
      <c r="BC8" s="54"/>
      <c r="BD8" s="54"/>
      <c r="BE8" s="54"/>
      <c r="BF8" s="54"/>
      <c r="BG8" s="54"/>
      <c r="BH8" s="54"/>
      <c r="BI8" s="54"/>
      <c r="BJ8" s="54"/>
      <c r="BK8" s="54"/>
      <c r="BL8" s="54"/>
    </row>
    <row r="9" spans="1:64" ht="11.25" customHeight="1" x14ac:dyDescent="0.3">
      <c r="A9" s="54"/>
      <c r="B9" s="54"/>
      <c r="C9" s="64"/>
      <c r="D9" s="64"/>
      <c r="E9" s="54"/>
      <c r="F9" s="54"/>
      <c r="G9" s="59" t="s">
        <v>57</v>
      </c>
      <c r="H9" s="64"/>
      <c r="I9" s="54"/>
      <c r="J9" s="54"/>
      <c r="K9" s="54" t="s">
        <v>29</v>
      </c>
      <c r="L9" s="54" t="s">
        <v>387</v>
      </c>
      <c r="M9" s="54" t="s">
        <v>388</v>
      </c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/>
      <c r="BB9" s="54"/>
      <c r="BC9" s="54"/>
      <c r="BD9" s="54"/>
      <c r="BE9" s="54"/>
      <c r="BF9" s="54"/>
      <c r="BG9" s="54"/>
      <c r="BH9" s="54"/>
      <c r="BI9" s="54"/>
      <c r="BJ9" s="54"/>
      <c r="BK9" s="54"/>
      <c r="BL9" s="54"/>
    </row>
    <row r="10" spans="1:64" ht="11.25" customHeight="1" x14ac:dyDescent="0.3">
      <c r="A10" s="64"/>
      <c r="B10" s="64"/>
      <c r="C10" s="64"/>
      <c r="D10" s="64"/>
      <c r="E10" s="54"/>
      <c r="F10" s="54"/>
      <c r="G10" s="59" t="s">
        <v>58</v>
      </c>
      <c r="H10" s="64"/>
      <c r="I10" s="54"/>
      <c r="J10" s="54"/>
      <c r="K10" s="54" t="s">
        <v>33</v>
      </c>
      <c r="L10" s="66">
        <v>300</v>
      </c>
      <c r="M10" s="67">
        <f t="shared" ref="M10:M12" si="3">L10/1000000</f>
        <v>2.9999999999999997E-4</v>
      </c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</row>
    <row r="11" spans="1:64" ht="11.25" customHeight="1" x14ac:dyDescent="0.3">
      <c r="A11" s="64"/>
      <c r="B11" s="64"/>
      <c r="C11" s="64"/>
      <c r="D11" s="64"/>
      <c r="E11" s="54"/>
      <c r="F11" s="54"/>
      <c r="G11" s="59" t="s">
        <v>59</v>
      </c>
      <c r="H11" s="64"/>
      <c r="I11" s="54"/>
      <c r="J11" s="54"/>
      <c r="K11" s="54" t="s">
        <v>35</v>
      </c>
      <c r="L11" s="66">
        <v>250</v>
      </c>
      <c r="M11" s="67">
        <f t="shared" si="3"/>
        <v>2.5000000000000001E-4</v>
      </c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</row>
    <row r="12" spans="1:64" ht="11.25" customHeight="1" x14ac:dyDescent="0.3">
      <c r="A12" s="54"/>
      <c r="B12" s="54"/>
      <c r="C12" s="54"/>
      <c r="D12" s="54"/>
      <c r="E12" s="54"/>
      <c r="F12" s="54"/>
      <c r="G12" s="59" t="s">
        <v>28</v>
      </c>
      <c r="H12" s="54"/>
      <c r="I12" s="54"/>
      <c r="J12" s="54"/>
      <c r="K12" s="54" t="s">
        <v>36</v>
      </c>
      <c r="L12" s="66">
        <v>150</v>
      </c>
      <c r="M12" s="67">
        <f t="shared" si="3"/>
        <v>1.4999999999999999E-4</v>
      </c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</row>
    <row r="13" spans="1:64" ht="11.25" customHeight="1" x14ac:dyDescent="0.3">
      <c r="A13" s="54"/>
      <c r="B13" s="54"/>
      <c r="C13" s="54"/>
      <c r="D13" s="54"/>
      <c r="E13" s="54"/>
      <c r="F13" s="54"/>
      <c r="G13" s="59" t="s">
        <v>60</v>
      </c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</row>
    <row r="14" spans="1:64" ht="11.25" customHeight="1" x14ac:dyDescent="0.3">
      <c r="A14" s="54"/>
      <c r="B14" s="54"/>
      <c r="C14" s="54"/>
      <c r="D14" s="54"/>
      <c r="E14" s="54"/>
      <c r="F14" s="54"/>
      <c r="G14" s="59" t="s">
        <v>23</v>
      </c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</row>
    <row r="15" spans="1:64" ht="11.25" customHeight="1" x14ac:dyDescent="0.3">
      <c r="A15" s="54"/>
      <c r="B15" s="54"/>
      <c r="C15" s="54"/>
      <c r="D15" s="54"/>
      <c r="E15" s="54"/>
      <c r="F15" s="54"/>
      <c r="G15" s="59" t="s">
        <v>61</v>
      </c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</row>
    <row r="16" spans="1:64" ht="11.25" customHeight="1" x14ac:dyDescent="0.3">
      <c r="A16" s="54"/>
      <c r="B16" s="54"/>
      <c r="C16" s="54"/>
      <c r="D16" s="54"/>
      <c r="E16" s="54"/>
      <c r="F16" s="54"/>
      <c r="G16" s="59" t="s">
        <v>44</v>
      </c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</row>
    <row r="17" spans="1:64" ht="11.25" customHeight="1" x14ac:dyDescent="0.3">
      <c r="A17" s="54"/>
      <c r="B17" s="54"/>
      <c r="C17" s="54"/>
      <c r="D17" s="54"/>
      <c r="E17" s="54"/>
      <c r="F17" s="54"/>
      <c r="G17" s="59" t="s">
        <v>62</v>
      </c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</row>
    <row r="18" spans="1:64" ht="11.25" customHeight="1" x14ac:dyDescent="0.3">
      <c r="A18" s="54"/>
      <c r="B18" s="54"/>
      <c r="C18" s="54"/>
      <c r="D18" s="54"/>
      <c r="E18" s="54"/>
      <c r="F18" s="54"/>
      <c r="G18" s="59" t="s">
        <v>63</v>
      </c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</row>
    <row r="19" spans="1:64" ht="11.25" customHeight="1" x14ac:dyDescent="0.3">
      <c r="A19" s="54"/>
      <c r="B19" s="54"/>
      <c r="C19" s="54"/>
      <c r="D19" s="54"/>
      <c r="E19" s="54"/>
      <c r="F19" s="54"/>
      <c r="G19" s="59" t="s">
        <v>64</v>
      </c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</row>
    <row r="20" spans="1:64" ht="11.25" customHeight="1" x14ac:dyDescent="0.3">
      <c r="A20" s="54"/>
      <c r="B20" s="54"/>
      <c r="C20" s="54"/>
      <c r="D20" s="54"/>
      <c r="E20" s="54"/>
      <c r="F20" s="54"/>
      <c r="G20" s="59" t="s">
        <v>65</v>
      </c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</row>
    <row r="21" spans="1:64" ht="11.25" customHeight="1" x14ac:dyDescent="0.3">
      <c r="A21" s="54"/>
      <c r="B21" s="54"/>
      <c r="C21" s="54"/>
      <c r="D21" s="54"/>
      <c r="E21" s="54"/>
      <c r="F21" s="54"/>
      <c r="G21" s="59" t="s">
        <v>47</v>
      </c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</row>
    <row r="22" spans="1:64" ht="11.25" customHeight="1" x14ac:dyDescent="0.3">
      <c r="A22" s="54"/>
      <c r="B22" s="54"/>
      <c r="C22" s="54"/>
      <c r="D22" s="54"/>
      <c r="E22" s="54"/>
      <c r="F22" s="54"/>
      <c r="G22" s="59" t="s">
        <v>50</v>
      </c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</row>
    <row r="23" spans="1:64" ht="11.25" customHeight="1" x14ac:dyDescent="0.3">
      <c r="A23" s="54"/>
      <c r="B23" s="54"/>
      <c r="C23" s="54"/>
      <c r="D23" s="54"/>
      <c r="E23" s="54"/>
      <c r="F23" s="54"/>
      <c r="G23" s="59" t="s">
        <v>66</v>
      </c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s="54"/>
      <c r="BI23" s="54"/>
      <c r="BJ23" s="54"/>
      <c r="BK23" s="54"/>
      <c r="BL23" s="54"/>
    </row>
    <row r="24" spans="1:64" ht="11.25" customHeight="1" x14ac:dyDescent="0.3">
      <c r="A24" s="54"/>
      <c r="B24" s="54"/>
      <c r="C24" s="54"/>
      <c r="D24" s="54"/>
      <c r="E24" s="54"/>
      <c r="F24" s="54"/>
      <c r="G24" s="59" t="s">
        <v>67</v>
      </c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</row>
    <row r="25" spans="1:64" ht="11.25" customHeight="1" x14ac:dyDescent="0.3">
      <c r="A25" s="54"/>
      <c r="B25" s="54"/>
      <c r="C25" s="54"/>
      <c r="D25" s="54"/>
      <c r="E25" s="54"/>
      <c r="F25" s="54"/>
      <c r="G25" s="59" t="s">
        <v>68</v>
      </c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BE25" s="54"/>
      <c r="BF25" s="54"/>
      <c r="BG25" s="54"/>
      <c r="BH25" s="54"/>
      <c r="BI25" s="54"/>
      <c r="BJ25" s="54"/>
      <c r="BK25" s="54"/>
      <c r="BL25" s="54"/>
    </row>
    <row r="26" spans="1:64" ht="11.25" customHeight="1" x14ac:dyDescent="0.3">
      <c r="A26" s="54"/>
      <c r="B26" s="54"/>
      <c r="C26" s="54"/>
      <c r="D26" s="54"/>
      <c r="E26" s="54"/>
      <c r="F26" s="54"/>
      <c r="G26" s="59" t="s">
        <v>49</v>
      </c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  <c r="BI26" s="54"/>
      <c r="BJ26" s="54"/>
      <c r="BK26" s="54"/>
      <c r="BL26" s="54"/>
    </row>
    <row r="27" spans="1:64" ht="11.25" customHeight="1" x14ac:dyDescent="0.3">
      <c r="A27" s="5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  <c r="BH27" s="54"/>
      <c r="BI27" s="54"/>
      <c r="BJ27" s="54"/>
      <c r="BK27" s="54"/>
      <c r="BL27" s="54"/>
    </row>
    <row r="28" spans="1:64" ht="11.25" customHeight="1" x14ac:dyDescent="0.3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</row>
    <row r="29" spans="1:64" ht="11.25" customHeight="1" x14ac:dyDescent="0.3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  <c r="BH29" s="54"/>
      <c r="BI29" s="54"/>
      <c r="BJ29" s="54"/>
      <c r="BK29" s="54"/>
      <c r="BL29" s="54"/>
    </row>
    <row r="30" spans="1:64" ht="11.25" customHeight="1" x14ac:dyDescent="0.3">
      <c r="A30" s="5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</row>
    <row r="31" spans="1:64" ht="11.25" customHeight="1" x14ac:dyDescent="0.3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54"/>
      <c r="BI31" s="54"/>
      <c r="BJ31" s="54"/>
      <c r="BK31" s="54"/>
      <c r="BL31" s="54"/>
    </row>
    <row r="32" spans="1:64" ht="11.25" customHeight="1" x14ac:dyDescent="0.3">
      <c r="A32" s="5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</row>
    <row r="33" spans="1:64" ht="11.25" customHeight="1" x14ac:dyDescent="0.3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4"/>
      <c r="BA33" s="54"/>
      <c r="BB33" s="54"/>
      <c r="BC33" s="54"/>
      <c r="BD33" s="54"/>
      <c r="BE33" s="54"/>
      <c r="BF33" s="54"/>
      <c r="BG33" s="54"/>
      <c r="BH33" s="54"/>
      <c r="BI33" s="54"/>
      <c r="BJ33" s="54"/>
      <c r="BK33" s="54"/>
      <c r="BL33" s="54"/>
    </row>
    <row r="34" spans="1:64" ht="11.25" customHeight="1" x14ac:dyDescent="0.3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4"/>
      <c r="BG34" s="54"/>
      <c r="BH34" s="54"/>
      <c r="BI34" s="54"/>
      <c r="BJ34" s="54"/>
      <c r="BK34" s="54"/>
      <c r="BL34" s="54"/>
    </row>
    <row r="35" spans="1:64" ht="11.25" customHeight="1" x14ac:dyDescent="0.3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  <c r="BI35" s="54"/>
      <c r="BJ35" s="54"/>
      <c r="BK35" s="54"/>
      <c r="BL35" s="54"/>
    </row>
    <row r="36" spans="1:64" ht="11.25" customHeight="1" x14ac:dyDescent="0.3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/>
      <c r="AU36" s="54"/>
      <c r="AV36" s="54"/>
      <c r="AW36" s="54"/>
      <c r="AX36" s="54"/>
      <c r="AY36" s="54"/>
      <c r="AZ36" s="54"/>
      <c r="BA36" s="54"/>
      <c r="BB36" s="54"/>
      <c r="BC36" s="54"/>
      <c r="BD36" s="54"/>
      <c r="BE36" s="54"/>
      <c r="BF36" s="54"/>
      <c r="BG36" s="54"/>
      <c r="BH36" s="54"/>
      <c r="BI36" s="54"/>
      <c r="BJ36" s="54"/>
      <c r="BK36" s="54"/>
      <c r="BL36" s="54"/>
    </row>
    <row r="37" spans="1:64" ht="11.25" customHeight="1" x14ac:dyDescent="0.3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54"/>
      <c r="BJ37" s="54"/>
      <c r="BK37" s="54"/>
      <c r="BL37" s="54"/>
    </row>
    <row r="38" spans="1:64" ht="11.25" customHeight="1" x14ac:dyDescent="0.3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  <c r="AM38" s="54"/>
      <c r="AN38" s="54"/>
      <c r="AO38" s="54"/>
      <c r="AP38" s="54"/>
      <c r="AQ38" s="54"/>
      <c r="AR38" s="54"/>
      <c r="AS38" s="54"/>
      <c r="AT38" s="54"/>
      <c r="AU38" s="54"/>
      <c r="AV38" s="54"/>
      <c r="AW38" s="54"/>
      <c r="AX38" s="54"/>
      <c r="AY38" s="54"/>
      <c r="AZ38" s="54"/>
      <c r="BA38" s="54"/>
      <c r="BB38" s="54"/>
      <c r="BC38" s="54"/>
      <c r="BD38" s="54"/>
      <c r="BE38" s="54"/>
      <c r="BF38" s="54"/>
      <c r="BG38" s="54"/>
      <c r="BH38" s="54"/>
      <c r="BI38" s="54"/>
      <c r="BJ38" s="54"/>
      <c r="BK38" s="54"/>
      <c r="BL38" s="54"/>
    </row>
    <row r="39" spans="1:64" ht="11.25" customHeight="1" x14ac:dyDescent="0.3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54"/>
      <c r="AP39" s="54"/>
      <c r="AQ39" s="54"/>
      <c r="AR39" s="54"/>
      <c r="AS39" s="54"/>
      <c r="AT39" s="54"/>
      <c r="AU39" s="54"/>
      <c r="AV39" s="54"/>
      <c r="AW39" s="54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54"/>
      <c r="BK39" s="54"/>
      <c r="BL39" s="54"/>
    </row>
    <row r="40" spans="1:64" ht="11.25" customHeight="1" x14ac:dyDescent="0.3">
      <c r="A40" s="5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  <c r="AR40" s="54"/>
      <c r="AS40" s="54"/>
      <c r="AT40" s="54"/>
      <c r="AU40" s="54"/>
      <c r="AV40" s="5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54"/>
      <c r="BI40" s="54"/>
      <c r="BJ40" s="54"/>
      <c r="BK40" s="54"/>
      <c r="BL40" s="54"/>
    </row>
    <row r="41" spans="1:64" ht="11.25" customHeight="1" x14ac:dyDescent="0.3">
      <c r="A41" s="54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  <c r="AQ41" s="54"/>
      <c r="AR41" s="54"/>
      <c r="AS41" s="54"/>
      <c r="AT41" s="54"/>
      <c r="AU41" s="54"/>
      <c r="AV41" s="54"/>
      <c r="AW41" s="54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54"/>
      <c r="BJ41" s="54"/>
      <c r="BK41" s="54"/>
      <c r="BL41" s="54"/>
    </row>
    <row r="42" spans="1:64" ht="11.25" customHeight="1" x14ac:dyDescent="0.3">
      <c r="A42" s="54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4"/>
      <c r="AR42" s="54"/>
      <c r="AS42" s="54"/>
      <c r="AT42" s="54"/>
      <c r="AU42" s="54"/>
      <c r="AV42" s="5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</row>
    <row r="43" spans="1:64" ht="11.25" customHeight="1" x14ac:dyDescent="0.3">
      <c r="A43" s="54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54"/>
      <c r="AP43" s="54"/>
      <c r="AQ43" s="54"/>
      <c r="AR43" s="54"/>
      <c r="AS43" s="54"/>
      <c r="AT43" s="54"/>
      <c r="AU43" s="54"/>
      <c r="AV43" s="54"/>
      <c r="AW43" s="54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</row>
    <row r="44" spans="1:64" ht="11.25" customHeight="1" x14ac:dyDescent="0.3">
      <c r="A44" s="54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54"/>
      <c r="AP44" s="54"/>
      <c r="AQ44" s="54"/>
      <c r="AR44" s="54"/>
      <c r="AS44" s="54"/>
      <c r="AT44" s="54"/>
      <c r="AU44" s="54"/>
      <c r="AV44" s="54"/>
      <c r="AW44" s="54"/>
      <c r="AX44" s="54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54"/>
      <c r="BK44" s="54"/>
      <c r="BL44" s="54"/>
    </row>
    <row r="45" spans="1:64" ht="11.25" customHeight="1" x14ac:dyDescent="0.3">
      <c r="A45" s="54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4"/>
      <c r="AR45" s="54"/>
      <c r="AS45" s="54"/>
      <c r="AT45" s="54"/>
      <c r="AU45" s="54"/>
      <c r="AV45" s="54"/>
      <c r="AW45" s="54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54"/>
      <c r="BK45" s="54"/>
      <c r="BL45" s="54"/>
    </row>
    <row r="46" spans="1:64" ht="11.25" customHeight="1" x14ac:dyDescent="0.3">
      <c r="A46" s="54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4"/>
      <c r="AR46" s="54"/>
      <c r="AS46" s="54"/>
      <c r="AT46" s="54"/>
      <c r="AU46" s="54"/>
      <c r="AV46" s="54"/>
      <c r="AW46" s="54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54"/>
      <c r="BK46" s="54"/>
      <c r="BL46" s="54"/>
    </row>
    <row r="47" spans="1:64" ht="11.25" customHeight="1" x14ac:dyDescent="0.3">
      <c r="A47" s="54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4"/>
      <c r="AR47" s="54"/>
      <c r="AS47" s="54"/>
      <c r="AT47" s="54"/>
      <c r="AU47" s="54"/>
      <c r="AV47" s="54"/>
      <c r="AW47" s="54"/>
      <c r="AX47" s="54"/>
      <c r="AY47" s="54"/>
      <c r="AZ47" s="54"/>
      <c r="BA47" s="54"/>
      <c r="BB47" s="54"/>
      <c r="BC47" s="54"/>
      <c r="BD47" s="54"/>
      <c r="BE47" s="54"/>
      <c r="BF47" s="54"/>
      <c r="BG47" s="54"/>
      <c r="BH47" s="54"/>
      <c r="BI47" s="54"/>
      <c r="BJ47" s="54"/>
      <c r="BK47" s="54"/>
      <c r="BL47" s="54"/>
    </row>
    <row r="48" spans="1:64" ht="11.25" customHeight="1" x14ac:dyDescent="0.3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54"/>
      <c r="AQ48" s="54"/>
      <c r="AR48" s="54"/>
      <c r="AS48" s="54"/>
      <c r="AT48" s="54"/>
      <c r="AU48" s="54"/>
      <c r="AV48" s="54"/>
      <c r="AW48" s="54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54"/>
      <c r="BJ48" s="54"/>
      <c r="BK48" s="54"/>
      <c r="BL48" s="54"/>
    </row>
    <row r="49" spans="1:64" ht="11.25" customHeight="1" x14ac:dyDescent="0.3">
      <c r="A49" s="54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  <c r="AR49" s="54"/>
      <c r="AS49" s="54"/>
      <c r="AT49" s="54"/>
      <c r="AU49" s="54"/>
      <c r="AV49" s="5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54"/>
      <c r="BL49" s="54"/>
    </row>
    <row r="50" spans="1:64" ht="11.25" customHeight="1" x14ac:dyDescent="0.3">
      <c r="A50" s="54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54"/>
      <c r="AQ50" s="54"/>
      <c r="AR50" s="54"/>
      <c r="AS50" s="54"/>
      <c r="AT50" s="54"/>
      <c r="AU50" s="54"/>
      <c r="AV50" s="5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54"/>
      <c r="BL50" s="54"/>
    </row>
    <row r="51" spans="1:64" ht="11.25" customHeight="1" x14ac:dyDescent="0.3">
      <c r="A51" s="54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54"/>
      <c r="AQ51" s="54"/>
      <c r="AR51" s="54"/>
      <c r="AS51" s="54"/>
      <c r="AT51" s="54"/>
      <c r="AU51" s="54"/>
      <c r="AV51" s="54"/>
      <c r="AW51" s="54"/>
      <c r="AX51" s="54"/>
      <c r="AY51" s="54"/>
      <c r="AZ51" s="54"/>
      <c r="BA51" s="54"/>
      <c r="BB51" s="54"/>
      <c r="BC51" s="54"/>
      <c r="BD51" s="54"/>
      <c r="BE51" s="54"/>
      <c r="BF51" s="54"/>
      <c r="BG51" s="54"/>
      <c r="BH51" s="54"/>
      <c r="BI51" s="54"/>
      <c r="BJ51" s="54"/>
      <c r="BK51" s="54"/>
      <c r="BL51" s="54"/>
    </row>
    <row r="52" spans="1:64" ht="11.25" customHeight="1" x14ac:dyDescent="0.3">
      <c r="A52" s="54"/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54"/>
      <c r="AQ52" s="54"/>
      <c r="AR52" s="54"/>
      <c r="AS52" s="54"/>
      <c r="AT52" s="54"/>
      <c r="AU52" s="54"/>
      <c r="AV52" s="54"/>
      <c r="AW52" s="54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</row>
    <row r="53" spans="1:64" ht="11.25" customHeight="1" x14ac:dyDescent="0.3">
      <c r="A53" s="54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  <c r="AT53" s="54"/>
      <c r="AU53" s="54"/>
      <c r="AV53" s="54"/>
      <c r="AW53" s="54"/>
      <c r="AX53" s="54"/>
      <c r="AY53" s="54"/>
      <c r="AZ53" s="54"/>
      <c r="BA53" s="54"/>
      <c r="BB53" s="54"/>
      <c r="BC53" s="54"/>
      <c r="BD53" s="54"/>
      <c r="BE53" s="54"/>
      <c r="BF53" s="54"/>
      <c r="BG53" s="54"/>
      <c r="BH53" s="54"/>
      <c r="BI53" s="54"/>
      <c r="BJ53" s="54"/>
      <c r="BK53" s="54"/>
      <c r="BL53" s="54"/>
    </row>
    <row r="54" spans="1:64" ht="11.25" customHeight="1" x14ac:dyDescent="0.3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</row>
    <row r="55" spans="1:64" ht="11.25" customHeight="1" x14ac:dyDescent="0.3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54"/>
      <c r="AT55" s="54"/>
      <c r="AU55" s="54"/>
      <c r="AV55" s="54"/>
      <c r="AW55" s="54"/>
      <c r="AX55" s="54"/>
      <c r="AY55" s="54"/>
      <c r="AZ55" s="54"/>
      <c r="BA55" s="54"/>
      <c r="BB55" s="54"/>
      <c r="BC55" s="54"/>
      <c r="BD55" s="54"/>
      <c r="BE55" s="54"/>
      <c r="BF55" s="54"/>
      <c r="BG55" s="54"/>
      <c r="BH55" s="54"/>
      <c r="BI55" s="54"/>
      <c r="BJ55" s="54"/>
      <c r="BK55" s="54"/>
      <c r="BL55" s="54"/>
    </row>
    <row r="56" spans="1:64" ht="11.25" customHeight="1" x14ac:dyDescent="0.3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54"/>
      <c r="AT56" s="54"/>
      <c r="AU56" s="54"/>
      <c r="AV56" s="54"/>
      <c r="AW56" s="54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</row>
    <row r="57" spans="1:64" ht="11.25" customHeight="1" x14ac:dyDescent="0.3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</row>
    <row r="58" spans="1:64" ht="11.25" customHeight="1" x14ac:dyDescent="0.3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</row>
    <row r="59" spans="1:64" ht="11.25" customHeight="1" x14ac:dyDescent="0.3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</row>
    <row r="60" spans="1:64" ht="11.25" customHeight="1" x14ac:dyDescent="0.3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</row>
    <row r="61" spans="1:64" ht="11.25" customHeight="1" x14ac:dyDescent="0.3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</row>
    <row r="62" spans="1:64" ht="11.25" customHeight="1" x14ac:dyDescent="0.3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</row>
    <row r="63" spans="1:64" ht="11.25" customHeight="1" x14ac:dyDescent="0.3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</row>
    <row r="64" spans="1:64" ht="11.25" customHeight="1" x14ac:dyDescent="0.3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</row>
    <row r="65" spans="1:64" ht="11.25" customHeight="1" x14ac:dyDescent="0.3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</row>
    <row r="66" spans="1:64" ht="11.25" customHeight="1" x14ac:dyDescent="0.3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</row>
    <row r="67" spans="1:64" ht="11.25" customHeight="1" x14ac:dyDescent="0.3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</row>
    <row r="68" spans="1:64" ht="11.25" customHeight="1" x14ac:dyDescent="0.3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</row>
    <row r="69" spans="1:64" ht="11.25" customHeight="1" x14ac:dyDescent="0.3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</row>
    <row r="70" spans="1:64" ht="11.25" customHeight="1" x14ac:dyDescent="0.3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  <c r="BI70" s="54"/>
      <c r="BJ70" s="54"/>
      <c r="BK70" s="54"/>
      <c r="BL70" s="54"/>
    </row>
    <row r="71" spans="1:64" ht="11.25" customHeight="1" x14ac:dyDescent="0.3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</row>
    <row r="72" spans="1:64" ht="11.25" customHeight="1" x14ac:dyDescent="0.3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</row>
    <row r="73" spans="1:64" ht="11.25" customHeight="1" x14ac:dyDescent="0.3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</row>
    <row r="74" spans="1:64" ht="11.25" customHeight="1" x14ac:dyDescent="0.3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</row>
    <row r="75" spans="1:64" ht="11.25" customHeight="1" x14ac:dyDescent="0.3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</row>
    <row r="76" spans="1:64" ht="11.25" customHeight="1" x14ac:dyDescent="0.3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</row>
    <row r="77" spans="1:64" ht="11.25" customHeight="1" x14ac:dyDescent="0.3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</row>
    <row r="78" spans="1:64" ht="11.25" customHeight="1" x14ac:dyDescent="0.3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</row>
    <row r="79" spans="1:64" ht="11.25" customHeight="1" x14ac:dyDescent="0.3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  <c r="BH79" s="54"/>
      <c r="BI79" s="54"/>
      <c r="BJ79" s="54"/>
      <c r="BK79" s="54"/>
      <c r="BL79" s="54"/>
    </row>
    <row r="80" spans="1:64" ht="11.25" customHeight="1" x14ac:dyDescent="0.3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  <c r="BI80" s="54"/>
      <c r="BJ80" s="54"/>
      <c r="BK80" s="54"/>
      <c r="BL80" s="54"/>
    </row>
    <row r="81" spans="1:64" ht="11.25" customHeight="1" x14ac:dyDescent="0.3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</row>
    <row r="82" spans="1:64" ht="11.25" customHeight="1" x14ac:dyDescent="0.3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  <c r="BI82" s="54"/>
      <c r="BJ82" s="54"/>
      <c r="BK82" s="54"/>
      <c r="BL82" s="54"/>
    </row>
    <row r="83" spans="1:64" ht="11.25" customHeight="1" x14ac:dyDescent="0.3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</row>
    <row r="84" spans="1:64" ht="11.25" customHeight="1" x14ac:dyDescent="0.3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  <c r="BH84" s="54"/>
      <c r="BI84" s="54"/>
      <c r="BJ84" s="54"/>
      <c r="BK84" s="54"/>
      <c r="BL84" s="54"/>
    </row>
    <row r="85" spans="1:64" ht="11.25" customHeight="1" x14ac:dyDescent="0.3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</row>
    <row r="86" spans="1:64" ht="11.25" customHeight="1" x14ac:dyDescent="0.3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  <c r="BH86" s="54"/>
      <c r="BI86" s="54"/>
      <c r="BJ86" s="54"/>
      <c r="BK86" s="54"/>
      <c r="BL86" s="54"/>
    </row>
    <row r="87" spans="1:64" ht="11.25" customHeight="1" x14ac:dyDescent="0.3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  <c r="BK87" s="54"/>
      <c r="BL87" s="54"/>
    </row>
    <row r="88" spans="1:64" ht="11.25" customHeight="1" x14ac:dyDescent="0.3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  <c r="BK88" s="54"/>
      <c r="BL88" s="54"/>
    </row>
    <row r="89" spans="1:64" ht="11.25" customHeight="1" x14ac:dyDescent="0.3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 s="54"/>
      <c r="AV89" s="54"/>
      <c r="AW89" s="54"/>
      <c r="AX89" s="54"/>
      <c r="AY89" s="54"/>
      <c r="AZ89" s="54"/>
      <c r="BA89" s="54"/>
      <c r="BB89" s="54"/>
      <c r="BC89" s="54"/>
      <c r="BD89" s="54"/>
      <c r="BE89" s="54"/>
      <c r="BF89" s="54"/>
      <c r="BG89" s="54"/>
      <c r="BH89" s="54"/>
      <c r="BI89" s="54"/>
      <c r="BJ89" s="54"/>
      <c r="BK89" s="54"/>
      <c r="BL89" s="54"/>
    </row>
    <row r="90" spans="1:64" ht="11.25" customHeight="1" x14ac:dyDescent="0.3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 s="54"/>
      <c r="AV90" s="54"/>
      <c r="AW90" s="54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</row>
    <row r="91" spans="1:64" ht="11.25" customHeight="1" x14ac:dyDescent="0.3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4"/>
      <c r="AZ91" s="54"/>
      <c r="BA91" s="54"/>
      <c r="BB91" s="54"/>
      <c r="BC91" s="54"/>
      <c r="BD91" s="54"/>
      <c r="BE91" s="54"/>
      <c r="BF91" s="54"/>
      <c r="BG91" s="54"/>
      <c r="BH91" s="54"/>
      <c r="BI91" s="54"/>
      <c r="BJ91" s="54"/>
      <c r="BK91" s="54"/>
      <c r="BL91" s="54"/>
    </row>
    <row r="92" spans="1:64" ht="11.25" customHeight="1" x14ac:dyDescent="0.3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  <c r="AT92" s="54"/>
      <c r="AU92" s="54"/>
      <c r="AV92" s="54"/>
      <c r="AW92" s="54"/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54"/>
      <c r="BK92" s="54"/>
      <c r="BL92" s="54"/>
    </row>
    <row r="93" spans="1:64" ht="11.25" customHeight="1" x14ac:dyDescent="0.3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 s="54"/>
      <c r="AV93" s="54"/>
      <c r="AW93" s="54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</row>
    <row r="94" spans="1:64" ht="11.25" customHeight="1" x14ac:dyDescent="0.3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/>
      <c r="AS94" s="54"/>
      <c r="AT94" s="54"/>
      <c r="AU94" s="54"/>
      <c r="AV94" s="54"/>
      <c r="AW94" s="54"/>
      <c r="AX94" s="54"/>
      <c r="AY94" s="54"/>
      <c r="AZ94" s="54"/>
      <c r="BA94" s="54"/>
      <c r="BB94" s="54"/>
      <c r="BC94" s="54"/>
      <c r="BD94" s="54"/>
      <c r="BE94" s="54"/>
      <c r="BF94" s="54"/>
      <c r="BG94" s="54"/>
      <c r="BH94" s="54"/>
      <c r="BI94" s="54"/>
      <c r="BJ94" s="54"/>
      <c r="BK94" s="54"/>
      <c r="BL94" s="54"/>
    </row>
    <row r="95" spans="1:64" ht="11.25" customHeight="1" x14ac:dyDescent="0.3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</row>
    <row r="96" spans="1:64" ht="11.25" customHeight="1" x14ac:dyDescent="0.3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</row>
    <row r="97" spans="1:64" ht="11.25" customHeight="1" x14ac:dyDescent="0.3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</row>
    <row r="98" spans="1:64" ht="11.25" customHeigh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</row>
    <row r="99" spans="1:64" ht="11.25" customHeight="1" x14ac:dyDescent="0.3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  <c r="AT99" s="54"/>
      <c r="AU99" s="54"/>
      <c r="AV99" s="54"/>
      <c r="AW99" s="54"/>
      <c r="AX99" s="54"/>
      <c r="AY99" s="54"/>
      <c r="AZ99" s="54"/>
      <c r="BA99" s="54"/>
      <c r="BB99" s="54"/>
      <c r="BC99" s="54"/>
      <c r="BD99" s="54"/>
      <c r="BE99" s="54"/>
      <c r="BF99" s="54"/>
      <c r="BG99" s="54"/>
      <c r="BH99" s="54"/>
      <c r="BI99" s="54"/>
      <c r="BJ99" s="54"/>
      <c r="BK99" s="54"/>
      <c r="BL99" s="54"/>
    </row>
    <row r="100" spans="1:64" ht="11.25" customHeight="1" x14ac:dyDescent="0.3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</row>
    <row r="101" spans="1:64" ht="11.25" customHeight="1" x14ac:dyDescent="0.3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</row>
    <row r="102" spans="1:64" ht="11.25" customHeight="1" x14ac:dyDescent="0.3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</row>
    <row r="103" spans="1:64" ht="11.25" customHeight="1" x14ac:dyDescent="0.3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</row>
    <row r="104" spans="1:64" ht="11.25" customHeight="1" x14ac:dyDescent="0.3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  <c r="AU104" s="54"/>
      <c r="AV104" s="54"/>
      <c r="AW104" s="54"/>
      <c r="AX104" s="54"/>
      <c r="AY104" s="54"/>
      <c r="AZ104" s="54"/>
      <c r="BA104" s="54"/>
      <c r="BB104" s="54"/>
      <c r="BC104" s="54"/>
      <c r="BD104" s="54"/>
      <c r="BE104" s="54"/>
      <c r="BF104" s="54"/>
      <c r="BG104" s="54"/>
      <c r="BH104" s="54"/>
      <c r="BI104" s="54"/>
      <c r="BJ104" s="54"/>
      <c r="BK104" s="54"/>
      <c r="BL104" s="54"/>
    </row>
    <row r="105" spans="1:64" ht="11.25" customHeight="1" x14ac:dyDescent="0.3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4"/>
      <c r="AP105" s="54"/>
      <c r="AQ105" s="54"/>
      <c r="AR105" s="54"/>
      <c r="AS105" s="54"/>
      <c r="AT105" s="54"/>
      <c r="AU105" s="54"/>
      <c r="AV105" s="54"/>
      <c r="AW105" s="54"/>
      <c r="AX105" s="54"/>
      <c r="AY105" s="54"/>
      <c r="AZ105" s="54"/>
      <c r="BA105" s="54"/>
      <c r="BB105" s="54"/>
      <c r="BC105" s="54"/>
      <c r="BD105" s="54"/>
      <c r="BE105" s="54"/>
      <c r="BF105" s="54"/>
      <c r="BG105" s="54"/>
      <c r="BH105" s="54"/>
      <c r="BI105" s="54"/>
      <c r="BJ105" s="54"/>
      <c r="BK105" s="54"/>
      <c r="BL105" s="54"/>
    </row>
    <row r="106" spans="1:64" ht="11.25" customHeight="1" x14ac:dyDescent="0.3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54"/>
      <c r="AP106" s="54"/>
      <c r="AQ106" s="54"/>
      <c r="AR106" s="54"/>
      <c r="AS106" s="54"/>
      <c r="AT106" s="54"/>
      <c r="AU106" s="54"/>
      <c r="AV106" s="54"/>
      <c r="AW106" s="54"/>
      <c r="AX106" s="54"/>
      <c r="AY106" s="54"/>
      <c r="AZ106" s="54"/>
      <c r="BA106" s="54"/>
      <c r="BB106" s="54"/>
      <c r="BC106" s="54"/>
      <c r="BD106" s="54"/>
      <c r="BE106" s="54"/>
      <c r="BF106" s="54"/>
      <c r="BG106" s="54"/>
      <c r="BH106" s="54"/>
      <c r="BI106" s="54"/>
      <c r="BJ106" s="54"/>
      <c r="BK106" s="54"/>
      <c r="BL106" s="54"/>
    </row>
    <row r="107" spans="1:64" ht="11.25" customHeight="1" x14ac:dyDescent="0.3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  <c r="AO107" s="54"/>
      <c r="AP107" s="54"/>
      <c r="AQ107" s="54"/>
      <c r="AR107" s="54"/>
      <c r="AS107" s="54"/>
      <c r="AT107" s="54"/>
      <c r="AU107" s="54"/>
      <c r="AV107" s="54"/>
      <c r="AW107" s="54"/>
      <c r="AX107" s="54"/>
      <c r="AY107" s="54"/>
      <c r="AZ107" s="54"/>
      <c r="BA107" s="54"/>
      <c r="BB107" s="54"/>
      <c r="BC107" s="54"/>
      <c r="BD107" s="54"/>
      <c r="BE107" s="54"/>
      <c r="BF107" s="54"/>
      <c r="BG107" s="54"/>
      <c r="BH107" s="54"/>
      <c r="BI107" s="54"/>
      <c r="BJ107" s="54"/>
      <c r="BK107" s="54"/>
      <c r="BL107" s="54"/>
    </row>
    <row r="108" spans="1:64" ht="11.25" customHeight="1" x14ac:dyDescent="0.3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/>
      <c r="AS108" s="54"/>
      <c r="AT108" s="54"/>
      <c r="AU108" s="54"/>
      <c r="AV108" s="54"/>
      <c r="AW108" s="54"/>
      <c r="AX108" s="54"/>
      <c r="AY108" s="54"/>
      <c r="AZ108" s="54"/>
      <c r="BA108" s="54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</row>
    <row r="109" spans="1:64" ht="11.25" customHeight="1" x14ac:dyDescent="0.3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  <c r="AT109" s="54"/>
      <c r="AU109" s="54"/>
      <c r="AV109" s="54"/>
      <c r="AW109" s="54"/>
      <c r="AX109" s="54"/>
      <c r="AY109" s="54"/>
      <c r="AZ109" s="54"/>
      <c r="BA109" s="54"/>
      <c r="BB109" s="54"/>
      <c r="BC109" s="54"/>
      <c r="BD109" s="54"/>
      <c r="BE109" s="54"/>
      <c r="BF109" s="54"/>
      <c r="BG109" s="54"/>
      <c r="BH109" s="54"/>
      <c r="BI109" s="54"/>
      <c r="BJ109" s="54"/>
      <c r="BK109" s="54"/>
      <c r="BL109" s="54"/>
    </row>
    <row r="110" spans="1:64" ht="11.25" customHeight="1" x14ac:dyDescent="0.3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  <c r="AU110" s="54"/>
      <c r="AV110" s="54"/>
      <c r="AW110" s="54"/>
      <c r="AX110" s="54"/>
      <c r="AY110" s="54"/>
      <c r="AZ110" s="54"/>
      <c r="BA110" s="54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</row>
    <row r="111" spans="1:64" ht="11.25" customHeight="1" x14ac:dyDescent="0.3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54"/>
      <c r="AP111" s="54"/>
      <c r="AQ111" s="54"/>
      <c r="AR111" s="54"/>
      <c r="AS111" s="54"/>
      <c r="AT111" s="54"/>
      <c r="AU111" s="54"/>
      <c r="AV111" s="54"/>
      <c r="AW111" s="54"/>
      <c r="AX111" s="54"/>
      <c r="AY111" s="54"/>
      <c r="AZ111" s="54"/>
      <c r="BA111" s="54"/>
      <c r="BB111" s="54"/>
      <c r="BC111" s="54"/>
      <c r="BD111" s="54"/>
      <c r="BE111" s="54"/>
      <c r="BF111" s="54"/>
      <c r="BG111" s="54"/>
      <c r="BH111" s="54"/>
      <c r="BI111" s="54"/>
      <c r="BJ111" s="54"/>
      <c r="BK111" s="54"/>
      <c r="BL111" s="54"/>
    </row>
    <row r="112" spans="1:64" ht="11.25" customHeight="1" x14ac:dyDescent="0.3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  <c r="AK112" s="54"/>
      <c r="AL112" s="54"/>
      <c r="AM112" s="54"/>
      <c r="AN112" s="54"/>
      <c r="AO112" s="54"/>
      <c r="AP112" s="54"/>
      <c r="AQ112" s="54"/>
      <c r="AR112" s="54"/>
      <c r="AS112" s="54"/>
      <c r="AT112" s="54"/>
      <c r="AU112" s="54"/>
      <c r="AV112" s="54"/>
      <c r="AW112" s="54"/>
      <c r="AX112" s="54"/>
      <c r="AY112" s="54"/>
      <c r="AZ112" s="54"/>
      <c r="BA112" s="54"/>
      <c r="BB112" s="54"/>
      <c r="BC112" s="54"/>
      <c r="BD112" s="54"/>
      <c r="BE112" s="54"/>
      <c r="BF112" s="54"/>
      <c r="BG112" s="54"/>
      <c r="BH112" s="54"/>
      <c r="BI112" s="54"/>
      <c r="BJ112" s="54"/>
      <c r="BK112" s="54"/>
      <c r="BL112" s="54"/>
    </row>
    <row r="113" spans="1:64" ht="11.25" customHeight="1" x14ac:dyDescent="0.3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  <c r="AT113" s="54"/>
      <c r="AU113" s="54"/>
      <c r="AV113" s="54"/>
      <c r="AW113" s="54"/>
      <c r="AX113" s="54"/>
      <c r="AY113" s="54"/>
      <c r="AZ113" s="54"/>
      <c r="BA113" s="54"/>
      <c r="BB113" s="54"/>
      <c r="BC113" s="54"/>
      <c r="BD113" s="54"/>
      <c r="BE113" s="54"/>
      <c r="BF113" s="54"/>
      <c r="BG113" s="54"/>
      <c r="BH113" s="54"/>
      <c r="BI113" s="54"/>
      <c r="BJ113" s="54"/>
      <c r="BK113" s="54"/>
      <c r="BL113" s="54"/>
    </row>
    <row r="114" spans="1:64" ht="11.25" customHeight="1" x14ac:dyDescent="0.3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  <c r="AT114" s="54"/>
      <c r="AU114" s="54"/>
      <c r="AV114" s="54"/>
      <c r="AW114" s="54"/>
      <c r="AX114" s="54"/>
      <c r="AY114" s="54"/>
      <c r="AZ114" s="54"/>
      <c r="BA114" s="54"/>
      <c r="BB114" s="54"/>
      <c r="BC114" s="54"/>
      <c r="BD114" s="54"/>
      <c r="BE114" s="54"/>
      <c r="BF114" s="54"/>
      <c r="BG114" s="54"/>
      <c r="BH114" s="54"/>
      <c r="BI114" s="54"/>
      <c r="BJ114" s="54"/>
      <c r="BK114" s="54"/>
      <c r="BL114" s="54"/>
    </row>
    <row r="115" spans="1:64" ht="11.25" customHeight="1" x14ac:dyDescent="0.3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  <c r="AT115" s="54"/>
      <c r="AU115" s="54"/>
      <c r="AV115" s="54"/>
      <c r="AW115" s="54"/>
      <c r="AX115" s="54"/>
      <c r="AY115" s="54"/>
      <c r="AZ115" s="54"/>
      <c r="BA115" s="54"/>
      <c r="BB115" s="54"/>
      <c r="BC115" s="54"/>
      <c r="BD115" s="54"/>
      <c r="BE115" s="54"/>
      <c r="BF115" s="54"/>
      <c r="BG115" s="54"/>
      <c r="BH115" s="54"/>
      <c r="BI115" s="54"/>
      <c r="BJ115" s="54"/>
      <c r="BK115" s="54"/>
      <c r="BL115" s="54"/>
    </row>
    <row r="116" spans="1:64" ht="11.25" customHeight="1" x14ac:dyDescent="0.3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  <c r="AU116" s="54"/>
      <c r="AV116" s="54"/>
      <c r="AW116" s="54"/>
      <c r="AX116" s="54"/>
      <c r="AY116" s="54"/>
      <c r="AZ116" s="54"/>
      <c r="BA116" s="54"/>
      <c r="BB116" s="54"/>
      <c r="BC116" s="54"/>
      <c r="BD116" s="54"/>
      <c r="BE116" s="54"/>
      <c r="BF116" s="54"/>
      <c r="BG116" s="54"/>
      <c r="BH116" s="54"/>
      <c r="BI116" s="54"/>
      <c r="BJ116" s="54"/>
      <c r="BK116" s="54"/>
      <c r="BL116" s="54"/>
    </row>
    <row r="117" spans="1:64" ht="11.25" customHeight="1" x14ac:dyDescent="0.3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  <c r="BA117" s="54"/>
      <c r="BB117" s="54"/>
      <c r="BC117" s="54"/>
      <c r="BD117" s="54"/>
      <c r="BE117" s="54"/>
      <c r="BF117" s="54"/>
      <c r="BG117" s="54"/>
      <c r="BH117" s="54"/>
      <c r="BI117" s="54"/>
      <c r="BJ117" s="54"/>
      <c r="BK117" s="54"/>
      <c r="BL117" s="54"/>
    </row>
    <row r="118" spans="1:64" ht="11.25" customHeight="1" x14ac:dyDescent="0.3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  <c r="AR118" s="54"/>
      <c r="AS118" s="54"/>
      <c r="AT118" s="54"/>
      <c r="AU118" s="54"/>
      <c r="AV118" s="54"/>
      <c r="AW118" s="54"/>
      <c r="AX118" s="54"/>
      <c r="AY118" s="54"/>
      <c r="AZ118" s="54"/>
      <c r="BA118" s="54"/>
      <c r="BB118" s="54"/>
      <c r="BC118" s="54"/>
      <c r="BD118" s="54"/>
      <c r="BE118" s="54"/>
      <c r="BF118" s="54"/>
      <c r="BG118" s="54"/>
      <c r="BH118" s="54"/>
      <c r="BI118" s="54"/>
      <c r="BJ118" s="54"/>
      <c r="BK118" s="54"/>
      <c r="BL118" s="54"/>
    </row>
    <row r="119" spans="1:64" ht="11.25" customHeight="1" x14ac:dyDescent="0.3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  <c r="AT119" s="54"/>
      <c r="AU119" s="54"/>
      <c r="AV119" s="54"/>
      <c r="AW119" s="54"/>
      <c r="AX119" s="54"/>
      <c r="AY119" s="54"/>
      <c r="AZ119" s="54"/>
      <c r="BA119" s="54"/>
      <c r="BB119" s="54"/>
      <c r="BC119" s="54"/>
      <c r="BD119" s="54"/>
      <c r="BE119" s="54"/>
      <c r="BF119" s="54"/>
      <c r="BG119" s="54"/>
      <c r="BH119" s="54"/>
      <c r="BI119" s="54"/>
      <c r="BJ119" s="54"/>
      <c r="BK119" s="54"/>
      <c r="BL119" s="54"/>
    </row>
    <row r="120" spans="1:64" ht="11.25" customHeight="1" x14ac:dyDescent="0.3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 s="54"/>
      <c r="AV120" s="54"/>
      <c r="AW120" s="54"/>
      <c r="AX120" s="54"/>
      <c r="AY120" s="54"/>
      <c r="AZ120" s="54"/>
      <c r="BA120" s="54"/>
      <c r="BB120" s="54"/>
      <c r="BC120" s="54"/>
      <c r="BD120" s="54"/>
      <c r="BE120" s="54"/>
      <c r="BF120" s="54"/>
      <c r="BG120" s="54"/>
      <c r="BH120" s="54"/>
      <c r="BI120" s="54"/>
      <c r="BJ120" s="54"/>
      <c r="BK120" s="54"/>
      <c r="BL120" s="54"/>
    </row>
    <row r="121" spans="1:64" ht="11.25" customHeight="1" x14ac:dyDescent="0.3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54"/>
      <c r="AP121" s="54"/>
      <c r="AQ121" s="54"/>
      <c r="AR121" s="54"/>
      <c r="AS121" s="54"/>
      <c r="AT121" s="54"/>
      <c r="AU121" s="54"/>
      <c r="AV121" s="54"/>
      <c r="AW121" s="54"/>
      <c r="AX121" s="54"/>
      <c r="AY121" s="54"/>
      <c r="AZ121" s="54"/>
      <c r="BA121" s="54"/>
      <c r="BB121" s="54"/>
      <c r="BC121" s="54"/>
      <c r="BD121" s="54"/>
      <c r="BE121" s="54"/>
      <c r="BF121" s="54"/>
      <c r="BG121" s="54"/>
      <c r="BH121" s="54"/>
      <c r="BI121" s="54"/>
      <c r="BJ121" s="54"/>
      <c r="BK121" s="54"/>
      <c r="BL121" s="54"/>
    </row>
    <row r="122" spans="1:64" ht="11.25" customHeight="1" x14ac:dyDescent="0.3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  <c r="AK122" s="54"/>
      <c r="AL122" s="54"/>
      <c r="AM122" s="54"/>
      <c r="AN122" s="54"/>
      <c r="AO122" s="54"/>
      <c r="AP122" s="54"/>
      <c r="AQ122" s="54"/>
      <c r="AR122" s="54"/>
      <c r="AS122" s="54"/>
      <c r="AT122" s="54"/>
      <c r="AU122" s="54"/>
      <c r="AV122" s="54"/>
      <c r="AW122" s="54"/>
      <c r="AX122" s="54"/>
      <c r="AY122" s="54"/>
      <c r="AZ122" s="54"/>
      <c r="BA122" s="54"/>
      <c r="BB122" s="54"/>
      <c r="BC122" s="54"/>
      <c r="BD122" s="54"/>
      <c r="BE122" s="54"/>
      <c r="BF122" s="54"/>
      <c r="BG122" s="54"/>
      <c r="BH122" s="54"/>
      <c r="BI122" s="54"/>
      <c r="BJ122" s="54"/>
      <c r="BK122" s="54"/>
      <c r="BL122" s="54"/>
    </row>
    <row r="123" spans="1:64" ht="11.25" customHeight="1" x14ac:dyDescent="0.3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54"/>
      <c r="AP123" s="54"/>
      <c r="AQ123" s="54"/>
      <c r="AR123" s="54"/>
      <c r="AS123" s="54"/>
      <c r="AT123" s="54"/>
      <c r="AU123" s="54"/>
      <c r="AV123" s="54"/>
      <c r="AW123" s="54"/>
      <c r="AX123" s="54"/>
      <c r="AY123" s="54"/>
      <c r="AZ123" s="54"/>
      <c r="BA123" s="54"/>
      <c r="BB123" s="54"/>
      <c r="BC123" s="54"/>
      <c r="BD123" s="54"/>
      <c r="BE123" s="54"/>
      <c r="BF123" s="54"/>
      <c r="BG123" s="54"/>
      <c r="BH123" s="54"/>
      <c r="BI123" s="54"/>
      <c r="BJ123" s="54"/>
      <c r="BK123" s="54"/>
      <c r="BL123" s="54"/>
    </row>
    <row r="124" spans="1:64" ht="11.25" customHeight="1" x14ac:dyDescent="0.3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  <c r="AK124" s="54"/>
      <c r="AL124" s="54"/>
      <c r="AM124" s="54"/>
      <c r="AN124" s="54"/>
      <c r="AO124" s="54"/>
      <c r="AP124" s="54"/>
      <c r="AQ124" s="54"/>
      <c r="AR124" s="54"/>
      <c r="AS124" s="54"/>
      <c r="AT124" s="54"/>
      <c r="AU124" s="54"/>
      <c r="AV124" s="54"/>
      <c r="AW124" s="54"/>
      <c r="AX124" s="54"/>
      <c r="AY124" s="54"/>
      <c r="AZ124" s="54"/>
      <c r="BA124" s="54"/>
      <c r="BB124" s="54"/>
      <c r="BC124" s="54"/>
      <c r="BD124" s="54"/>
      <c r="BE124" s="54"/>
      <c r="BF124" s="54"/>
      <c r="BG124" s="54"/>
      <c r="BH124" s="54"/>
      <c r="BI124" s="54"/>
      <c r="BJ124" s="54"/>
      <c r="BK124" s="54"/>
      <c r="BL124" s="54"/>
    </row>
    <row r="125" spans="1:64" ht="11.25" customHeight="1" x14ac:dyDescent="0.3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  <c r="AR125" s="54"/>
      <c r="AS125" s="54"/>
      <c r="AT125" s="54"/>
      <c r="AU125" s="54"/>
      <c r="AV125" s="54"/>
      <c r="AW125" s="54"/>
      <c r="AX125" s="54"/>
      <c r="AY125" s="54"/>
      <c r="AZ125" s="54"/>
      <c r="BA125" s="54"/>
      <c r="BB125" s="54"/>
      <c r="BC125" s="54"/>
      <c r="BD125" s="54"/>
      <c r="BE125" s="54"/>
      <c r="BF125" s="54"/>
      <c r="BG125" s="54"/>
      <c r="BH125" s="54"/>
      <c r="BI125" s="54"/>
      <c r="BJ125" s="54"/>
      <c r="BK125" s="54"/>
      <c r="BL125" s="54"/>
    </row>
    <row r="126" spans="1:64" ht="11.25" customHeight="1" x14ac:dyDescent="0.3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  <c r="AK126" s="54"/>
      <c r="AL126" s="54"/>
      <c r="AM126" s="54"/>
      <c r="AN126" s="54"/>
      <c r="AO126" s="54"/>
      <c r="AP126" s="54"/>
      <c r="AQ126" s="54"/>
      <c r="AR126" s="54"/>
      <c r="AS126" s="54"/>
      <c r="AT126" s="54"/>
      <c r="AU126" s="54"/>
      <c r="AV126" s="54"/>
      <c r="AW126" s="54"/>
      <c r="AX126" s="54"/>
      <c r="AY126" s="54"/>
      <c r="AZ126" s="54"/>
      <c r="BA126" s="54"/>
      <c r="BB126" s="54"/>
      <c r="BC126" s="54"/>
      <c r="BD126" s="54"/>
      <c r="BE126" s="54"/>
      <c r="BF126" s="54"/>
      <c r="BG126" s="54"/>
      <c r="BH126" s="54"/>
      <c r="BI126" s="54"/>
      <c r="BJ126" s="54"/>
      <c r="BK126" s="54"/>
      <c r="BL126" s="54"/>
    </row>
    <row r="127" spans="1:64" ht="11.25" customHeight="1" x14ac:dyDescent="0.3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  <c r="AR127" s="54"/>
      <c r="AS127" s="54"/>
      <c r="AT127" s="54"/>
      <c r="AU127" s="54"/>
      <c r="AV127" s="54"/>
      <c r="AW127" s="54"/>
      <c r="AX127" s="54"/>
      <c r="AY127" s="54"/>
      <c r="AZ127" s="54"/>
      <c r="BA127" s="54"/>
      <c r="BB127" s="54"/>
      <c r="BC127" s="54"/>
      <c r="BD127" s="54"/>
      <c r="BE127" s="54"/>
      <c r="BF127" s="54"/>
      <c r="BG127" s="54"/>
      <c r="BH127" s="54"/>
      <c r="BI127" s="54"/>
      <c r="BJ127" s="54"/>
      <c r="BK127" s="54"/>
      <c r="BL127" s="54"/>
    </row>
    <row r="128" spans="1:64" ht="11.25" customHeight="1" x14ac:dyDescent="0.3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  <c r="BL128" s="54"/>
    </row>
    <row r="129" spans="1:64" ht="11.25" customHeight="1" x14ac:dyDescent="0.3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  <c r="BA129" s="54"/>
      <c r="BB129" s="54"/>
      <c r="BC129" s="54"/>
      <c r="BD129" s="54"/>
      <c r="BE129" s="54"/>
      <c r="BF129" s="54"/>
      <c r="BG129" s="54"/>
      <c r="BH129" s="54"/>
      <c r="BI129" s="54"/>
      <c r="BJ129" s="54"/>
      <c r="BK129" s="54"/>
      <c r="BL129" s="54"/>
    </row>
    <row r="130" spans="1:64" ht="11.25" customHeight="1" x14ac:dyDescent="0.3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  <c r="AK130" s="54"/>
      <c r="AL130" s="54"/>
      <c r="AM130" s="54"/>
      <c r="AN130" s="54"/>
      <c r="AO130" s="54"/>
      <c r="AP130" s="54"/>
      <c r="AQ130" s="54"/>
      <c r="AR130" s="54"/>
      <c r="AS130" s="54"/>
      <c r="AT130" s="54"/>
      <c r="AU130" s="54"/>
      <c r="AV130" s="54"/>
      <c r="AW130" s="54"/>
      <c r="AX130" s="54"/>
      <c r="AY130" s="54"/>
      <c r="AZ130" s="54"/>
      <c r="BA130" s="54"/>
      <c r="BB130" s="54"/>
      <c r="BC130" s="54"/>
      <c r="BD130" s="54"/>
      <c r="BE130" s="54"/>
      <c r="BF130" s="54"/>
      <c r="BG130" s="54"/>
      <c r="BH130" s="54"/>
      <c r="BI130" s="54"/>
      <c r="BJ130" s="54"/>
      <c r="BK130" s="54"/>
      <c r="BL130" s="54"/>
    </row>
    <row r="131" spans="1:64" ht="11.25" customHeight="1" x14ac:dyDescent="0.3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  <c r="BL131" s="54"/>
    </row>
    <row r="132" spans="1:64" ht="11.25" customHeight="1" x14ac:dyDescent="0.3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  <c r="AH132" s="54"/>
      <c r="AI132" s="54"/>
      <c r="AJ132" s="54"/>
      <c r="AK132" s="54"/>
      <c r="AL132" s="54"/>
      <c r="AM132" s="54"/>
      <c r="AN132" s="54"/>
      <c r="AO132" s="54"/>
      <c r="AP132" s="54"/>
      <c r="AQ132" s="54"/>
      <c r="AR132" s="54"/>
      <c r="AS132" s="54"/>
      <c r="AT132" s="54"/>
      <c r="AU132" s="54"/>
      <c r="AV132" s="54"/>
      <c r="AW132" s="54"/>
      <c r="AX132" s="54"/>
      <c r="AY132" s="54"/>
      <c r="AZ132" s="54"/>
      <c r="BA132" s="54"/>
      <c r="BB132" s="54"/>
      <c r="BC132" s="54"/>
      <c r="BD132" s="54"/>
      <c r="BE132" s="54"/>
      <c r="BF132" s="54"/>
      <c r="BG132" s="54"/>
      <c r="BH132" s="54"/>
      <c r="BI132" s="54"/>
      <c r="BJ132" s="54"/>
      <c r="BK132" s="54"/>
      <c r="BL132" s="54"/>
    </row>
    <row r="133" spans="1:64" ht="11.25" customHeight="1" x14ac:dyDescent="0.3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54"/>
      <c r="AP133" s="54"/>
      <c r="AQ133" s="54"/>
      <c r="AR133" s="54"/>
      <c r="AS133" s="54"/>
      <c r="AT133" s="54"/>
      <c r="AU133" s="54"/>
      <c r="AV133" s="54"/>
      <c r="AW133" s="54"/>
      <c r="AX133" s="54"/>
      <c r="AY133" s="54"/>
      <c r="AZ133" s="54"/>
      <c r="BA133" s="54"/>
      <c r="BB133" s="54"/>
      <c r="BC133" s="54"/>
      <c r="BD133" s="54"/>
      <c r="BE133" s="54"/>
      <c r="BF133" s="54"/>
      <c r="BG133" s="54"/>
      <c r="BH133" s="54"/>
      <c r="BI133" s="54"/>
      <c r="BJ133" s="54"/>
      <c r="BK133" s="54"/>
      <c r="BL133" s="54"/>
    </row>
    <row r="134" spans="1:64" ht="11.25" customHeight="1" x14ac:dyDescent="0.3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  <c r="AI134" s="54"/>
      <c r="AJ134" s="54"/>
      <c r="AK134" s="54"/>
      <c r="AL134" s="54"/>
      <c r="AM134" s="54"/>
      <c r="AN134" s="54"/>
      <c r="AO134" s="54"/>
      <c r="AP134" s="54"/>
      <c r="AQ134" s="54"/>
      <c r="AR134" s="54"/>
      <c r="AS134" s="54"/>
      <c r="AT134" s="54"/>
      <c r="AU134" s="54"/>
      <c r="AV134" s="54"/>
      <c r="AW134" s="54"/>
      <c r="AX134" s="54"/>
      <c r="AY134" s="54"/>
      <c r="AZ134" s="54"/>
      <c r="BA134" s="54"/>
      <c r="BB134" s="54"/>
      <c r="BC134" s="54"/>
      <c r="BD134" s="54"/>
      <c r="BE134" s="54"/>
      <c r="BF134" s="54"/>
      <c r="BG134" s="54"/>
      <c r="BH134" s="54"/>
      <c r="BI134" s="54"/>
      <c r="BJ134" s="54"/>
      <c r="BK134" s="54"/>
      <c r="BL134" s="54"/>
    </row>
    <row r="135" spans="1:64" ht="11.25" customHeight="1" x14ac:dyDescent="0.3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54"/>
      <c r="AP135" s="54"/>
      <c r="AQ135" s="54"/>
      <c r="AR135" s="54"/>
      <c r="AS135" s="54"/>
      <c r="AT135" s="54"/>
      <c r="AU135" s="54"/>
      <c r="AV135" s="54"/>
      <c r="AW135" s="54"/>
      <c r="AX135" s="54"/>
      <c r="AY135" s="54"/>
      <c r="AZ135" s="54"/>
      <c r="BA135" s="54"/>
      <c r="BB135" s="54"/>
      <c r="BC135" s="54"/>
      <c r="BD135" s="54"/>
      <c r="BE135" s="54"/>
      <c r="BF135" s="54"/>
      <c r="BG135" s="54"/>
      <c r="BH135" s="54"/>
      <c r="BI135" s="54"/>
      <c r="BJ135" s="54"/>
      <c r="BK135" s="54"/>
      <c r="BL135" s="54"/>
    </row>
    <row r="136" spans="1:64" ht="11.25" customHeight="1" x14ac:dyDescent="0.3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4"/>
      <c r="AI136" s="54"/>
      <c r="AJ136" s="54"/>
      <c r="AK136" s="54"/>
      <c r="AL136" s="54"/>
      <c r="AM136" s="54"/>
      <c r="AN136" s="54"/>
      <c r="AO136" s="54"/>
      <c r="AP136" s="54"/>
      <c r="AQ136" s="54"/>
      <c r="AR136" s="54"/>
      <c r="AS136" s="54"/>
      <c r="AT136" s="54"/>
      <c r="AU136" s="54"/>
      <c r="AV136" s="54"/>
      <c r="AW136" s="54"/>
      <c r="AX136" s="54"/>
      <c r="AY136" s="54"/>
      <c r="AZ136" s="54"/>
      <c r="BA136" s="54"/>
      <c r="BB136" s="54"/>
      <c r="BC136" s="54"/>
      <c r="BD136" s="54"/>
      <c r="BE136" s="54"/>
      <c r="BF136" s="54"/>
      <c r="BG136" s="54"/>
      <c r="BH136" s="54"/>
      <c r="BI136" s="54"/>
      <c r="BJ136" s="54"/>
      <c r="BK136" s="54"/>
      <c r="BL136" s="54"/>
    </row>
    <row r="137" spans="1:64" ht="11.25" customHeight="1" x14ac:dyDescent="0.3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54"/>
      <c r="AP137" s="54"/>
      <c r="AQ137" s="54"/>
      <c r="AR137" s="54"/>
      <c r="AS137" s="54"/>
      <c r="AT137" s="54"/>
      <c r="AU137" s="54"/>
      <c r="AV137" s="54"/>
      <c r="AW137" s="54"/>
      <c r="AX137" s="54"/>
      <c r="AY137" s="54"/>
      <c r="AZ137" s="54"/>
      <c r="BA137" s="54"/>
      <c r="BB137" s="54"/>
      <c r="BC137" s="54"/>
      <c r="BD137" s="54"/>
      <c r="BE137" s="54"/>
      <c r="BF137" s="54"/>
      <c r="BG137" s="54"/>
      <c r="BH137" s="54"/>
      <c r="BI137" s="54"/>
      <c r="BJ137" s="54"/>
      <c r="BK137" s="54"/>
      <c r="BL137" s="54"/>
    </row>
    <row r="138" spans="1:64" ht="11.25" customHeight="1" x14ac:dyDescent="0.3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4"/>
      <c r="AI138" s="54"/>
      <c r="AJ138" s="54"/>
      <c r="AK138" s="54"/>
      <c r="AL138" s="54"/>
      <c r="AM138" s="54"/>
      <c r="AN138" s="54"/>
      <c r="AO138" s="54"/>
      <c r="AP138" s="54"/>
      <c r="AQ138" s="54"/>
      <c r="AR138" s="54"/>
      <c r="AS138" s="54"/>
      <c r="AT138" s="54"/>
      <c r="AU138" s="54"/>
      <c r="AV138" s="54"/>
      <c r="AW138" s="54"/>
      <c r="AX138" s="54"/>
      <c r="AY138" s="54"/>
      <c r="AZ138" s="54"/>
      <c r="BA138" s="54"/>
      <c r="BB138" s="54"/>
      <c r="BC138" s="54"/>
      <c r="BD138" s="54"/>
      <c r="BE138" s="54"/>
      <c r="BF138" s="54"/>
      <c r="BG138" s="54"/>
      <c r="BH138" s="54"/>
      <c r="BI138" s="54"/>
      <c r="BJ138" s="54"/>
      <c r="BK138" s="54"/>
      <c r="BL138" s="54"/>
    </row>
    <row r="139" spans="1:64" ht="11.25" customHeight="1" x14ac:dyDescent="0.3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54"/>
      <c r="AP139" s="54"/>
      <c r="AQ139" s="54"/>
      <c r="AR139" s="54"/>
      <c r="AS139" s="54"/>
      <c r="AT139" s="54"/>
      <c r="AU139" s="54"/>
      <c r="AV139" s="54"/>
      <c r="AW139" s="54"/>
      <c r="AX139" s="54"/>
      <c r="AY139" s="54"/>
      <c r="AZ139" s="54"/>
      <c r="BA139" s="54"/>
      <c r="BB139" s="54"/>
      <c r="BC139" s="54"/>
      <c r="BD139" s="54"/>
      <c r="BE139" s="54"/>
      <c r="BF139" s="54"/>
      <c r="BG139" s="54"/>
      <c r="BH139" s="54"/>
      <c r="BI139" s="54"/>
      <c r="BJ139" s="54"/>
      <c r="BK139" s="54"/>
      <c r="BL139" s="54"/>
    </row>
    <row r="140" spans="1:64" ht="11.25" customHeight="1" x14ac:dyDescent="0.3">
      <c r="A140" s="54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4"/>
      <c r="AI140" s="54"/>
      <c r="AJ140" s="54"/>
      <c r="AK140" s="54"/>
      <c r="AL140" s="54"/>
      <c r="AM140" s="54"/>
      <c r="AN140" s="54"/>
      <c r="AO140" s="54"/>
      <c r="AP140" s="54"/>
      <c r="AQ140" s="54"/>
      <c r="AR140" s="54"/>
      <c r="AS140" s="54"/>
      <c r="AT140" s="54"/>
      <c r="AU140" s="54"/>
      <c r="AV140" s="54"/>
      <c r="AW140" s="54"/>
      <c r="AX140" s="54"/>
      <c r="AY140" s="54"/>
      <c r="AZ140" s="54"/>
      <c r="BA140" s="54"/>
      <c r="BB140" s="54"/>
      <c r="BC140" s="54"/>
      <c r="BD140" s="54"/>
      <c r="BE140" s="54"/>
      <c r="BF140" s="54"/>
      <c r="BG140" s="54"/>
      <c r="BH140" s="54"/>
      <c r="BI140" s="54"/>
      <c r="BJ140" s="54"/>
      <c r="BK140" s="54"/>
      <c r="BL140" s="54"/>
    </row>
    <row r="141" spans="1:64" ht="11.25" customHeight="1" x14ac:dyDescent="0.3">
      <c r="A141" s="54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54"/>
      <c r="AP141" s="54"/>
      <c r="AQ141" s="54"/>
      <c r="AR141" s="54"/>
      <c r="AS141" s="54"/>
      <c r="AT141" s="54"/>
      <c r="AU141" s="54"/>
      <c r="AV141" s="54"/>
      <c r="AW141" s="54"/>
      <c r="AX141" s="54"/>
      <c r="AY141" s="54"/>
      <c r="AZ141" s="54"/>
      <c r="BA141" s="54"/>
      <c r="BB141" s="54"/>
      <c r="BC141" s="54"/>
      <c r="BD141" s="54"/>
      <c r="BE141" s="54"/>
      <c r="BF141" s="54"/>
      <c r="BG141" s="54"/>
      <c r="BH141" s="54"/>
      <c r="BI141" s="54"/>
      <c r="BJ141" s="54"/>
      <c r="BK141" s="54"/>
      <c r="BL141" s="54"/>
    </row>
    <row r="142" spans="1:64" ht="11.25" customHeight="1" x14ac:dyDescent="0.3">
      <c r="A142" s="54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54"/>
      <c r="AP142" s="54"/>
      <c r="AQ142" s="54"/>
      <c r="AR142" s="54"/>
      <c r="AS142" s="54"/>
      <c r="AT142" s="54"/>
      <c r="AU142" s="54"/>
      <c r="AV142" s="54"/>
      <c r="AW142" s="54"/>
      <c r="AX142" s="54"/>
      <c r="AY142" s="54"/>
      <c r="AZ142" s="54"/>
      <c r="BA142" s="54"/>
      <c r="BB142" s="54"/>
      <c r="BC142" s="54"/>
      <c r="BD142" s="54"/>
      <c r="BE142" s="54"/>
      <c r="BF142" s="54"/>
      <c r="BG142" s="54"/>
      <c r="BH142" s="54"/>
      <c r="BI142" s="54"/>
      <c r="BJ142" s="54"/>
      <c r="BK142" s="54"/>
      <c r="BL142" s="54"/>
    </row>
    <row r="143" spans="1:64" ht="11.25" customHeight="1" x14ac:dyDescent="0.3">
      <c r="A143" s="54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  <c r="BA143" s="54"/>
      <c r="BB143" s="54"/>
      <c r="BC143" s="54"/>
      <c r="BD143" s="54"/>
      <c r="BE143" s="54"/>
      <c r="BF143" s="54"/>
      <c r="BG143" s="54"/>
      <c r="BH143" s="54"/>
      <c r="BI143" s="54"/>
      <c r="BJ143" s="54"/>
      <c r="BK143" s="54"/>
      <c r="BL143" s="54"/>
    </row>
    <row r="144" spans="1:64" ht="11.25" customHeight="1" x14ac:dyDescent="0.3">
      <c r="A144" s="54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  <c r="AT144" s="54"/>
      <c r="AU144" s="54"/>
      <c r="AV144" s="54"/>
      <c r="AW144" s="54"/>
      <c r="AX144" s="54"/>
      <c r="AY144" s="54"/>
      <c r="AZ144" s="54"/>
      <c r="BA144" s="54"/>
      <c r="BB144" s="54"/>
      <c r="BC144" s="54"/>
      <c r="BD144" s="54"/>
      <c r="BE144" s="54"/>
      <c r="BF144" s="54"/>
      <c r="BG144" s="54"/>
      <c r="BH144" s="54"/>
      <c r="BI144" s="54"/>
      <c r="BJ144" s="54"/>
      <c r="BK144" s="54"/>
      <c r="BL144" s="54"/>
    </row>
    <row r="145" spans="1:64" ht="11.25" customHeight="1" x14ac:dyDescent="0.3">
      <c r="A145" s="54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  <c r="AT145" s="54"/>
      <c r="AU145" s="54"/>
      <c r="AV145" s="54"/>
      <c r="AW145" s="54"/>
      <c r="AX145" s="54"/>
      <c r="AY145" s="54"/>
      <c r="AZ145" s="54"/>
      <c r="BA145" s="54"/>
      <c r="BB145" s="54"/>
      <c r="BC145" s="54"/>
      <c r="BD145" s="54"/>
      <c r="BE145" s="54"/>
      <c r="BF145" s="54"/>
      <c r="BG145" s="54"/>
      <c r="BH145" s="54"/>
      <c r="BI145" s="54"/>
      <c r="BJ145" s="54"/>
      <c r="BK145" s="54"/>
      <c r="BL145" s="54"/>
    </row>
    <row r="146" spans="1:64" ht="11.25" customHeight="1" x14ac:dyDescent="0.3">
      <c r="A146" s="54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  <c r="AR146" s="54"/>
      <c r="AS146" s="54"/>
      <c r="AT146" s="54"/>
      <c r="AU146" s="54"/>
      <c r="AV146" s="54"/>
      <c r="AW146" s="54"/>
      <c r="AX146" s="54"/>
      <c r="AY146" s="54"/>
      <c r="AZ146" s="54"/>
      <c r="BA146" s="54"/>
      <c r="BB146" s="54"/>
      <c r="BC146" s="54"/>
      <c r="BD146" s="54"/>
      <c r="BE146" s="54"/>
      <c r="BF146" s="54"/>
      <c r="BG146" s="54"/>
      <c r="BH146" s="54"/>
      <c r="BI146" s="54"/>
      <c r="BJ146" s="54"/>
      <c r="BK146" s="54"/>
      <c r="BL146" s="54"/>
    </row>
    <row r="147" spans="1:64" ht="11.25" customHeight="1" x14ac:dyDescent="0.3">
      <c r="A147" s="54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54"/>
      <c r="AP147" s="54"/>
      <c r="AQ147" s="54"/>
      <c r="AR147" s="54"/>
      <c r="AS147" s="54"/>
      <c r="AT147" s="54"/>
      <c r="AU147" s="54"/>
      <c r="AV147" s="54"/>
      <c r="AW147" s="54"/>
      <c r="AX147" s="54"/>
      <c r="AY147" s="54"/>
      <c r="AZ147" s="54"/>
      <c r="BA147" s="54"/>
      <c r="BB147" s="54"/>
      <c r="BC147" s="54"/>
      <c r="BD147" s="54"/>
      <c r="BE147" s="54"/>
      <c r="BF147" s="54"/>
      <c r="BG147" s="54"/>
      <c r="BH147" s="54"/>
      <c r="BI147" s="54"/>
      <c r="BJ147" s="54"/>
      <c r="BK147" s="54"/>
      <c r="BL147" s="54"/>
    </row>
    <row r="148" spans="1:64" ht="11.25" customHeight="1" x14ac:dyDescent="0.3">
      <c r="A148" s="54"/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  <c r="AX148" s="54"/>
      <c r="AY148" s="54"/>
      <c r="AZ148" s="54"/>
      <c r="BA148" s="54"/>
      <c r="BB148" s="54"/>
      <c r="BC148" s="54"/>
      <c r="BD148" s="54"/>
      <c r="BE148" s="54"/>
      <c r="BF148" s="54"/>
      <c r="BG148" s="54"/>
      <c r="BH148" s="54"/>
      <c r="BI148" s="54"/>
      <c r="BJ148" s="54"/>
      <c r="BK148" s="54"/>
      <c r="BL148" s="54"/>
    </row>
    <row r="149" spans="1:64" ht="11.25" customHeight="1" x14ac:dyDescent="0.3">
      <c r="A149" s="54"/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  <c r="BA149" s="54"/>
      <c r="BB149" s="54"/>
      <c r="BC149" s="54"/>
      <c r="BD149" s="54"/>
      <c r="BE149" s="54"/>
      <c r="BF149" s="54"/>
      <c r="BG149" s="54"/>
      <c r="BH149" s="54"/>
      <c r="BI149" s="54"/>
      <c r="BJ149" s="54"/>
      <c r="BK149" s="54"/>
      <c r="BL149" s="54"/>
    </row>
    <row r="150" spans="1:64" ht="11.25" customHeight="1" x14ac:dyDescent="0.3">
      <c r="A150" s="54"/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54"/>
      <c r="AP150" s="54"/>
      <c r="AQ150" s="54"/>
      <c r="AR150" s="54"/>
      <c r="AS150" s="54"/>
      <c r="AT150" s="54"/>
      <c r="AU150" s="54"/>
      <c r="AV150" s="54"/>
      <c r="AW150" s="54"/>
      <c r="AX150" s="54"/>
      <c r="AY150" s="54"/>
      <c r="AZ150" s="54"/>
      <c r="BA150" s="54"/>
      <c r="BB150" s="54"/>
      <c r="BC150" s="54"/>
      <c r="BD150" s="54"/>
      <c r="BE150" s="54"/>
      <c r="BF150" s="54"/>
      <c r="BG150" s="54"/>
      <c r="BH150" s="54"/>
      <c r="BI150" s="54"/>
      <c r="BJ150" s="54"/>
      <c r="BK150" s="54"/>
      <c r="BL150" s="54"/>
    </row>
    <row r="151" spans="1:64" ht="11.25" customHeight="1" x14ac:dyDescent="0.3">
      <c r="A151" s="54"/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54"/>
      <c r="AT151" s="54"/>
      <c r="AU151" s="54"/>
      <c r="AV151" s="54"/>
      <c r="AW151" s="54"/>
      <c r="AX151" s="54"/>
      <c r="AY151" s="54"/>
      <c r="AZ151" s="54"/>
      <c r="BA151" s="54"/>
      <c r="BB151" s="54"/>
      <c r="BC151" s="54"/>
      <c r="BD151" s="54"/>
      <c r="BE151" s="54"/>
      <c r="BF151" s="54"/>
      <c r="BG151" s="54"/>
      <c r="BH151" s="54"/>
      <c r="BI151" s="54"/>
      <c r="BJ151" s="54"/>
      <c r="BK151" s="54"/>
      <c r="BL151" s="54"/>
    </row>
    <row r="152" spans="1:64" ht="11.25" customHeight="1" x14ac:dyDescent="0.3">
      <c r="A152" s="54"/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54"/>
      <c r="AT152" s="54"/>
      <c r="AU152" s="54"/>
      <c r="AV152" s="54"/>
      <c r="AW152" s="54"/>
      <c r="AX152" s="54"/>
      <c r="AY152" s="54"/>
      <c r="AZ152" s="54"/>
      <c r="BA152" s="54"/>
      <c r="BB152" s="54"/>
      <c r="BC152" s="54"/>
      <c r="BD152" s="54"/>
      <c r="BE152" s="54"/>
      <c r="BF152" s="54"/>
      <c r="BG152" s="54"/>
      <c r="BH152" s="54"/>
      <c r="BI152" s="54"/>
      <c r="BJ152" s="54"/>
      <c r="BK152" s="54"/>
      <c r="BL152" s="54"/>
    </row>
    <row r="153" spans="1:64" ht="11.25" customHeight="1" x14ac:dyDescent="0.3">
      <c r="A153" s="54"/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54"/>
      <c r="AY153" s="54"/>
      <c r="AZ153" s="54"/>
      <c r="BA153" s="54"/>
      <c r="BB153" s="54"/>
      <c r="BC153" s="54"/>
      <c r="BD153" s="54"/>
      <c r="BE153" s="54"/>
      <c r="BF153" s="54"/>
      <c r="BG153" s="54"/>
      <c r="BH153" s="54"/>
      <c r="BI153" s="54"/>
      <c r="BJ153" s="54"/>
      <c r="BK153" s="54"/>
      <c r="BL153" s="54"/>
    </row>
    <row r="154" spans="1:64" ht="11.25" customHeight="1" x14ac:dyDescent="0.3">
      <c r="A154" s="54"/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54"/>
      <c r="AV154" s="54"/>
      <c r="AW154" s="54"/>
      <c r="AX154" s="54"/>
      <c r="AY154" s="54"/>
      <c r="AZ154" s="54"/>
      <c r="BA154" s="54"/>
      <c r="BB154" s="54"/>
      <c r="BC154" s="54"/>
      <c r="BD154" s="54"/>
      <c r="BE154" s="54"/>
      <c r="BF154" s="54"/>
      <c r="BG154" s="54"/>
      <c r="BH154" s="54"/>
      <c r="BI154" s="54"/>
      <c r="BJ154" s="54"/>
      <c r="BK154" s="54"/>
      <c r="BL154" s="54"/>
    </row>
    <row r="155" spans="1:64" ht="11.25" customHeight="1" x14ac:dyDescent="0.3">
      <c r="A155" s="54"/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54"/>
      <c r="AY155" s="54"/>
      <c r="AZ155" s="54"/>
      <c r="BA155" s="54"/>
      <c r="BB155" s="54"/>
      <c r="BC155" s="54"/>
      <c r="BD155" s="54"/>
      <c r="BE155" s="54"/>
      <c r="BF155" s="54"/>
      <c r="BG155" s="54"/>
      <c r="BH155" s="54"/>
      <c r="BI155" s="54"/>
      <c r="BJ155" s="54"/>
      <c r="BK155" s="54"/>
      <c r="BL155" s="54"/>
    </row>
    <row r="156" spans="1:64" ht="11.25" customHeight="1" x14ac:dyDescent="0.3">
      <c r="A156" s="54"/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54"/>
      <c r="AY156" s="54"/>
      <c r="AZ156" s="54"/>
      <c r="BA156" s="54"/>
      <c r="BB156" s="54"/>
      <c r="BC156" s="54"/>
      <c r="BD156" s="54"/>
      <c r="BE156" s="54"/>
      <c r="BF156" s="54"/>
      <c r="BG156" s="54"/>
      <c r="BH156" s="54"/>
      <c r="BI156" s="54"/>
      <c r="BJ156" s="54"/>
      <c r="BK156" s="54"/>
      <c r="BL156" s="54"/>
    </row>
    <row r="157" spans="1:64" ht="11.25" customHeight="1" x14ac:dyDescent="0.3">
      <c r="A157" s="54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  <c r="AT157" s="54"/>
      <c r="AU157" s="54"/>
      <c r="AV157" s="54"/>
      <c r="AW157" s="54"/>
      <c r="AX157" s="54"/>
      <c r="AY157" s="54"/>
      <c r="AZ157" s="54"/>
      <c r="BA157" s="54"/>
      <c r="BB157" s="54"/>
      <c r="BC157" s="54"/>
      <c r="BD157" s="54"/>
      <c r="BE157" s="54"/>
      <c r="BF157" s="54"/>
      <c r="BG157" s="54"/>
      <c r="BH157" s="54"/>
      <c r="BI157" s="54"/>
      <c r="BJ157" s="54"/>
      <c r="BK157" s="54"/>
      <c r="BL157" s="54"/>
    </row>
    <row r="158" spans="1:64" ht="11.25" customHeight="1" x14ac:dyDescent="0.3">
      <c r="A158" s="54"/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54"/>
      <c r="AT158" s="54"/>
      <c r="AU158" s="54"/>
      <c r="AV158" s="54"/>
      <c r="AW158" s="54"/>
      <c r="AX158" s="54"/>
      <c r="AY158" s="54"/>
      <c r="AZ158" s="54"/>
      <c r="BA158" s="54"/>
      <c r="BB158" s="54"/>
      <c r="BC158" s="54"/>
      <c r="BD158" s="54"/>
      <c r="BE158" s="54"/>
      <c r="BF158" s="54"/>
      <c r="BG158" s="54"/>
      <c r="BH158" s="54"/>
      <c r="BI158" s="54"/>
      <c r="BJ158" s="54"/>
      <c r="BK158" s="54"/>
      <c r="BL158" s="54"/>
    </row>
    <row r="159" spans="1:64" ht="11.25" customHeight="1" x14ac:dyDescent="0.3">
      <c r="A159" s="54"/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54"/>
      <c r="AT159" s="54"/>
      <c r="AU159" s="54"/>
      <c r="AV159" s="54"/>
      <c r="AW159" s="54"/>
      <c r="AX159" s="54"/>
      <c r="AY159" s="54"/>
      <c r="AZ159" s="54"/>
      <c r="BA159" s="54"/>
      <c r="BB159" s="54"/>
      <c r="BC159" s="54"/>
      <c r="BD159" s="54"/>
      <c r="BE159" s="54"/>
      <c r="BF159" s="54"/>
      <c r="BG159" s="54"/>
      <c r="BH159" s="54"/>
      <c r="BI159" s="54"/>
      <c r="BJ159" s="54"/>
      <c r="BK159" s="54"/>
      <c r="BL159" s="54"/>
    </row>
    <row r="160" spans="1:64" ht="11.25" customHeight="1" x14ac:dyDescent="0.3">
      <c r="A160" s="54"/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54"/>
      <c r="AT160" s="54"/>
      <c r="AU160" s="54"/>
      <c r="AV160" s="54"/>
      <c r="AW160" s="54"/>
      <c r="AX160" s="54"/>
      <c r="AY160" s="54"/>
      <c r="AZ160" s="54"/>
      <c r="BA160" s="54"/>
      <c r="BB160" s="54"/>
      <c r="BC160" s="54"/>
      <c r="BD160" s="54"/>
      <c r="BE160" s="54"/>
      <c r="BF160" s="54"/>
      <c r="BG160" s="54"/>
      <c r="BH160" s="54"/>
      <c r="BI160" s="54"/>
      <c r="BJ160" s="54"/>
      <c r="BK160" s="54"/>
      <c r="BL160" s="54"/>
    </row>
    <row r="161" spans="1:64" ht="11.25" customHeight="1" x14ac:dyDescent="0.3">
      <c r="A161" s="54"/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  <c r="BA161" s="54"/>
      <c r="BB161" s="54"/>
      <c r="BC161" s="54"/>
      <c r="BD161" s="54"/>
      <c r="BE161" s="54"/>
      <c r="BF161" s="54"/>
      <c r="BG161" s="54"/>
      <c r="BH161" s="54"/>
      <c r="BI161" s="54"/>
      <c r="BJ161" s="54"/>
      <c r="BK161" s="54"/>
      <c r="BL161" s="54"/>
    </row>
    <row r="162" spans="1:64" ht="11.25" customHeight="1" x14ac:dyDescent="0.3">
      <c r="A162" s="54"/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54"/>
      <c r="AT162" s="54"/>
      <c r="AU162" s="54"/>
      <c r="AV162" s="54"/>
      <c r="AW162" s="54"/>
      <c r="AX162" s="54"/>
      <c r="AY162" s="54"/>
      <c r="AZ162" s="54"/>
      <c r="BA162" s="54"/>
      <c r="BB162" s="54"/>
      <c r="BC162" s="54"/>
      <c r="BD162" s="54"/>
      <c r="BE162" s="54"/>
      <c r="BF162" s="54"/>
      <c r="BG162" s="54"/>
      <c r="BH162" s="54"/>
      <c r="BI162" s="54"/>
      <c r="BJ162" s="54"/>
      <c r="BK162" s="54"/>
      <c r="BL162" s="54"/>
    </row>
    <row r="163" spans="1:64" ht="11.25" customHeight="1" x14ac:dyDescent="0.3">
      <c r="A163" s="54"/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54"/>
      <c r="AT163" s="54"/>
      <c r="AU163" s="54"/>
      <c r="AV163" s="54"/>
      <c r="AW163" s="54"/>
      <c r="AX163" s="54"/>
      <c r="AY163" s="54"/>
      <c r="AZ163" s="54"/>
      <c r="BA163" s="54"/>
      <c r="BB163" s="54"/>
      <c r="BC163" s="54"/>
      <c r="BD163" s="54"/>
      <c r="BE163" s="54"/>
      <c r="BF163" s="54"/>
      <c r="BG163" s="54"/>
      <c r="BH163" s="54"/>
      <c r="BI163" s="54"/>
      <c r="BJ163" s="54"/>
      <c r="BK163" s="54"/>
      <c r="BL163" s="54"/>
    </row>
    <row r="164" spans="1:64" ht="11.25" customHeight="1" x14ac:dyDescent="0.3">
      <c r="A164" s="54"/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54"/>
      <c r="AT164" s="54"/>
      <c r="AU164" s="54"/>
      <c r="AV164" s="54"/>
      <c r="AW164" s="54"/>
      <c r="AX164" s="54"/>
      <c r="AY164" s="54"/>
      <c r="AZ164" s="54"/>
      <c r="BA164" s="54"/>
      <c r="BB164" s="54"/>
      <c r="BC164" s="54"/>
      <c r="BD164" s="54"/>
      <c r="BE164" s="54"/>
      <c r="BF164" s="54"/>
      <c r="BG164" s="54"/>
      <c r="BH164" s="54"/>
      <c r="BI164" s="54"/>
      <c r="BJ164" s="54"/>
      <c r="BK164" s="54"/>
      <c r="BL164" s="54"/>
    </row>
    <row r="165" spans="1:64" ht="11.25" customHeight="1" x14ac:dyDescent="0.3">
      <c r="A165" s="54"/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54"/>
      <c r="AT165" s="54"/>
      <c r="AU165" s="54"/>
      <c r="AV165" s="54"/>
      <c r="AW165" s="54"/>
      <c r="AX165" s="54"/>
      <c r="AY165" s="54"/>
      <c r="AZ165" s="54"/>
      <c r="BA165" s="54"/>
      <c r="BB165" s="54"/>
      <c r="BC165" s="54"/>
      <c r="BD165" s="54"/>
      <c r="BE165" s="54"/>
      <c r="BF165" s="54"/>
      <c r="BG165" s="54"/>
      <c r="BH165" s="54"/>
      <c r="BI165" s="54"/>
      <c r="BJ165" s="54"/>
      <c r="BK165" s="54"/>
      <c r="BL165" s="54"/>
    </row>
    <row r="166" spans="1:64" ht="11.25" customHeight="1" x14ac:dyDescent="0.3">
      <c r="A166" s="54"/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54"/>
      <c r="AT166" s="54"/>
      <c r="AU166" s="54"/>
      <c r="AV166" s="54"/>
      <c r="AW166" s="54"/>
      <c r="AX166" s="54"/>
      <c r="AY166" s="54"/>
      <c r="AZ166" s="54"/>
      <c r="BA166" s="54"/>
      <c r="BB166" s="54"/>
      <c r="BC166" s="54"/>
      <c r="BD166" s="54"/>
      <c r="BE166" s="54"/>
      <c r="BF166" s="54"/>
      <c r="BG166" s="54"/>
      <c r="BH166" s="54"/>
      <c r="BI166" s="54"/>
      <c r="BJ166" s="54"/>
      <c r="BK166" s="54"/>
      <c r="BL166" s="54"/>
    </row>
    <row r="167" spans="1:64" ht="11.25" customHeight="1" x14ac:dyDescent="0.3">
      <c r="A167" s="54"/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54"/>
      <c r="AT167" s="54"/>
      <c r="AU167" s="54"/>
      <c r="AV167" s="54"/>
      <c r="AW167" s="54"/>
      <c r="AX167" s="54"/>
      <c r="AY167" s="54"/>
      <c r="AZ167" s="54"/>
      <c r="BA167" s="54"/>
      <c r="BB167" s="54"/>
      <c r="BC167" s="54"/>
      <c r="BD167" s="54"/>
      <c r="BE167" s="54"/>
      <c r="BF167" s="54"/>
      <c r="BG167" s="54"/>
      <c r="BH167" s="54"/>
      <c r="BI167" s="54"/>
      <c r="BJ167" s="54"/>
      <c r="BK167" s="54"/>
      <c r="BL167" s="54"/>
    </row>
    <row r="168" spans="1:64" ht="11.25" customHeight="1" x14ac:dyDescent="0.3">
      <c r="A168" s="54"/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54"/>
      <c r="AT168" s="54"/>
      <c r="AU168" s="54"/>
      <c r="AV168" s="54"/>
      <c r="AW168" s="54"/>
      <c r="AX168" s="54"/>
      <c r="AY168" s="54"/>
      <c r="AZ168" s="54"/>
      <c r="BA168" s="54"/>
      <c r="BB168" s="54"/>
      <c r="BC168" s="54"/>
      <c r="BD168" s="54"/>
      <c r="BE168" s="54"/>
      <c r="BF168" s="54"/>
      <c r="BG168" s="54"/>
      <c r="BH168" s="54"/>
      <c r="BI168" s="54"/>
      <c r="BJ168" s="54"/>
      <c r="BK168" s="54"/>
      <c r="BL168" s="54"/>
    </row>
    <row r="169" spans="1:64" ht="11.25" customHeight="1" x14ac:dyDescent="0.3">
      <c r="A169" s="54"/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54"/>
      <c r="AT169" s="54"/>
      <c r="AU169" s="54"/>
      <c r="AV169" s="54"/>
      <c r="AW169" s="54"/>
      <c r="AX169" s="54"/>
      <c r="AY169" s="54"/>
      <c r="AZ169" s="54"/>
      <c r="BA169" s="54"/>
      <c r="BB169" s="54"/>
      <c r="BC169" s="54"/>
      <c r="BD169" s="54"/>
      <c r="BE169" s="54"/>
      <c r="BF169" s="54"/>
      <c r="BG169" s="54"/>
      <c r="BH169" s="54"/>
      <c r="BI169" s="54"/>
      <c r="BJ169" s="54"/>
      <c r="BK169" s="54"/>
      <c r="BL169" s="54"/>
    </row>
    <row r="170" spans="1:64" ht="11.25" customHeight="1" x14ac:dyDescent="0.3">
      <c r="A170" s="54"/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54"/>
      <c r="AT170" s="54"/>
      <c r="AU170" s="54"/>
      <c r="AV170" s="54"/>
      <c r="AW170" s="54"/>
      <c r="AX170" s="54"/>
      <c r="AY170" s="54"/>
      <c r="AZ170" s="54"/>
      <c r="BA170" s="54"/>
      <c r="BB170" s="54"/>
      <c r="BC170" s="54"/>
      <c r="BD170" s="54"/>
      <c r="BE170" s="54"/>
      <c r="BF170" s="54"/>
      <c r="BG170" s="54"/>
      <c r="BH170" s="54"/>
      <c r="BI170" s="54"/>
      <c r="BJ170" s="54"/>
      <c r="BK170" s="54"/>
      <c r="BL170" s="54"/>
    </row>
    <row r="171" spans="1:64" ht="11.25" customHeight="1" x14ac:dyDescent="0.3">
      <c r="A171" s="54"/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54"/>
      <c r="AT171" s="54"/>
      <c r="AU171" s="54"/>
      <c r="AV171" s="54"/>
      <c r="AW171" s="54"/>
      <c r="AX171" s="54"/>
      <c r="AY171" s="54"/>
      <c r="AZ171" s="54"/>
      <c r="BA171" s="54"/>
      <c r="BB171" s="54"/>
      <c r="BC171" s="54"/>
      <c r="BD171" s="54"/>
      <c r="BE171" s="54"/>
      <c r="BF171" s="54"/>
      <c r="BG171" s="54"/>
      <c r="BH171" s="54"/>
      <c r="BI171" s="54"/>
      <c r="BJ171" s="54"/>
      <c r="BK171" s="54"/>
      <c r="BL171" s="54"/>
    </row>
    <row r="172" spans="1:64" ht="11.25" customHeight="1" x14ac:dyDescent="0.3">
      <c r="A172" s="54"/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54"/>
      <c r="AT172" s="54"/>
      <c r="AU172" s="54"/>
      <c r="AV172" s="54"/>
      <c r="AW172" s="54"/>
      <c r="AX172" s="54"/>
      <c r="AY172" s="54"/>
      <c r="AZ172" s="54"/>
      <c r="BA172" s="54"/>
      <c r="BB172" s="54"/>
      <c r="BC172" s="54"/>
      <c r="BD172" s="54"/>
      <c r="BE172" s="54"/>
      <c r="BF172" s="54"/>
      <c r="BG172" s="54"/>
      <c r="BH172" s="54"/>
      <c r="BI172" s="54"/>
      <c r="BJ172" s="54"/>
      <c r="BK172" s="54"/>
      <c r="BL172" s="54"/>
    </row>
    <row r="173" spans="1:64" ht="11.25" customHeight="1" x14ac:dyDescent="0.3">
      <c r="A173" s="54"/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  <c r="BA173" s="54"/>
      <c r="BB173" s="54"/>
      <c r="BC173" s="54"/>
      <c r="BD173" s="54"/>
      <c r="BE173" s="54"/>
      <c r="BF173" s="54"/>
      <c r="BG173" s="54"/>
      <c r="BH173" s="54"/>
      <c r="BI173" s="54"/>
      <c r="BJ173" s="54"/>
      <c r="BK173" s="54"/>
      <c r="BL173" s="54"/>
    </row>
    <row r="174" spans="1:64" ht="11.25" customHeight="1" x14ac:dyDescent="0.3">
      <c r="A174" s="54"/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54"/>
      <c r="AT174" s="54"/>
      <c r="AU174" s="54"/>
      <c r="AV174" s="54"/>
      <c r="AW174" s="54"/>
      <c r="AX174" s="54"/>
      <c r="AY174" s="54"/>
      <c r="AZ174" s="54"/>
      <c r="BA174" s="54"/>
      <c r="BB174" s="54"/>
      <c r="BC174" s="54"/>
      <c r="BD174" s="54"/>
      <c r="BE174" s="54"/>
      <c r="BF174" s="54"/>
      <c r="BG174" s="54"/>
      <c r="BH174" s="54"/>
      <c r="BI174" s="54"/>
      <c r="BJ174" s="54"/>
      <c r="BK174" s="54"/>
      <c r="BL174" s="54"/>
    </row>
    <row r="175" spans="1:64" ht="11.25" customHeight="1" x14ac:dyDescent="0.3">
      <c r="A175" s="54"/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54"/>
      <c r="AT175" s="54"/>
      <c r="AU175" s="54"/>
      <c r="AV175" s="54"/>
      <c r="AW175" s="54"/>
      <c r="AX175" s="54"/>
      <c r="AY175" s="54"/>
      <c r="AZ175" s="54"/>
      <c r="BA175" s="54"/>
      <c r="BB175" s="54"/>
      <c r="BC175" s="54"/>
      <c r="BD175" s="54"/>
      <c r="BE175" s="54"/>
      <c r="BF175" s="54"/>
      <c r="BG175" s="54"/>
      <c r="BH175" s="54"/>
      <c r="BI175" s="54"/>
      <c r="BJ175" s="54"/>
      <c r="BK175" s="54"/>
      <c r="BL175" s="54"/>
    </row>
    <row r="176" spans="1:64" ht="11.25" customHeight="1" x14ac:dyDescent="0.3">
      <c r="A176" s="54"/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54"/>
      <c r="AT176" s="54"/>
      <c r="AU176" s="54"/>
      <c r="AV176" s="54"/>
      <c r="AW176" s="54"/>
      <c r="AX176" s="54"/>
      <c r="AY176" s="54"/>
      <c r="AZ176" s="54"/>
      <c r="BA176" s="54"/>
      <c r="BB176" s="54"/>
      <c r="BC176" s="54"/>
      <c r="BD176" s="54"/>
      <c r="BE176" s="54"/>
      <c r="BF176" s="54"/>
      <c r="BG176" s="54"/>
      <c r="BH176" s="54"/>
      <c r="BI176" s="54"/>
      <c r="BJ176" s="54"/>
      <c r="BK176" s="54"/>
      <c r="BL176" s="54"/>
    </row>
    <row r="177" spans="1:64" ht="11.25" customHeight="1" x14ac:dyDescent="0.3">
      <c r="A177" s="54"/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54"/>
      <c r="AT177" s="54"/>
      <c r="AU177" s="54"/>
      <c r="AV177" s="54"/>
      <c r="AW177" s="54"/>
      <c r="AX177" s="54"/>
      <c r="AY177" s="54"/>
      <c r="AZ177" s="54"/>
      <c r="BA177" s="54"/>
      <c r="BB177" s="54"/>
      <c r="BC177" s="54"/>
      <c r="BD177" s="54"/>
      <c r="BE177" s="54"/>
      <c r="BF177" s="54"/>
      <c r="BG177" s="54"/>
      <c r="BH177" s="54"/>
      <c r="BI177" s="54"/>
      <c r="BJ177" s="54"/>
      <c r="BK177" s="54"/>
      <c r="BL177" s="54"/>
    </row>
    <row r="178" spans="1:64" ht="11.25" customHeight="1" x14ac:dyDescent="0.3">
      <c r="A178" s="54"/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54"/>
      <c r="AT178" s="54"/>
      <c r="AU178" s="54"/>
      <c r="AV178" s="54"/>
      <c r="AW178" s="54"/>
      <c r="AX178" s="54"/>
      <c r="AY178" s="54"/>
      <c r="AZ178" s="54"/>
      <c r="BA178" s="54"/>
      <c r="BB178" s="54"/>
      <c r="BC178" s="54"/>
      <c r="BD178" s="54"/>
      <c r="BE178" s="54"/>
      <c r="BF178" s="54"/>
      <c r="BG178" s="54"/>
      <c r="BH178" s="54"/>
      <c r="BI178" s="54"/>
      <c r="BJ178" s="54"/>
      <c r="BK178" s="54"/>
      <c r="BL178" s="54"/>
    </row>
    <row r="179" spans="1:64" ht="11.25" customHeight="1" x14ac:dyDescent="0.3">
      <c r="A179" s="54"/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54"/>
      <c r="AT179" s="54"/>
      <c r="AU179" s="54"/>
      <c r="AV179" s="54"/>
      <c r="AW179" s="54"/>
      <c r="AX179" s="54"/>
      <c r="AY179" s="54"/>
      <c r="AZ179" s="54"/>
      <c r="BA179" s="54"/>
      <c r="BB179" s="54"/>
      <c r="BC179" s="54"/>
      <c r="BD179" s="54"/>
      <c r="BE179" s="54"/>
      <c r="BF179" s="54"/>
      <c r="BG179" s="54"/>
      <c r="BH179" s="54"/>
      <c r="BI179" s="54"/>
      <c r="BJ179" s="54"/>
      <c r="BK179" s="54"/>
      <c r="BL179" s="54"/>
    </row>
    <row r="180" spans="1:64" ht="11.25" customHeight="1" x14ac:dyDescent="0.3">
      <c r="A180" s="54"/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54"/>
      <c r="AT180" s="54"/>
      <c r="AU180" s="54"/>
      <c r="AV180" s="54"/>
      <c r="AW180" s="54"/>
      <c r="AX180" s="54"/>
      <c r="AY180" s="54"/>
      <c r="AZ180" s="54"/>
      <c r="BA180" s="54"/>
      <c r="BB180" s="54"/>
      <c r="BC180" s="54"/>
      <c r="BD180" s="54"/>
      <c r="BE180" s="54"/>
      <c r="BF180" s="54"/>
      <c r="BG180" s="54"/>
      <c r="BH180" s="54"/>
      <c r="BI180" s="54"/>
      <c r="BJ180" s="54"/>
      <c r="BK180" s="54"/>
      <c r="BL180" s="54"/>
    </row>
    <row r="181" spans="1:64" ht="11.25" customHeight="1" x14ac:dyDescent="0.3">
      <c r="A181" s="54"/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54"/>
      <c r="AT181" s="54"/>
      <c r="AU181" s="54"/>
      <c r="AV181" s="54"/>
      <c r="AW181" s="54"/>
      <c r="AX181" s="54"/>
      <c r="AY181" s="54"/>
      <c r="AZ181" s="54"/>
      <c r="BA181" s="54"/>
      <c r="BB181" s="54"/>
      <c r="BC181" s="54"/>
      <c r="BD181" s="54"/>
      <c r="BE181" s="54"/>
      <c r="BF181" s="54"/>
      <c r="BG181" s="54"/>
      <c r="BH181" s="54"/>
      <c r="BI181" s="54"/>
      <c r="BJ181" s="54"/>
      <c r="BK181" s="54"/>
      <c r="BL181" s="54"/>
    </row>
    <row r="182" spans="1:64" ht="11.25" customHeight="1" x14ac:dyDescent="0.3">
      <c r="A182" s="54"/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54"/>
      <c r="AT182" s="54"/>
      <c r="AU182" s="54"/>
      <c r="AV182" s="54"/>
      <c r="AW182" s="54"/>
      <c r="AX182" s="54"/>
      <c r="AY182" s="54"/>
      <c r="AZ182" s="54"/>
      <c r="BA182" s="54"/>
      <c r="BB182" s="54"/>
      <c r="BC182" s="54"/>
      <c r="BD182" s="54"/>
      <c r="BE182" s="54"/>
      <c r="BF182" s="54"/>
      <c r="BG182" s="54"/>
      <c r="BH182" s="54"/>
      <c r="BI182" s="54"/>
      <c r="BJ182" s="54"/>
      <c r="BK182" s="54"/>
      <c r="BL182" s="54"/>
    </row>
    <row r="183" spans="1:64" ht="11.25" customHeight="1" x14ac:dyDescent="0.3">
      <c r="A183" s="54"/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54"/>
      <c r="AT183" s="54"/>
      <c r="AU183" s="54"/>
      <c r="AV183" s="54"/>
      <c r="AW183" s="54"/>
      <c r="AX183" s="54"/>
      <c r="AY183" s="54"/>
      <c r="AZ183" s="54"/>
      <c r="BA183" s="54"/>
      <c r="BB183" s="54"/>
      <c r="BC183" s="54"/>
      <c r="BD183" s="54"/>
      <c r="BE183" s="54"/>
      <c r="BF183" s="54"/>
      <c r="BG183" s="54"/>
      <c r="BH183" s="54"/>
      <c r="BI183" s="54"/>
      <c r="BJ183" s="54"/>
      <c r="BK183" s="54"/>
      <c r="BL183" s="54"/>
    </row>
    <row r="184" spans="1:64" ht="11.25" customHeight="1" x14ac:dyDescent="0.3">
      <c r="A184" s="54"/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54"/>
      <c r="AT184" s="54"/>
      <c r="AU184" s="54"/>
      <c r="AV184" s="54"/>
      <c r="AW184" s="54"/>
      <c r="AX184" s="54"/>
      <c r="AY184" s="54"/>
      <c r="AZ184" s="54"/>
      <c r="BA184" s="54"/>
      <c r="BB184" s="54"/>
      <c r="BC184" s="54"/>
      <c r="BD184" s="54"/>
      <c r="BE184" s="54"/>
      <c r="BF184" s="54"/>
      <c r="BG184" s="54"/>
      <c r="BH184" s="54"/>
      <c r="BI184" s="54"/>
      <c r="BJ184" s="54"/>
      <c r="BK184" s="54"/>
      <c r="BL184" s="54"/>
    </row>
    <row r="185" spans="1:64" ht="11.25" customHeight="1" x14ac:dyDescent="0.3">
      <c r="A185" s="54"/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54"/>
      <c r="AT185" s="54"/>
      <c r="AU185" s="54"/>
      <c r="AV185" s="54"/>
      <c r="AW185" s="54"/>
      <c r="AX185" s="54"/>
      <c r="AY185" s="54"/>
      <c r="AZ185" s="54"/>
      <c r="BA185" s="54"/>
      <c r="BB185" s="54"/>
      <c r="BC185" s="54"/>
      <c r="BD185" s="54"/>
      <c r="BE185" s="54"/>
      <c r="BF185" s="54"/>
      <c r="BG185" s="54"/>
      <c r="BH185" s="54"/>
      <c r="BI185" s="54"/>
      <c r="BJ185" s="54"/>
      <c r="BK185" s="54"/>
      <c r="BL185" s="54"/>
    </row>
    <row r="186" spans="1:64" ht="11.25" customHeight="1" x14ac:dyDescent="0.3">
      <c r="A186" s="54"/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54"/>
      <c r="AT186" s="54"/>
      <c r="AU186" s="54"/>
      <c r="AV186" s="54"/>
      <c r="AW186" s="54"/>
      <c r="AX186" s="54"/>
      <c r="AY186" s="54"/>
      <c r="AZ186" s="54"/>
      <c r="BA186" s="54"/>
      <c r="BB186" s="54"/>
      <c r="BC186" s="54"/>
      <c r="BD186" s="54"/>
      <c r="BE186" s="54"/>
      <c r="BF186" s="54"/>
      <c r="BG186" s="54"/>
      <c r="BH186" s="54"/>
      <c r="BI186" s="54"/>
      <c r="BJ186" s="54"/>
      <c r="BK186" s="54"/>
      <c r="BL186" s="54"/>
    </row>
    <row r="187" spans="1:64" ht="11.25" customHeight="1" x14ac:dyDescent="0.3">
      <c r="A187" s="54"/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54"/>
      <c r="AT187" s="54"/>
      <c r="AU187" s="54"/>
      <c r="AV187" s="54"/>
      <c r="AW187" s="54"/>
      <c r="AX187" s="54"/>
      <c r="AY187" s="54"/>
      <c r="AZ187" s="54"/>
      <c r="BA187" s="54"/>
      <c r="BB187" s="54"/>
      <c r="BC187" s="54"/>
      <c r="BD187" s="54"/>
      <c r="BE187" s="54"/>
      <c r="BF187" s="54"/>
      <c r="BG187" s="54"/>
      <c r="BH187" s="54"/>
      <c r="BI187" s="54"/>
      <c r="BJ187" s="54"/>
      <c r="BK187" s="54"/>
      <c r="BL187" s="54"/>
    </row>
    <row r="188" spans="1:64" ht="11.25" customHeight="1" x14ac:dyDescent="0.3">
      <c r="A188" s="54"/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54"/>
      <c r="AT188" s="54"/>
      <c r="AU188" s="54"/>
      <c r="AV188" s="54"/>
      <c r="AW188" s="54"/>
      <c r="AX188" s="54"/>
      <c r="AY188" s="54"/>
      <c r="AZ188" s="54"/>
      <c r="BA188" s="54"/>
      <c r="BB188" s="54"/>
      <c r="BC188" s="54"/>
      <c r="BD188" s="54"/>
      <c r="BE188" s="54"/>
      <c r="BF188" s="54"/>
      <c r="BG188" s="54"/>
      <c r="BH188" s="54"/>
      <c r="BI188" s="54"/>
      <c r="BJ188" s="54"/>
      <c r="BK188" s="54"/>
      <c r="BL188" s="54"/>
    </row>
    <row r="189" spans="1:64" ht="11.25" customHeight="1" x14ac:dyDescent="0.3">
      <c r="A189" s="54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54"/>
      <c r="AT189" s="54"/>
      <c r="AU189" s="54"/>
      <c r="AV189" s="54"/>
      <c r="AW189" s="54"/>
      <c r="AX189" s="54"/>
      <c r="AY189" s="54"/>
      <c r="AZ189" s="54"/>
      <c r="BA189" s="54"/>
      <c r="BB189" s="54"/>
      <c r="BC189" s="54"/>
      <c r="BD189" s="54"/>
      <c r="BE189" s="54"/>
      <c r="BF189" s="54"/>
      <c r="BG189" s="54"/>
      <c r="BH189" s="54"/>
      <c r="BI189" s="54"/>
      <c r="BJ189" s="54"/>
      <c r="BK189" s="54"/>
      <c r="BL189" s="54"/>
    </row>
    <row r="190" spans="1:64" ht="11.25" customHeight="1" x14ac:dyDescent="0.3">
      <c r="A190" s="54"/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54"/>
      <c r="AT190" s="54"/>
      <c r="AU190" s="54"/>
      <c r="AV190" s="54"/>
      <c r="AW190" s="54"/>
      <c r="AX190" s="54"/>
      <c r="AY190" s="54"/>
      <c r="AZ190" s="54"/>
      <c r="BA190" s="54"/>
      <c r="BB190" s="54"/>
      <c r="BC190" s="54"/>
      <c r="BD190" s="54"/>
      <c r="BE190" s="54"/>
      <c r="BF190" s="54"/>
      <c r="BG190" s="54"/>
      <c r="BH190" s="54"/>
      <c r="BI190" s="54"/>
      <c r="BJ190" s="54"/>
      <c r="BK190" s="54"/>
      <c r="BL190" s="54"/>
    </row>
    <row r="191" spans="1:64" ht="11.25" customHeight="1" x14ac:dyDescent="0.3">
      <c r="A191" s="54"/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4"/>
      <c r="AI191" s="54"/>
      <c r="AJ191" s="54"/>
      <c r="AK191" s="54"/>
      <c r="AL191" s="54"/>
      <c r="AM191" s="54"/>
      <c r="AN191" s="54"/>
      <c r="AO191" s="54"/>
      <c r="AP191" s="54"/>
      <c r="AQ191" s="54"/>
      <c r="AR191" s="54"/>
      <c r="AS191" s="54"/>
      <c r="AT191" s="54"/>
      <c r="AU191" s="54"/>
      <c r="AV191" s="54"/>
      <c r="AW191" s="54"/>
      <c r="AX191" s="54"/>
      <c r="AY191" s="54"/>
      <c r="AZ191" s="54"/>
      <c r="BA191" s="54"/>
      <c r="BB191" s="54"/>
      <c r="BC191" s="54"/>
      <c r="BD191" s="54"/>
      <c r="BE191" s="54"/>
      <c r="BF191" s="54"/>
      <c r="BG191" s="54"/>
      <c r="BH191" s="54"/>
      <c r="BI191" s="54"/>
      <c r="BJ191" s="54"/>
      <c r="BK191" s="54"/>
      <c r="BL191" s="54"/>
    </row>
    <row r="192" spans="1:64" ht="11.25" customHeight="1" x14ac:dyDescent="0.3">
      <c r="A192" s="54"/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  <c r="AJ192" s="54"/>
      <c r="AK192" s="54"/>
      <c r="AL192" s="54"/>
      <c r="AM192" s="54"/>
      <c r="AN192" s="54"/>
      <c r="AO192" s="54"/>
      <c r="AP192" s="54"/>
      <c r="AQ192" s="54"/>
      <c r="AR192" s="54"/>
      <c r="AS192" s="54"/>
      <c r="AT192" s="54"/>
      <c r="AU192" s="54"/>
      <c r="AV192" s="54"/>
      <c r="AW192" s="54"/>
      <c r="AX192" s="54"/>
      <c r="AY192" s="54"/>
      <c r="AZ192" s="54"/>
      <c r="BA192" s="54"/>
      <c r="BB192" s="54"/>
      <c r="BC192" s="54"/>
      <c r="BD192" s="54"/>
      <c r="BE192" s="54"/>
      <c r="BF192" s="54"/>
      <c r="BG192" s="54"/>
      <c r="BH192" s="54"/>
      <c r="BI192" s="54"/>
      <c r="BJ192" s="54"/>
      <c r="BK192" s="54"/>
      <c r="BL192" s="54"/>
    </row>
    <row r="193" spans="1:64" ht="11.25" customHeight="1" x14ac:dyDescent="0.3">
      <c r="A193" s="54"/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  <c r="AK193" s="54"/>
      <c r="AL193" s="54"/>
      <c r="AM193" s="54"/>
      <c r="AN193" s="54"/>
      <c r="AO193" s="54"/>
      <c r="AP193" s="54"/>
      <c r="AQ193" s="54"/>
      <c r="AR193" s="54"/>
      <c r="AS193" s="54"/>
      <c r="AT193" s="54"/>
      <c r="AU193" s="54"/>
      <c r="AV193" s="54"/>
      <c r="AW193" s="54"/>
      <c r="AX193" s="54"/>
      <c r="AY193" s="54"/>
      <c r="AZ193" s="54"/>
      <c r="BA193" s="54"/>
      <c r="BB193" s="54"/>
      <c r="BC193" s="54"/>
      <c r="BD193" s="54"/>
      <c r="BE193" s="54"/>
      <c r="BF193" s="54"/>
      <c r="BG193" s="54"/>
      <c r="BH193" s="54"/>
      <c r="BI193" s="54"/>
      <c r="BJ193" s="54"/>
      <c r="BK193" s="54"/>
      <c r="BL193" s="54"/>
    </row>
    <row r="194" spans="1:64" ht="11.25" customHeight="1" x14ac:dyDescent="0.3">
      <c r="A194" s="54"/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4"/>
      <c r="AI194" s="54"/>
      <c r="AJ194" s="54"/>
      <c r="AK194" s="54"/>
      <c r="AL194" s="54"/>
      <c r="AM194" s="54"/>
      <c r="AN194" s="54"/>
      <c r="AO194" s="54"/>
      <c r="AP194" s="54"/>
      <c r="AQ194" s="54"/>
      <c r="AR194" s="54"/>
      <c r="AS194" s="54"/>
      <c r="AT194" s="54"/>
      <c r="AU194" s="54"/>
      <c r="AV194" s="54"/>
      <c r="AW194" s="54"/>
      <c r="AX194" s="54"/>
      <c r="AY194" s="54"/>
      <c r="AZ194" s="54"/>
      <c r="BA194" s="54"/>
      <c r="BB194" s="54"/>
      <c r="BC194" s="54"/>
      <c r="BD194" s="54"/>
      <c r="BE194" s="54"/>
      <c r="BF194" s="54"/>
      <c r="BG194" s="54"/>
      <c r="BH194" s="54"/>
      <c r="BI194" s="54"/>
      <c r="BJ194" s="54"/>
      <c r="BK194" s="54"/>
      <c r="BL194" s="54"/>
    </row>
    <row r="195" spans="1:64" ht="11.25" customHeight="1" x14ac:dyDescent="0.3">
      <c r="A195" s="54"/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  <c r="AJ195" s="54"/>
      <c r="AK195" s="54"/>
      <c r="AL195" s="54"/>
      <c r="AM195" s="54"/>
      <c r="AN195" s="54"/>
      <c r="AO195" s="54"/>
      <c r="AP195" s="54"/>
      <c r="AQ195" s="54"/>
      <c r="AR195" s="54"/>
      <c r="AS195" s="54"/>
      <c r="AT195" s="54"/>
      <c r="AU195" s="54"/>
      <c r="AV195" s="54"/>
      <c r="AW195" s="54"/>
      <c r="AX195" s="54"/>
      <c r="AY195" s="54"/>
      <c r="AZ195" s="54"/>
      <c r="BA195" s="54"/>
      <c r="BB195" s="54"/>
      <c r="BC195" s="54"/>
      <c r="BD195" s="54"/>
      <c r="BE195" s="54"/>
      <c r="BF195" s="54"/>
      <c r="BG195" s="54"/>
      <c r="BH195" s="54"/>
      <c r="BI195" s="54"/>
      <c r="BJ195" s="54"/>
      <c r="BK195" s="54"/>
      <c r="BL195" s="54"/>
    </row>
    <row r="196" spans="1:64" ht="11.25" customHeight="1" x14ac:dyDescent="0.3">
      <c r="A196" s="54"/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  <c r="AJ196" s="54"/>
      <c r="AK196" s="54"/>
      <c r="AL196" s="54"/>
      <c r="AM196" s="54"/>
      <c r="AN196" s="54"/>
      <c r="AO196" s="54"/>
      <c r="AP196" s="54"/>
      <c r="AQ196" s="54"/>
      <c r="AR196" s="54"/>
      <c r="AS196" s="54"/>
      <c r="AT196" s="54"/>
      <c r="AU196" s="54"/>
      <c r="AV196" s="54"/>
      <c r="AW196" s="54"/>
      <c r="AX196" s="54"/>
      <c r="AY196" s="54"/>
      <c r="AZ196" s="54"/>
      <c r="BA196" s="54"/>
      <c r="BB196" s="54"/>
      <c r="BC196" s="54"/>
      <c r="BD196" s="54"/>
      <c r="BE196" s="54"/>
      <c r="BF196" s="54"/>
      <c r="BG196" s="54"/>
      <c r="BH196" s="54"/>
      <c r="BI196" s="54"/>
      <c r="BJ196" s="54"/>
      <c r="BK196" s="54"/>
      <c r="BL196" s="54"/>
    </row>
    <row r="197" spans="1:64" ht="11.25" customHeight="1" x14ac:dyDescent="0.3">
      <c r="A197" s="54"/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4"/>
      <c r="AI197" s="54"/>
      <c r="AJ197" s="54"/>
      <c r="AK197" s="54"/>
      <c r="AL197" s="54"/>
      <c r="AM197" s="54"/>
      <c r="AN197" s="54"/>
      <c r="AO197" s="54"/>
      <c r="AP197" s="54"/>
      <c r="AQ197" s="54"/>
      <c r="AR197" s="54"/>
      <c r="AS197" s="54"/>
      <c r="AT197" s="54"/>
      <c r="AU197" s="54"/>
      <c r="AV197" s="54"/>
      <c r="AW197" s="54"/>
      <c r="AX197" s="54"/>
      <c r="AY197" s="54"/>
      <c r="AZ197" s="54"/>
      <c r="BA197" s="54"/>
      <c r="BB197" s="54"/>
      <c r="BC197" s="54"/>
      <c r="BD197" s="54"/>
      <c r="BE197" s="54"/>
      <c r="BF197" s="54"/>
      <c r="BG197" s="54"/>
      <c r="BH197" s="54"/>
      <c r="BI197" s="54"/>
      <c r="BJ197" s="54"/>
      <c r="BK197" s="54"/>
      <c r="BL197" s="54"/>
    </row>
    <row r="198" spans="1:64" ht="11.25" customHeight="1" x14ac:dyDescent="0.3">
      <c r="A198" s="54"/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  <c r="AK198" s="54"/>
      <c r="AL198" s="54"/>
      <c r="AM198" s="54"/>
      <c r="AN198" s="54"/>
      <c r="AO198" s="54"/>
      <c r="AP198" s="54"/>
      <c r="AQ198" s="54"/>
      <c r="AR198" s="54"/>
      <c r="AS198" s="54"/>
      <c r="AT198" s="54"/>
      <c r="AU198" s="54"/>
      <c r="AV198" s="54"/>
      <c r="AW198" s="54"/>
      <c r="AX198" s="54"/>
      <c r="AY198" s="54"/>
      <c r="AZ198" s="54"/>
      <c r="BA198" s="54"/>
      <c r="BB198" s="54"/>
      <c r="BC198" s="54"/>
      <c r="BD198" s="54"/>
      <c r="BE198" s="54"/>
      <c r="BF198" s="54"/>
      <c r="BG198" s="54"/>
      <c r="BH198" s="54"/>
      <c r="BI198" s="54"/>
      <c r="BJ198" s="54"/>
      <c r="BK198" s="54"/>
      <c r="BL198" s="54"/>
    </row>
    <row r="199" spans="1:64" ht="11.25" customHeight="1" x14ac:dyDescent="0.3">
      <c r="A199" s="54"/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4"/>
      <c r="AI199" s="54"/>
      <c r="AJ199" s="54"/>
      <c r="AK199" s="54"/>
      <c r="AL199" s="54"/>
      <c r="AM199" s="54"/>
      <c r="AN199" s="54"/>
      <c r="AO199" s="54"/>
      <c r="AP199" s="54"/>
      <c r="AQ199" s="54"/>
      <c r="AR199" s="54"/>
      <c r="AS199" s="54"/>
      <c r="AT199" s="54"/>
      <c r="AU199" s="54"/>
      <c r="AV199" s="54"/>
      <c r="AW199" s="54"/>
      <c r="AX199" s="54"/>
      <c r="AY199" s="54"/>
      <c r="AZ199" s="54"/>
      <c r="BA199" s="54"/>
      <c r="BB199" s="54"/>
      <c r="BC199" s="54"/>
      <c r="BD199" s="54"/>
      <c r="BE199" s="54"/>
      <c r="BF199" s="54"/>
      <c r="BG199" s="54"/>
      <c r="BH199" s="54"/>
      <c r="BI199" s="54"/>
      <c r="BJ199" s="54"/>
      <c r="BK199" s="54"/>
      <c r="BL199" s="54"/>
    </row>
    <row r="200" spans="1:64" ht="11.25" customHeight="1" x14ac:dyDescent="0.3">
      <c r="A200" s="54"/>
      <c r="B200" s="54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4"/>
      <c r="AI200" s="54"/>
      <c r="AJ200" s="54"/>
      <c r="AK200" s="54"/>
      <c r="AL200" s="54"/>
      <c r="AM200" s="54"/>
      <c r="AN200" s="54"/>
      <c r="AO200" s="54"/>
      <c r="AP200" s="54"/>
      <c r="AQ200" s="54"/>
      <c r="AR200" s="54"/>
      <c r="AS200" s="54"/>
      <c r="AT200" s="54"/>
      <c r="AU200" s="54"/>
      <c r="AV200" s="54"/>
      <c r="AW200" s="54"/>
      <c r="AX200" s="54"/>
      <c r="AY200" s="54"/>
      <c r="AZ200" s="54"/>
      <c r="BA200" s="54"/>
      <c r="BB200" s="54"/>
      <c r="BC200" s="54"/>
      <c r="BD200" s="54"/>
      <c r="BE200" s="54"/>
      <c r="BF200" s="54"/>
      <c r="BG200" s="54"/>
      <c r="BH200" s="54"/>
      <c r="BI200" s="54"/>
      <c r="BJ200" s="54"/>
      <c r="BK200" s="54"/>
      <c r="BL200" s="54"/>
    </row>
    <row r="201" spans="1:64" ht="11.25" customHeight="1" x14ac:dyDescent="0.3">
      <c r="A201" s="54"/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/>
      <c r="AR201" s="54"/>
      <c r="AS201" s="54"/>
      <c r="AT201" s="54"/>
      <c r="AU201" s="54"/>
      <c r="AV201" s="54"/>
      <c r="AW201" s="54"/>
      <c r="AX201" s="54"/>
      <c r="AY201" s="54"/>
      <c r="AZ201" s="54"/>
      <c r="BA201" s="54"/>
      <c r="BB201" s="54"/>
      <c r="BC201" s="54"/>
      <c r="BD201" s="54"/>
      <c r="BE201" s="54"/>
      <c r="BF201" s="54"/>
      <c r="BG201" s="54"/>
      <c r="BH201" s="54"/>
      <c r="BI201" s="54"/>
      <c r="BJ201" s="54"/>
      <c r="BK201" s="54"/>
      <c r="BL201" s="54"/>
    </row>
    <row r="202" spans="1:64" ht="11.25" customHeight="1" x14ac:dyDescent="0.3">
      <c r="A202" s="54"/>
      <c r="B202" s="54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4"/>
      <c r="AI202" s="54"/>
      <c r="AJ202" s="54"/>
      <c r="AK202" s="54"/>
      <c r="AL202" s="54"/>
      <c r="AM202" s="54"/>
      <c r="AN202" s="54"/>
      <c r="AO202" s="54"/>
      <c r="AP202" s="54"/>
      <c r="AQ202" s="54"/>
      <c r="AR202" s="54"/>
      <c r="AS202" s="54"/>
      <c r="AT202" s="54"/>
      <c r="AU202" s="54"/>
      <c r="AV202" s="54"/>
      <c r="AW202" s="54"/>
      <c r="AX202" s="54"/>
      <c r="AY202" s="54"/>
      <c r="AZ202" s="54"/>
      <c r="BA202" s="54"/>
      <c r="BB202" s="54"/>
      <c r="BC202" s="54"/>
      <c r="BD202" s="54"/>
      <c r="BE202" s="54"/>
      <c r="BF202" s="54"/>
      <c r="BG202" s="54"/>
      <c r="BH202" s="54"/>
      <c r="BI202" s="54"/>
      <c r="BJ202" s="54"/>
      <c r="BK202" s="54"/>
      <c r="BL202" s="54"/>
    </row>
    <row r="203" spans="1:64" ht="11.25" customHeight="1" x14ac:dyDescent="0.3">
      <c r="A203" s="54"/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4"/>
      <c r="AI203" s="54"/>
      <c r="AJ203" s="54"/>
      <c r="AK203" s="54"/>
      <c r="AL203" s="54"/>
      <c r="AM203" s="54"/>
      <c r="AN203" s="54"/>
      <c r="AO203" s="54"/>
      <c r="AP203" s="54"/>
      <c r="AQ203" s="54"/>
      <c r="AR203" s="54"/>
      <c r="AS203" s="54"/>
      <c r="AT203" s="54"/>
      <c r="AU203" s="54"/>
      <c r="AV203" s="54"/>
      <c r="AW203" s="54"/>
      <c r="AX203" s="54"/>
      <c r="AY203" s="54"/>
      <c r="AZ203" s="54"/>
      <c r="BA203" s="54"/>
      <c r="BB203" s="54"/>
      <c r="BC203" s="54"/>
      <c r="BD203" s="54"/>
      <c r="BE203" s="54"/>
      <c r="BF203" s="54"/>
      <c r="BG203" s="54"/>
      <c r="BH203" s="54"/>
      <c r="BI203" s="54"/>
      <c r="BJ203" s="54"/>
      <c r="BK203" s="54"/>
      <c r="BL203" s="54"/>
    </row>
    <row r="204" spans="1:64" ht="11.25" customHeight="1" x14ac:dyDescent="0.3">
      <c r="A204" s="54"/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4"/>
      <c r="AI204" s="54"/>
      <c r="AJ204" s="54"/>
      <c r="AK204" s="54"/>
      <c r="AL204" s="54"/>
      <c r="AM204" s="54"/>
      <c r="AN204" s="54"/>
      <c r="AO204" s="54"/>
      <c r="AP204" s="54"/>
      <c r="AQ204" s="54"/>
      <c r="AR204" s="54"/>
      <c r="AS204" s="54"/>
      <c r="AT204" s="54"/>
      <c r="AU204" s="54"/>
      <c r="AV204" s="54"/>
      <c r="AW204" s="54"/>
      <c r="AX204" s="54"/>
      <c r="AY204" s="54"/>
      <c r="AZ204" s="54"/>
      <c r="BA204" s="54"/>
      <c r="BB204" s="54"/>
      <c r="BC204" s="54"/>
      <c r="BD204" s="54"/>
      <c r="BE204" s="54"/>
      <c r="BF204" s="54"/>
      <c r="BG204" s="54"/>
      <c r="BH204" s="54"/>
      <c r="BI204" s="54"/>
      <c r="BJ204" s="54"/>
      <c r="BK204" s="54"/>
      <c r="BL204" s="54"/>
    </row>
    <row r="205" spans="1:64" ht="11.25" customHeight="1" x14ac:dyDescent="0.3">
      <c r="A205" s="54"/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4"/>
      <c r="AI205" s="54"/>
      <c r="AJ205" s="54"/>
      <c r="AK205" s="54"/>
      <c r="AL205" s="54"/>
      <c r="AM205" s="54"/>
      <c r="AN205" s="54"/>
      <c r="AO205" s="54"/>
      <c r="AP205" s="54"/>
      <c r="AQ205" s="54"/>
      <c r="AR205" s="54"/>
      <c r="AS205" s="54"/>
      <c r="AT205" s="54"/>
      <c r="AU205" s="54"/>
      <c r="AV205" s="54"/>
      <c r="AW205" s="54"/>
      <c r="AX205" s="54"/>
      <c r="AY205" s="54"/>
      <c r="AZ205" s="54"/>
      <c r="BA205" s="54"/>
      <c r="BB205" s="54"/>
      <c r="BC205" s="54"/>
      <c r="BD205" s="54"/>
      <c r="BE205" s="54"/>
      <c r="BF205" s="54"/>
      <c r="BG205" s="54"/>
      <c r="BH205" s="54"/>
      <c r="BI205" s="54"/>
      <c r="BJ205" s="54"/>
      <c r="BK205" s="54"/>
      <c r="BL205" s="54"/>
    </row>
    <row r="206" spans="1:64" ht="11.25" customHeight="1" x14ac:dyDescent="0.3">
      <c r="A206" s="54"/>
      <c r="B206" s="54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4"/>
      <c r="AI206" s="54"/>
      <c r="AJ206" s="54"/>
      <c r="AK206" s="54"/>
      <c r="AL206" s="54"/>
      <c r="AM206" s="54"/>
      <c r="AN206" s="54"/>
      <c r="AO206" s="54"/>
      <c r="AP206" s="54"/>
      <c r="AQ206" s="54"/>
      <c r="AR206" s="54"/>
      <c r="AS206" s="54"/>
      <c r="AT206" s="54"/>
      <c r="AU206" s="54"/>
      <c r="AV206" s="54"/>
      <c r="AW206" s="54"/>
      <c r="AX206" s="54"/>
      <c r="AY206" s="54"/>
      <c r="AZ206" s="54"/>
      <c r="BA206" s="54"/>
      <c r="BB206" s="54"/>
      <c r="BC206" s="54"/>
      <c r="BD206" s="54"/>
      <c r="BE206" s="54"/>
      <c r="BF206" s="54"/>
      <c r="BG206" s="54"/>
      <c r="BH206" s="54"/>
      <c r="BI206" s="54"/>
      <c r="BJ206" s="54"/>
      <c r="BK206" s="54"/>
      <c r="BL206" s="54"/>
    </row>
    <row r="207" spans="1:64" ht="11.25" customHeight="1" x14ac:dyDescent="0.3">
      <c r="A207" s="54"/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4"/>
      <c r="AI207" s="54"/>
      <c r="AJ207" s="54"/>
      <c r="AK207" s="54"/>
      <c r="AL207" s="54"/>
      <c r="AM207" s="54"/>
      <c r="AN207" s="54"/>
      <c r="AO207" s="54"/>
      <c r="AP207" s="54"/>
      <c r="AQ207" s="54"/>
      <c r="AR207" s="54"/>
      <c r="AS207" s="54"/>
      <c r="AT207" s="54"/>
      <c r="AU207" s="54"/>
      <c r="AV207" s="54"/>
      <c r="AW207" s="54"/>
      <c r="AX207" s="54"/>
      <c r="AY207" s="54"/>
      <c r="AZ207" s="54"/>
      <c r="BA207" s="54"/>
      <c r="BB207" s="54"/>
      <c r="BC207" s="54"/>
      <c r="BD207" s="54"/>
      <c r="BE207" s="54"/>
      <c r="BF207" s="54"/>
      <c r="BG207" s="54"/>
      <c r="BH207" s="54"/>
      <c r="BI207" s="54"/>
      <c r="BJ207" s="54"/>
      <c r="BK207" s="54"/>
      <c r="BL207" s="54"/>
    </row>
    <row r="208" spans="1:64" ht="11.25" customHeight="1" x14ac:dyDescent="0.3">
      <c r="A208" s="54"/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4"/>
      <c r="AI208" s="54"/>
      <c r="AJ208" s="54"/>
      <c r="AK208" s="54"/>
      <c r="AL208" s="54"/>
      <c r="AM208" s="54"/>
      <c r="AN208" s="54"/>
      <c r="AO208" s="54"/>
      <c r="AP208" s="54"/>
      <c r="AQ208" s="54"/>
      <c r="AR208" s="54"/>
      <c r="AS208" s="54"/>
      <c r="AT208" s="54"/>
      <c r="AU208" s="54"/>
      <c r="AV208" s="54"/>
      <c r="AW208" s="54"/>
      <c r="AX208" s="54"/>
      <c r="AY208" s="54"/>
      <c r="AZ208" s="54"/>
      <c r="BA208" s="54"/>
      <c r="BB208" s="54"/>
      <c r="BC208" s="54"/>
      <c r="BD208" s="54"/>
      <c r="BE208" s="54"/>
      <c r="BF208" s="54"/>
      <c r="BG208" s="54"/>
      <c r="BH208" s="54"/>
      <c r="BI208" s="54"/>
      <c r="BJ208" s="54"/>
      <c r="BK208" s="54"/>
      <c r="BL208" s="54"/>
    </row>
    <row r="209" spans="1:64" ht="11.25" customHeight="1" x14ac:dyDescent="0.3">
      <c r="A209" s="54"/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4"/>
      <c r="AI209" s="54"/>
      <c r="AJ209" s="54"/>
      <c r="AK209" s="54"/>
      <c r="AL209" s="54"/>
      <c r="AM209" s="54"/>
      <c r="AN209" s="54"/>
      <c r="AO209" s="54"/>
      <c r="AP209" s="54"/>
      <c r="AQ209" s="54"/>
      <c r="AR209" s="54"/>
      <c r="AS209" s="54"/>
      <c r="AT209" s="54"/>
      <c r="AU209" s="54"/>
      <c r="AV209" s="54"/>
      <c r="AW209" s="54"/>
      <c r="AX209" s="54"/>
      <c r="AY209" s="54"/>
      <c r="AZ209" s="54"/>
      <c r="BA209" s="54"/>
      <c r="BB209" s="54"/>
      <c r="BC209" s="54"/>
      <c r="BD209" s="54"/>
      <c r="BE209" s="54"/>
      <c r="BF209" s="54"/>
      <c r="BG209" s="54"/>
      <c r="BH209" s="54"/>
      <c r="BI209" s="54"/>
      <c r="BJ209" s="54"/>
      <c r="BK209" s="54"/>
      <c r="BL209" s="54"/>
    </row>
    <row r="210" spans="1:64" ht="11.25" customHeight="1" x14ac:dyDescent="0.3">
      <c r="A210" s="54"/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4"/>
      <c r="AI210" s="54"/>
      <c r="AJ210" s="54"/>
      <c r="AK210" s="54"/>
      <c r="AL210" s="54"/>
      <c r="AM210" s="54"/>
      <c r="AN210" s="54"/>
      <c r="AO210" s="54"/>
      <c r="AP210" s="54"/>
      <c r="AQ210" s="54"/>
      <c r="AR210" s="54"/>
      <c r="AS210" s="54"/>
      <c r="AT210" s="54"/>
      <c r="AU210" s="54"/>
      <c r="AV210" s="54"/>
      <c r="AW210" s="54"/>
      <c r="AX210" s="54"/>
      <c r="AY210" s="54"/>
      <c r="AZ210" s="54"/>
      <c r="BA210" s="54"/>
      <c r="BB210" s="54"/>
      <c r="BC210" s="54"/>
      <c r="BD210" s="54"/>
      <c r="BE210" s="54"/>
      <c r="BF210" s="54"/>
      <c r="BG210" s="54"/>
      <c r="BH210" s="54"/>
      <c r="BI210" s="54"/>
      <c r="BJ210" s="54"/>
      <c r="BK210" s="54"/>
      <c r="BL210" s="54"/>
    </row>
    <row r="211" spans="1:64" ht="11.25" customHeight="1" x14ac:dyDescent="0.3">
      <c r="A211" s="54"/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  <c r="AG211" s="54"/>
      <c r="AH211" s="54"/>
      <c r="AI211" s="54"/>
      <c r="AJ211" s="54"/>
      <c r="AK211" s="54"/>
      <c r="AL211" s="54"/>
      <c r="AM211" s="54"/>
      <c r="AN211" s="54"/>
      <c r="AO211" s="54"/>
      <c r="AP211" s="54"/>
      <c r="AQ211" s="54"/>
      <c r="AR211" s="54"/>
      <c r="AS211" s="54"/>
      <c r="AT211" s="54"/>
      <c r="AU211" s="54"/>
      <c r="AV211" s="54"/>
      <c r="AW211" s="54"/>
      <c r="AX211" s="54"/>
      <c r="AY211" s="54"/>
      <c r="AZ211" s="54"/>
      <c r="BA211" s="54"/>
      <c r="BB211" s="54"/>
      <c r="BC211" s="54"/>
      <c r="BD211" s="54"/>
      <c r="BE211" s="54"/>
      <c r="BF211" s="54"/>
      <c r="BG211" s="54"/>
      <c r="BH211" s="54"/>
      <c r="BI211" s="54"/>
      <c r="BJ211" s="54"/>
      <c r="BK211" s="54"/>
      <c r="BL211" s="54"/>
    </row>
    <row r="212" spans="1:64" ht="11.25" customHeight="1" x14ac:dyDescent="0.3">
      <c r="A212" s="54"/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  <c r="AG212" s="54"/>
      <c r="AH212" s="54"/>
      <c r="AI212" s="54"/>
      <c r="AJ212" s="54"/>
      <c r="AK212" s="54"/>
      <c r="AL212" s="54"/>
      <c r="AM212" s="54"/>
      <c r="AN212" s="54"/>
      <c r="AO212" s="54"/>
      <c r="AP212" s="54"/>
      <c r="AQ212" s="54"/>
      <c r="AR212" s="54"/>
      <c r="AS212" s="54"/>
      <c r="AT212" s="54"/>
      <c r="AU212" s="54"/>
      <c r="AV212" s="54"/>
      <c r="AW212" s="54"/>
      <c r="AX212" s="54"/>
      <c r="AY212" s="54"/>
      <c r="AZ212" s="54"/>
      <c r="BA212" s="54"/>
      <c r="BB212" s="54"/>
      <c r="BC212" s="54"/>
      <c r="BD212" s="54"/>
      <c r="BE212" s="54"/>
      <c r="BF212" s="54"/>
      <c r="BG212" s="54"/>
      <c r="BH212" s="54"/>
      <c r="BI212" s="54"/>
      <c r="BJ212" s="54"/>
      <c r="BK212" s="54"/>
      <c r="BL212" s="54"/>
    </row>
    <row r="213" spans="1:64" ht="11.25" customHeight="1" x14ac:dyDescent="0.3">
      <c r="A213" s="54"/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4"/>
      <c r="AI213" s="54"/>
      <c r="AJ213" s="54"/>
      <c r="AK213" s="54"/>
      <c r="AL213" s="54"/>
      <c r="AM213" s="54"/>
      <c r="AN213" s="54"/>
      <c r="AO213" s="54"/>
      <c r="AP213" s="54"/>
      <c r="AQ213" s="54"/>
      <c r="AR213" s="54"/>
      <c r="AS213" s="54"/>
      <c r="AT213" s="54"/>
      <c r="AU213" s="54"/>
      <c r="AV213" s="54"/>
      <c r="AW213" s="54"/>
      <c r="AX213" s="54"/>
      <c r="AY213" s="54"/>
      <c r="AZ213" s="54"/>
      <c r="BA213" s="54"/>
      <c r="BB213" s="54"/>
      <c r="BC213" s="54"/>
      <c r="BD213" s="54"/>
      <c r="BE213" s="54"/>
      <c r="BF213" s="54"/>
      <c r="BG213" s="54"/>
      <c r="BH213" s="54"/>
      <c r="BI213" s="54"/>
      <c r="BJ213" s="54"/>
      <c r="BK213" s="54"/>
      <c r="BL213" s="54"/>
    </row>
    <row r="214" spans="1:64" ht="11.25" customHeight="1" x14ac:dyDescent="0.3">
      <c r="A214" s="54"/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4"/>
      <c r="AI214" s="54"/>
      <c r="AJ214" s="54"/>
      <c r="AK214" s="54"/>
      <c r="AL214" s="54"/>
      <c r="AM214" s="54"/>
      <c r="AN214" s="54"/>
      <c r="AO214" s="54"/>
      <c r="AP214" s="54"/>
      <c r="AQ214" s="54"/>
      <c r="AR214" s="54"/>
      <c r="AS214" s="54"/>
      <c r="AT214" s="54"/>
      <c r="AU214" s="54"/>
      <c r="AV214" s="54"/>
      <c r="AW214" s="54"/>
      <c r="AX214" s="54"/>
      <c r="AY214" s="54"/>
      <c r="AZ214" s="54"/>
      <c r="BA214" s="54"/>
      <c r="BB214" s="54"/>
      <c r="BC214" s="54"/>
      <c r="BD214" s="54"/>
      <c r="BE214" s="54"/>
      <c r="BF214" s="54"/>
      <c r="BG214" s="54"/>
      <c r="BH214" s="54"/>
      <c r="BI214" s="54"/>
      <c r="BJ214" s="54"/>
      <c r="BK214" s="54"/>
      <c r="BL214" s="54"/>
    </row>
    <row r="215" spans="1:64" ht="11.25" customHeight="1" x14ac:dyDescent="0.3">
      <c r="A215" s="54"/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4"/>
      <c r="AI215" s="54"/>
      <c r="AJ215" s="54"/>
      <c r="AK215" s="54"/>
      <c r="AL215" s="54"/>
      <c r="AM215" s="54"/>
      <c r="AN215" s="54"/>
      <c r="AO215" s="54"/>
      <c r="AP215" s="54"/>
      <c r="AQ215" s="54"/>
      <c r="AR215" s="54"/>
      <c r="AS215" s="54"/>
      <c r="AT215" s="54"/>
      <c r="AU215" s="54"/>
      <c r="AV215" s="54"/>
      <c r="AW215" s="54"/>
      <c r="AX215" s="54"/>
      <c r="AY215" s="54"/>
      <c r="AZ215" s="54"/>
      <c r="BA215" s="54"/>
      <c r="BB215" s="54"/>
      <c r="BC215" s="54"/>
      <c r="BD215" s="54"/>
      <c r="BE215" s="54"/>
      <c r="BF215" s="54"/>
      <c r="BG215" s="54"/>
      <c r="BH215" s="54"/>
      <c r="BI215" s="54"/>
      <c r="BJ215" s="54"/>
      <c r="BK215" s="54"/>
      <c r="BL215" s="54"/>
    </row>
    <row r="216" spans="1:64" ht="11.25" customHeight="1" x14ac:dyDescent="0.3">
      <c r="A216" s="54"/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  <c r="AK216" s="54"/>
      <c r="AL216" s="54"/>
      <c r="AM216" s="54"/>
      <c r="AN216" s="54"/>
      <c r="AO216" s="54"/>
      <c r="AP216" s="54"/>
      <c r="AQ216" s="54"/>
      <c r="AR216" s="54"/>
      <c r="AS216" s="54"/>
      <c r="AT216" s="54"/>
      <c r="AU216" s="54"/>
      <c r="AV216" s="54"/>
      <c r="AW216" s="54"/>
      <c r="AX216" s="54"/>
      <c r="AY216" s="54"/>
      <c r="AZ216" s="54"/>
      <c r="BA216" s="54"/>
      <c r="BB216" s="54"/>
      <c r="BC216" s="54"/>
      <c r="BD216" s="54"/>
      <c r="BE216" s="54"/>
      <c r="BF216" s="54"/>
      <c r="BG216" s="54"/>
      <c r="BH216" s="54"/>
      <c r="BI216" s="54"/>
      <c r="BJ216" s="54"/>
      <c r="BK216" s="54"/>
      <c r="BL216" s="54"/>
    </row>
    <row r="217" spans="1:64" ht="11.25" customHeight="1" x14ac:dyDescent="0.3">
      <c r="A217" s="54"/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  <c r="AK217" s="54"/>
      <c r="AL217" s="54"/>
      <c r="AM217" s="54"/>
      <c r="AN217" s="54"/>
      <c r="AO217" s="54"/>
      <c r="AP217" s="54"/>
      <c r="AQ217" s="54"/>
      <c r="AR217" s="54"/>
      <c r="AS217" s="54"/>
      <c r="AT217" s="54"/>
      <c r="AU217" s="54"/>
      <c r="AV217" s="54"/>
      <c r="AW217" s="54"/>
      <c r="AX217" s="54"/>
      <c r="AY217" s="54"/>
      <c r="AZ217" s="54"/>
      <c r="BA217" s="54"/>
      <c r="BB217" s="54"/>
      <c r="BC217" s="54"/>
      <c r="BD217" s="54"/>
      <c r="BE217" s="54"/>
      <c r="BF217" s="54"/>
      <c r="BG217" s="54"/>
      <c r="BH217" s="54"/>
      <c r="BI217" s="54"/>
      <c r="BJ217" s="54"/>
      <c r="BK217" s="54"/>
      <c r="BL217" s="54"/>
    </row>
    <row r="218" spans="1:64" ht="11.25" customHeight="1" x14ac:dyDescent="0.3">
      <c r="A218" s="54"/>
      <c r="B218" s="54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  <c r="AK218" s="54"/>
      <c r="AL218" s="54"/>
      <c r="AM218" s="54"/>
      <c r="AN218" s="54"/>
      <c r="AO218" s="54"/>
      <c r="AP218" s="54"/>
      <c r="AQ218" s="54"/>
      <c r="AR218" s="54"/>
      <c r="AS218" s="54"/>
      <c r="AT218" s="54"/>
      <c r="AU218" s="54"/>
      <c r="AV218" s="54"/>
      <c r="AW218" s="54"/>
      <c r="AX218" s="54"/>
      <c r="AY218" s="54"/>
      <c r="AZ218" s="54"/>
      <c r="BA218" s="54"/>
      <c r="BB218" s="54"/>
      <c r="BC218" s="54"/>
      <c r="BD218" s="54"/>
      <c r="BE218" s="54"/>
      <c r="BF218" s="54"/>
      <c r="BG218" s="54"/>
      <c r="BH218" s="54"/>
      <c r="BI218" s="54"/>
      <c r="BJ218" s="54"/>
      <c r="BK218" s="54"/>
      <c r="BL218" s="54"/>
    </row>
    <row r="219" spans="1:64" ht="11.25" customHeight="1" x14ac:dyDescent="0.3">
      <c r="A219" s="54"/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4"/>
      <c r="AN219" s="54"/>
      <c r="AO219" s="54"/>
      <c r="AP219" s="54"/>
      <c r="AQ219" s="54"/>
      <c r="AR219" s="54"/>
      <c r="AS219" s="54"/>
      <c r="AT219" s="54"/>
      <c r="AU219" s="54"/>
      <c r="AV219" s="54"/>
      <c r="AW219" s="54"/>
      <c r="AX219" s="54"/>
      <c r="AY219" s="54"/>
      <c r="AZ219" s="54"/>
      <c r="BA219" s="54"/>
      <c r="BB219" s="54"/>
      <c r="BC219" s="54"/>
      <c r="BD219" s="54"/>
      <c r="BE219" s="54"/>
      <c r="BF219" s="54"/>
      <c r="BG219" s="54"/>
      <c r="BH219" s="54"/>
      <c r="BI219" s="54"/>
      <c r="BJ219" s="54"/>
      <c r="BK219" s="54"/>
      <c r="BL219" s="54"/>
    </row>
    <row r="220" spans="1:64" ht="11.25" customHeight="1" x14ac:dyDescent="0.3">
      <c r="A220" s="54"/>
      <c r="B220" s="54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  <c r="AK220" s="54"/>
      <c r="AL220" s="54"/>
      <c r="AM220" s="54"/>
      <c r="AN220" s="54"/>
      <c r="AO220" s="54"/>
      <c r="AP220" s="54"/>
      <c r="AQ220" s="54"/>
      <c r="AR220" s="54"/>
      <c r="AS220" s="54"/>
      <c r="AT220" s="54"/>
      <c r="AU220" s="54"/>
      <c r="AV220" s="54"/>
      <c r="AW220" s="54"/>
      <c r="AX220" s="54"/>
      <c r="AY220" s="54"/>
      <c r="AZ220" s="54"/>
      <c r="BA220" s="54"/>
      <c r="BB220" s="54"/>
      <c r="BC220" s="54"/>
      <c r="BD220" s="54"/>
      <c r="BE220" s="54"/>
      <c r="BF220" s="54"/>
      <c r="BG220" s="54"/>
      <c r="BH220" s="54"/>
      <c r="BI220" s="54"/>
      <c r="BJ220" s="54"/>
      <c r="BK220" s="54"/>
      <c r="BL220" s="54"/>
    </row>
    <row r="221" spans="1:64" ht="11.25" customHeight="1" x14ac:dyDescent="0.3">
      <c r="A221" s="54"/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  <c r="AK221" s="54"/>
      <c r="AL221" s="54"/>
      <c r="AM221" s="54"/>
      <c r="AN221" s="54"/>
      <c r="AO221" s="54"/>
      <c r="AP221" s="54"/>
      <c r="AQ221" s="54"/>
      <c r="AR221" s="54"/>
      <c r="AS221" s="54"/>
      <c r="AT221" s="54"/>
      <c r="AU221" s="54"/>
      <c r="AV221" s="54"/>
      <c r="AW221" s="54"/>
      <c r="AX221" s="54"/>
      <c r="AY221" s="54"/>
      <c r="AZ221" s="54"/>
      <c r="BA221" s="54"/>
      <c r="BB221" s="54"/>
      <c r="BC221" s="54"/>
      <c r="BD221" s="54"/>
      <c r="BE221" s="54"/>
      <c r="BF221" s="54"/>
      <c r="BG221" s="54"/>
      <c r="BH221" s="54"/>
      <c r="BI221" s="54"/>
      <c r="BJ221" s="54"/>
      <c r="BK221" s="54"/>
      <c r="BL221" s="54"/>
    </row>
    <row r="222" spans="1:64" ht="11.25" customHeight="1" x14ac:dyDescent="0.3">
      <c r="A222" s="54"/>
      <c r="B222" s="54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4"/>
      <c r="AI222" s="54"/>
      <c r="AJ222" s="54"/>
      <c r="AK222" s="54"/>
      <c r="AL222" s="54"/>
      <c r="AM222" s="54"/>
      <c r="AN222" s="54"/>
      <c r="AO222" s="54"/>
      <c r="AP222" s="54"/>
      <c r="AQ222" s="54"/>
      <c r="AR222" s="54"/>
      <c r="AS222" s="54"/>
      <c r="AT222" s="54"/>
      <c r="AU222" s="54"/>
      <c r="AV222" s="54"/>
      <c r="AW222" s="54"/>
      <c r="AX222" s="54"/>
      <c r="AY222" s="54"/>
      <c r="AZ222" s="54"/>
      <c r="BA222" s="54"/>
      <c r="BB222" s="54"/>
      <c r="BC222" s="54"/>
      <c r="BD222" s="54"/>
      <c r="BE222" s="54"/>
      <c r="BF222" s="54"/>
      <c r="BG222" s="54"/>
      <c r="BH222" s="54"/>
      <c r="BI222" s="54"/>
      <c r="BJ222" s="54"/>
      <c r="BK222" s="54"/>
      <c r="BL222" s="54"/>
    </row>
    <row r="223" spans="1:64" ht="11.25" customHeight="1" x14ac:dyDescent="0.3">
      <c r="A223" s="54"/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54"/>
      <c r="AV223" s="54"/>
      <c r="AW223" s="54"/>
      <c r="AX223" s="54"/>
      <c r="AY223" s="54"/>
      <c r="AZ223" s="54"/>
      <c r="BA223" s="54"/>
      <c r="BB223" s="54"/>
      <c r="BC223" s="54"/>
      <c r="BD223" s="54"/>
      <c r="BE223" s="54"/>
      <c r="BF223" s="54"/>
      <c r="BG223" s="54"/>
      <c r="BH223" s="54"/>
      <c r="BI223" s="54"/>
      <c r="BJ223" s="54"/>
      <c r="BK223" s="54"/>
      <c r="BL223" s="54"/>
    </row>
    <row r="224" spans="1:64" ht="11.25" customHeight="1" x14ac:dyDescent="0.3">
      <c r="A224" s="54"/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4"/>
      <c r="AI224" s="54"/>
      <c r="AJ224" s="54"/>
      <c r="AK224" s="54"/>
      <c r="AL224" s="54"/>
      <c r="AM224" s="54"/>
      <c r="AN224" s="54"/>
      <c r="AO224" s="54"/>
      <c r="AP224" s="54"/>
      <c r="AQ224" s="54"/>
      <c r="AR224" s="54"/>
      <c r="AS224" s="54"/>
      <c r="AT224" s="54"/>
      <c r="AU224" s="54"/>
      <c r="AV224" s="54"/>
      <c r="AW224" s="54"/>
      <c r="AX224" s="54"/>
      <c r="AY224" s="54"/>
      <c r="AZ224" s="54"/>
      <c r="BA224" s="54"/>
      <c r="BB224" s="54"/>
      <c r="BC224" s="54"/>
      <c r="BD224" s="54"/>
      <c r="BE224" s="54"/>
      <c r="BF224" s="54"/>
      <c r="BG224" s="54"/>
      <c r="BH224" s="54"/>
      <c r="BI224" s="54"/>
      <c r="BJ224" s="54"/>
      <c r="BK224" s="54"/>
      <c r="BL224" s="54"/>
    </row>
    <row r="225" spans="1:64" ht="11.25" customHeight="1" x14ac:dyDescent="0.3">
      <c r="A225" s="54"/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4"/>
      <c r="AI225" s="54"/>
      <c r="AJ225" s="54"/>
      <c r="AK225" s="54"/>
      <c r="AL225" s="54"/>
      <c r="AM225" s="54"/>
      <c r="AN225" s="54"/>
      <c r="AO225" s="54"/>
      <c r="AP225" s="54"/>
      <c r="AQ225" s="54"/>
      <c r="AR225" s="54"/>
      <c r="AS225" s="54"/>
      <c r="AT225" s="54"/>
      <c r="AU225" s="54"/>
      <c r="AV225" s="54"/>
      <c r="AW225" s="54"/>
      <c r="AX225" s="54"/>
      <c r="AY225" s="54"/>
      <c r="AZ225" s="54"/>
      <c r="BA225" s="54"/>
      <c r="BB225" s="54"/>
      <c r="BC225" s="54"/>
      <c r="BD225" s="54"/>
      <c r="BE225" s="54"/>
      <c r="BF225" s="54"/>
      <c r="BG225" s="54"/>
      <c r="BH225" s="54"/>
      <c r="BI225" s="54"/>
      <c r="BJ225" s="54"/>
      <c r="BK225" s="54"/>
      <c r="BL225" s="54"/>
    </row>
    <row r="226" spans="1:64" ht="11.25" customHeight="1" x14ac:dyDescent="0.3">
      <c r="A226" s="54"/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4"/>
      <c r="AI226" s="54"/>
      <c r="AJ226" s="54"/>
      <c r="AK226" s="54"/>
      <c r="AL226" s="54"/>
      <c r="AM226" s="54"/>
      <c r="AN226" s="54"/>
      <c r="AO226" s="54"/>
      <c r="AP226" s="54"/>
      <c r="AQ226" s="54"/>
      <c r="AR226" s="54"/>
      <c r="AS226" s="54"/>
      <c r="AT226" s="54"/>
      <c r="AU226" s="54"/>
      <c r="AV226" s="54"/>
      <c r="AW226" s="54"/>
      <c r="AX226" s="54"/>
      <c r="AY226" s="54"/>
      <c r="AZ226" s="54"/>
      <c r="BA226" s="54"/>
      <c r="BB226" s="54"/>
      <c r="BC226" s="54"/>
      <c r="BD226" s="54"/>
      <c r="BE226" s="54"/>
      <c r="BF226" s="54"/>
      <c r="BG226" s="54"/>
      <c r="BH226" s="54"/>
      <c r="BI226" s="54"/>
      <c r="BJ226" s="54"/>
      <c r="BK226" s="54"/>
      <c r="BL226" s="54"/>
    </row>
    <row r="227" spans="1:64" ht="11.25" customHeight="1" x14ac:dyDescent="0.3">
      <c r="A227" s="54"/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  <c r="AG227" s="54"/>
      <c r="AH227" s="54"/>
      <c r="AI227" s="54"/>
      <c r="AJ227" s="54"/>
      <c r="AK227" s="54"/>
      <c r="AL227" s="54"/>
      <c r="AM227" s="54"/>
      <c r="AN227" s="54"/>
      <c r="AO227" s="54"/>
      <c r="AP227" s="54"/>
      <c r="AQ227" s="54"/>
      <c r="AR227" s="54"/>
      <c r="AS227" s="54"/>
      <c r="AT227" s="54"/>
      <c r="AU227" s="54"/>
      <c r="AV227" s="54"/>
      <c r="AW227" s="54"/>
      <c r="AX227" s="54"/>
      <c r="AY227" s="54"/>
      <c r="AZ227" s="54"/>
      <c r="BA227" s="54"/>
      <c r="BB227" s="54"/>
      <c r="BC227" s="54"/>
      <c r="BD227" s="54"/>
      <c r="BE227" s="54"/>
      <c r="BF227" s="54"/>
      <c r="BG227" s="54"/>
      <c r="BH227" s="54"/>
      <c r="BI227" s="54"/>
      <c r="BJ227" s="54"/>
      <c r="BK227" s="54"/>
      <c r="BL227" s="54"/>
    </row>
    <row r="228" spans="1:64" ht="11.25" customHeight="1" x14ac:dyDescent="0.3">
      <c r="A228" s="54"/>
      <c r="B228" s="54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  <c r="AG228" s="54"/>
      <c r="AH228" s="54"/>
      <c r="AI228" s="54"/>
      <c r="AJ228" s="54"/>
      <c r="AK228" s="54"/>
      <c r="AL228" s="54"/>
      <c r="AM228" s="54"/>
      <c r="AN228" s="54"/>
      <c r="AO228" s="54"/>
      <c r="AP228" s="54"/>
      <c r="AQ228" s="54"/>
      <c r="AR228" s="54"/>
      <c r="AS228" s="54"/>
      <c r="AT228" s="54"/>
      <c r="AU228" s="54"/>
      <c r="AV228" s="54"/>
      <c r="AW228" s="54"/>
      <c r="AX228" s="54"/>
      <c r="AY228" s="54"/>
      <c r="AZ228" s="54"/>
      <c r="BA228" s="54"/>
      <c r="BB228" s="54"/>
      <c r="BC228" s="54"/>
      <c r="BD228" s="54"/>
      <c r="BE228" s="54"/>
      <c r="BF228" s="54"/>
      <c r="BG228" s="54"/>
      <c r="BH228" s="54"/>
      <c r="BI228" s="54"/>
      <c r="BJ228" s="54"/>
      <c r="BK228" s="54"/>
      <c r="BL228" s="54"/>
    </row>
    <row r="229" spans="1:64" ht="11.25" customHeight="1" x14ac:dyDescent="0.3">
      <c r="A229" s="54"/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4"/>
      <c r="AI229" s="54"/>
      <c r="AJ229" s="54"/>
      <c r="AK229" s="54"/>
      <c r="AL229" s="54"/>
      <c r="AM229" s="54"/>
      <c r="AN229" s="54"/>
      <c r="AO229" s="54"/>
      <c r="AP229" s="54"/>
      <c r="AQ229" s="54"/>
      <c r="AR229" s="54"/>
      <c r="AS229" s="54"/>
      <c r="AT229" s="54"/>
      <c r="AU229" s="54"/>
      <c r="AV229" s="54"/>
      <c r="AW229" s="54"/>
      <c r="AX229" s="54"/>
      <c r="AY229" s="54"/>
      <c r="AZ229" s="54"/>
      <c r="BA229" s="54"/>
      <c r="BB229" s="54"/>
      <c r="BC229" s="54"/>
      <c r="BD229" s="54"/>
      <c r="BE229" s="54"/>
      <c r="BF229" s="54"/>
      <c r="BG229" s="54"/>
      <c r="BH229" s="54"/>
      <c r="BI229" s="54"/>
      <c r="BJ229" s="54"/>
      <c r="BK229" s="54"/>
      <c r="BL229" s="54"/>
    </row>
    <row r="230" spans="1:64" ht="11.25" customHeight="1" x14ac:dyDescent="0.3">
      <c r="A230" s="54"/>
      <c r="B230" s="54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4"/>
      <c r="AI230" s="54"/>
      <c r="AJ230" s="54"/>
      <c r="AK230" s="54"/>
      <c r="AL230" s="54"/>
      <c r="AM230" s="54"/>
      <c r="AN230" s="54"/>
      <c r="AO230" s="54"/>
      <c r="AP230" s="54"/>
      <c r="AQ230" s="54"/>
      <c r="AR230" s="54"/>
      <c r="AS230" s="54"/>
      <c r="AT230" s="54"/>
      <c r="AU230" s="54"/>
      <c r="AV230" s="54"/>
      <c r="AW230" s="54"/>
      <c r="AX230" s="54"/>
      <c r="AY230" s="54"/>
      <c r="AZ230" s="54"/>
      <c r="BA230" s="54"/>
      <c r="BB230" s="54"/>
      <c r="BC230" s="54"/>
      <c r="BD230" s="54"/>
      <c r="BE230" s="54"/>
      <c r="BF230" s="54"/>
      <c r="BG230" s="54"/>
      <c r="BH230" s="54"/>
      <c r="BI230" s="54"/>
      <c r="BJ230" s="54"/>
      <c r="BK230" s="54"/>
      <c r="BL230" s="54"/>
    </row>
    <row r="231" spans="1:64" ht="11.25" customHeight="1" x14ac:dyDescent="0.3">
      <c r="A231" s="54"/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4"/>
      <c r="AI231" s="54"/>
      <c r="AJ231" s="54"/>
      <c r="AK231" s="54"/>
      <c r="AL231" s="54"/>
      <c r="AM231" s="54"/>
      <c r="AN231" s="54"/>
      <c r="AO231" s="54"/>
      <c r="AP231" s="54"/>
      <c r="AQ231" s="54"/>
      <c r="AR231" s="54"/>
      <c r="AS231" s="54"/>
      <c r="AT231" s="54"/>
      <c r="AU231" s="54"/>
      <c r="AV231" s="54"/>
      <c r="AW231" s="54"/>
      <c r="AX231" s="54"/>
      <c r="AY231" s="54"/>
      <c r="AZ231" s="54"/>
      <c r="BA231" s="54"/>
      <c r="BB231" s="54"/>
      <c r="BC231" s="54"/>
      <c r="BD231" s="54"/>
      <c r="BE231" s="54"/>
      <c r="BF231" s="54"/>
      <c r="BG231" s="54"/>
      <c r="BH231" s="54"/>
      <c r="BI231" s="54"/>
      <c r="BJ231" s="54"/>
      <c r="BK231" s="54"/>
      <c r="BL231" s="54"/>
    </row>
    <row r="232" spans="1:64" ht="11.25" customHeight="1" x14ac:dyDescent="0.3">
      <c r="A232" s="54"/>
      <c r="B232" s="54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4"/>
      <c r="AI232" s="54"/>
      <c r="AJ232" s="54"/>
      <c r="AK232" s="54"/>
      <c r="AL232" s="54"/>
      <c r="AM232" s="54"/>
      <c r="AN232" s="54"/>
      <c r="AO232" s="54"/>
      <c r="AP232" s="54"/>
      <c r="AQ232" s="54"/>
      <c r="AR232" s="54"/>
      <c r="AS232" s="54"/>
      <c r="AT232" s="54"/>
      <c r="AU232" s="54"/>
      <c r="AV232" s="54"/>
      <c r="AW232" s="54"/>
      <c r="AX232" s="54"/>
      <c r="AY232" s="54"/>
      <c r="AZ232" s="54"/>
      <c r="BA232" s="54"/>
      <c r="BB232" s="54"/>
      <c r="BC232" s="54"/>
      <c r="BD232" s="54"/>
      <c r="BE232" s="54"/>
      <c r="BF232" s="54"/>
      <c r="BG232" s="54"/>
      <c r="BH232" s="54"/>
      <c r="BI232" s="54"/>
      <c r="BJ232" s="54"/>
      <c r="BK232" s="54"/>
      <c r="BL232" s="54"/>
    </row>
    <row r="233" spans="1:64" ht="11.25" customHeight="1" x14ac:dyDescent="0.3">
      <c r="A233" s="54"/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4"/>
      <c r="AI233" s="54"/>
      <c r="AJ233" s="54"/>
      <c r="AK233" s="54"/>
      <c r="AL233" s="54"/>
      <c r="AM233" s="54"/>
      <c r="AN233" s="54"/>
      <c r="AO233" s="54"/>
      <c r="AP233" s="54"/>
      <c r="AQ233" s="54"/>
      <c r="AR233" s="54"/>
      <c r="AS233" s="54"/>
      <c r="AT233" s="54"/>
      <c r="AU233" s="54"/>
      <c r="AV233" s="54"/>
      <c r="AW233" s="54"/>
      <c r="AX233" s="54"/>
      <c r="AY233" s="54"/>
      <c r="AZ233" s="54"/>
      <c r="BA233" s="54"/>
      <c r="BB233" s="54"/>
      <c r="BC233" s="54"/>
      <c r="BD233" s="54"/>
      <c r="BE233" s="54"/>
      <c r="BF233" s="54"/>
      <c r="BG233" s="54"/>
      <c r="BH233" s="54"/>
      <c r="BI233" s="54"/>
      <c r="BJ233" s="54"/>
      <c r="BK233" s="54"/>
      <c r="BL233" s="54"/>
    </row>
    <row r="234" spans="1:64" ht="11.25" customHeight="1" x14ac:dyDescent="0.3">
      <c r="A234" s="54"/>
      <c r="B234" s="54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  <c r="AX234" s="54"/>
      <c r="AY234" s="54"/>
      <c r="AZ234" s="54"/>
      <c r="BA234" s="54"/>
      <c r="BB234" s="54"/>
      <c r="BC234" s="54"/>
      <c r="BD234" s="54"/>
      <c r="BE234" s="54"/>
      <c r="BF234" s="54"/>
      <c r="BG234" s="54"/>
      <c r="BH234" s="54"/>
      <c r="BI234" s="54"/>
      <c r="BJ234" s="54"/>
      <c r="BK234" s="54"/>
      <c r="BL234" s="54"/>
    </row>
    <row r="235" spans="1:64" ht="11.25" customHeight="1" x14ac:dyDescent="0.3">
      <c r="A235" s="54"/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54"/>
      <c r="AV235" s="54"/>
      <c r="AW235" s="54"/>
      <c r="AX235" s="54"/>
      <c r="AY235" s="54"/>
      <c r="AZ235" s="54"/>
      <c r="BA235" s="54"/>
      <c r="BB235" s="54"/>
      <c r="BC235" s="54"/>
      <c r="BD235" s="54"/>
      <c r="BE235" s="54"/>
      <c r="BF235" s="54"/>
      <c r="BG235" s="54"/>
      <c r="BH235" s="54"/>
      <c r="BI235" s="54"/>
      <c r="BJ235" s="54"/>
      <c r="BK235" s="54"/>
      <c r="BL235" s="54"/>
    </row>
    <row r="236" spans="1:64" ht="11.25" customHeight="1" x14ac:dyDescent="0.3">
      <c r="A236" s="54"/>
      <c r="B236" s="54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54"/>
      <c r="AV236" s="54"/>
      <c r="AW236" s="54"/>
      <c r="AX236" s="54"/>
      <c r="AY236" s="54"/>
      <c r="AZ236" s="54"/>
      <c r="BA236" s="54"/>
      <c r="BB236" s="54"/>
      <c r="BC236" s="54"/>
      <c r="BD236" s="54"/>
      <c r="BE236" s="54"/>
      <c r="BF236" s="54"/>
      <c r="BG236" s="54"/>
      <c r="BH236" s="54"/>
      <c r="BI236" s="54"/>
      <c r="BJ236" s="54"/>
      <c r="BK236" s="54"/>
      <c r="BL236" s="54"/>
    </row>
    <row r="237" spans="1:64" ht="11.25" customHeight="1" x14ac:dyDescent="0.3">
      <c r="A237" s="54"/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4"/>
      <c r="AI237" s="54"/>
      <c r="AJ237" s="54"/>
      <c r="AK237" s="54"/>
      <c r="AL237" s="54"/>
      <c r="AM237" s="54"/>
      <c r="AN237" s="54"/>
      <c r="AO237" s="54"/>
      <c r="AP237" s="54"/>
      <c r="AQ237" s="54"/>
      <c r="AR237" s="54"/>
      <c r="AS237" s="54"/>
      <c r="AT237" s="54"/>
      <c r="AU237" s="54"/>
      <c r="AV237" s="54"/>
      <c r="AW237" s="54"/>
      <c r="AX237" s="54"/>
      <c r="AY237" s="54"/>
      <c r="AZ237" s="54"/>
      <c r="BA237" s="54"/>
      <c r="BB237" s="54"/>
      <c r="BC237" s="54"/>
      <c r="BD237" s="54"/>
      <c r="BE237" s="54"/>
      <c r="BF237" s="54"/>
      <c r="BG237" s="54"/>
      <c r="BH237" s="54"/>
      <c r="BI237" s="54"/>
      <c r="BJ237" s="54"/>
      <c r="BK237" s="54"/>
      <c r="BL237" s="54"/>
    </row>
    <row r="238" spans="1:64" ht="11.25" customHeight="1" x14ac:dyDescent="0.3">
      <c r="A238" s="54"/>
      <c r="B238" s="54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4"/>
      <c r="AI238" s="54"/>
      <c r="AJ238" s="54"/>
      <c r="AK238" s="54"/>
      <c r="AL238" s="54"/>
      <c r="AM238" s="54"/>
      <c r="AN238" s="54"/>
      <c r="AO238" s="54"/>
      <c r="AP238" s="54"/>
      <c r="AQ238" s="54"/>
      <c r="AR238" s="54"/>
      <c r="AS238" s="54"/>
      <c r="AT238" s="54"/>
      <c r="AU238" s="54"/>
      <c r="AV238" s="54"/>
      <c r="AW238" s="54"/>
      <c r="AX238" s="54"/>
      <c r="AY238" s="54"/>
      <c r="AZ238" s="54"/>
      <c r="BA238" s="54"/>
      <c r="BB238" s="54"/>
      <c r="BC238" s="54"/>
      <c r="BD238" s="54"/>
      <c r="BE238" s="54"/>
      <c r="BF238" s="54"/>
      <c r="BG238" s="54"/>
      <c r="BH238" s="54"/>
      <c r="BI238" s="54"/>
      <c r="BJ238" s="54"/>
      <c r="BK238" s="54"/>
      <c r="BL238" s="54"/>
    </row>
    <row r="239" spans="1:64" ht="11.25" customHeight="1" x14ac:dyDescent="0.3">
      <c r="A239" s="54"/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4"/>
      <c r="AI239" s="54"/>
      <c r="AJ239" s="54"/>
      <c r="AK239" s="54"/>
      <c r="AL239" s="54"/>
      <c r="AM239" s="54"/>
      <c r="AN239" s="54"/>
      <c r="AO239" s="54"/>
      <c r="AP239" s="54"/>
      <c r="AQ239" s="54"/>
      <c r="AR239" s="54"/>
      <c r="AS239" s="54"/>
      <c r="AT239" s="54"/>
      <c r="AU239" s="54"/>
      <c r="AV239" s="54"/>
      <c r="AW239" s="54"/>
      <c r="AX239" s="54"/>
      <c r="AY239" s="54"/>
      <c r="AZ239" s="54"/>
      <c r="BA239" s="54"/>
      <c r="BB239" s="54"/>
      <c r="BC239" s="54"/>
      <c r="BD239" s="54"/>
      <c r="BE239" s="54"/>
      <c r="BF239" s="54"/>
      <c r="BG239" s="54"/>
      <c r="BH239" s="54"/>
      <c r="BI239" s="54"/>
      <c r="BJ239" s="54"/>
      <c r="BK239" s="54"/>
      <c r="BL239" s="54"/>
    </row>
    <row r="240" spans="1:64" ht="11.25" customHeight="1" x14ac:dyDescent="0.3">
      <c r="A240" s="54"/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4"/>
      <c r="AI240" s="54"/>
      <c r="AJ240" s="54"/>
      <c r="AK240" s="54"/>
      <c r="AL240" s="54"/>
      <c r="AM240" s="54"/>
      <c r="AN240" s="54"/>
      <c r="AO240" s="54"/>
      <c r="AP240" s="54"/>
      <c r="AQ240" s="54"/>
      <c r="AR240" s="54"/>
      <c r="AS240" s="54"/>
      <c r="AT240" s="54"/>
      <c r="AU240" s="54"/>
      <c r="AV240" s="54"/>
      <c r="AW240" s="54"/>
      <c r="AX240" s="54"/>
      <c r="AY240" s="54"/>
      <c r="AZ240" s="54"/>
      <c r="BA240" s="54"/>
      <c r="BB240" s="54"/>
      <c r="BC240" s="54"/>
      <c r="BD240" s="54"/>
      <c r="BE240" s="54"/>
      <c r="BF240" s="54"/>
      <c r="BG240" s="54"/>
      <c r="BH240" s="54"/>
      <c r="BI240" s="54"/>
      <c r="BJ240" s="54"/>
      <c r="BK240" s="54"/>
      <c r="BL240" s="54"/>
    </row>
    <row r="241" spans="1:64" ht="11.25" customHeight="1" x14ac:dyDescent="0.3">
      <c r="A241" s="54"/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4"/>
      <c r="AI241" s="54"/>
      <c r="AJ241" s="54"/>
      <c r="AK241" s="54"/>
      <c r="AL241" s="54"/>
      <c r="AM241" s="54"/>
      <c r="AN241" s="54"/>
      <c r="AO241" s="54"/>
      <c r="AP241" s="54"/>
      <c r="AQ241" s="54"/>
      <c r="AR241" s="54"/>
      <c r="AS241" s="54"/>
      <c r="AT241" s="54"/>
      <c r="AU241" s="54"/>
      <c r="AV241" s="54"/>
      <c r="AW241" s="54"/>
      <c r="AX241" s="54"/>
      <c r="AY241" s="54"/>
      <c r="AZ241" s="54"/>
      <c r="BA241" s="54"/>
      <c r="BB241" s="54"/>
      <c r="BC241" s="54"/>
      <c r="BD241" s="54"/>
      <c r="BE241" s="54"/>
      <c r="BF241" s="54"/>
      <c r="BG241" s="54"/>
      <c r="BH241" s="54"/>
      <c r="BI241" s="54"/>
      <c r="BJ241" s="54"/>
      <c r="BK241" s="54"/>
      <c r="BL241" s="54"/>
    </row>
    <row r="242" spans="1:64" ht="11.25" customHeight="1" x14ac:dyDescent="0.3">
      <c r="A242" s="54"/>
      <c r="B242" s="54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4"/>
      <c r="AI242" s="54"/>
      <c r="AJ242" s="54"/>
      <c r="AK242" s="54"/>
      <c r="AL242" s="54"/>
      <c r="AM242" s="54"/>
      <c r="AN242" s="54"/>
      <c r="AO242" s="54"/>
      <c r="AP242" s="54"/>
      <c r="AQ242" s="54"/>
      <c r="AR242" s="54"/>
      <c r="AS242" s="54"/>
      <c r="AT242" s="54"/>
      <c r="AU242" s="54"/>
      <c r="AV242" s="54"/>
      <c r="AW242" s="54"/>
      <c r="AX242" s="54"/>
      <c r="AY242" s="54"/>
      <c r="AZ242" s="54"/>
      <c r="BA242" s="54"/>
      <c r="BB242" s="54"/>
      <c r="BC242" s="54"/>
      <c r="BD242" s="54"/>
      <c r="BE242" s="54"/>
      <c r="BF242" s="54"/>
      <c r="BG242" s="54"/>
      <c r="BH242" s="54"/>
      <c r="BI242" s="54"/>
      <c r="BJ242" s="54"/>
      <c r="BK242" s="54"/>
      <c r="BL242" s="54"/>
    </row>
    <row r="243" spans="1:64" ht="11.25" customHeight="1" x14ac:dyDescent="0.3">
      <c r="A243" s="54"/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  <c r="AG243" s="54"/>
      <c r="AH243" s="54"/>
      <c r="AI243" s="54"/>
      <c r="AJ243" s="54"/>
      <c r="AK243" s="54"/>
      <c r="AL243" s="54"/>
      <c r="AM243" s="54"/>
      <c r="AN243" s="54"/>
      <c r="AO243" s="54"/>
      <c r="AP243" s="54"/>
      <c r="AQ243" s="54"/>
      <c r="AR243" s="54"/>
      <c r="AS243" s="54"/>
      <c r="AT243" s="54"/>
      <c r="AU243" s="54"/>
      <c r="AV243" s="54"/>
      <c r="AW243" s="54"/>
      <c r="AX243" s="54"/>
      <c r="AY243" s="54"/>
      <c r="AZ243" s="54"/>
      <c r="BA243" s="54"/>
      <c r="BB243" s="54"/>
      <c r="BC243" s="54"/>
      <c r="BD243" s="54"/>
      <c r="BE243" s="54"/>
      <c r="BF243" s="54"/>
      <c r="BG243" s="54"/>
      <c r="BH243" s="54"/>
      <c r="BI243" s="54"/>
      <c r="BJ243" s="54"/>
      <c r="BK243" s="54"/>
      <c r="BL243" s="54"/>
    </row>
    <row r="244" spans="1:64" ht="11.25" customHeight="1" x14ac:dyDescent="0.3">
      <c r="A244" s="54"/>
      <c r="B244" s="54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  <c r="AG244" s="54"/>
      <c r="AH244" s="54"/>
      <c r="AI244" s="54"/>
      <c r="AJ244" s="54"/>
      <c r="AK244" s="54"/>
      <c r="AL244" s="54"/>
      <c r="AM244" s="54"/>
      <c r="AN244" s="54"/>
      <c r="AO244" s="54"/>
      <c r="AP244" s="54"/>
      <c r="AQ244" s="54"/>
      <c r="AR244" s="54"/>
      <c r="AS244" s="54"/>
      <c r="AT244" s="54"/>
      <c r="AU244" s="54"/>
      <c r="AV244" s="54"/>
      <c r="AW244" s="54"/>
      <c r="AX244" s="54"/>
      <c r="AY244" s="54"/>
      <c r="AZ244" s="54"/>
      <c r="BA244" s="54"/>
      <c r="BB244" s="54"/>
      <c r="BC244" s="54"/>
      <c r="BD244" s="54"/>
      <c r="BE244" s="54"/>
      <c r="BF244" s="54"/>
      <c r="BG244" s="54"/>
      <c r="BH244" s="54"/>
      <c r="BI244" s="54"/>
      <c r="BJ244" s="54"/>
      <c r="BK244" s="54"/>
      <c r="BL244" s="54"/>
    </row>
    <row r="245" spans="1:64" ht="11.25" customHeight="1" x14ac:dyDescent="0.3">
      <c r="A245" s="54"/>
      <c r="B245" s="54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4"/>
      <c r="AI245" s="54"/>
      <c r="AJ245" s="54"/>
      <c r="AK245" s="54"/>
      <c r="AL245" s="54"/>
      <c r="AM245" s="54"/>
      <c r="AN245" s="54"/>
      <c r="AO245" s="54"/>
      <c r="AP245" s="54"/>
      <c r="AQ245" s="54"/>
      <c r="AR245" s="54"/>
      <c r="AS245" s="54"/>
      <c r="AT245" s="54"/>
      <c r="AU245" s="54"/>
      <c r="AV245" s="54"/>
      <c r="AW245" s="54"/>
      <c r="AX245" s="54"/>
      <c r="AY245" s="54"/>
      <c r="AZ245" s="54"/>
      <c r="BA245" s="54"/>
      <c r="BB245" s="54"/>
      <c r="BC245" s="54"/>
      <c r="BD245" s="54"/>
      <c r="BE245" s="54"/>
      <c r="BF245" s="54"/>
      <c r="BG245" s="54"/>
      <c r="BH245" s="54"/>
      <c r="BI245" s="54"/>
      <c r="BJ245" s="54"/>
      <c r="BK245" s="54"/>
      <c r="BL245" s="54"/>
    </row>
    <row r="246" spans="1:64" ht="11.25" customHeight="1" x14ac:dyDescent="0.3">
      <c r="A246" s="54"/>
      <c r="B246" s="54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4"/>
      <c r="AI246" s="54"/>
      <c r="AJ246" s="54"/>
      <c r="AK246" s="54"/>
      <c r="AL246" s="54"/>
      <c r="AM246" s="54"/>
      <c r="AN246" s="54"/>
      <c r="AO246" s="54"/>
      <c r="AP246" s="54"/>
      <c r="AQ246" s="54"/>
      <c r="AR246" s="54"/>
      <c r="AS246" s="54"/>
      <c r="AT246" s="54"/>
      <c r="AU246" s="54"/>
      <c r="AV246" s="54"/>
      <c r="AW246" s="54"/>
      <c r="AX246" s="54"/>
      <c r="AY246" s="54"/>
      <c r="AZ246" s="54"/>
      <c r="BA246" s="54"/>
      <c r="BB246" s="54"/>
      <c r="BC246" s="54"/>
      <c r="BD246" s="54"/>
      <c r="BE246" s="54"/>
      <c r="BF246" s="54"/>
      <c r="BG246" s="54"/>
      <c r="BH246" s="54"/>
      <c r="BI246" s="54"/>
      <c r="BJ246" s="54"/>
      <c r="BK246" s="54"/>
      <c r="BL246" s="54"/>
    </row>
    <row r="247" spans="1:64" ht="11.25" customHeight="1" x14ac:dyDescent="0.3">
      <c r="A247" s="54"/>
      <c r="B247" s="54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4"/>
      <c r="AI247" s="54"/>
      <c r="AJ247" s="54"/>
      <c r="AK247" s="54"/>
      <c r="AL247" s="54"/>
      <c r="AM247" s="54"/>
      <c r="AN247" s="54"/>
      <c r="AO247" s="54"/>
      <c r="AP247" s="54"/>
      <c r="AQ247" s="54"/>
      <c r="AR247" s="54"/>
      <c r="AS247" s="54"/>
      <c r="AT247" s="54"/>
      <c r="AU247" s="54"/>
      <c r="AV247" s="54"/>
      <c r="AW247" s="54"/>
      <c r="AX247" s="54"/>
      <c r="AY247" s="54"/>
      <c r="AZ247" s="54"/>
      <c r="BA247" s="54"/>
      <c r="BB247" s="54"/>
      <c r="BC247" s="54"/>
      <c r="BD247" s="54"/>
      <c r="BE247" s="54"/>
      <c r="BF247" s="54"/>
      <c r="BG247" s="54"/>
      <c r="BH247" s="54"/>
      <c r="BI247" s="54"/>
      <c r="BJ247" s="54"/>
      <c r="BK247" s="54"/>
      <c r="BL247" s="54"/>
    </row>
    <row r="248" spans="1:64" ht="11.25" customHeight="1" x14ac:dyDescent="0.3">
      <c r="A248" s="54"/>
      <c r="B248" s="54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4"/>
      <c r="AI248" s="54"/>
      <c r="AJ248" s="54"/>
      <c r="AK248" s="54"/>
      <c r="AL248" s="54"/>
      <c r="AM248" s="54"/>
      <c r="AN248" s="54"/>
      <c r="AO248" s="54"/>
      <c r="AP248" s="54"/>
      <c r="AQ248" s="54"/>
      <c r="AR248" s="54"/>
      <c r="AS248" s="54"/>
      <c r="AT248" s="54"/>
      <c r="AU248" s="54"/>
      <c r="AV248" s="54"/>
      <c r="AW248" s="54"/>
      <c r="AX248" s="54"/>
      <c r="AY248" s="54"/>
      <c r="AZ248" s="54"/>
      <c r="BA248" s="54"/>
      <c r="BB248" s="54"/>
      <c r="BC248" s="54"/>
      <c r="BD248" s="54"/>
      <c r="BE248" s="54"/>
      <c r="BF248" s="54"/>
      <c r="BG248" s="54"/>
      <c r="BH248" s="54"/>
      <c r="BI248" s="54"/>
      <c r="BJ248" s="54"/>
      <c r="BK248" s="54"/>
      <c r="BL248" s="54"/>
    </row>
    <row r="249" spans="1:64" ht="11.25" customHeight="1" x14ac:dyDescent="0.3">
      <c r="A249" s="54"/>
      <c r="B249" s="54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4"/>
      <c r="AI249" s="54"/>
      <c r="AJ249" s="54"/>
      <c r="AK249" s="54"/>
      <c r="AL249" s="54"/>
      <c r="AM249" s="54"/>
      <c r="AN249" s="54"/>
      <c r="AO249" s="54"/>
      <c r="AP249" s="54"/>
      <c r="AQ249" s="54"/>
      <c r="AR249" s="54"/>
      <c r="AS249" s="54"/>
      <c r="AT249" s="54"/>
      <c r="AU249" s="54"/>
      <c r="AV249" s="54"/>
      <c r="AW249" s="54"/>
      <c r="AX249" s="54"/>
      <c r="AY249" s="54"/>
      <c r="AZ249" s="54"/>
      <c r="BA249" s="54"/>
      <c r="BB249" s="54"/>
      <c r="BC249" s="54"/>
      <c r="BD249" s="54"/>
      <c r="BE249" s="54"/>
      <c r="BF249" s="54"/>
      <c r="BG249" s="54"/>
      <c r="BH249" s="54"/>
      <c r="BI249" s="54"/>
      <c r="BJ249" s="54"/>
      <c r="BK249" s="54"/>
      <c r="BL249" s="54"/>
    </row>
    <row r="250" spans="1:64" ht="11.25" customHeight="1" x14ac:dyDescent="0.3">
      <c r="A250" s="54"/>
      <c r="B250" s="54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4"/>
      <c r="AI250" s="54"/>
      <c r="AJ250" s="54"/>
      <c r="AK250" s="54"/>
      <c r="AL250" s="54"/>
      <c r="AM250" s="54"/>
      <c r="AN250" s="54"/>
      <c r="AO250" s="54"/>
      <c r="AP250" s="54"/>
      <c r="AQ250" s="54"/>
      <c r="AR250" s="54"/>
      <c r="AS250" s="54"/>
      <c r="AT250" s="54"/>
      <c r="AU250" s="54"/>
      <c r="AV250" s="54"/>
      <c r="AW250" s="54"/>
      <c r="AX250" s="54"/>
      <c r="AY250" s="54"/>
      <c r="AZ250" s="54"/>
      <c r="BA250" s="54"/>
      <c r="BB250" s="54"/>
      <c r="BC250" s="54"/>
      <c r="BD250" s="54"/>
      <c r="BE250" s="54"/>
      <c r="BF250" s="54"/>
      <c r="BG250" s="54"/>
      <c r="BH250" s="54"/>
      <c r="BI250" s="54"/>
      <c r="BJ250" s="54"/>
      <c r="BK250" s="54"/>
      <c r="BL250" s="54"/>
    </row>
    <row r="251" spans="1:64" ht="11.25" customHeight="1" x14ac:dyDescent="0.3">
      <c r="A251" s="54"/>
      <c r="B251" s="54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4"/>
      <c r="AI251" s="54"/>
      <c r="AJ251" s="54"/>
      <c r="AK251" s="54"/>
      <c r="AL251" s="54"/>
      <c r="AM251" s="54"/>
      <c r="AN251" s="54"/>
      <c r="AO251" s="54"/>
      <c r="AP251" s="54"/>
      <c r="AQ251" s="54"/>
      <c r="AR251" s="54"/>
      <c r="AS251" s="54"/>
      <c r="AT251" s="54"/>
      <c r="AU251" s="54"/>
      <c r="AV251" s="54"/>
      <c r="AW251" s="54"/>
      <c r="AX251" s="54"/>
      <c r="AY251" s="54"/>
      <c r="AZ251" s="54"/>
      <c r="BA251" s="54"/>
      <c r="BB251" s="54"/>
      <c r="BC251" s="54"/>
      <c r="BD251" s="54"/>
      <c r="BE251" s="54"/>
      <c r="BF251" s="54"/>
      <c r="BG251" s="54"/>
      <c r="BH251" s="54"/>
      <c r="BI251" s="54"/>
      <c r="BJ251" s="54"/>
      <c r="BK251" s="54"/>
      <c r="BL251" s="54"/>
    </row>
    <row r="252" spans="1:64" ht="11.25" customHeight="1" x14ac:dyDescent="0.3">
      <c r="A252" s="54"/>
      <c r="B252" s="54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4"/>
      <c r="AI252" s="54"/>
      <c r="AJ252" s="54"/>
      <c r="AK252" s="54"/>
      <c r="AL252" s="54"/>
      <c r="AM252" s="54"/>
      <c r="AN252" s="54"/>
      <c r="AO252" s="54"/>
      <c r="AP252" s="54"/>
      <c r="AQ252" s="54"/>
      <c r="AR252" s="54"/>
      <c r="AS252" s="54"/>
      <c r="AT252" s="54"/>
      <c r="AU252" s="54"/>
      <c r="AV252" s="54"/>
      <c r="AW252" s="54"/>
      <c r="AX252" s="54"/>
      <c r="AY252" s="54"/>
      <c r="AZ252" s="54"/>
      <c r="BA252" s="54"/>
      <c r="BB252" s="54"/>
      <c r="BC252" s="54"/>
      <c r="BD252" s="54"/>
      <c r="BE252" s="54"/>
      <c r="BF252" s="54"/>
      <c r="BG252" s="54"/>
      <c r="BH252" s="54"/>
      <c r="BI252" s="54"/>
      <c r="BJ252" s="54"/>
      <c r="BK252" s="54"/>
      <c r="BL252" s="54"/>
    </row>
    <row r="253" spans="1:64" ht="11.25" customHeight="1" x14ac:dyDescent="0.3">
      <c r="A253" s="54"/>
      <c r="B253" s="54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4"/>
      <c r="AI253" s="54"/>
      <c r="AJ253" s="54"/>
      <c r="AK253" s="54"/>
      <c r="AL253" s="54"/>
      <c r="AM253" s="54"/>
      <c r="AN253" s="54"/>
      <c r="AO253" s="54"/>
      <c r="AP253" s="54"/>
      <c r="AQ253" s="54"/>
      <c r="AR253" s="54"/>
      <c r="AS253" s="54"/>
      <c r="AT253" s="54"/>
      <c r="AU253" s="54"/>
      <c r="AV253" s="54"/>
      <c r="AW253" s="54"/>
      <c r="AX253" s="54"/>
      <c r="AY253" s="54"/>
      <c r="AZ253" s="54"/>
      <c r="BA253" s="54"/>
      <c r="BB253" s="54"/>
      <c r="BC253" s="54"/>
      <c r="BD253" s="54"/>
      <c r="BE253" s="54"/>
      <c r="BF253" s="54"/>
      <c r="BG253" s="54"/>
      <c r="BH253" s="54"/>
      <c r="BI253" s="54"/>
      <c r="BJ253" s="54"/>
      <c r="BK253" s="54"/>
      <c r="BL253" s="54"/>
    </row>
    <row r="254" spans="1:64" ht="11.25" customHeight="1" x14ac:dyDescent="0.3">
      <c r="A254" s="54"/>
      <c r="B254" s="54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4"/>
      <c r="AI254" s="54"/>
      <c r="AJ254" s="54"/>
      <c r="AK254" s="54"/>
      <c r="AL254" s="54"/>
      <c r="AM254" s="54"/>
      <c r="AN254" s="54"/>
      <c r="AO254" s="54"/>
      <c r="AP254" s="54"/>
      <c r="AQ254" s="54"/>
      <c r="AR254" s="54"/>
      <c r="AS254" s="54"/>
      <c r="AT254" s="54"/>
      <c r="AU254" s="54"/>
      <c r="AV254" s="54"/>
      <c r="AW254" s="54"/>
      <c r="AX254" s="54"/>
      <c r="AY254" s="54"/>
      <c r="AZ254" s="54"/>
      <c r="BA254" s="54"/>
      <c r="BB254" s="54"/>
      <c r="BC254" s="54"/>
      <c r="BD254" s="54"/>
      <c r="BE254" s="54"/>
      <c r="BF254" s="54"/>
      <c r="BG254" s="54"/>
      <c r="BH254" s="54"/>
      <c r="BI254" s="54"/>
      <c r="BJ254" s="54"/>
      <c r="BK254" s="54"/>
      <c r="BL254" s="54"/>
    </row>
    <row r="255" spans="1:64" ht="11.25" customHeight="1" x14ac:dyDescent="0.3">
      <c r="A255" s="54"/>
      <c r="B255" s="54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4"/>
      <c r="AI255" s="54"/>
      <c r="AJ255" s="54"/>
      <c r="AK255" s="54"/>
      <c r="AL255" s="54"/>
      <c r="AM255" s="54"/>
      <c r="AN255" s="54"/>
      <c r="AO255" s="54"/>
      <c r="AP255" s="54"/>
      <c r="AQ255" s="54"/>
      <c r="AR255" s="54"/>
      <c r="AS255" s="54"/>
      <c r="AT255" s="54"/>
      <c r="AU255" s="54"/>
      <c r="AV255" s="54"/>
      <c r="AW255" s="54"/>
      <c r="AX255" s="54"/>
      <c r="AY255" s="54"/>
      <c r="AZ255" s="54"/>
      <c r="BA255" s="54"/>
      <c r="BB255" s="54"/>
      <c r="BC255" s="54"/>
      <c r="BD255" s="54"/>
      <c r="BE255" s="54"/>
      <c r="BF255" s="54"/>
      <c r="BG255" s="54"/>
      <c r="BH255" s="54"/>
      <c r="BI255" s="54"/>
      <c r="BJ255" s="54"/>
      <c r="BK255" s="54"/>
      <c r="BL255" s="54"/>
    </row>
    <row r="256" spans="1:64" ht="11.25" customHeight="1" x14ac:dyDescent="0.3">
      <c r="A256" s="54"/>
      <c r="B256" s="54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4"/>
      <c r="AI256" s="54"/>
      <c r="AJ256" s="54"/>
      <c r="AK256" s="54"/>
      <c r="AL256" s="54"/>
      <c r="AM256" s="54"/>
      <c r="AN256" s="54"/>
      <c r="AO256" s="54"/>
      <c r="AP256" s="54"/>
      <c r="AQ256" s="54"/>
      <c r="AR256" s="54"/>
      <c r="AS256" s="54"/>
      <c r="AT256" s="54"/>
      <c r="AU256" s="54"/>
      <c r="AV256" s="54"/>
      <c r="AW256" s="54"/>
      <c r="AX256" s="54"/>
      <c r="AY256" s="54"/>
      <c r="AZ256" s="54"/>
      <c r="BA256" s="54"/>
      <c r="BB256" s="54"/>
      <c r="BC256" s="54"/>
      <c r="BD256" s="54"/>
      <c r="BE256" s="54"/>
      <c r="BF256" s="54"/>
      <c r="BG256" s="54"/>
      <c r="BH256" s="54"/>
      <c r="BI256" s="54"/>
      <c r="BJ256" s="54"/>
      <c r="BK256" s="54"/>
      <c r="BL256" s="54"/>
    </row>
    <row r="257" spans="1:64" ht="11.25" customHeight="1" x14ac:dyDescent="0.3">
      <c r="A257" s="54"/>
      <c r="B257" s="54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4"/>
      <c r="AI257" s="54"/>
      <c r="AJ257" s="54"/>
      <c r="AK257" s="54"/>
      <c r="AL257" s="54"/>
      <c r="AM257" s="54"/>
      <c r="AN257" s="54"/>
      <c r="AO257" s="54"/>
      <c r="AP257" s="54"/>
      <c r="AQ257" s="54"/>
      <c r="AR257" s="54"/>
      <c r="AS257" s="54"/>
      <c r="AT257" s="54"/>
      <c r="AU257" s="54"/>
      <c r="AV257" s="54"/>
      <c r="AW257" s="54"/>
      <c r="AX257" s="54"/>
      <c r="AY257" s="54"/>
      <c r="AZ257" s="54"/>
      <c r="BA257" s="54"/>
      <c r="BB257" s="54"/>
      <c r="BC257" s="54"/>
      <c r="BD257" s="54"/>
      <c r="BE257" s="54"/>
      <c r="BF257" s="54"/>
      <c r="BG257" s="54"/>
      <c r="BH257" s="54"/>
      <c r="BI257" s="54"/>
      <c r="BJ257" s="54"/>
      <c r="BK257" s="54"/>
      <c r="BL257" s="54"/>
    </row>
    <row r="258" spans="1:64" ht="11.25" customHeight="1" x14ac:dyDescent="0.3">
      <c r="A258" s="54"/>
      <c r="B258" s="54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4"/>
      <c r="AI258" s="54"/>
      <c r="AJ258" s="54"/>
      <c r="AK258" s="54"/>
      <c r="AL258" s="54"/>
      <c r="AM258" s="54"/>
      <c r="AN258" s="54"/>
      <c r="AO258" s="54"/>
      <c r="AP258" s="54"/>
      <c r="AQ258" s="54"/>
      <c r="AR258" s="54"/>
      <c r="AS258" s="54"/>
      <c r="AT258" s="54"/>
      <c r="AU258" s="54"/>
      <c r="AV258" s="54"/>
      <c r="AW258" s="54"/>
      <c r="AX258" s="54"/>
      <c r="AY258" s="54"/>
      <c r="AZ258" s="54"/>
      <c r="BA258" s="54"/>
      <c r="BB258" s="54"/>
      <c r="BC258" s="54"/>
      <c r="BD258" s="54"/>
      <c r="BE258" s="54"/>
      <c r="BF258" s="54"/>
      <c r="BG258" s="54"/>
      <c r="BH258" s="54"/>
      <c r="BI258" s="54"/>
      <c r="BJ258" s="54"/>
      <c r="BK258" s="54"/>
      <c r="BL258" s="54"/>
    </row>
    <row r="259" spans="1:64" ht="11.25" customHeight="1" x14ac:dyDescent="0.3">
      <c r="A259" s="54"/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  <c r="AG259" s="54"/>
      <c r="AH259" s="54"/>
      <c r="AI259" s="54"/>
      <c r="AJ259" s="54"/>
      <c r="AK259" s="54"/>
      <c r="AL259" s="54"/>
      <c r="AM259" s="54"/>
      <c r="AN259" s="54"/>
      <c r="AO259" s="54"/>
      <c r="AP259" s="54"/>
      <c r="AQ259" s="54"/>
      <c r="AR259" s="54"/>
      <c r="AS259" s="54"/>
      <c r="AT259" s="54"/>
      <c r="AU259" s="54"/>
      <c r="AV259" s="54"/>
      <c r="AW259" s="54"/>
      <c r="AX259" s="54"/>
      <c r="AY259" s="54"/>
      <c r="AZ259" s="54"/>
      <c r="BA259" s="54"/>
      <c r="BB259" s="54"/>
      <c r="BC259" s="54"/>
      <c r="BD259" s="54"/>
      <c r="BE259" s="54"/>
      <c r="BF259" s="54"/>
      <c r="BG259" s="54"/>
      <c r="BH259" s="54"/>
      <c r="BI259" s="54"/>
      <c r="BJ259" s="54"/>
      <c r="BK259" s="54"/>
      <c r="BL259" s="54"/>
    </row>
    <row r="260" spans="1:64" ht="11.25" customHeight="1" x14ac:dyDescent="0.3">
      <c r="A260" s="54"/>
      <c r="B260" s="54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  <c r="AG260" s="54"/>
      <c r="AH260" s="54"/>
      <c r="AI260" s="54"/>
      <c r="AJ260" s="54"/>
      <c r="AK260" s="54"/>
      <c r="AL260" s="54"/>
      <c r="AM260" s="54"/>
      <c r="AN260" s="54"/>
      <c r="AO260" s="54"/>
      <c r="AP260" s="54"/>
      <c r="AQ260" s="54"/>
      <c r="AR260" s="54"/>
      <c r="AS260" s="54"/>
      <c r="AT260" s="54"/>
      <c r="AU260" s="54"/>
      <c r="AV260" s="54"/>
      <c r="AW260" s="54"/>
      <c r="AX260" s="54"/>
      <c r="AY260" s="54"/>
      <c r="AZ260" s="54"/>
      <c r="BA260" s="54"/>
      <c r="BB260" s="54"/>
      <c r="BC260" s="54"/>
      <c r="BD260" s="54"/>
      <c r="BE260" s="54"/>
      <c r="BF260" s="54"/>
      <c r="BG260" s="54"/>
      <c r="BH260" s="54"/>
      <c r="BI260" s="54"/>
      <c r="BJ260" s="54"/>
      <c r="BK260" s="54"/>
      <c r="BL260" s="54"/>
    </row>
    <row r="261" spans="1:64" ht="11.25" customHeight="1" x14ac:dyDescent="0.3">
      <c r="A261" s="54"/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4"/>
      <c r="AI261" s="54"/>
      <c r="AJ261" s="54"/>
      <c r="AK261" s="54"/>
      <c r="AL261" s="54"/>
      <c r="AM261" s="54"/>
      <c r="AN261" s="54"/>
      <c r="AO261" s="54"/>
      <c r="AP261" s="54"/>
      <c r="AQ261" s="54"/>
      <c r="AR261" s="54"/>
      <c r="AS261" s="54"/>
      <c r="AT261" s="54"/>
      <c r="AU261" s="54"/>
      <c r="AV261" s="54"/>
      <c r="AW261" s="54"/>
      <c r="AX261" s="54"/>
      <c r="AY261" s="54"/>
      <c r="AZ261" s="54"/>
      <c r="BA261" s="54"/>
      <c r="BB261" s="54"/>
      <c r="BC261" s="54"/>
      <c r="BD261" s="54"/>
      <c r="BE261" s="54"/>
      <c r="BF261" s="54"/>
      <c r="BG261" s="54"/>
      <c r="BH261" s="54"/>
      <c r="BI261" s="54"/>
      <c r="BJ261" s="54"/>
      <c r="BK261" s="54"/>
      <c r="BL261" s="54"/>
    </row>
    <row r="262" spans="1:64" ht="11.25" customHeight="1" x14ac:dyDescent="0.3">
      <c r="A262" s="54"/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  <c r="AK262" s="54"/>
      <c r="AL262" s="54"/>
      <c r="AM262" s="54"/>
      <c r="AN262" s="54"/>
      <c r="AO262" s="54"/>
      <c r="AP262" s="54"/>
      <c r="AQ262" s="54"/>
      <c r="AR262" s="54"/>
      <c r="AS262" s="54"/>
      <c r="AT262" s="54"/>
      <c r="AU262" s="54"/>
      <c r="AV262" s="54"/>
      <c r="AW262" s="54"/>
      <c r="AX262" s="54"/>
      <c r="AY262" s="54"/>
      <c r="AZ262" s="54"/>
      <c r="BA262" s="54"/>
      <c r="BB262" s="54"/>
      <c r="BC262" s="54"/>
      <c r="BD262" s="54"/>
      <c r="BE262" s="54"/>
      <c r="BF262" s="54"/>
      <c r="BG262" s="54"/>
      <c r="BH262" s="54"/>
      <c r="BI262" s="54"/>
      <c r="BJ262" s="54"/>
      <c r="BK262" s="54"/>
      <c r="BL262" s="54"/>
    </row>
    <row r="263" spans="1:64" ht="11.25" customHeight="1" x14ac:dyDescent="0.3">
      <c r="A263" s="54"/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4"/>
      <c r="AI263" s="54"/>
      <c r="AJ263" s="54"/>
      <c r="AK263" s="54"/>
      <c r="AL263" s="54"/>
      <c r="AM263" s="54"/>
      <c r="AN263" s="54"/>
      <c r="AO263" s="54"/>
      <c r="AP263" s="54"/>
      <c r="AQ263" s="54"/>
      <c r="AR263" s="54"/>
      <c r="AS263" s="54"/>
      <c r="AT263" s="54"/>
      <c r="AU263" s="54"/>
      <c r="AV263" s="54"/>
      <c r="AW263" s="54"/>
      <c r="AX263" s="54"/>
      <c r="AY263" s="54"/>
      <c r="AZ263" s="54"/>
      <c r="BA263" s="54"/>
      <c r="BB263" s="54"/>
      <c r="BC263" s="54"/>
      <c r="BD263" s="54"/>
      <c r="BE263" s="54"/>
      <c r="BF263" s="54"/>
      <c r="BG263" s="54"/>
      <c r="BH263" s="54"/>
      <c r="BI263" s="54"/>
      <c r="BJ263" s="54"/>
      <c r="BK263" s="54"/>
      <c r="BL263" s="54"/>
    </row>
    <row r="264" spans="1:64" ht="11.25" customHeight="1" x14ac:dyDescent="0.3">
      <c r="A264" s="54"/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4"/>
      <c r="AI264" s="54"/>
      <c r="AJ264" s="54"/>
      <c r="AK264" s="54"/>
      <c r="AL264" s="54"/>
      <c r="AM264" s="54"/>
      <c r="AN264" s="54"/>
      <c r="AO264" s="54"/>
      <c r="AP264" s="54"/>
      <c r="AQ264" s="54"/>
      <c r="AR264" s="54"/>
      <c r="AS264" s="54"/>
      <c r="AT264" s="54"/>
      <c r="AU264" s="54"/>
      <c r="AV264" s="54"/>
      <c r="AW264" s="54"/>
      <c r="AX264" s="54"/>
      <c r="AY264" s="54"/>
      <c r="AZ264" s="54"/>
      <c r="BA264" s="54"/>
      <c r="BB264" s="54"/>
      <c r="BC264" s="54"/>
      <c r="BD264" s="54"/>
      <c r="BE264" s="54"/>
      <c r="BF264" s="54"/>
      <c r="BG264" s="54"/>
      <c r="BH264" s="54"/>
      <c r="BI264" s="54"/>
      <c r="BJ264" s="54"/>
      <c r="BK264" s="54"/>
      <c r="BL264" s="54"/>
    </row>
    <row r="265" spans="1:64" ht="11.25" customHeight="1" x14ac:dyDescent="0.3">
      <c r="A265" s="54"/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4"/>
      <c r="AI265" s="54"/>
      <c r="AJ265" s="54"/>
      <c r="AK265" s="54"/>
      <c r="AL265" s="54"/>
      <c r="AM265" s="54"/>
      <c r="AN265" s="54"/>
      <c r="AO265" s="54"/>
      <c r="AP265" s="54"/>
      <c r="AQ265" s="54"/>
      <c r="AR265" s="54"/>
      <c r="AS265" s="54"/>
      <c r="AT265" s="54"/>
      <c r="AU265" s="54"/>
      <c r="AV265" s="54"/>
      <c r="AW265" s="54"/>
      <c r="AX265" s="54"/>
      <c r="AY265" s="54"/>
      <c r="AZ265" s="54"/>
      <c r="BA265" s="54"/>
      <c r="BB265" s="54"/>
      <c r="BC265" s="54"/>
      <c r="BD265" s="54"/>
      <c r="BE265" s="54"/>
      <c r="BF265" s="54"/>
      <c r="BG265" s="54"/>
      <c r="BH265" s="54"/>
      <c r="BI265" s="54"/>
      <c r="BJ265" s="54"/>
      <c r="BK265" s="54"/>
      <c r="BL265" s="54"/>
    </row>
    <row r="266" spans="1:64" ht="11.25" customHeight="1" x14ac:dyDescent="0.3">
      <c r="A266" s="54"/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4"/>
      <c r="AI266" s="54"/>
      <c r="AJ266" s="54"/>
      <c r="AK266" s="54"/>
      <c r="AL266" s="54"/>
      <c r="AM266" s="54"/>
      <c r="AN266" s="54"/>
      <c r="AO266" s="54"/>
      <c r="AP266" s="54"/>
      <c r="AQ266" s="54"/>
      <c r="AR266" s="54"/>
      <c r="AS266" s="54"/>
      <c r="AT266" s="54"/>
      <c r="AU266" s="54"/>
      <c r="AV266" s="54"/>
      <c r="AW266" s="54"/>
      <c r="AX266" s="54"/>
      <c r="AY266" s="54"/>
      <c r="AZ266" s="54"/>
      <c r="BA266" s="54"/>
      <c r="BB266" s="54"/>
      <c r="BC266" s="54"/>
      <c r="BD266" s="54"/>
      <c r="BE266" s="54"/>
      <c r="BF266" s="54"/>
      <c r="BG266" s="54"/>
      <c r="BH266" s="54"/>
      <c r="BI266" s="54"/>
      <c r="BJ266" s="54"/>
      <c r="BK266" s="54"/>
      <c r="BL266" s="54"/>
    </row>
    <row r="267" spans="1:64" ht="11.25" customHeight="1" x14ac:dyDescent="0.3">
      <c r="A267" s="54"/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4"/>
      <c r="AI267" s="54"/>
      <c r="AJ267" s="54"/>
      <c r="AK267" s="54"/>
      <c r="AL267" s="54"/>
      <c r="AM267" s="54"/>
      <c r="AN267" s="54"/>
      <c r="AO267" s="54"/>
      <c r="AP267" s="54"/>
      <c r="AQ267" s="54"/>
      <c r="AR267" s="54"/>
      <c r="AS267" s="54"/>
      <c r="AT267" s="54"/>
      <c r="AU267" s="54"/>
      <c r="AV267" s="54"/>
      <c r="AW267" s="54"/>
      <c r="AX267" s="54"/>
      <c r="AY267" s="54"/>
      <c r="AZ267" s="54"/>
      <c r="BA267" s="54"/>
      <c r="BB267" s="54"/>
      <c r="BC267" s="54"/>
      <c r="BD267" s="54"/>
      <c r="BE267" s="54"/>
      <c r="BF267" s="54"/>
      <c r="BG267" s="54"/>
      <c r="BH267" s="54"/>
      <c r="BI267" s="54"/>
      <c r="BJ267" s="54"/>
      <c r="BK267" s="54"/>
      <c r="BL267" s="54"/>
    </row>
    <row r="268" spans="1:64" ht="11.25" customHeight="1" x14ac:dyDescent="0.3">
      <c r="A268" s="54"/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4"/>
      <c r="AI268" s="54"/>
      <c r="AJ268" s="54"/>
      <c r="AK268" s="54"/>
      <c r="AL268" s="54"/>
      <c r="AM268" s="54"/>
      <c r="AN268" s="54"/>
      <c r="AO268" s="54"/>
      <c r="AP268" s="54"/>
      <c r="AQ268" s="54"/>
      <c r="AR268" s="54"/>
      <c r="AS268" s="54"/>
      <c r="AT268" s="54"/>
      <c r="AU268" s="54"/>
      <c r="AV268" s="54"/>
      <c r="AW268" s="54"/>
      <c r="AX268" s="54"/>
      <c r="AY268" s="54"/>
      <c r="AZ268" s="54"/>
      <c r="BA268" s="54"/>
      <c r="BB268" s="54"/>
      <c r="BC268" s="54"/>
      <c r="BD268" s="54"/>
      <c r="BE268" s="54"/>
      <c r="BF268" s="54"/>
      <c r="BG268" s="54"/>
      <c r="BH268" s="54"/>
      <c r="BI268" s="54"/>
      <c r="BJ268" s="54"/>
      <c r="BK268" s="54"/>
      <c r="BL268" s="54"/>
    </row>
    <row r="269" spans="1:64" ht="11.25" customHeight="1" x14ac:dyDescent="0.3">
      <c r="A269" s="54"/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4"/>
      <c r="AI269" s="54"/>
      <c r="AJ269" s="54"/>
      <c r="AK269" s="54"/>
      <c r="AL269" s="54"/>
      <c r="AM269" s="54"/>
      <c r="AN269" s="54"/>
      <c r="AO269" s="54"/>
      <c r="AP269" s="54"/>
      <c r="AQ269" s="54"/>
      <c r="AR269" s="54"/>
      <c r="AS269" s="54"/>
      <c r="AT269" s="54"/>
      <c r="AU269" s="54"/>
      <c r="AV269" s="54"/>
      <c r="AW269" s="54"/>
      <c r="AX269" s="54"/>
      <c r="AY269" s="54"/>
      <c r="AZ269" s="54"/>
      <c r="BA269" s="54"/>
      <c r="BB269" s="54"/>
      <c r="BC269" s="54"/>
      <c r="BD269" s="54"/>
      <c r="BE269" s="54"/>
      <c r="BF269" s="54"/>
      <c r="BG269" s="54"/>
      <c r="BH269" s="54"/>
      <c r="BI269" s="54"/>
      <c r="BJ269" s="54"/>
      <c r="BK269" s="54"/>
      <c r="BL269" s="54"/>
    </row>
    <row r="270" spans="1:64" ht="11.25" customHeight="1" x14ac:dyDescent="0.3">
      <c r="A270" s="54"/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4"/>
      <c r="AI270" s="54"/>
      <c r="AJ270" s="54"/>
      <c r="AK270" s="54"/>
      <c r="AL270" s="54"/>
      <c r="AM270" s="54"/>
      <c r="AN270" s="54"/>
      <c r="AO270" s="54"/>
      <c r="AP270" s="54"/>
      <c r="AQ270" s="54"/>
      <c r="AR270" s="54"/>
      <c r="AS270" s="54"/>
      <c r="AT270" s="54"/>
      <c r="AU270" s="54"/>
      <c r="AV270" s="54"/>
      <c r="AW270" s="54"/>
      <c r="AX270" s="54"/>
      <c r="AY270" s="54"/>
      <c r="AZ270" s="54"/>
      <c r="BA270" s="54"/>
      <c r="BB270" s="54"/>
      <c r="BC270" s="54"/>
      <c r="BD270" s="54"/>
      <c r="BE270" s="54"/>
      <c r="BF270" s="54"/>
      <c r="BG270" s="54"/>
      <c r="BH270" s="54"/>
      <c r="BI270" s="54"/>
      <c r="BJ270" s="54"/>
      <c r="BK270" s="54"/>
      <c r="BL270" s="54"/>
    </row>
    <row r="271" spans="1:64" ht="11.25" customHeight="1" x14ac:dyDescent="0.3">
      <c r="A271" s="54"/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4"/>
      <c r="AI271" s="54"/>
      <c r="AJ271" s="54"/>
      <c r="AK271" s="54"/>
      <c r="AL271" s="54"/>
      <c r="AM271" s="54"/>
      <c r="AN271" s="54"/>
      <c r="AO271" s="54"/>
      <c r="AP271" s="54"/>
      <c r="AQ271" s="54"/>
      <c r="AR271" s="54"/>
      <c r="AS271" s="54"/>
      <c r="AT271" s="54"/>
      <c r="AU271" s="54"/>
      <c r="AV271" s="54"/>
      <c r="AW271" s="54"/>
      <c r="AX271" s="54"/>
      <c r="AY271" s="54"/>
      <c r="AZ271" s="54"/>
      <c r="BA271" s="54"/>
      <c r="BB271" s="54"/>
      <c r="BC271" s="54"/>
      <c r="BD271" s="54"/>
      <c r="BE271" s="54"/>
      <c r="BF271" s="54"/>
      <c r="BG271" s="54"/>
      <c r="BH271" s="54"/>
      <c r="BI271" s="54"/>
      <c r="BJ271" s="54"/>
      <c r="BK271" s="54"/>
      <c r="BL271" s="54"/>
    </row>
    <row r="272" spans="1:64" ht="11.25" customHeight="1" x14ac:dyDescent="0.3">
      <c r="A272" s="54"/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4"/>
      <c r="AI272" s="54"/>
      <c r="AJ272" s="54"/>
      <c r="AK272" s="54"/>
      <c r="AL272" s="54"/>
      <c r="AM272" s="54"/>
      <c r="AN272" s="54"/>
      <c r="AO272" s="54"/>
      <c r="AP272" s="54"/>
      <c r="AQ272" s="54"/>
      <c r="AR272" s="54"/>
      <c r="AS272" s="54"/>
      <c r="AT272" s="54"/>
      <c r="AU272" s="54"/>
      <c r="AV272" s="54"/>
      <c r="AW272" s="54"/>
      <c r="AX272" s="54"/>
      <c r="AY272" s="54"/>
      <c r="AZ272" s="54"/>
      <c r="BA272" s="54"/>
      <c r="BB272" s="54"/>
      <c r="BC272" s="54"/>
      <c r="BD272" s="54"/>
      <c r="BE272" s="54"/>
      <c r="BF272" s="54"/>
      <c r="BG272" s="54"/>
      <c r="BH272" s="54"/>
      <c r="BI272" s="54"/>
      <c r="BJ272" s="54"/>
      <c r="BK272" s="54"/>
      <c r="BL272" s="54"/>
    </row>
    <row r="273" spans="1:64" ht="11.25" customHeight="1" x14ac:dyDescent="0.3">
      <c r="A273" s="54"/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4"/>
      <c r="AI273" s="54"/>
      <c r="AJ273" s="54"/>
      <c r="AK273" s="54"/>
      <c r="AL273" s="54"/>
      <c r="AM273" s="54"/>
      <c r="AN273" s="54"/>
      <c r="AO273" s="54"/>
      <c r="AP273" s="54"/>
      <c r="AQ273" s="54"/>
      <c r="AR273" s="54"/>
      <c r="AS273" s="54"/>
      <c r="AT273" s="54"/>
      <c r="AU273" s="54"/>
      <c r="AV273" s="54"/>
      <c r="AW273" s="54"/>
      <c r="AX273" s="54"/>
      <c r="AY273" s="54"/>
      <c r="AZ273" s="54"/>
      <c r="BA273" s="54"/>
      <c r="BB273" s="54"/>
      <c r="BC273" s="54"/>
      <c r="BD273" s="54"/>
      <c r="BE273" s="54"/>
      <c r="BF273" s="54"/>
      <c r="BG273" s="54"/>
      <c r="BH273" s="54"/>
      <c r="BI273" s="54"/>
      <c r="BJ273" s="54"/>
      <c r="BK273" s="54"/>
      <c r="BL273" s="54"/>
    </row>
    <row r="274" spans="1:64" ht="11.25" customHeight="1" x14ac:dyDescent="0.3">
      <c r="A274" s="54"/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4"/>
      <c r="AI274" s="54"/>
      <c r="AJ274" s="54"/>
      <c r="AK274" s="54"/>
      <c r="AL274" s="54"/>
      <c r="AM274" s="54"/>
      <c r="AN274" s="54"/>
      <c r="AO274" s="54"/>
      <c r="AP274" s="54"/>
      <c r="AQ274" s="54"/>
      <c r="AR274" s="54"/>
      <c r="AS274" s="54"/>
      <c r="AT274" s="54"/>
      <c r="AU274" s="54"/>
      <c r="AV274" s="54"/>
      <c r="AW274" s="54"/>
      <c r="AX274" s="54"/>
      <c r="AY274" s="54"/>
      <c r="AZ274" s="54"/>
      <c r="BA274" s="54"/>
      <c r="BB274" s="54"/>
      <c r="BC274" s="54"/>
      <c r="BD274" s="54"/>
      <c r="BE274" s="54"/>
      <c r="BF274" s="54"/>
      <c r="BG274" s="54"/>
      <c r="BH274" s="54"/>
      <c r="BI274" s="54"/>
      <c r="BJ274" s="54"/>
      <c r="BK274" s="54"/>
      <c r="BL274" s="54"/>
    </row>
    <row r="275" spans="1:64" ht="11.25" customHeight="1" x14ac:dyDescent="0.3">
      <c r="A275" s="54"/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  <c r="AG275" s="54"/>
      <c r="AH275" s="54"/>
      <c r="AI275" s="54"/>
      <c r="AJ275" s="54"/>
      <c r="AK275" s="54"/>
      <c r="AL275" s="54"/>
      <c r="AM275" s="54"/>
      <c r="AN275" s="54"/>
      <c r="AO275" s="54"/>
      <c r="AP275" s="54"/>
      <c r="AQ275" s="54"/>
      <c r="AR275" s="54"/>
      <c r="AS275" s="54"/>
      <c r="AT275" s="54"/>
      <c r="AU275" s="54"/>
      <c r="AV275" s="54"/>
      <c r="AW275" s="54"/>
      <c r="AX275" s="54"/>
      <c r="AY275" s="54"/>
      <c r="AZ275" s="54"/>
      <c r="BA275" s="54"/>
      <c r="BB275" s="54"/>
      <c r="BC275" s="54"/>
      <c r="BD275" s="54"/>
      <c r="BE275" s="54"/>
      <c r="BF275" s="54"/>
      <c r="BG275" s="54"/>
      <c r="BH275" s="54"/>
      <c r="BI275" s="54"/>
      <c r="BJ275" s="54"/>
      <c r="BK275" s="54"/>
      <c r="BL275" s="54"/>
    </row>
    <row r="276" spans="1:64" ht="11.25" customHeight="1" x14ac:dyDescent="0.3">
      <c r="A276" s="54"/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  <c r="AG276" s="54"/>
      <c r="AH276" s="54"/>
      <c r="AI276" s="54"/>
      <c r="AJ276" s="54"/>
      <c r="AK276" s="54"/>
      <c r="AL276" s="54"/>
      <c r="AM276" s="54"/>
      <c r="AN276" s="54"/>
      <c r="AO276" s="54"/>
      <c r="AP276" s="54"/>
      <c r="AQ276" s="54"/>
      <c r="AR276" s="54"/>
      <c r="AS276" s="54"/>
      <c r="AT276" s="54"/>
      <c r="AU276" s="54"/>
      <c r="AV276" s="54"/>
      <c r="AW276" s="54"/>
      <c r="AX276" s="54"/>
      <c r="AY276" s="54"/>
      <c r="AZ276" s="54"/>
      <c r="BA276" s="54"/>
      <c r="BB276" s="54"/>
      <c r="BC276" s="54"/>
      <c r="BD276" s="54"/>
      <c r="BE276" s="54"/>
      <c r="BF276" s="54"/>
      <c r="BG276" s="54"/>
      <c r="BH276" s="54"/>
      <c r="BI276" s="54"/>
      <c r="BJ276" s="54"/>
      <c r="BK276" s="54"/>
      <c r="BL276" s="54"/>
    </row>
    <row r="277" spans="1:64" ht="11.25" customHeight="1" x14ac:dyDescent="0.3">
      <c r="A277" s="54"/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4"/>
      <c r="AI277" s="54"/>
      <c r="AJ277" s="54"/>
      <c r="AK277" s="54"/>
      <c r="AL277" s="54"/>
      <c r="AM277" s="54"/>
      <c r="AN277" s="54"/>
      <c r="AO277" s="54"/>
      <c r="AP277" s="54"/>
      <c r="AQ277" s="54"/>
      <c r="AR277" s="54"/>
      <c r="AS277" s="54"/>
      <c r="AT277" s="54"/>
      <c r="AU277" s="54"/>
      <c r="AV277" s="54"/>
      <c r="AW277" s="54"/>
      <c r="AX277" s="54"/>
      <c r="AY277" s="54"/>
      <c r="AZ277" s="54"/>
      <c r="BA277" s="54"/>
      <c r="BB277" s="54"/>
      <c r="BC277" s="54"/>
      <c r="BD277" s="54"/>
      <c r="BE277" s="54"/>
      <c r="BF277" s="54"/>
      <c r="BG277" s="54"/>
      <c r="BH277" s="54"/>
      <c r="BI277" s="54"/>
      <c r="BJ277" s="54"/>
      <c r="BK277" s="54"/>
      <c r="BL277" s="54"/>
    </row>
    <row r="278" spans="1:64" ht="11.25" customHeight="1" x14ac:dyDescent="0.3">
      <c r="A278" s="54"/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4"/>
      <c r="AI278" s="54"/>
      <c r="AJ278" s="54"/>
      <c r="AK278" s="54"/>
      <c r="AL278" s="54"/>
      <c r="AM278" s="54"/>
      <c r="AN278" s="54"/>
      <c r="AO278" s="54"/>
      <c r="AP278" s="54"/>
      <c r="AQ278" s="54"/>
      <c r="AR278" s="54"/>
      <c r="AS278" s="54"/>
      <c r="AT278" s="54"/>
      <c r="AU278" s="54"/>
      <c r="AV278" s="54"/>
      <c r="AW278" s="54"/>
      <c r="AX278" s="54"/>
      <c r="AY278" s="54"/>
      <c r="AZ278" s="54"/>
      <c r="BA278" s="54"/>
      <c r="BB278" s="54"/>
      <c r="BC278" s="54"/>
      <c r="BD278" s="54"/>
      <c r="BE278" s="54"/>
      <c r="BF278" s="54"/>
      <c r="BG278" s="54"/>
      <c r="BH278" s="54"/>
      <c r="BI278" s="54"/>
      <c r="BJ278" s="54"/>
      <c r="BK278" s="54"/>
      <c r="BL278" s="54"/>
    </row>
    <row r="279" spans="1:64" ht="11.25" customHeight="1" x14ac:dyDescent="0.3">
      <c r="A279" s="54"/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4"/>
      <c r="AI279" s="54"/>
      <c r="AJ279" s="54"/>
      <c r="AK279" s="54"/>
      <c r="AL279" s="54"/>
      <c r="AM279" s="54"/>
      <c r="AN279" s="54"/>
      <c r="AO279" s="54"/>
      <c r="AP279" s="54"/>
      <c r="AQ279" s="54"/>
      <c r="AR279" s="54"/>
      <c r="AS279" s="54"/>
      <c r="AT279" s="54"/>
      <c r="AU279" s="54"/>
      <c r="AV279" s="54"/>
      <c r="AW279" s="54"/>
      <c r="AX279" s="54"/>
      <c r="AY279" s="54"/>
      <c r="AZ279" s="54"/>
      <c r="BA279" s="54"/>
      <c r="BB279" s="54"/>
      <c r="BC279" s="54"/>
      <c r="BD279" s="54"/>
      <c r="BE279" s="54"/>
      <c r="BF279" s="54"/>
      <c r="BG279" s="54"/>
      <c r="BH279" s="54"/>
      <c r="BI279" s="54"/>
      <c r="BJ279" s="54"/>
      <c r="BK279" s="54"/>
      <c r="BL279" s="54"/>
    </row>
    <row r="280" spans="1:64" ht="11.25" customHeight="1" x14ac:dyDescent="0.3">
      <c r="A280" s="54"/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4"/>
      <c r="AI280" s="54"/>
      <c r="AJ280" s="54"/>
      <c r="AK280" s="54"/>
      <c r="AL280" s="54"/>
      <c r="AM280" s="54"/>
      <c r="AN280" s="54"/>
      <c r="AO280" s="54"/>
      <c r="AP280" s="54"/>
      <c r="AQ280" s="54"/>
      <c r="AR280" s="54"/>
      <c r="AS280" s="54"/>
      <c r="AT280" s="54"/>
      <c r="AU280" s="54"/>
      <c r="AV280" s="54"/>
      <c r="AW280" s="54"/>
      <c r="AX280" s="54"/>
      <c r="AY280" s="54"/>
      <c r="AZ280" s="54"/>
      <c r="BA280" s="54"/>
      <c r="BB280" s="54"/>
      <c r="BC280" s="54"/>
      <c r="BD280" s="54"/>
      <c r="BE280" s="54"/>
      <c r="BF280" s="54"/>
      <c r="BG280" s="54"/>
      <c r="BH280" s="54"/>
      <c r="BI280" s="54"/>
      <c r="BJ280" s="54"/>
      <c r="BK280" s="54"/>
      <c r="BL280" s="54"/>
    </row>
    <row r="281" spans="1:64" ht="11.25" customHeight="1" x14ac:dyDescent="0.3">
      <c r="A281" s="54"/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4"/>
      <c r="AI281" s="54"/>
      <c r="AJ281" s="54"/>
      <c r="AK281" s="54"/>
      <c r="AL281" s="54"/>
      <c r="AM281" s="54"/>
      <c r="AN281" s="54"/>
      <c r="AO281" s="54"/>
      <c r="AP281" s="54"/>
      <c r="AQ281" s="54"/>
      <c r="AR281" s="54"/>
      <c r="AS281" s="54"/>
      <c r="AT281" s="54"/>
      <c r="AU281" s="54"/>
      <c r="AV281" s="54"/>
      <c r="AW281" s="54"/>
      <c r="AX281" s="54"/>
      <c r="AY281" s="54"/>
      <c r="AZ281" s="54"/>
      <c r="BA281" s="54"/>
      <c r="BB281" s="54"/>
      <c r="BC281" s="54"/>
      <c r="BD281" s="54"/>
      <c r="BE281" s="54"/>
      <c r="BF281" s="54"/>
      <c r="BG281" s="54"/>
      <c r="BH281" s="54"/>
      <c r="BI281" s="54"/>
      <c r="BJ281" s="54"/>
      <c r="BK281" s="54"/>
      <c r="BL281" s="54"/>
    </row>
    <row r="282" spans="1:64" ht="11.25" customHeight="1" x14ac:dyDescent="0.3">
      <c r="A282" s="54"/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4"/>
      <c r="AI282" s="54"/>
      <c r="AJ282" s="54"/>
      <c r="AK282" s="54"/>
      <c r="AL282" s="54"/>
      <c r="AM282" s="54"/>
      <c r="AN282" s="54"/>
      <c r="AO282" s="54"/>
      <c r="AP282" s="54"/>
      <c r="AQ282" s="54"/>
      <c r="AR282" s="54"/>
      <c r="AS282" s="54"/>
      <c r="AT282" s="54"/>
      <c r="AU282" s="54"/>
      <c r="AV282" s="54"/>
      <c r="AW282" s="54"/>
      <c r="AX282" s="54"/>
      <c r="AY282" s="54"/>
      <c r="AZ282" s="54"/>
      <c r="BA282" s="54"/>
      <c r="BB282" s="54"/>
      <c r="BC282" s="54"/>
      <c r="BD282" s="54"/>
      <c r="BE282" s="54"/>
      <c r="BF282" s="54"/>
      <c r="BG282" s="54"/>
      <c r="BH282" s="54"/>
      <c r="BI282" s="54"/>
      <c r="BJ282" s="54"/>
      <c r="BK282" s="54"/>
      <c r="BL282" s="54"/>
    </row>
    <row r="283" spans="1:64" ht="11.25" customHeight="1" x14ac:dyDescent="0.3">
      <c r="A283" s="54"/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4"/>
      <c r="AI283" s="54"/>
      <c r="AJ283" s="54"/>
      <c r="AK283" s="54"/>
      <c r="AL283" s="54"/>
      <c r="AM283" s="54"/>
      <c r="AN283" s="54"/>
      <c r="AO283" s="54"/>
      <c r="AP283" s="54"/>
      <c r="AQ283" s="54"/>
      <c r="AR283" s="54"/>
      <c r="AS283" s="54"/>
      <c r="AT283" s="54"/>
      <c r="AU283" s="54"/>
      <c r="AV283" s="54"/>
      <c r="AW283" s="54"/>
      <c r="AX283" s="54"/>
      <c r="AY283" s="54"/>
      <c r="AZ283" s="54"/>
      <c r="BA283" s="54"/>
      <c r="BB283" s="54"/>
      <c r="BC283" s="54"/>
      <c r="BD283" s="54"/>
      <c r="BE283" s="54"/>
      <c r="BF283" s="54"/>
      <c r="BG283" s="54"/>
      <c r="BH283" s="54"/>
      <c r="BI283" s="54"/>
      <c r="BJ283" s="54"/>
      <c r="BK283" s="54"/>
      <c r="BL283" s="54"/>
    </row>
    <row r="284" spans="1:64" ht="11.25" customHeight="1" x14ac:dyDescent="0.3">
      <c r="A284" s="54"/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4"/>
      <c r="AI284" s="54"/>
      <c r="AJ284" s="54"/>
      <c r="AK284" s="54"/>
      <c r="AL284" s="54"/>
      <c r="AM284" s="54"/>
      <c r="AN284" s="54"/>
      <c r="AO284" s="54"/>
      <c r="AP284" s="54"/>
      <c r="AQ284" s="54"/>
      <c r="AR284" s="54"/>
      <c r="AS284" s="54"/>
      <c r="AT284" s="54"/>
      <c r="AU284" s="54"/>
      <c r="AV284" s="54"/>
      <c r="AW284" s="54"/>
      <c r="AX284" s="54"/>
      <c r="AY284" s="54"/>
      <c r="AZ284" s="54"/>
      <c r="BA284" s="54"/>
      <c r="BB284" s="54"/>
      <c r="BC284" s="54"/>
      <c r="BD284" s="54"/>
      <c r="BE284" s="54"/>
      <c r="BF284" s="54"/>
      <c r="BG284" s="54"/>
      <c r="BH284" s="54"/>
      <c r="BI284" s="54"/>
      <c r="BJ284" s="54"/>
      <c r="BK284" s="54"/>
      <c r="BL284" s="54"/>
    </row>
    <row r="285" spans="1:64" ht="11.25" customHeight="1" x14ac:dyDescent="0.3">
      <c r="A285" s="54"/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4"/>
      <c r="AI285" s="54"/>
      <c r="AJ285" s="54"/>
      <c r="AK285" s="54"/>
      <c r="AL285" s="54"/>
      <c r="AM285" s="54"/>
      <c r="AN285" s="54"/>
      <c r="AO285" s="54"/>
      <c r="AP285" s="54"/>
      <c r="AQ285" s="54"/>
      <c r="AR285" s="54"/>
      <c r="AS285" s="54"/>
      <c r="AT285" s="54"/>
      <c r="AU285" s="54"/>
      <c r="AV285" s="54"/>
      <c r="AW285" s="54"/>
      <c r="AX285" s="54"/>
      <c r="AY285" s="54"/>
      <c r="AZ285" s="54"/>
      <c r="BA285" s="54"/>
      <c r="BB285" s="54"/>
      <c r="BC285" s="54"/>
      <c r="BD285" s="54"/>
      <c r="BE285" s="54"/>
      <c r="BF285" s="54"/>
      <c r="BG285" s="54"/>
      <c r="BH285" s="54"/>
      <c r="BI285" s="54"/>
      <c r="BJ285" s="54"/>
      <c r="BK285" s="54"/>
      <c r="BL285" s="54"/>
    </row>
    <row r="286" spans="1:64" ht="11.25" customHeight="1" x14ac:dyDescent="0.3">
      <c r="A286" s="54"/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4"/>
      <c r="AI286" s="54"/>
      <c r="AJ286" s="54"/>
      <c r="AK286" s="54"/>
      <c r="AL286" s="54"/>
      <c r="AM286" s="54"/>
      <c r="AN286" s="54"/>
      <c r="AO286" s="54"/>
      <c r="AP286" s="54"/>
      <c r="AQ286" s="54"/>
      <c r="AR286" s="54"/>
      <c r="AS286" s="54"/>
      <c r="AT286" s="54"/>
      <c r="AU286" s="54"/>
      <c r="AV286" s="54"/>
      <c r="AW286" s="54"/>
      <c r="AX286" s="54"/>
      <c r="AY286" s="54"/>
      <c r="AZ286" s="54"/>
      <c r="BA286" s="54"/>
      <c r="BB286" s="54"/>
      <c r="BC286" s="54"/>
      <c r="BD286" s="54"/>
      <c r="BE286" s="54"/>
      <c r="BF286" s="54"/>
      <c r="BG286" s="54"/>
      <c r="BH286" s="54"/>
      <c r="BI286" s="54"/>
      <c r="BJ286" s="54"/>
      <c r="BK286" s="54"/>
      <c r="BL286" s="54"/>
    </row>
    <row r="287" spans="1:64" ht="11.25" customHeight="1" x14ac:dyDescent="0.3">
      <c r="A287" s="54"/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4"/>
      <c r="AI287" s="54"/>
      <c r="AJ287" s="54"/>
      <c r="AK287" s="54"/>
      <c r="AL287" s="54"/>
      <c r="AM287" s="54"/>
      <c r="AN287" s="54"/>
      <c r="AO287" s="54"/>
      <c r="AP287" s="54"/>
      <c r="AQ287" s="54"/>
      <c r="AR287" s="54"/>
      <c r="AS287" s="54"/>
      <c r="AT287" s="54"/>
      <c r="AU287" s="54"/>
      <c r="AV287" s="54"/>
      <c r="AW287" s="54"/>
      <c r="AX287" s="54"/>
      <c r="AY287" s="54"/>
      <c r="AZ287" s="54"/>
      <c r="BA287" s="54"/>
      <c r="BB287" s="54"/>
      <c r="BC287" s="54"/>
      <c r="BD287" s="54"/>
      <c r="BE287" s="54"/>
      <c r="BF287" s="54"/>
      <c r="BG287" s="54"/>
      <c r="BH287" s="54"/>
      <c r="BI287" s="54"/>
      <c r="BJ287" s="54"/>
      <c r="BK287" s="54"/>
      <c r="BL287" s="54"/>
    </row>
    <row r="288" spans="1:64" ht="11.25" customHeight="1" x14ac:dyDescent="0.3">
      <c r="A288" s="54"/>
      <c r="B288" s="54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4"/>
      <c r="AI288" s="54"/>
      <c r="AJ288" s="54"/>
      <c r="AK288" s="54"/>
      <c r="AL288" s="54"/>
      <c r="AM288" s="54"/>
      <c r="AN288" s="54"/>
      <c r="AO288" s="54"/>
      <c r="AP288" s="54"/>
      <c r="AQ288" s="54"/>
      <c r="AR288" s="54"/>
      <c r="AS288" s="54"/>
      <c r="AT288" s="54"/>
      <c r="AU288" s="54"/>
      <c r="AV288" s="54"/>
      <c r="AW288" s="54"/>
      <c r="AX288" s="54"/>
      <c r="AY288" s="54"/>
      <c r="AZ288" s="54"/>
      <c r="BA288" s="54"/>
      <c r="BB288" s="54"/>
      <c r="BC288" s="54"/>
      <c r="BD288" s="54"/>
      <c r="BE288" s="54"/>
      <c r="BF288" s="54"/>
      <c r="BG288" s="54"/>
      <c r="BH288" s="54"/>
      <c r="BI288" s="54"/>
      <c r="BJ288" s="54"/>
      <c r="BK288" s="54"/>
      <c r="BL288" s="54"/>
    </row>
    <row r="289" spans="1:64" ht="11.25" customHeight="1" x14ac:dyDescent="0.3">
      <c r="A289" s="54"/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4"/>
      <c r="AI289" s="54"/>
      <c r="AJ289" s="54"/>
      <c r="AK289" s="54"/>
      <c r="AL289" s="54"/>
      <c r="AM289" s="54"/>
      <c r="AN289" s="54"/>
      <c r="AO289" s="54"/>
      <c r="AP289" s="54"/>
      <c r="AQ289" s="54"/>
      <c r="AR289" s="54"/>
      <c r="AS289" s="54"/>
      <c r="AT289" s="54"/>
      <c r="AU289" s="54"/>
      <c r="AV289" s="54"/>
      <c r="AW289" s="54"/>
      <c r="AX289" s="54"/>
      <c r="AY289" s="54"/>
      <c r="AZ289" s="54"/>
      <c r="BA289" s="54"/>
      <c r="BB289" s="54"/>
      <c r="BC289" s="54"/>
      <c r="BD289" s="54"/>
      <c r="BE289" s="54"/>
      <c r="BF289" s="54"/>
      <c r="BG289" s="54"/>
      <c r="BH289" s="54"/>
      <c r="BI289" s="54"/>
      <c r="BJ289" s="54"/>
      <c r="BK289" s="54"/>
      <c r="BL289" s="54"/>
    </row>
    <row r="290" spans="1:64" ht="11.25" customHeight="1" x14ac:dyDescent="0.3">
      <c r="A290" s="54"/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4"/>
      <c r="AI290" s="54"/>
      <c r="AJ290" s="54"/>
      <c r="AK290" s="54"/>
      <c r="AL290" s="54"/>
      <c r="AM290" s="54"/>
      <c r="AN290" s="54"/>
      <c r="AO290" s="54"/>
      <c r="AP290" s="54"/>
      <c r="AQ290" s="54"/>
      <c r="AR290" s="54"/>
      <c r="AS290" s="54"/>
      <c r="AT290" s="54"/>
      <c r="AU290" s="54"/>
      <c r="AV290" s="54"/>
      <c r="AW290" s="54"/>
      <c r="AX290" s="54"/>
      <c r="AY290" s="54"/>
      <c r="AZ290" s="54"/>
      <c r="BA290" s="54"/>
      <c r="BB290" s="54"/>
      <c r="BC290" s="54"/>
      <c r="BD290" s="54"/>
      <c r="BE290" s="54"/>
      <c r="BF290" s="54"/>
      <c r="BG290" s="54"/>
      <c r="BH290" s="54"/>
      <c r="BI290" s="54"/>
      <c r="BJ290" s="54"/>
      <c r="BK290" s="54"/>
      <c r="BL290" s="54"/>
    </row>
    <row r="291" spans="1:64" ht="11.25" customHeight="1" x14ac:dyDescent="0.3">
      <c r="A291" s="54"/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  <c r="AG291" s="54"/>
      <c r="AH291" s="54"/>
      <c r="AI291" s="54"/>
      <c r="AJ291" s="54"/>
      <c r="AK291" s="54"/>
      <c r="AL291" s="54"/>
      <c r="AM291" s="54"/>
      <c r="AN291" s="54"/>
      <c r="AO291" s="54"/>
      <c r="AP291" s="54"/>
      <c r="AQ291" s="54"/>
      <c r="AR291" s="54"/>
      <c r="AS291" s="54"/>
      <c r="AT291" s="54"/>
      <c r="AU291" s="54"/>
      <c r="AV291" s="54"/>
      <c r="AW291" s="54"/>
      <c r="AX291" s="54"/>
      <c r="AY291" s="54"/>
      <c r="AZ291" s="54"/>
      <c r="BA291" s="54"/>
      <c r="BB291" s="54"/>
      <c r="BC291" s="54"/>
      <c r="BD291" s="54"/>
      <c r="BE291" s="54"/>
      <c r="BF291" s="54"/>
      <c r="BG291" s="54"/>
      <c r="BH291" s="54"/>
      <c r="BI291" s="54"/>
      <c r="BJ291" s="54"/>
      <c r="BK291" s="54"/>
      <c r="BL291" s="54"/>
    </row>
    <row r="292" spans="1:64" ht="11.25" customHeight="1" x14ac:dyDescent="0.3">
      <c r="A292" s="54"/>
      <c r="B292" s="54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  <c r="AG292" s="54"/>
      <c r="AH292" s="54"/>
      <c r="AI292" s="54"/>
      <c r="AJ292" s="54"/>
      <c r="AK292" s="54"/>
      <c r="AL292" s="54"/>
      <c r="AM292" s="54"/>
      <c r="AN292" s="54"/>
      <c r="AO292" s="54"/>
      <c r="AP292" s="54"/>
      <c r="AQ292" s="54"/>
      <c r="AR292" s="54"/>
      <c r="AS292" s="54"/>
      <c r="AT292" s="54"/>
      <c r="AU292" s="54"/>
      <c r="AV292" s="54"/>
      <c r="AW292" s="54"/>
      <c r="AX292" s="54"/>
      <c r="AY292" s="54"/>
      <c r="AZ292" s="54"/>
      <c r="BA292" s="54"/>
      <c r="BB292" s="54"/>
      <c r="BC292" s="54"/>
      <c r="BD292" s="54"/>
      <c r="BE292" s="54"/>
      <c r="BF292" s="54"/>
      <c r="BG292" s="54"/>
      <c r="BH292" s="54"/>
      <c r="BI292" s="54"/>
      <c r="BJ292" s="54"/>
      <c r="BK292" s="54"/>
      <c r="BL292" s="54"/>
    </row>
    <row r="293" spans="1:64" ht="11.25" customHeight="1" x14ac:dyDescent="0.3">
      <c r="A293" s="54"/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4"/>
      <c r="AI293" s="54"/>
      <c r="AJ293" s="54"/>
      <c r="AK293" s="54"/>
      <c r="AL293" s="54"/>
      <c r="AM293" s="54"/>
      <c r="AN293" s="54"/>
      <c r="AO293" s="54"/>
      <c r="AP293" s="54"/>
      <c r="AQ293" s="54"/>
      <c r="AR293" s="54"/>
      <c r="AS293" s="54"/>
      <c r="AT293" s="54"/>
      <c r="AU293" s="54"/>
      <c r="AV293" s="54"/>
      <c r="AW293" s="54"/>
      <c r="AX293" s="54"/>
      <c r="AY293" s="54"/>
      <c r="AZ293" s="54"/>
      <c r="BA293" s="54"/>
      <c r="BB293" s="54"/>
      <c r="BC293" s="54"/>
      <c r="BD293" s="54"/>
      <c r="BE293" s="54"/>
      <c r="BF293" s="54"/>
      <c r="BG293" s="54"/>
      <c r="BH293" s="54"/>
      <c r="BI293" s="54"/>
      <c r="BJ293" s="54"/>
      <c r="BK293" s="54"/>
      <c r="BL293" s="54"/>
    </row>
    <row r="294" spans="1:64" ht="11.25" customHeight="1" x14ac:dyDescent="0.3">
      <c r="A294" s="54"/>
      <c r="B294" s="54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4"/>
      <c r="AI294" s="54"/>
      <c r="AJ294" s="54"/>
      <c r="AK294" s="54"/>
      <c r="AL294" s="54"/>
      <c r="AM294" s="54"/>
      <c r="AN294" s="54"/>
      <c r="AO294" s="54"/>
      <c r="AP294" s="54"/>
      <c r="AQ294" s="54"/>
      <c r="AR294" s="54"/>
      <c r="AS294" s="54"/>
      <c r="AT294" s="54"/>
      <c r="AU294" s="54"/>
      <c r="AV294" s="54"/>
      <c r="AW294" s="54"/>
      <c r="AX294" s="54"/>
      <c r="AY294" s="54"/>
      <c r="AZ294" s="54"/>
      <c r="BA294" s="54"/>
      <c r="BB294" s="54"/>
      <c r="BC294" s="54"/>
      <c r="BD294" s="54"/>
      <c r="BE294" s="54"/>
      <c r="BF294" s="54"/>
      <c r="BG294" s="54"/>
      <c r="BH294" s="54"/>
      <c r="BI294" s="54"/>
      <c r="BJ294" s="54"/>
      <c r="BK294" s="54"/>
      <c r="BL294" s="54"/>
    </row>
    <row r="295" spans="1:64" ht="11.25" customHeight="1" x14ac:dyDescent="0.3">
      <c r="A295" s="54"/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  <c r="AK295" s="54"/>
      <c r="AL295" s="54"/>
      <c r="AM295" s="54"/>
      <c r="AN295" s="54"/>
      <c r="AO295" s="54"/>
      <c r="AP295" s="54"/>
      <c r="AQ295" s="54"/>
      <c r="AR295" s="54"/>
      <c r="AS295" s="54"/>
      <c r="AT295" s="54"/>
      <c r="AU295" s="54"/>
      <c r="AV295" s="54"/>
      <c r="AW295" s="54"/>
      <c r="AX295" s="54"/>
      <c r="AY295" s="54"/>
      <c r="AZ295" s="54"/>
      <c r="BA295" s="54"/>
      <c r="BB295" s="54"/>
      <c r="BC295" s="54"/>
      <c r="BD295" s="54"/>
      <c r="BE295" s="54"/>
      <c r="BF295" s="54"/>
      <c r="BG295" s="54"/>
      <c r="BH295" s="54"/>
      <c r="BI295" s="54"/>
      <c r="BJ295" s="54"/>
      <c r="BK295" s="54"/>
      <c r="BL295" s="54"/>
    </row>
    <row r="296" spans="1:64" ht="11.25" customHeight="1" x14ac:dyDescent="0.3">
      <c r="A296" s="54"/>
      <c r="B296" s="54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4"/>
      <c r="AI296" s="54"/>
      <c r="AJ296" s="54"/>
      <c r="AK296" s="54"/>
      <c r="AL296" s="54"/>
      <c r="AM296" s="54"/>
      <c r="AN296" s="54"/>
      <c r="AO296" s="54"/>
      <c r="AP296" s="54"/>
      <c r="AQ296" s="54"/>
      <c r="AR296" s="54"/>
      <c r="AS296" s="54"/>
      <c r="AT296" s="54"/>
      <c r="AU296" s="54"/>
      <c r="AV296" s="54"/>
      <c r="AW296" s="54"/>
      <c r="AX296" s="54"/>
      <c r="AY296" s="54"/>
      <c r="AZ296" s="54"/>
      <c r="BA296" s="54"/>
      <c r="BB296" s="54"/>
      <c r="BC296" s="54"/>
      <c r="BD296" s="54"/>
      <c r="BE296" s="54"/>
      <c r="BF296" s="54"/>
      <c r="BG296" s="54"/>
      <c r="BH296" s="54"/>
      <c r="BI296" s="54"/>
      <c r="BJ296" s="54"/>
      <c r="BK296" s="54"/>
      <c r="BL296" s="54"/>
    </row>
    <row r="297" spans="1:64" ht="11.25" customHeight="1" x14ac:dyDescent="0.3">
      <c r="A297" s="54"/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4"/>
      <c r="AI297" s="54"/>
      <c r="AJ297" s="54"/>
      <c r="AK297" s="54"/>
      <c r="AL297" s="54"/>
      <c r="AM297" s="54"/>
      <c r="AN297" s="54"/>
      <c r="AO297" s="54"/>
      <c r="AP297" s="54"/>
      <c r="AQ297" s="54"/>
      <c r="AR297" s="54"/>
      <c r="AS297" s="54"/>
      <c r="AT297" s="54"/>
      <c r="AU297" s="54"/>
      <c r="AV297" s="54"/>
      <c r="AW297" s="54"/>
      <c r="AX297" s="54"/>
      <c r="AY297" s="54"/>
      <c r="AZ297" s="54"/>
      <c r="BA297" s="54"/>
      <c r="BB297" s="54"/>
      <c r="BC297" s="54"/>
      <c r="BD297" s="54"/>
      <c r="BE297" s="54"/>
      <c r="BF297" s="54"/>
      <c r="BG297" s="54"/>
      <c r="BH297" s="54"/>
      <c r="BI297" s="54"/>
      <c r="BJ297" s="54"/>
      <c r="BK297" s="54"/>
      <c r="BL297" s="54"/>
    </row>
    <row r="298" spans="1:64" ht="11.25" customHeight="1" x14ac:dyDescent="0.3">
      <c r="A298" s="54"/>
      <c r="B298" s="54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4"/>
      <c r="AI298" s="54"/>
      <c r="AJ298" s="54"/>
      <c r="AK298" s="54"/>
      <c r="AL298" s="54"/>
      <c r="AM298" s="54"/>
      <c r="AN298" s="54"/>
      <c r="AO298" s="54"/>
      <c r="AP298" s="54"/>
      <c r="AQ298" s="54"/>
      <c r="AR298" s="54"/>
      <c r="AS298" s="54"/>
      <c r="AT298" s="54"/>
      <c r="AU298" s="54"/>
      <c r="AV298" s="54"/>
      <c r="AW298" s="54"/>
      <c r="AX298" s="54"/>
      <c r="AY298" s="54"/>
      <c r="AZ298" s="54"/>
      <c r="BA298" s="54"/>
      <c r="BB298" s="54"/>
      <c r="BC298" s="54"/>
      <c r="BD298" s="54"/>
      <c r="BE298" s="54"/>
      <c r="BF298" s="54"/>
      <c r="BG298" s="54"/>
      <c r="BH298" s="54"/>
      <c r="BI298" s="54"/>
      <c r="BJ298" s="54"/>
      <c r="BK298" s="54"/>
      <c r="BL298" s="54"/>
    </row>
    <row r="299" spans="1:64" ht="11.25" customHeight="1" x14ac:dyDescent="0.3">
      <c r="A299" s="54"/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4"/>
      <c r="AI299" s="54"/>
      <c r="AJ299" s="54"/>
      <c r="AK299" s="54"/>
      <c r="AL299" s="54"/>
      <c r="AM299" s="54"/>
      <c r="AN299" s="54"/>
      <c r="AO299" s="54"/>
      <c r="AP299" s="54"/>
      <c r="AQ299" s="54"/>
      <c r="AR299" s="54"/>
      <c r="AS299" s="54"/>
      <c r="AT299" s="54"/>
      <c r="AU299" s="54"/>
      <c r="AV299" s="54"/>
      <c r="AW299" s="54"/>
      <c r="AX299" s="54"/>
      <c r="AY299" s="54"/>
      <c r="AZ299" s="54"/>
      <c r="BA299" s="54"/>
      <c r="BB299" s="54"/>
      <c r="BC299" s="54"/>
      <c r="BD299" s="54"/>
      <c r="BE299" s="54"/>
      <c r="BF299" s="54"/>
      <c r="BG299" s="54"/>
      <c r="BH299" s="54"/>
      <c r="BI299" s="54"/>
      <c r="BJ299" s="54"/>
      <c r="BK299" s="54"/>
      <c r="BL299" s="54"/>
    </row>
    <row r="300" spans="1:64" ht="11.25" customHeight="1" x14ac:dyDescent="0.3">
      <c r="A300" s="54"/>
      <c r="B300" s="54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4"/>
      <c r="AI300" s="54"/>
      <c r="AJ300" s="54"/>
      <c r="AK300" s="54"/>
      <c r="AL300" s="54"/>
      <c r="AM300" s="54"/>
      <c r="AN300" s="54"/>
      <c r="AO300" s="54"/>
      <c r="AP300" s="54"/>
      <c r="AQ300" s="54"/>
      <c r="AR300" s="54"/>
      <c r="AS300" s="54"/>
      <c r="AT300" s="54"/>
      <c r="AU300" s="54"/>
      <c r="AV300" s="54"/>
      <c r="AW300" s="54"/>
      <c r="AX300" s="54"/>
      <c r="AY300" s="54"/>
      <c r="AZ300" s="54"/>
      <c r="BA300" s="54"/>
      <c r="BB300" s="54"/>
      <c r="BC300" s="54"/>
      <c r="BD300" s="54"/>
      <c r="BE300" s="54"/>
      <c r="BF300" s="54"/>
      <c r="BG300" s="54"/>
      <c r="BH300" s="54"/>
      <c r="BI300" s="54"/>
      <c r="BJ300" s="54"/>
      <c r="BK300" s="54"/>
      <c r="BL300" s="54"/>
    </row>
    <row r="301" spans="1:64" ht="11.25" customHeight="1" x14ac:dyDescent="0.3">
      <c r="A301" s="54"/>
      <c r="B301" s="54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4"/>
      <c r="AI301" s="54"/>
      <c r="AJ301" s="54"/>
      <c r="AK301" s="54"/>
      <c r="AL301" s="54"/>
      <c r="AM301" s="54"/>
      <c r="AN301" s="54"/>
      <c r="AO301" s="54"/>
      <c r="AP301" s="54"/>
      <c r="AQ301" s="54"/>
      <c r="AR301" s="54"/>
      <c r="AS301" s="54"/>
      <c r="AT301" s="54"/>
      <c r="AU301" s="54"/>
      <c r="AV301" s="54"/>
      <c r="AW301" s="54"/>
      <c r="AX301" s="54"/>
      <c r="AY301" s="54"/>
      <c r="AZ301" s="54"/>
      <c r="BA301" s="54"/>
      <c r="BB301" s="54"/>
      <c r="BC301" s="54"/>
      <c r="BD301" s="54"/>
      <c r="BE301" s="54"/>
      <c r="BF301" s="54"/>
      <c r="BG301" s="54"/>
      <c r="BH301" s="54"/>
      <c r="BI301" s="54"/>
      <c r="BJ301" s="54"/>
      <c r="BK301" s="54"/>
      <c r="BL301" s="54"/>
    </row>
    <row r="302" spans="1:64" ht="11.25" customHeight="1" x14ac:dyDescent="0.3">
      <c r="A302" s="54"/>
      <c r="B302" s="54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4"/>
      <c r="AI302" s="54"/>
      <c r="AJ302" s="54"/>
      <c r="AK302" s="54"/>
      <c r="AL302" s="54"/>
      <c r="AM302" s="54"/>
      <c r="AN302" s="54"/>
      <c r="AO302" s="54"/>
      <c r="AP302" s="54"/>
      <c r="AQ302" s="54"/>
      <c r="AR302" s="54"/>
      <c r="AS302" s="54"/>
      <c r="AT302" s="54"/>
      <c r="AU302" s="54"/>
      <c r="AV302" s="54"/>
      <c r="AW302" s="54"/>
      <c r="AX302" s="54"/>
      <c r="AY302" s="54"/>
      <c r="AZ302" s="54"/>
      <c r="BA302" s="54"/>
      <c r="BB302" s="54"/>
      <c r="BC302" s="54"/>
      <c r="BD302" s="54"/>
      <c r="BE302" s="54"/>
      <c r="BF302" s="54"/>
      <c r="BG302" s="54"/>
      <c r="BH302" s="54"/>
      <c r="BI302" s="54"/>
      <c r="BJ302" s="54"/>
      <c r="BK302" s="54"/>
      <c r="BL302" s="54"/>
    </row>
    <row r="303" spans="1:64" ht="11.25" customHeight="1" x14ac:dyDescent="0.3">
      <c r="A303" s="54"/>
      <c r="B303" s="54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4"/>
      <c r="AI303" s="54"/>
      <c r="AJ303" s="54"/>
      <c r="AK303" s="54"/>
      <c r="AL303" s="54"/>
      <c r="AM303" s="54"/>
      <c r="AN303" s="54"/>
      <c r="AO303" s="54"/>
      <c r="AP303" s="54"/>
      <c r="AQ303" s="54"/>
      <c r="AR303" s="54"/>
      <c r="AS303" s="54"/>
      <c r="AT303" s="54"/>
      <c r="AU303" s="54"/>
      <c r="AV303" s="54"/>
      <c r="AW303" s="54"/>
      <c r="AX303" s="54"/>
      <c r="AY303" s="54"/>
      <c r="AZ303" s="54"/>
      <c r="BA303" s="54"/>
      <c r="BB303" s="54"/>
      <c r="BC303" s="54"/>
      <c r="BD303" s="54"/>
      <c r="BE303" s="54"/>
      <c r="BF303" s="54"/>
      <c r="BG303" s="54"/>
      <c r="BH303" s="54"/>
      <c r="BI303" s="54"/>
      <c r="BJ303" s="54"/>
      <c r="BK303" s="54"/>
      <c r="BL303" s="54"/>
    </row>
    <row r="304" spans="1:64" ht="11.25" customHeight="1" x14ac:dyDescent="0.3">
      <c r="A304" s="54"/>
      <c r="B304" s="54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4"/>
      <c r="AI304" s="54"/>
      <c r="AJ304" s="54"/>
      <c r="AK304" s="54"/>
      <c r="AL304" s="54"/>
      <c r="AM304" s="54"/>
      <c r="AN304" s="54"/>
      <c r="AO304" s="54"/>
      <c r="AP304" s="54"/>
      <c r="AQ304" s="54"/>
      <c r="AR304" s="54"/>
      <c r="AS304" s="54"/>
      <c r="AT304" s="54"/>
      <c r="AU304" s="54"/>
      <c r="AV304" s="54"/>
      <c r="AW304" s="54"/>
      <c r="AX304" s="54"/>
      <c r="AY304" s="54"/>
      <c r="AZ304" s="54"/>
      <c r="BA304" s="54"/>
      <c r="BB304" s="54"/>
      <c r="BC304" s="54"/>
      <c r="BD304" s="54"/>
      <c r="BE304" s="54"/>
      <c r="BF304" s="54"/>
      <c r="BG304" s="54"/>
      <c r="BH304" s="54"/>
      <c r="BI304" s="54"/>
      <c r="BJ304" s="54"/>
      <c r="BK304" s="54"/>
      <c r="BL304" s="54"/>
    </row>
    <row r="305" spans="1:64" ht="11.25" customHeight="1" x14ac:dyDescent="0.3">
      <c r="A305" s="54"/>
      <c r="B305" s="54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4"/>
      <c r="AI305" s="54"/>
      <c r="AJ305" s="54"/>
      <c r="AK305" s="54"/>
      <c r="AL305" s="54"/>
      <c r="AM305" s="54"/>
      <c r="AN305" s="54"/>
      <c r="AO305" s="54"/>
      <c r="AP305" s="54"/>
      <c r="AQ305" s="54"/>
      <c r="AR305" s="54"/>
      <c r="AS305" s="54"/>
      <c r="AT305" s="54"/>
      <c r="AU305" s="54"/>
      <c r="AV305" s="54"/>
      <c r="AW305" s="54"/>
      <c r="AX305" s="54"/>
      <c r="AY305" s="54"/>
      <c r="AZ305" s="54"/>
      <c r="BA305" s="54"/>
      <c r="BB305" s="54"/>
      <c r="BC305" s="54"/>
      <c r="BD305" s="54"/>
      <c r="BE305" s="54"/>
      <c r="BF305" s="54"/>
      <c r="BG305" s="54"/>
      <c r="BH305" s="54"/>
      <c r="BI305" s="54"/>
      <c r="BJ305" s="54"/>
      <c r="BK305" s="54"/>
      <c r="BL305" s="54"/>
    </row>
    <row r="306" spans="1:64" ht="11.25" customHeight="1" x14ac:dyDescent="0.3">
      <c r="A306" s="54"/>
      <c r="B306" s="54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4"/>
      <c r="AI306" s="54"/>
      <c r="AJ306" s="54"/>
      <c r="AK306" s="54"/>
      <c r="AL306" s="54"/>
      <c r="AM306" s="54"/>
      <c r="AN306" s="54"/>
      <c r="AO306" s="54"/>
      <c r="AP306" s="54"/>
      <c r="AQ306" s="54"/>
      <c r="AR306" s="54"/>
      <c r="AS306" s="54"/>
      <c r="AT306" s="54"/>
      <c r="AU306" s="54"/>
      <c r="AV306" s="54"/>
      <c r="AW306" s="54"/>
      <c r="AX306" s="54"/>
      <c r="AY306" s="54"/>
      <c r="AZ306" s="54"/>
      <c r="BA306" s="54"/>
      <c r="BB306" s="54"/>
      <c r="BC306" s="54"/>
      <c r="BD306" s="54"/>
      <c r="BE306" s="54"/>
      <c r="BF306" s="54"/>
      <c r="BG306" s="54"/>
      <c r="BH306" s="54"/>
      <c r="BI306" s="54"/>
      <c r="BJ306" s="54"/>
      <c r="BK306" s="54"/>
      <c r="BL306" s="54"/>
    </row>
    <row r="307" spans="1:64" ht="11.25" customHeight="1" x14ac:dyDescent="0.3">
      <c r="A307" s="54"/>
      <c r="B307" s="54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  <c r="AG307" s="54"/>
      <c r="AH307" s="54"/>
      <c r="AI307" s="54"/>
      <c r="AJ307" s="54"/>
      <c r="AK307" s="54"/>
      <c r="AL307" s="54"/>
      <c r="AM307" s="54"/>
      <c r="AN307" s="54"/>
      <c r="AO307" s="54"/>
      <c r="AP307" s="54"/>
      <c r="AQ307" s="54"/>
      <c r="AR307" s="54"/>
      <c r="AS307" s="54"/>
      <c r="AT307" s="54"/>
      <c r="AU307" s="54"/>
      <c r="AV307" s="54"/>
      <c r="AW307" s="54"/>
      <c r="AX307" s="54"/>
      <c r="AY307" s="54"/>
      <c r="AZ307" s="54"/>
      <c r="BA307" s="54"/>
      <c r="BB307" s="54"/>
      <c r="BC307" s="54"/>
      <c r="BD307" s="54"/>
      <c r="BE307" s="54"/>
      <c r="BF307" s="54"/>
      <c r="BG307" s="54"/>
      <c r="BH307" s="54"/>
      <c r="BI307" s="54"/>
      <c r="BJ307" s="54"/>
      <c r="BK307" s="54"/>
      <c r="BL307" s="54"/>
    </row>
    <row r="308" spans="1:64" ht="11.25" customHeight="1" x14ac:dyDescent="0.3">
      <c r="A308" s="54"/>
      <c r="B308" s="54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  <c r="AG308" s="54"/>
      <c r="AH308" s="54"/>
      <c r="AI308" s="54"/>
      <c r="AJ308" s="54"/>
      <c r="AK308" s="54"/>
      <c r="AL308" s="54"/>
      <c r="AM308" s="54"/>
      <c r="AN308" s="54"/>
      <c r="AO308" s="54"/>
      <c r="AP308" s="54"/>
      <c r="AQ308" s="54"/>
      <c r="AR308" s="54"/>
      <c r="AS308" s="54"/>
      <c r="AT308" s="54"/>
      <c r="AU308" s="54"/>
      <c r="AV308" s="54"/>
      <c r="AW308" s="54"/>
      <c r="AX308" s="54"/>
      <c r="AY308" s="54"/>
      <c r="AZ308" s="54"/>
      <c r="BA308" s="54"/>
      <c r="BB308" s="54"/>
      <c r="BC308" s="54"/>
      <c r="BD308" s="54"/>
      <c r="BE308" s="54"/>
      <c r="BF308" s="54"/>
      <c r="BG308" s="54"/>
      <c r="BH308" s="54"/>
      <c r="BI308" s="54"/>
      <c r="BJ308" s="54"/>
      <c r="BK308" s="54"/>
      <c r="BL308" s="54"/>
    </row>
    <row r="309" spans="1:64" ht="11.25" customHeight="1" x14ac:dyDescent="0.3">
      <c r="A309" s="54"/>
      <c r="B309" s="54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4"/>
      <c r="AI309" s="54"/>
      <c r="AJ309" s="54"/>
      <c r="AK309" s="54"/>
      <c r="AL309" s="54"/>
      <c r="AM309" s="54"/>
      <c r="AN309" s="54"/>
      <c r="AO309" s="54"/>
      <c r="AP309" s="54"/>
      <c r="AQ309" s="54"/>
      <c r="AR309" s="54"/>
      <c r="AS309" s="54"/>
      <c r="AT309" s="54"/>
      <c r="AU309" s="54"/>
      <c r="AV309" s="54"/>
      <c r="AW309" s="54"/>
      <c r="AX309" s="54"/>
      <c r="AY309" s="54"/>
      <c r="AZ309" s="54"/>
      <c r="BA309" s="54"/>
      <c r="BB309" s="54"/>
      <c r="BC309" s="54"/>
      <c r="BD309" s="54"/>
      <c r="BE309" s="54"/>
      <c r="BF309" s="54"/>
      <c r="BG309" s="54"/>
      <c r="BH309" s="54"/>
      <c r="BI309" s="54"/>
      <c r="BJ309" s="54"/>
      <c r="BK309" s="54"/>
      <c r="BL309" s="54"/>
    </row>
    <row r="310" spans="1:64" ht="11.25" customHeight="1" x14ac:dyDescent="0.3">
      <c r="A310" s="54"/>
      <c r="B310" s="54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4"/>
      <c r="AI310" s="54"/>
      <c r="AJ310" s="54"/>
      <c r="AK310" s="54"/>
      <c r="AL310" s="54"/>
      <c r="AM310" s="54"/>
      <c r="AN310" s="54"/>
      <c r="AO310" s="54"/>
      <c r="AP310" s="54"/>
      <c r="AQ310" s="54"/>
      <c r="AR310" s="54"/>
      <c r="AS310" s="54"/>
      <c r="AT310" s="54"/>
      <c r="AU310" s="54"/>
      <c r="AV310" s="54"/>
      <c r="AW310" s="54"/>
      <c r="AX310" s="54"/>
      <c r="AY310" s="54"/>
      <c r="AZ310" s="54"/>
      <c r="BA310" s="54"/>
      <c r="BB310" s="54"/>
      <c r="BC310" s="54"/>
      <c r="BD310" s="54"/>
      <c r="BE310" s="54"/>
      <c r="BF310" s="54"/>
      <c r="BG310" s="54"/>
      <c r="BH310" s="54"/>
      <c r="BI310" s="54"/>
      <c r="BJ310" s="54"/>
      <c r="BK310" s="54"/>
      <c r="BL310" s="54"/>
    </row>
    <row r="311" spans="1:64" ht="11.25" customHeight="1" x14ac:dyDescent="0.3">
      <c r="A311" s="54"/>
      <c r="B311" s="54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  <c r="AK311" s="54"/>
      <c r="AL311" s="54"/>
      <c r="AM311" s="54"/>
      <c r="AN311" s="54"/>
      <c r="AO311" s="54"/>
      <c r="AP311" s="54"/>
      <c r="AQ311" s="54"/>
      <c r="AR311" s="54"/>
      <c r="AS311" s="54"/>
      <c r="AT311" s="54"/>
      <c r="AU311" s="54"/>
      <c r="AV311" s="54"/>
      <c r="AW311" s="54"/>
      <c r="AX311" s="54"/>
      <c r="AY311" s="54"/>
      <c r="AZ311" s="54"/>
      <c r="BA311" s="54"/>
      <c r="BB311" s="54"/>
      <c r="BC311" s="54"/>
      <c r="BD311" s="54"/>
      <c r="BE311" s="54"/>
      <c r="BF311" s="54"/>
      <c r="BG311" s="54"/>
      <c r="BH311" s="54"/>
      <c r="BI311" s="54"/>
      <c r="BJ311" s="54"/>
      <c r="BK311" s="54"/>
      <c r="BL311" s="54"/>
    </row>
    <row r="312" spans="1:64" ht="11.25" customHeight="1" x14ac:dyDescent="0.3">
      <c r="A312" s="54"/>
      <c r="B312" s="54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4"/>
      <c r="AI312" s="54"/>
      <c r="AJ312" s="54"/>
      <c r="AK312" s="54"/>
      <c r="AL312" s="54"/>
      <c r="AM312" s="54"/>
      <c r="AN312" s="54"/>
      <c r="AO312" s="54"/>
      <c r="AP312" s="54"/>
      <c r="AQ312" s="54"/>
      <c r="AR312" s="54"/>
      <c r="AS312" s="54"/>
      <c r="AT312" s="54"/>
      <c r="AU312" s="54"/>
      <c r="AV312" s="54"/>
      <c r="AW312" s="54"/>
      <c r="AX312" s="54"/>
      <c r="AY312" s="54"/>
      <c r="AZ312" s="54"/>
      <c r="BA312" s="54"/>
      <c r="BB312" s="54"/>
      <c r="BC312" s="54"/>
      <c r="BD312" s="54"/>
      <c r="BE312" s="54"/>
      <c r="BF312" s="54"/>
      <c r="BG312" s="54"/>
      <c r="BH312" s="54"/>
      <c r="BI312" s="54"/>
      <c r="BJ312" s="54"/>
      <c r="BK312" s="54"/>
      <c r="BL312" s="54"/>
    </row>
    <row r="313" spans="1:64" ht="11.25" customHeight="1" x14ac:dyDescent="0.3">
      <c r="A313" s="54"/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4"/>
      <c r="AI313" s="54"/>
      <c r="AJ313" s="54"/>
      <c r="AK313" s="54"/>
      <c r="AL313" s="54"/>
      <c r="AM313" s="54"/>
      <c r="AN313" s="54"/>
      <c r="AO313" s="54"/>
      <c r="AP313" s="54"/>
      <c r="AQ313" s="54"/>
      <c r="AR313" s="54"/>
      <c r="AS313" s="54"/>
      <c r="AT313" s="54"/>
      <c r="AU313" s="54"/>
      <c r="AV313" s="54"/>
      <c r="AW313" s="54"/>
      <c r="AX313" s="54"/>
      <c r="AY313" s="54"/>
      <c r="AZ313" s="54"/>
      <c r="BA313" s="54"/>
      <c r="BB313" s="54"/>
      <c r="BC313" s="54"/>
      <c r="BD313" s="54"/>
      <c r="BE313" s="54"/>
      <c r="BF313" s="54"/>
      <c r="BG313" s="54"/>
      <c r="BH313" s="54"/>
      <c r="BI313" s="54"/>
      <c r="BJ313" s="54"/>
      <c r="BK313" s="54"/>
      <c r="BL313" s="54"/>
    </row>
    <row r="314" spans="1:64" ht="11.25" customHeight="1" x14ac:dyDescent="0.3">
      <c r="A314" s="54"/>
      <c r="B314" s="54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4"/>
      <c r="AI314" s="54"/>
      <c r="AJ314" s="54"/>
      <c r="AK314" s="54"/>
      <c r="AL314" s="54"/>
      <c r="AM314" s="54"/>
      <c r="AN314" s="54"/>
      <c r="AO314" s="54"/>
      <c r="AP314" s="54"/>
      <c r="AQ314" s="54"/>
      <c r="AR314" s="54"/>
      <c r="AS314" s="54"/>
      <c r="AT314" s="54"/>
      <c r="AU314" s="54"/>
      <c r="AV314" s="54"/>
      <c r="AW314" s="54"/>
      <c r="AX314" s="54"/>
      <c r="AY314" s="54"/>
      <c r="AZ314" s="54"/>
      <c r="BA314" s="54"/>
      <c r="BB314" s="54"/>
      <c r="BC314" s="54"/>
      <c r="BD314" s="54"/>
      <c r="BE314" s="54"/>
      <c r="BF314" s="54"/>
      <c r="BG314" s="54"/>
      <c r="BH314" s="54"/>
      <c r="BI314" s="54"/>
      <c r="BJ314" s="54"/>
      <c r="BK314" s="54"/>
      <c r="BL314" s="54"/>
    </row>
    <row r="315" spans="1:64" ht="11.25" customHeight="1" x14ac:dyDescent="0.3">
      <c r="A315" s="54"/>
      <c r="B315" s="54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4"/>
      <c r="AI315" s="54"/>
      <c r="AJ315" s="54"/>
      <c r="AK315" s="54"/>
      <c r="AL315" s="54"/>
      <c r="AM315" s="54"/>
      <c r="AN315" s="54"/>
      <c r="AO315" s="54"/>
      <c r="AP315" s="54"/>
      <c r="AQ315" s="54"/>
      <c r="AR315" s="54"/>
      <c r="AS315" s="54"/>
      <c r="AT315" s="54"/>
      <c r="AU315" s="54"/>
      <c r="AV315" s="54"/>
      <c r="AW315" s="54"/>
      <c r="AX315" s="54"/>
      <c r="AY315" s="54"/>
      <c r="AZ315" s="54"/>
      <c r="BA315" s="54"/>
      <c r="BB315" s="54"/>
      <c r="BC315" s="54"/>
      <c r="BD315" s="54"/>
      <c r="BE315" s="54"/>
      <c r="BF315" s="54"/>
      <c r="BG315" s="54"/>
      <c r="BH315" s="54"/>
      <c r="BI315" s="54"/>
      <c r="BJ315" s="54"/>
      <c r="BK315" s="54"/>
      <c r="BL315" s="54"/>
    </row>
    <row r="316" spans="1:64" ht="11.25" customHeight="1" x14ac:dyDescent="0.3">
      <c r="A316" s="54"/>
      <c r="B316" s="54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4"/>
      <c r="AI316" s="54"/>
      <c r="AJ316" s="54"/>
      <c r="AK316" s="54"/>
      <c r="AL316" s="54"/>
      <c r="AM316" s="54"/>
      <c r="AN316" s="54"/>
      <c r="AO316" s="54"/>
      <c r="AP316" s="54"/>
      <c r="AQ316" s="54"/>
      <c r="AR316" s="54"/>
      <c r="AS316" s="54"/>
      <c r="AT316" s="54"/>
      <c r="AU316" s="54"/>
      <c r="AV316" s="54"/>
      <c r="AW316" s="54"/>
      <c r="AX316" s="54"/>
      <c r="AY316" s="54"/>
      <c r="AZ316" s="54"/>
      <c r="BA316" s="54"/>
      <c r="BB316" s="54"/>
      <c r="BC316" s="54"/>
      <c r="BD316" s="54"/>
      <c r="BE316" s="54"/>
      <c r="BF316" s="54"/>
      <c r="BG316" s="54"/>
      <c r="BH316" s="54"/>
      <c r="BI316" s="54"/>
      <c r="BJ316" s="54"/>
      <c r="BK316" s="54"/>
      <c r="BL316" s="54"/>
    </row>
    <row r="317" spans="1:64" ht="11.25" customHeight="1" x14ac:dyDescent="0.3">
      <c r="A317" s="54"/>
      <c r="B317" s="54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4"/>
      <c r="AI317" s="54"/>
      <c r="AJ317" s="54"/>
      <c r="AK317" s="54"/>
      <c r="AL317" s="54"/>
      <c r="AM317" s="54"/>
      <c r="AN317" s="54"/>
      <c r="AO317" s="54"/>
      <c r="AP317" s="54"/>
      <c r="AQ317" s="54"/>
      <c r="AR317" s="54"/>
      <c r="AS317" s="54"/>
      <c r="AT317" s="54"/>
      <c r="AU317" s="54"/>
      <c r="AV317" s="54"/>
      <c r="AW317" s="54"/>
      <c r="AX317" s="54"/>
      <c r="AY317" s="54"/>
      <c r="AZ317" s="54"/>
      <c r="BA317" s="54"/>
      <c r="BB317" s="54"/>
      <c r="BC317" s="54"/>
      <c r="BD317" s="54"/>
      <c r="BE317" s="54"/>
      <c r="BF317" s="54"/>
      <c r="BG317" s="54"/>
      <c r="BH317" s="54"/>
      <c r="BI317" s="54"/>
      <c r="BJ317" s="54"/>
      <c r="BK317" s="54"/>
      <c r="BL317" s="54"/>
    </row>
    <row r="318" spans="1:64" ht="11.25" customHeight="1" x14ac:dyDescent="0.3">
      <c r="A318" s="54"/>
      <c r="B318" s="54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4"/>
      <c r="AI318" s="54"/>
      <c r="AJ318" s="54"/>
      <c r="AK318" s="54"/>
      <c r="AL318" s="54"/>
      <c r="AM318" s="54"/>
      <c r="AN318" s="54"/>
      <c r="AO318" s="54"/>
      <c r="AP318" s="54"/>
      <c r="AQ318" s="54"/>
      <c r="AR318" s="54"/>
      <c r="AS318" s="54"/>
      <c r="AT318" s="54"/>
      <c r="AU318" s="54"/>
      <c r="AV318" s="54"/>
      <c r="AW318" s="54"/>
      <c r="AX318" s="54"/>
      <c r="AY318" s="54"/>
      <c r="AZ318" s="54"/>
      <c r="BA318" s="54"/>
      <c r="BB318" s="54"/>
      <c r="BC318" s="54"/>
      <c r="BD318" s="54"/>
      <c r="BE318" s="54"/>
      <c r="BF318" s="54"/>
      <c r="BG318" s="54"/>
      <c r="BH318" s="54"/>
      <c r="BI318" s="54"/>
      <c r="BJ318" s="54"/>
      <c r="BK318" s="54"/>
      <c r="BL318" s="54"/>
    </row>
    <row r="319" spans="1:64" ht="11.25" customHeight="1" x14ac:dyDescent="0.3">
      <c r="A319" s="54"/>
      <c r="B319" s="54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4"/>
      <c r="AI319" s="54"/>
      <c r="AJ319" s="54"/>
      <c r="AK319" s="54"/>
      <c r="AL319" s="54"/>
      <c r="AM319" s="54"/>
      <c r="AN319" s="54"/>
      <c r="AO319" s="54"/>
      <c r="AP319" s="54"/>
      <c r="AQ319" s="54"/>
      <c r="AR319" s="54"/>
      <c r="AS319" s="54"/>
      <c r="AT319" s="54"/>
      <c r="AU319" s="54"/>
      <c r="AV319" s="54"/>
      <c r="AW319" s="54"/>
      <c r="AX319" s="54"/>
      <c r="AY319" s="54"/>
      <c r="AZ319" s="54"/>
      <c r="BA319" s="54"/>
      <c r="BB319" s="54"/>
      <c r="BC319" s="54"/>
      <c r="BD319" s="54"/>
      <c r="BE319" s="54"/>
      <c r="BF319" s="54"/>
      <c r="BG319" s="54"/>
      <c r="BH319" s="54"/>
      <c r="BI319" s="54"/>
      <c r="BJ319" s="54"/>
      <c r="BK319" s="54"/>
      <c r="BL319" s="54"/>
    </row>
    <row r="320" spans="1:64" ht="11.25" customHeight="1" x14ac:dyDescent="0.3">
      <c r="A320" s="54"/>
      <c r="B320" s="54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4"/>
      <c r="AI320" s="54"/>
      <c r="AJ320" s="54"/>
      <c r="AK320" s="54"/>
      <c r="AL320" s="54"/>
      <c r="AM320" s="54"/>
      <c r="AN320" s="54"/>
      <c r="AO320" s="54"/>
      <c r="AP320" s="54"/>
      <c r="AQ320" s="54"/>
      <c r="AR320" s="54"/>
      <c r="AS320" s="54"/>
      <c r="AT320" s="54"/>
      <c r="AU320" s="54"/>
      <c r="AV320" s="54"/>
      <c r="AW320" s="54"/>
      <c r="AX320" s="54"/>
      <c r="AY320" s="54"/>
      <c r="AZ320" s="54"/>
      <c r="BA320" s="54"/>
      <c r="BB320" s="54"/>
      <c r="BC320" s="54"/>
      <c r="BD320" s="54"/>
      <c r="BE320" s="54"/>
      <c r="BF320" s="54"/>
      <c r="BG320" s="54"/>
      <c r="BH320" s="54"/>
      <c r="BI320" s="54"/>
      <c r="BJ320" s="54"/>
      <c r="BK320" s="54"/>
      <c r="BL320" s="54"/>
    </row>
    <row r="321" spans="1:64" ht="11.25" customHeight="1" x14ac:dyDescent="0.3">
      <c r="A321" s="54"/>
      <c r="B321" s="54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4"/>
      <c r="AI321" s="54"/>
      <c r="AJ321" s="54"/>
      <c r="AK321" s="54"/>
      <c r="AL321" s="54"/>
      <c r="AM321" s="54"/>
      <c r="AN321" s="54"/>
      <c r="AO321" s="54"/>
      <c r="AP321" s="54"/>
      <c r="AQ321" s="54"/>
      <c r="AR321" s="54"/>
      <c r="AS321" s="54"/>
      <c r="AT321" s="54"/>
      <c r="AU321" s="54"/>
      <c r="AV321" s="54"/>
      <c r="AW321" s="54"/>
      <c r="AX321" s="54"/>
      <c r="AY321" s="54"/>
      <c r="AZ321" s="54"/>
      <c r="BA321" s="54"/>
      <c r="BB321" s="54"/>
      <c r="BC321" s="54"/>
      <c r="BD321" s="54"/>
      <c r="BE321" s="54"/>
      <c r="BF321" s="54"/>
      <c r="BG321" s="54"/>
      <c r="BH321" s="54"/>
      <c r="BI321" s="54"/>
      <c r="BJ321" s="54"/>
      <c r="BK321" s="54"/>
      <c r="BL321" s="54"/>
    </row>
    <row r="322" spans="1:64" ht="11.25" customHeight="1" x14ac:dyDescent="0.3">
      <c r="A322" s="54"/>
      <c r="B322" s="54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4"/>
      <c r="AI322" s="54"/>
      <c r="AJ322" s="54"/>
      <c r="AK322" s="54"/>
      <c r="AL322" s="54"/>
      <c r="AM322" s="54"/>
      <c r="AN322" s="54"/>
      <c r="AO322" s="54"/>
      <c r="AP322" s="54"/>
      <c r="AQ322" s="54"/>
      <c r="AR322" s="54"/>
      <c r="AS322" s="54"/>
      <c r="AT322" s="54"/>
      <c r="AU322" s="54"/>
      <c r="AV322" s="54"/>
      <c r="AW322" s="54"/>
      <c r="AX322" s="54"/>
      <c r="AY322" s="54"/>
      <c r="AZ322" s="54"/>
      <c r="BA322" s="54"/>
      <c r="BB322" s="54"/>
      <c r="BC322" s="54"/>
      <c r="BD322" s="54"/>
      <c r="BE322" s="54"/>
      <c r="BF322" s="54"/>
      <c r="BG322" s="54"/>
      <c r="BH322" s="54"/>
      <c r="BI322" s="54"/>
      <c r="BJ322" s="54"/>
      <c r="BK322" s="54"/>
      <c r="BL322" s="54"/>
    </row>
    <row r="323" spans="1:64" ht="11.25" customHeight="1" x14ac:dyDescent="0.3">
      <c r="A323" s="54"/>
      <c r="B323" s="54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  <c r="AG323" s="54"/>
      <c r="AH323" s="54"/>
      <c r="AI323" s="54"/>
      <c r="AJ323" s="54"/>
      <c r="AK323" s="54"/>
      <c r="AL323" s="54"/>
      <c r="AM323" s="54"/>
      <c r="AN323" s="54"/>
      <c r="AO323" s="54"/>
      <c r="AP323" s="54"/>
      <c r="AQ323" s="54"/>
      <c r="AR323" s="54"/>
      <c r="AS323" s="54"/>
      <c r="AT323" s="54"/>
      <c r="AU323" s="54"/>
      <c r="AV323" s="54"/>
      <c r="AW323" s="54"/>
      <c r="AX323" s="54"/>
      <c r="AY323" s="54"/>
      <c r="AZ323" s="54"/>
      <c r="BA323" s="54"/>
      <c r="BB323" s="54"/>
      <c r="BC323" s="54"/>
      <c r="BD323" s="54"/>
      <c r="BE323" s="54"/>
      <c r="BF323" s="54"/>
      <c r="BG323" s="54"/>
      <c r="BH323" s="54"/>
      <c r="BI323" s="54"/>
      <c r="BJ323" s="54"/>
      <c r="BK323" s="54"/>
      <c r="BL323" s="54"/>
    </row>
    <row r="324" spans="1:64" ht="11.25" customHeight="1" x14ac:dyDescent="0.3">
      <c r="A324" s="54"/>
      <c r="B324" s="54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  <c r="AG324" s="54"/>
      <c r="AH324" s="54"/>
      <c r="AI324" s="54"/>
      <c r="AJ324" s="54"/>
      <c r="AK324" s="54"/>
      <c r="AL324" s="54"/>
      <c r="AM324" s="54"/>
      <c r="AN324" s="54"/>
      <c r="AO324" s="54"/>
      <c r="AP324" s="54"/>
      <c r="AQ324" s="54"/>
      <c r="AR324" s="54"/>
      <c r="AS324" s="54"/>
      <c r="AT324" s="54"/>
      <c r="AU324" s="54"/>
      <c r="AV324" s="54"/>
      <c r="AW324" s="54"/>
      <c r="AX324" s="54"/>
      <c r="AY324" s="54"/>
      <c r="AZ324" s="54"/>
      <c r="BA324" s="54"/>
      <c r="BB324" s="54"/>
      <c r="BC324" s="54"/>
      <c r="BD324" s="54"/>
      <c r="BE324" s="54"/>
      <c r="BF324" s="54"/>
      <c r="BG324" s="54"/>
      <c r="BH324" s="54"/>
      <c r="BI324" s="54"/>
      <c r="BJ324" s="54"/>
      <c r="BK324" s="54"/>
      <c r="BL324" s="54"/>
    </row>
    <row r="325" spans="1:64" ht="11.25" customHeight="1" x14ac:dyDescent="0.3">
      <c r="A325" s="54"/>
      <c r="B325" s="54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4"/>
      <c r="AI325" s="54"/>
      <c r="AJ325" s="54"/>
      <c r="AK325" s="54"/>
      <c r="AL325" s="54"/>
      <c r="AM325" s="54"/>
      <c r="AN325" s="54"/>
      <c r="AO325" s="54"/>
      <c r="AP325" s="54"/>
      <c r="AQ325" s="54"/>
      <c r="AR325" s="54"/>
      <c r="AS325" s="54"/>
      <c r="AT325" s="54"/>
      <c r="AU325" s="54"/>
      <c r="AV325" s="54"/>
      <c r="AW325" s="54"/>
      <c r="AX325" s="54"/>
      <c r="AY325" s="54"/>
      <c r="AZ325" s="54"/>
      <c r="BA325" s="54"/>
      <c r="BB325" s="54"/>
      <c r="BC325" s="54"/>
      <c r="BD325" s="54"/>
      <c r="BE325" s="54"/>
      <c r="BF325" s="54"/>
      <c r="BG325" s="54"/>
      <c r="BH325" s="54"/>
      <c r="BI325" s="54"/>
      <c r="BJ325" s="54"/>
      <c r="BK325" s="54"/>
      <c r="BL325" s="54"/>
    </row>
    <row r="326" spans="1:64" ht="11.25" customHeight="1" x14ac:dyDescent="0.3">
      <c r="A326" s="54"/>
      <c r="B326" s="54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4"/>
      <c r="AI326" s="54"/>
      <c r="AJ326" s="54"/>
      <c r="AK326" s="54"/>
      <c r="AL326" s="54"/>
      <c r="AM326" s="54"/>
      <c r="AN326" s="54"/>
      <c r="AO326" s="54"/>
      <c r="AP326" s="54"/>
      <c r="AQ326" s="54"/>
      <c r="AR326" s="54"/>
      <c r="AS326" s="54"/>
      <c r="AT326" s="54"/>
      <c r="AU326" s="54"/>
      <c r="AV326" s="54"/>
      <c r="AW326" s="54"/>
      <c r="AX326" s="54"/>
      <c r="AY326" s="54"/>
      <c r="AZ326" s="54"/>
      <c r="BA326" s="54"/>
      <c r="BB326" s="54"/>
      <c r="BC326" s="54"/>
      <c r="BD326" s="54"/>
      <c r="BE326" s="54"/>
      <c r="BF326" s="54"/>
      <c r="BG326" s="54"/>
      <c r="BH326" s="54"/>
      <c r="BI326" s="54"/>
      <c r="BJ326" s="54"/>
      <c r="BK326" s="54"/>
      <c r="BL326" s="54"/>
    </row>
    <row r="327" spans="1:64" ht="11.25" customHeight="1" x14ac:dyDescent="0.3">
      <c r="A327" s="54"/>
      <c r="B327" s="54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4"/>
      <c r="AI327" s="54"/>
      <c r="AJ327" s="54"/>
      <c r="AK327" s="54"/>
      <c r="AL327" s="54"/>
      <c r="AM327" s="54"/>
      <c r="AN327" s="54"/>
      <c r="AO327" s="54"/>
      <c r="AP327" s="54"/>
      <c r="AQ327" s="54"/>
      <c r="AR327" s="54"/>
      <c r="AS327" s="54"/>
      <c r="AT327" s="54"/>
      <c r="AU327" s="54"/>
      <c r="AV327" s="54"/>
      <c r="AW327" s="54"/>
      <c r="AX327" s="54"/>
      <c r="AY327" s="54"/>
      <c r="AZ327" s="54"/>
      <c r="BA327" s="54"/>
      <c r="BB327" s="54"/>
      <c r="BC327" s="54"/>
      <c r="BD327" s="54"/>
      <c r="BE327" s="54"/>
      <c r="BF327" s="54"/>
      <c r="BG327" s="54"/>
      <c r="BH327" s="54"/>
      <c r="BI327" s="54"/>
      <c r="BJ327" s="54"/>
      <c r="BK327" s="54"/>
      <c r="BL327" s="54"/>
    </row>
    <row r="328" spans="1:64" ht="11.25" customHeight="1" x14ac:dyDescent="0.3">
      <c r="A328" s="54"/>
      <c r="B328" s="54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4"/>
      <c r="AI328" s="54"/>
      <c r="AJ328" s="54"/>
      <c r="AK328" s="54"/>
      <c r="AL328" s="54"/>
      <c r="AM328" s="54"/>
      <c r="AN328" s="54"/>
      <c r="AO328" s="54"/>
      <c r="AP328" s="54"/>
      <c r="AQ328" s="54"/>
      <c r="AR328" s="54"/>
      <c r="AS328" s="54"/>
      <c r="AT328" s="54"/>
      <c r="AU328" s="54"/>
      <c r="AV328" s="54"/>
      <c r="AW328" s="54"/>
      <c r="AX328" s="54"/>
      <c r="AY328" s="54"/>
      <c r="AZ328" s="54"/>
      <c r="BA328" s="54"/>
      <c r="BB328" s="54"/>
      <c r="BC328" s="54"/>
      <c r="BD328" s="54"/>
      <c r="BE328" s="54"/>
      <c r="BF328" s="54"/>
      <c r="BG328" s="54"/>
      <c r="BH328" s="54"/>
      <c r="BI328" s="54"/>
      <c r="BJ328" s="54"/>
      <c r="BK328" s="54"/>
      <c r="BL328" s="54"/>
    </row>
    <row r="329" spans="1:64" ht="11.25" customHeight="1" x14ac:dyDescent="0.3">
      <c r="A329" s="54"/>
      <c r="B329" s="54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4"/>
      <c r="AI329" s="54"/>
      <c r="AJ329" s="54"/>
      <c r="AK329" s="54"/>
      <c r="AL329" s="54"/>
      <c r="AM329" s="54"/>
      <c r="AN329" s="54"/>
      <c r="AO329" s="54"/>
      <c r="AP329" s="54"/>
      <c r="AQ329" s="54"/>
      <c r="AR329" s="54"/>
      <c r="AS329" s="54"/>
      <c r="AT329" s="54"/>
      <c r="AU329" s="54"/>
      <c r="AV329" s="54"/>
      <c r="AW329" s="54"/>
      <c r="AX329" s="54"/>
      <c r="AY329" s="54"/>
      <c r="AZ329" s="54"/>
      <c r="BA329" s="54"/>
      <c r="BB329" s="54"/>
      <c r="BC329" s="54"/>
      <c r="BD329" s="54"/>
      <c r="BE329" s="54"/>
      <c r="BF329" s="54"/>
      <c r="BG329" s="54"/>
      <c r="BH329" s="54"/>
      <c r="BI329" s="54"/>
      <c r="BJ329" s="54"/>
      <c r="BK329" s="54"/>
      <c r="BL329" s="54"/>
    </row>
    <row r="330" spans="1:64" ht="11.25" customHeight="1" x14ac:dyDescent="0.3">
      <c r="A330" s="54"/>
      <c r="B330" s="54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4"/>
      <c r="AI330" s="54"/>
      <c r="AJ330" s="54"/>
      <c r="AK330" s="54"/>
      <c r="AL330" s="54"/>
      <c r="AM330" s="54"/>
      <c r="AN330" s="54"/>
      <c r="AO330" s="54"/>
      <c r="AP330" s="54"/>
      <c r="AQ330" s="54"/>
      <c r="AR330" s="54"/>
      <c r="AS330" s="54"/>
      <c r="AT330" s="54"/>
      <c r="AU330" s="54"/>
      <c r="AV330" s="54"/>
      <c r="AW330" s="54"/>
      <c r="AX330" s="54"/>
      <c r="AY330" s="54"/>
      <c r="AZ330" s="54"/>
      <c r="BA330" s="54"/>
      <c r="BB330" s="54"/>
      <c r="BC330" s="54"/>
      <c r="BD330" s="54"/>
      <c r="BE330" s="54"/>
      <c r="BF330" s="54"/>
      <c r="BG330" s="54"/>
      <c r="BH330" s="54"/>
      <c r="BI330" s="54"/>
      <c r="BJ330" s="54"/>
      <c r="BK330" s="54"/>
      <c r="BL330" s="54"/>
    </row>
    <row r="331" spans="1:64" ht="11.25" customHeight="1" x14ac:dyDescent="0.3">
      <c r="A331" s="54"/>
      <c r="B331" s="54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4"/>
      <c r="AI331" s="54"/>
      <c r="AJ331" s="54"/>
      <c r="AK331" s="54"/>
      <c r="AL331" s="54"/>
      <c r="AM331" s="54"/>
      <c r="AN331" s="54"/>
      <c r="AO331" s="54"/>
      <c r="AP331" s="54"/>
      <c r="AQ331" s="54"/>
      <c r="AR331" s="54"/>
      <c r="AS331" s="54"/>
      <c r="AT331" s="54"/>
      <c r="AU331" s="54"/>
      <c r="AV331" s="54"/>
      <c r="AW331" s="54"/>
      <c r="AX331" s="54"/>
      <c r="AY331" s="54"/>
      <c r="AZ331" s="54"/>
      <c r="BA331" s="54"/>
      <c r="BB331" s="54"/>
      <c r="BC331" s="54"/>
      <c r="BD331" s="54"/>
      <c r="BE331" s="54"/>
      <c r="BF331" s="54"/>
      <c r="BG331" s="54"/>
      <c r="BH331" s="54"/>
      <c r="BI331" s="54"/>
      <c r="BJ331" s="54"/>
      <c r="BK331" s="54"/>
      <c r="BL331" s="54"/>
    </row>
    <row r="332" spans="1:64" ht="11.25" customHeight="1" x14ac:dyDescent="0.3">
      <c r="A332" s="54"/>
      <c r="B332" s="54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4"/>
      <c r="AI332" s="54"/>
      <c r="AJ332" s="54"/>
      <c r="AK332" s="54"/>
      <c r="AL332" s="54"/>
      <c r="AM332" s="54"/>
      <c r="AN332" s="54"/>
      <c r="AO332" s="54"/>
      <c r="AP332" s="54"/>
      <c r="AQ332" s="54"/>
      <c r="AR332" s="54"/>
      <c r="AS332" s="54"/>
      <c r="AT332" s="54"/>
      <c r="AU332" s="54"/>
      <c r="AV332" s="54"/>
      <c r="AW332" s="54"/>
      <c r="AX332" s="54"/>
      <c r="AY332" s="54"/>
      <c r="AZ332" s="54"/>
      <c r="BA332" s="54"/>
      <c r="BB332" s="54"/>
      <c r="BC332" s="54"/>
      <c r="BD332" s="54"/>
      <c r="BE332" s="54"/>
      <c r="BF332" s="54"/>
      <c r="BG332" s="54"/>
      <c r="BH332" s="54"/>
      <c r="BI332" s="54"/>
      <c r="BJ332" s="54"/>
      <c r="BK332" s="54"/>
      <c r="BL332" s="54"/>
    </row>
    <row r="333" spans="1:64" ht="11.25" customHeight="1" x14ac:dyDescent="0.3">
      <c r="A333" s="54"/>
      <c r="B333" s="54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4"/>
      <c r="AI333" s="54"/>
      <c r="AJ333" s="54"/>
      <c r="AK333" s="54"/>
      <c r="AL333" s="54"/>
      <c r="AM333" s="54"/>
      <c r="AN333" s="54"/>
      <c r="AO333" s="54"/>
      <c r="AP333" s="54"/>
      <c r="AQ333" s="54"/>
      <c r="AR333" s="54"/>
      <c r="AS333" s="54"/>
      <c r="AT333" s="54"/>
      <c r="AU333" s="54"/>
      <c r="AV333" s="54"/>
      <c r="AW333" s="54"/>
      <c r="AX333" s="54"/>
      <c r="AY333" s="54"/>
      <c r="AZ333" s="54"/>
      <c r="BA333" s="54"/>
      <c r="BB333" s="54"/>
      <c r="BC333" s="54"/>
      <c r="BD333" s="54"/>
      <c r="BE333" s="54"/>
      <c r="BF333" s="54"/>
      <c r="BG333" s="54"/>
      <c r="BH333" s="54"/>
      <c r="BI333" s="54"/>
      <c r="BJ333" s="54"/>
      <c r="BK333" s="54"/>
      <c r="BL333" s="54"/>
    </row>
    <row r="334" spans="1:64" ht="11.25" customHeight="1" x14ac:dyDescent="0.3">
      <c r="A334" s="54"/>
      <c r="B334" s="54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  <c r="AK334" s="54"/>
      <c r="AL334" s="54"/>
      <c r="AM334" s="54"/>
      <c r="AN334" s="54"/>
      <c r="AO334" s="54"/>
      <c r="AP334" s="54"/>
      <c r="AQ334" s="54"/>
      <c r="AR334" s="54"/>
      <c r="AS334" s="54"/>
      <c r="AT334" s="54"/>
      <c r="AU334" s="54"/>
      <c r="AV334" s="54"/>
      <c r="AW334" s="54"/>
      <c r="AX334" s="54"/>
      <c r="AY334" s="54"/>
      <c r="AZ334" s="54"/>
      <c r="BA334" s="54"/>
      <c r="BB334" s="54"/>
      <c r="BC334" s="54"/>
      <c r="BD334" s="54"/>
      <c r="BE334" s="54"/>
      <c r="BF334" s="54"/>
      <c r="BG334" s="54"/>
      <c r="BH334" s="54"/>
      <c r="BI334" s="54"/>
      <c r="BJ334" s="54"/>
      <c r="BK334" s="54"/>
      <c r="BL334" s="54"/>
    </row>
    <row r="335" spans="1:64" ht="11.25" customHeight="1" x14ac:dyDescent="0.3">
      <c r="A335" s="54"/>
      <c r="B335" s="54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  <c r="AK335" s="54"/>
      <c r="AL335" s="54"/>
      <c r="AM335" s="54"/>
      <c r="AN335" s="54"/>
      <c r="AO335" s="54"/>
      <c r="AP335" s="54"/>
      <c r="AQ335" s="54"/>
      <c r="AR335" s="54"/>
      <c r="AS335" s="54"/>
      <c r="AT335" s="54"/>
      <c r="AU335" s="54"/>
      <c r="AV335" s="54"/>
      <c r="AW335" s="54"/>
      <c r="AX335" s="54"/>
      <c r="AY335" s="54"/>
      <c r="AZ335" s="54"/>
      <c r="BA335" s="54"/>
      <c r="BB335" s="54"/>
      <c r="BC335" s="54"/>
      <c r="BD335" s="54"/>
      <c r="BE335" s="54"/>
      <c r="BF335" s="54"/>
      <c r="BG335" s="54"/>
      <c r="BH335" s="54"/>
      <c r="BI335" s="54"/>
      <c r="BJ335" s="54"/>
      <c r="BK335" s="54"/>
      <c r="BL335" s="54"/>
    </row>
    <row r="336" spans="1:64" ht="11.25" customHeight="1" x14ac:dyDescent="0.3">
      <c r="A336" s="54"/>
      <c r="B336" s="54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4"/>
      <c r="AI336" s="54"/>
      <c r="AJ336" s="54"/>
      <c r="AK336" s="54"/>
      <c r="AL336" s="54"/>
      <c r="AM336" s="54"/>
      <c r="AN336" s="54"/>
      <c r="AO336" s="54"/>
      <c r="AP336" s="54"/>
      <c r="AQ336" s="54"/>
      <c r="AR336" s="54"/>
      <c r="AS336" s="54"/>
      <c r="AT336" s="54"/>
      <c r="AU336" s="54"/>
      <c r="AV336" s="54"/>
      <c r="AW336" s="54"/>
      <c r="AX336" s="54"/>
      <c r="AY336" s="54"/>
      <c r="AZ336" s="54"/>
      <c r="BA336" s="54"/>
      <c r="BB336" s="54"/>
      <c r="BC336" s="54"/>
      <c r="BD336" s="54"/>
      <c r="BE336" s="54"/>
      <c r="BF336" s="54"/>
      <c r="BG336" s="54"/>
      <c r="BH336" s="54"/>
      <c r="BI336" s="54"/>
      <c r="BJ336" s="54"/>
      <c r="BK336" s="54"/>
      <c r="BL336" s="54"/>
    </row>
    <row r="337" spans="1:64" ht="11.25" customHeight="1" x14ac:dyDescent="0.3">
      <c r="A337" s="54"/>
      <c r="B337" s="54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4"/>
      <c r="AI337" s="54"/>
      <c r="AJ337" s="54"/>
      <c r="AK337" s="54"/>
      <c r="AL337" s="54"/>
      <c r="AM337" s="54"/>
      <c r="AN337" s="54"/>
      <c r="AO337" s="54"/>
      <c r="AP337" s="54"/>
      <c r="AQ337" s="54"/>
      <c r="AR337" s="54"/>
      <c r="AS337" s="54"/>
      <c r="AT337" s="54"/>
      <c r="AU337" s="54"/>
      <c r="AV337" s="54"/>
      <c r="AW337" s="54"/>
      <c r="AX337" s="54"/>
      <c r="AY337" s="54"/>
      <c r="AZ337" s="54"/>
      <c r="BA337" s="54"/>
      <c r="BB337" s="54"/>
      <c r="BC337" s="54"/>
      <c r="BD337" s="54"/>
      <c r="BE337" s="54"/>
      <c r="BF337" s="54"/>
      <c r="BG337" s="54"/>
      <c r="BH337" s="54"/>
      <c r="BI337" s="54"/>
      <c r="BJ337" s="54"/>
      <c r="BK337" s="54"/>
      <c r="BL337" s="54"/>
    </row>
    <row r="338" spans="1:64" ht="11.25" customHeight="1" x14ac:dyDescent="0.3">
      <c r="A338" s="54"/>
      <c r="B338" s="54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4"/>
      <c r="AI338" s="54"/>
      <c r="AJ338" s="54"/>
      <c r="AK338" s="54"/>
      <c r="AL338" s="54"/>
      <c r="AM338" s="54"/>
      <c r="AN338" s="54"/>
      <c r="AO338" s="54"/>
      <c r="AP338" s="54"/>
      <c r="AQ338" s="54"/>
      <c r="AR338" s="54"/>
      <c r="AS338" s="54"/>
      <c r="AT338" s="54"/>
      <c r="AU338" s="54"/>
      <c r="AV338" s="54"/>
      <c r="AW338" s="54"/>
      <c r="AX338" s="54"/>
      <c r="AY338" s="54"/>
      <c r="AZ338" s="54"/>
      <c r="BA338" s="54"/>
      <c r="BB338" s="54"/>
      <c r="BC338" s="54"/>
      <c r="BD338" s="54"/>
      <c r="BE338" s="54"/>
      <c r="BF338" s="54"/>
      <c r="BG338" s="54"/>
      <c r="BH338" s="54"/>
      <c r="BI338" s="54"/>
      <c r="BJ338" s="54"/>
      <c r="BK338" s="54"/>
      <c r="BL338" s="54"/>
    </row>
    <row r="339" spans="1:64" ht="11.25" customHeight="1" x14ac:dyDescent="0.3">
      <c r="A339" s="54"/>
      <c r="B339" s="54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  <c r="AG339" s="54"/>
      <c r="AH339" s="54"/>
      <c r="AI339" s="54"/>
      <c r="AJ339" s="54"/>
      <c r="AK339" s="54"/>
      <c r="AL339" s="54"/>
      <c r="AM339" s="54"/>
      <c r="AN339" s="54"/>
      <c r="AO339" s="54"/>
      <c r="AP339" s="54"/>
      <c r="AQ339" s="54"/>
      <c r="AR339" s="54"/>
      <c r="AS339" s="54"/>
      <c r="AT339" s="54"/>
      <c r="AU339" s="54"/>
      <c r="AV339" s="54"/>
      <c r="AW339" s="54"/>
      <c r="AX339" s="54"/>
      <c r="AY339" s="54"/>
      <c r="AZ339" s="54"/>
      <c r="BA339" s="54"/>
      <c r="BB339" s="54"/>
      <c r="BC339" s="54"/>
      <c r="BD339" s="54"/>
      <c r="BE339" s="54"/>
      <c r="BF339" s="54"/>
      <c r="BG339" s="54"/>
      <c r="BH339" s="54"/>
      <c r="BI339" s="54"/>
      <c r="BJ339" s="54"/>
      <c r="BK339" s="54"/>
      <c r="BL339" s="54"/>
    </row>
    <row r="340" spans="1:64" ht="11.25" customHeight="1" x14ac:dyDescent="0.3">
      <c r="A340" s="54"/>
      <c r="B340" s="54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  <c r="AG340" s="54"/>
      <c r="AH340" s="54"/>
      <c r="AI340" s="54"/>
      <c r="AJ340" s="54"/>
      <c r="AK340" s="54"/>
      <c r="AL340" s="54"/>
      <c r="AM340" s="54"/>
      <c r="AN340" s="54"/>
      <c r="AO340" s="54"/>
      <c r="AP340" s="54"/>
      <c r="AQ340" s="54"/>
      <c r="AR340" s="54"/>
      <c r="AS340" s="54"/>
      <c r="AT340" s="54"/>
      <c r="AU340" s="54"/>
      <c r="AV340" s="54"/>
      <c r="AW340" s="54"/>
      <c r="AX340" s="54"/>
      <c r="AY340" s="54"/>
      <c r="AZ340" s="54"/>
      <c r="BA340" s="54"/>
      <c r="BB340" s="54"/>
      <c r="BC340" s="54"/>
      <c r="BD340" s="54"/>
      <c r="BE340" s="54"/>
      <c r="BF340" s="54"/>
      <c r="BG340" s="54"/>
      <c r="BH340" s="54"/>
      <c r="BI340" s="54"/>
      <c r="BJ340" s="54"/>
      <c r="BK340" s="54"/>
      <c r="BL340" s="54"/>
    </row>
    <row r="341" spans="1:64" ht="11.25" customHeight="1" x14ac:dyDescent="0.3">
      <c r="A341" s="54"/>
      <c r="B341" s="54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4"/>
      <c r="AI341" s="54"/>
      <c r="AJ341" s="54"/>
      <c r="AK341" s="54"/>
      <c r="AL341" s="54"/>
      <c r="AM341" s="54"/>
      <c r="AN341" s="54"/>
      <c r="AO341" s="54"/>
      <c r="AP341" s="54"/>
      <c r="AQ341" s="54"/>
      <c r="AR341" s="54"/>
      <c r="AS341" s="54"/>
      <c r="AT341" s="54"/>
      <c r="AU341" s="54"/>
      <c r="AV341" s="54"/>
      <c r="AW341" s="54"/>
      <c r="AX341" s="54"/>
      <c r="AY341" s="54"/>
      <c r="AZ341" s="54"/>
      <c r="BA341" s="54"/>
      <c r="BB341" s="54"/>
      <c r="BC341" s="54"/>
      <c r="BD341" s="54"/>
      <c r="BE341" s="54"/>
      <c r="BF341" s="54"/>
      <c r="BG341" s="54"/>
      <c r="BH341" s="54"/>
      <c r="BI341" s="54"/>
      <c r="BJ341" s="54"/>
      <c r="BK341" s="54"/>
      <c r="BL341" s="54"/>
    </row>
    <row r="342" spans="1:64" ht="11.25" customHeight="1" x14ac:dyDescent="0.3">
      <c r="A342" s="54"/>
      <c r="B342" s="54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4"/>
      <c r="AI342" s="54"/>
      <c r="AJ342" s="54"/>
      <c r="AK342" s="54"/>
      <c r="AL342" s="54"/>
      <c r="AM342" s="54"/>
      <c r="AN342" s="54"/>
      <c r="AO342" s="54"/>
      <c r="AP342" s="54"/>
      <c r="AQ342" s="54"/>
      <c r="AR342" s="54"/>
      <c r="AS342" s="54"/>
      <c r="AT342" s="54"/>
      <c r="AU342" s="54"/>
      <c r="AV342" s="54"/>
      <c r="AW342" s="54"/>
      <c r="AX342" s="54"/>
      <c r="AY342" s="54"/>
      <c r="AZ342" s="54"/>
      <c r="BA342" s="54"/>
      <c r="BB342" s="54"/>
      <c r="BC342" s="54"/>
      <c r="BD342" s="54"/>
      <c r="BE342" s="54"/>
      <c r="BF342" s="54"/>
      <c r="BG342" s="54"/>
      <c r="BH342" s="54"/>
      <c r="BI342" s="54"/>
      <c r="BJ342" s="54"/>
      <c r="BK342" s="54"/>
      <c r="BL342" s="54"/>
    </row>
    <row r="343" spans="1:64" ht="11.25" customHeight="1" x14ac:dyDescent="0.3">
      <c r="A343" s="54"/>
      <c r="B343" s="54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4"/>
      <c r="AI343" s="54"/>
      <c r="AJ343" s="54"/>
      <c r="AK343" s="54"/>
      <c r="AL343" s="54"/>
      <c r="AM343" s="54"/>
      <c r="AN343" s="54"/>
      <c r="AO343" s="54"/>
      <c r="AP343" s="54"/>
      <c r="AQ343" s="54"/>
      <c r="AR343" s="54"/>
      <c r="AS343" s="54"/>
      <c r="AT343" s="54"/>
      <c r="AU343" s="54"/>
      <c r="AV343" s="54"/>
      <c r="AW343" s="54"/>
      <c r="AX343" s="54"/>
      <c r="AY343" s="54"/>
      <c r="AZ343" s="54"/>
      <c r="BA343" s="54"/>
      <c r="BB343" s="54"/>
      <c r="BC343" s="54"/>
      <c r="BD343" s="54"/>
      <c r="BE343" s="54"/>
      <c r="BF343" s="54"/>
      <c r="BG343" s="54"/>
      <c r="BH343" s="54"/>
      <c r="BI343" s="54"/>
      <c r="BJ343" s="54"/>
      <c r="BK343" s="54"/>
      <c r="BL343" s="54"/>
    </row>
    <row r="344" spans="1:64" ht="11.25" customHeight="1" x14ac:dyDescent="0.3">
      <c r="A344" s="54"/>
      <c r="B344" s="54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4"/>
      <c r="AI344" s="54"/>
      <c r="AJ344" s="54"/>
      <c r="AK344" s="54"/>
      <c r="AL344" s="54"/>
      <c r="AM344" s="54"/>
      <c r="AN344" s="54"/>
      <c r="AO344" s="54"/>
      <c r="AP344" s="54"/>
      <c r="AQ344" s="54"/>
      <c r="AR344" s="54"/>
      <c r="AS344" s="54"/>
      <c r="AT344" s="54"/>
      <c r="AU344" s="54"/>
      <c r="AV344" s="54"/>
      <c r="AW344" s="54"/>
      <c r="AX344" s="54"/>
      <c r="AY344" s="54"/>
      <c r="AZ344" s="54"/>
      <c r="BA344" s="54"/>
      <c r="BB344" s="54"/>
      <c r="BC344" s="54"/>
      <c r="BD344" s="54"/>
      <c r="BE344" s="54"/>
      <c r="BF344" s="54"/>
      <c r="BG344" s="54"/>
      <c r="BH344" s="54"/>
      <c r="BI344" s="54"/>
      <c r="BJ344" s="54"/>
      <c r="BK344" s="54"/>
      <c r="BL344" s="54"/>
    </row>
    <row r="345" spans="1:64" ht="11.25" customHeight="1" x14ac:dyDescent="0.3">
      <c r="A345" s="54"/>
      <c r="B345" s="54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4"/>
      <c r="AI345" s="54"/>
      <c r="AJ345" s="54"/>
      <c r="AK345" s="54"/>
      <c r="AL345" s="54"/>
      <c r="AM345" s="54"/>
      <c r="AN345" s="54"/>
      <c r="AO345" s="54"/>
      <c r="AP345" s="54"/>
      <c r="AQ345" s="54"/>
      <c r="AR345" s="54"/>
      <c r="AS345" s="54"/>
      <c r="AT345" s="54"/>
      <c r="AU345" s="54"/>
      <c r="AV345" s="54"/>
      <c r="AW345" s="54"/>
      <c r="AX345" s="54"/>
      <c r="AY345" s="54"/>
      <c r="AZ345" s="54"/>
      <c r="BA345" s="54"/>
      <c r="BB345" s="54"/>
      <c r="BC345" s="54"/>
      <c r="BD345" s="54"/>
      <c r="BE345" s="54"/>
      <c r="BF345" s="54"/>
      <c r="BG345" s="54"/>
      <c r="BH345" s="54"/>
      <c r="BI345" s="54"/>
      <c r="BJ345" s="54"/>
      <c r="BK345" s="54"/>
      <c r="BL345" s="54"/>
    </row>
    <row r="346" spans="1:64" ht="11.25" customHeight="1" x14ac:dyDescent="0.3">
      <c r="A346" s="54"/>
      <c r="B346" s="54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  <c r="AK346" s="54"/>
      <c r="AL346" s="54"/>
      <c r="AM346" s="54"/>
      <c r="AN346" s="54"/>
      <c r="AO346" s="54"/>
      <c r="AP346" s="54"/>
      <c r="AQ346" s="54"/>
      <c r="AR346" s="54"/>
      <c r="AS346" s="54"/>
      <c r="AT346" s="54"/>
      <c r="AU346" s="54"/>
      <c r="AV346" s="54"/>
      <c r="AW346" s="54"/>
      <c r="AX346" s="54"/>
      <c r="AY346" s="54"/>
      <c r="AZ346" s="54"/>
      <c r="BA346" s="54"/>
      <c r="BB346" s="54"/>
      <c r="BC346" s="54"/>
      <c r="BD346" s="54"/>
      <c r="BE346" s="54"/>
      <c r="BF346" s="54"/>
      <c r="BG346" s="54"/>
      <c r="BH346" s="54"/>
      <c r="BI346" s="54"/>
      <c r="BJ346" s="54"/>
      <c r="BK346" s="54"/>
      <c r="BL346" s="54"/>
    </row>
    <row r="347" spans="1:64" ht="11.25" customHeight="1" x14ac:dyDescent="0.3">
      <c r="A347" s="54"/>
      <c r="B347" s="54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4"/>
      <c r="AI347" s="54"/>
      <c r="AJ347" s="54"/>
      <c r="AK347" s="54"/>
      <c r="AL347" s="54"/>
      <c r="AM347" s="54"/>
      <c r="AN347" s="54"/>
      <c r="AO347" s="54"/>
      <c r="AP347" s="54"/>
      <c r="AQ347" s="54"/>
      <c r="AR347" s="54"/>
      <c r="AS347" s="54"/>
      <c r="AT347" s="54"/>
      <c r="AU347" s="54"/>
      <c r="AV347" s="54"/>
      <c r="AW347" s="54"/>
      <c r="AX347" s="54"/>
      <c r="AY347" s="54"/>
      <c r="AZ347" s="54"/>
      <c r="BA347" s="54"/>
      <c r="BB347" s="54"/>
      <c r="BC347" s="54"/>
      <c r="BD347" s="54"/>
      <c r="BE347" s="54"/>
      <c r="BF347" s="54"/>
      <c r="BG347" s="54"/>
      <c r="BH347" s="54"/>
      <c r="BI347" s="54"/>
      <c r="BJ347" s="54"/>
      <c r="BK347" s="54"/>
      <c r="BL347" s="54"/>
    </row>
    <row r="348" spans="1:64" ht="11.25" customHeight="1" x14ac:dyDescent="0.3">
      <c r="A348" s="54"/>
      <c r="B348" s="54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4"/>
      <c r="AI348" s="54"/>
      <c r="AJ348" s="54"/>
      <c r="AK348" s="54"/>
      <c r="AL348" s="54"/>
      <c r="AM348" s="54"/>
      <c r="AN348" s="54"/>
      <c r="AO348" s="54"/>
      <c r="AP348" s="54"/>
      <c r="AQ348" s="54"/>
      <c r="AR348" s="54"/>
      <c r="AS348" s="54"/>
      <c r="AT348" s="54"/>
      <c r="AU348" s="54"/>
      <c r="AV348" s="54"/>
      <c r="AW348" s="54"/>
      <c r="AX348" s="54"/>
      <c r="AY348" s="54"/>
      <c r="AZ348" s="54"/>
      <c r="BA348" s="54"/>
      <c r="BB348" s="54"/>
      <c r="BC348" s="54"/>
      <c r="BD348" s="54"/>
      <c r="BE348" s="54"/>
      <c r="BF348" s="54"/>
      <c r="BG348" s="54"/>
      <c r="BH348" s="54"/>
      <c r="BI348" s="54"/>
      <c r="BJ348" s="54"/>
      <c r="BK348" s="54"/>
      <c r="BL348" s="54"/>
    </row>
    <row r="349" spans="1:64" ht="11.25" customHeight="1" x14ac:dyDescent="0.3">
      <c r="A349" s="54"/>
      <c r="B349" s="54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4"/>
      <c r="AI349" s="54"/>
      <c r="AJ349" s="54"/>
      <c r="AK349" s="54"/>
      <c r="AL349" s="54"/>
      <c r="AM349" s="54"/>
      <c r="AN349" s="54"/>
      <c r="AO349" s="54"/>
      <c r="AP349" s="54"/>
      <c r="AQ349" s="54"/>
      <c r="AR349" s="54"/>
      <c r="AS349" s="54"/>
      <c r="AT349" s="54"/>
      <c r="AU349" s="54"/>
      <c r="AV349" s="54"/>
      <c r="AW349" s="54"/>
      <c r="AX349" s="54"/>
      <c r="AY349" s="54"/>
      <c r="AZ349" s="54"/>
      <c r="BA349" s="54"/>
      <c r="BB349" s="54"/>
      <c r="BC349" s="54"/>
      <c r="BD349" s="54"/>
      <c r="BE349" s="54"/>
      <c r="BF349" s="54"/>
      <c r="BG349" s="54"/>
      <c r="BH349" s="54"/>
      <c r="BI349" s="54"/>
      <c r="BJ349" s="54"/>
      <c r="BK349" s="54"/>
      <c r="BL349" s="54"/>
    </row>
    <row r="350" spans="1:64" ht="11.25" customHeight="1" x14ac:dyDescent="0.3">
      <c r="A350" s="54"/>
      <c r="B350" s="54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4"/>
      <c r="AI350" s="54"/>
      <c r="AJ350" s="54"/>
      <c r="AK350" s="54"/>
      <c r="AL350" s="54"/>
      <c r="AM350" s="54"/>
      <c r="AN350" s="54"/>
      <c r="AO350" s="54"/>
      <c r="AP350" s="54"/>
      <c r="AQ350" s="54"/>
      <c r="AR350" s="54"/>
      <c r="AS350" s="54"/>
      <c r="AT350" s="54"/>
      <c r="AU350" s="54"/>
      <c r="AV350" s="54"/>
      <c r="AW350" s="54"/>
      <c r="AX350" s="54"/>
      <c r="AY350" s="54"/>
      <c r="AZ350" s="54"/>
      <c r="BA350" s="54"/>
      <c r="BB350" s="54"/>
      <c r="BC350" s="54"/>
      <c r="BD350" s="54"/>
      <c r="BE350" s="54"/>
      <c r="BF350" s="54"/>
      <c r="BG350" s="54"/>
      <c r="BH350" s="54"/>
      <c r="BI350" s="54"/>
      <c r="BJ350" s="54"/>
      <c r="BK350" s="54"/>
      <c r="BL350" s="54"/>
    </row>
    <row r="351" spans="1:64" ht="11.25" customHeight="1" x14ac:dyDescent="0.3">
      <c r="A351" s="54"/>
      <c r="B351" s="54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4"/>
      <c r="AI351" s="54"/>
      <c r="AJ351" s="54"/>
      <c r="AK351" s="54"/>
      <c r="AL351" s="54"/>
      <c r="AM351" s="54"/>
      <c r="AN351" s="54"/>
      <c r="AO351" s="54"/>
      <c r="AP351" s="54"/>
      <c r="AQ351" s="54"/>
      <c r="AR351" s="54"/>
      <c r="AS351" s="54"/>
      <c r="AT351" s="54"/>
      <c r="AU351" s="54"/>
      <c r="AV351" s="54"/>
      <c r="AW351" s="54"/>
      <c r="AX351" s="54"/>
      <c r="AY351" s="54"/>
      <c r="AZ351" s="54"/>
      <c r="BA351" s="54"/>
      <c r="BB351" s="54"/>
      <c r="BC351" s="54"/>
      <c r="BD351" s="54"/>
      <c r="BE351" s="54"/>
      <c r="BF351" s="54"/>
      <c r="BG351" s="54"/>
      <c r="BH351" s="54"/>
      <c r="BI351" s="54"/>
      <c r="BJ351" s="54"/>
      <c r="BK351" s="54"/>
      <c r="BL351" s="54"/>
    </row>
    <row r="352" spans="1:64" ht="11.25" customHeight="1" x14ac:dyDescent="0.3">
      <c r="A352" s="54"/>
      <c r="B352" s="54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4"/>
      <c r="AI352" s="54"/>
      <c r="AJ352" s="54"/>
      <c r="AK352" s="54"/>
      <c r="AL352" s="54"/>
      <c r="AM352" s="54"/>
      <c r="AN352" s="54"/>
      <c r="AO352" s="54"/>
      <c r="AP352" s="54"/>
      <c r="AQ352" s="54"/>
      <c r="AR352" s="54"/>
      <c r="AS352" s="54"/>
      <c r="AT352" s="54"/>
      <c r="AU352" s="54"/>
      <c r="AV352" s="54"/>
      <c r="AW352" s="54"/>
      <c r="AX352" s="54"/>
      <c r="AY352" s="54"/>
      <c r="AZ352" s="54"/>
      <c r="BA352" s="54"/>
      <c r="BB352" s="54"/>
      <c r="BC352" s="54"/>
      <c r="BD352" s="54"/>
      <c r="BE352" s="54"/>
      <c r="BF352" s="54"/>
      <c r="BG352" s="54"/>
      <c r="BH352" s="54"/>
      <c r="BI352" s="54"/>
      <c r="BJ352" s="54"/>
      <c r="BK352" s="54"/>
      <c r="BL352" s="54"/>
    </row>
    <row r="353" spans="1:64" ht="11.25" customHeight="1" x14ac:dyDescent="0.3">
      <c r="A353" s="54"/>
      <c r="B353" s="54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4"/>
      <c r="AI353" s="54"/>
      <c r="AJ353" s="54"/>
      <c r="AK353" s="54"/>
      <c r="AL353" s="54"/>
      <c r="AM353" s="54"/>
      <c r="AN353" s="54"/>
      <c r="AO353" s="54"/>
      <c r="AP353" s="54"/>
      <c r="AQ353" s="54"/>
      <c r="AR353" s="54"/>
      <c r="AS353" s="54"/>
      <c r="AT353" s="54"/>
      <c r="AU353" s="54"/>
      <c r="AV353" s="54"/>
      <c r="AW353" s="54"/>
      <c r="AX353" s="54"/>
      <c r="AY353" s="54"/>
      <c r="AZ353" s="54"/>
      <c r="BA353" s="54"/>
      <c r="BB353" s="54"/>
      <c r="BC353" s="54"/>
      <c r="BD353" s="54"/>
      <c r="BE353" s="54"/>
      <c r="BF353" s="54"/>
      <c r="BG353" s="54"/>
      <c r="BH353" s="54"/>
      <c r="BI353" s="54"/>
      <c r="BJ353" s="54"/>
      <c r="BK353" s="54"/>
      <c r="BL353" s="54"/>
    </row>
    <row r="354" spans="1:64" ht="11.25" customHeight="1" x14ac:dyDescent="0.3">
      <c r="A354" s="54"/>
      <c r="B354" s="54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4"/>
      <c r="AI354" s="54"/>
      <c r="AJ354" s="54"/>
      <c r="AK354" s="54"/>
      <c r="AL354" s="54"/>
      <c r="AM354" s="54"/>
      <c r="AN354" s="54"/>
      <c r="AO354" s="54"/>
      <c r="AP354" s="54"/>
      <c r="AQ354" s="54"/>
      <c r="AR354" s="54"/>
      <c r="AS354" s="54"/>
      <c r="AT354" s="54"/>
      <c r="AU354" s="54"/>
      <c r="AV354" s="54"/>
      <c r="AW354" s="54"/>
      <c r="AX354" s="54"/>
      <c r="AY354" s="54"/>
      <c r="AZ354" s="54"/>
      <c r="BA354" s="54"/>
      <c r="BB354" s="54"/>
      <c r="BC354" s="54"/>
      <c r="BD354" s="54"/>
      <c r="BE354" s="54"/>
      <c r="BF354" s="54"/>
      <c r="BG354" s="54"/>
      <c r="BH354" s="54"/>
      <c r="BI354" s="54"/>
      <c r="BJ354" s="54"/>
      <c r="BK354" s="54"/>
      <c r="BL354" s="54"/>
    </row>
    <row r="355" spans="1:64" ht="11.25" customHeight="1" x14ac:dyDescent="0.3">
      <c r="A355" s="54"/>
      <c r="B355" s="54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  <c r="AG355" s="54"/>
      <c r="AH355" s="54"/>
      <c r="AI355" s="54"/>
      <c r="AJ355" s="54"/>
      <c r="AK355" s="54"/>
      <c r="AL355" s="54"/>
      <c r="AM355" s="54"/>
      <c r="AN355" s="54"/>
      <c r="AO355" s="54"/>
      <c r="AP355" s="54"/>
      <c r="AQ355" s="54"/>
      <c r="AR355" s="54"/>
      <c r="AS355" s="54"/>
      <c r="AT355" s="54"/>
      <c r="AU355" s="54"/>
      <c r="AV355" s="54"/>
      <c r="AW355" s="54"/>
      <c r="AX355" s="54"/>
      <c r="AY355" s="54"/>
      <c r="AZ355" s="54"/>
      <c r="BA355" s="54"/>
      <c r="BB355" s="54"/>
      <c r="BC355" s="54"/>
      <c r="BD355" s="54"/>
      <c r="BE355" s="54"/>
      <c r="BF355" s="54"/>
      <c r="BG355" s="54"/>
      <c r="BH355" s="54"/>
      <c r="BI355" s="54"/>
      <c r="BJ355" s="54"/>
      <c r="BK355" s="54"/>
      <c r="BL355" s="54"/>
    </row>
    <row r="356" spans="1:64" ht="11.25" customHeight="1" x14ac:dyDescent="0.3">
      <c r="A356" s="54"/>
      <c r="B356" s="54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  <c r="AG356" s="54"/>
      <c r="AH356" s="54"/>
      <c r="AI356" s="54"/>
      <c r="AJ356" s="54"/>
      <c r="AK356" s="54"/>
      <c r="AL356" s="54"/>
      <c r="AM356" s="54"/>
      <c r="AN356" s="54"/>
      <c r="AO356" s="54"/>
      <c r="AP356" s="54"/>
      <c r="AQ356" s="54"/>
      <c r="AR356" s="54"/>
      <c r="AS356" s="54"/>
      <c r="AT356" s="54"/>
      <c r="AU356" s="54"/>
      <c r="AV356" s="54"/>
      <c r="AW356" s="54"/>
      <c r="AX356" s="54"/>
      <c r="AY356" s="54"/>
      <c r="AZ356" s="54"/>
      <c r="BA356" s="54"/>
      <c r="BB356" s="54"/>
      <c r="BC356" s="54"/>
      <c r="BD356" s="54"/>
      <c r="BE356" s="54"/>
      <c r="BF356" s="54"/>
      <c r="BG356" s="54"/>
      <c r="BH356" s="54"/>
      <c r="BI356" s="54"/>
      <c r="BJ356" s="54"/>
      <c r="BK356" s="54"/>
      <c r="BL356" s="54"/>
    </row>
    <row r="357" spans="1:64" ht="11.25" customHeight="1" x14ac:dyDescent="0.3">
      <c r="A357" s="54"/>
      <c r="B357" s="54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4"/>
      <c r="AI357" s="54"/>
      <c r="AJ357" s="54"/>
      <c r="AK357" s="54"/>
      <c r="AL357" s="54"/>
      <c r="AM357" s="54"/>
      <c r="AN357" s="54"/>
      <c r="AO357" s="54"/>
      <c r="AP357" s="54"/>
      <c r="AQ357" s="54"/>
      <c r="AR357" s="54"/>
      <c r="AS357" s="54"/>
      <c r="AT357" s="54"/>
      <c r="AU357" s="54"/>
      <c r="AV357" s="54"/>
      <c r="AW357" s="54"/>
      <c r="AX357" s="54"/>
      <c r="AY357" s="54"/>
      <c r="AZ357" s="54"/>
      <c r="BA357" s="54"/>
      <c r="BB357" s="54"/>
      <c r="BC357" s="54"/>
      <c r="BD357" s="54"/>
      <c r="BE357" s="54"/>
      <c r="BF357" s="54"/>
      <c r="BG357" s="54"/>
      <c r="BH357" s="54"/>
      <c r="BI357" s="54"/>
      <c r="BJ357" s="54"/>
      <c r="BK357" s="54"/>
      <c r="BL357" s="54"/>
    </row>
    <row r="358" spans="1:64" ht="11.25" customHeight="1" x14ac:dyDescent="0.3">
      <c r="A358" s="54"/>
      <c r="B358" s="54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4"/>
      <c r="AI358" s="54"/>
      <c r="AJ358" s="54"/>
      <c r="AK358" s="54"/>
      <c r="AL358" s="54"/>
      <c r="AM358" s="54"/>
      <c r="AN358" s="54"/>
      <c r="AO358" s="54"/>
      <c r="AP358" s="54"/>
      <c r="AQ358" s="54"/>
      <c r="AR358" s="54"/>
      <c r="AS358" s="54"/>
      <c r="AT358" s="54"/>
      <c r="AU358" s="54"/>
      <c r="AV358" s="54"/>
      <c r="AW358" s="54"/>
      <c r="AX358" s="54"/>
      <c r="AY358" s="54"/>
      <c r="AZ358" s="54"/>
      <c r="BA358" s="54"/>
      <c r="BB358" s="54"/>
      <c r="BC358" s="54"/>
      <c r="BD358" s="54"/>
      <c r="BE358" s="54"/>
      <c r="BF358" s="54"/>
      <c r="BG358" s="54"/>
      <c r="BH358" s="54"/>
      <c r="BI358" s="54"/>
      <c r="BJ358" s="54"/>
      <c r="BK358" s="54"/>
      <c r="BL358" s="54"/>
    </row>
    <row r="359" spans="1:64" ht="11.25" customHeight="1" x14ac:dyDescent="0.3">
      <c r="A359" s="54"/>
      <c r="B359" s="54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4"/>
      <c r="AI359" s="54"/>
      <c r="AJ359" s="54"/>
      <c r="AK359" s="54"/>
      <c r="AL359" s="54"/>
      <c r="AM359" s="54"/>
      <c r="AN359" s="54"/>
      <c r="AO359" s="54"/>
      <c r="AP359" s="54"/>
      <c r="AQ359" s="54"/>
      <c r="AR359" s="54"/>
      <c r="AS359" s="54"/>
      <c r="AT359" s="54"/>
      <c r="AU359" s="54"/>
      <c r="AV359" s="54"/>
      <c r="AW359" s="54"/>
      <c r="AX359" s="54"/>
      <c r="AY359" s="54"/>
      <c r="AZ359" s="54"/>
      <c r="BA359" s="54"/>
      <c r="BB359" s="54"/>
      <c r="BC359" s="54"/>
      <c r="BD359" s="54"/>
      <c r="BE359" s="54"/>
      <c r="BF359" s="54"/>
      <c r="BG359" s="54"/>
      <c r="BH359" s="54"/>
      <c r="BI359" s="54"/>
      <c r="BJ359" s="54"/>
      <c r="BK359" s="54"/>
      <c r="BL359" s="54"/>
    </row>
    <row r="360" spans="1:64" ht="11.25" customHeight="1" x14ac:dyDescent="0.3">
      <c r="A360" s="54"/>
      <c r="B360" s="54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4"/>
      <c r="AI360" s="54"/>
      <c r="AJ360" s="54"/>
      <c r="AK360" s="54"/>
      <c r="AL360" s="54"/>
      <c r="AM360" s="54"/>
      <c r="AN360" s="54"/>
      <c r="AO360" s="54"/>
      <c r="AP360" s="54"/>
      <c r="AQ360" s="54"/>
      <c r="AR360" s="54"/>
      <c r="AS360" s="54"/>
      <c r="AT360" s="54"/>
      <c r="AU360" s="54"/>
      <c r="AV360" s="54"/>
      <c r="AW360" s="54"/>
      <c r="AX360" s="54"/>
      <c r="AY360" s="54"/>
      <c r="AZ360" s="54"/>
      <c r="BA360" s="54"/>
      <c r="BB360" s="54"/>
      <c r="BC360" s="54"/>
      <c r="BD360" s="54"/>
      <c r="BE360" s="54"/>
      <c r="BF360" s="54"/>
      <c r="BG360" s="54"/>
      <c r="BH360" s="54"/>
      <c r="BI360" s="54"/>
      <c r="BJ360" s="54"/>
      <c r="BK360" s="54"/>
      <c r="BL360" s="54"/>
    </row>
    <row r="361" spans="1:64" ht="11.25" customHeight="1" x14ac:dyDescent="0.3">
      <c r="A361" s="54"/>
      <c r="B361" s="54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4"/>
      <c r="AI361" s="54"/>
      <c r="AJ361" s="54"/>
      <c r="AK361" s="54"/>
      <c r="AL361" s="54"/>
      <c r="AM361" s="54"/>
      <c r="AN361" s="54"/>
      <c r="AO361" s="54"/>
      <c r="AP361" s="54"/>
      <c r="AQ361" s="54"/>
      <c r="AR361" s="54"/>
      <c r="AS361" s="54"/>
      <c r="AT361" s="54"/>
      <c r="AU361" s="54"/>
      <c r="AV361" s="54"/>
      <c r="AW361" s="54"/>
      <c r="AX361" s="54"/>
      <c r="AY361" s="54"/>
      <c r="AZ361" s="54"/>
      <c r="BA361" s="54"/>
      <c r="BB361" s="54"/>
      <c r="BC361" s="54"/>
      <c r="BD361" s="54"/>
      <c r="BE361" s="54"/>
      <c r="BF361" s="54"/>
      <c r="BG361" s="54"/>
      <c r="BH361" s="54"/>
      <c r="BI361" s="54"/>
      <c r="BJ361" s="54"/>
      <c r="BK361" s="54"/>
      <c r="BL361" s="54"/>
    </row>
    <row r="362" spans="1:64" ht="11.25" customHeight="1" x14ac:dyDescent="0.3">
      <c r="A362" s="54"/>
      <c r="B362" s="54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4"/>
      <c r="AI362" s="54"/>
      <c r="AJ362" s="54"/>
      <c r="AK362" s="54"/>
      <c r="AL362" s="54"/>
      <c r="AM362" s="54"/>
      <c r="AN362" s="54"/>
      <c r="AO362" s="54"/>
      <c r="AP362" s="54"/>
      <c r="AQ362" s="54"/>
      <c r="AR362" s="54"/>
      <c r="AS362" s="54"/>
      <c r="AT362" s="54"/>
      <c r="AU362" s="54"/>
      <c r="AV362" s="54"/>
      <c r="AW362" s="54"/>
      <c r="AX362" s="54"/>
      <c r="AY362" s="54"/>
      <c r="AZ362" s="54"/>
      <c r="BA362" s="54"/>
      <c r="BB362" s="54"/>
      <c r="BC362" s="54"/>
      <c r="BD362" s="54"/>
      <c r="BE362" s="54"/>
      <c r="BF362" s="54"/>
      <c r="BG362" s="54"/>
      <c r="BH362" s="54"/>
      <c r="BI362" s="54"/>
      <c r="BJ362" s="54"/>
      <c r="BK362" s="54"/>
      <c r="BL362" s="54"/>
    </row>
    <row r="363" spans="1:64" ht="11.25" customHeight="1" x14ac:dyDescent="0.3">
      <c r="A363" s="54"/>
      <c r="B363" s="54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4"/>
      <c r="AI363" s="54"/>
      <c r="AJ363" s="54"/>
      <c r="AK363" s="54"/>
      <c r="AL363" s="54"/>
      <c r="AM363" s="54"/>
      <c r="AN363" s="54"/>
      <c r="AO363" s="54"/>
      <c r="AP363" s="54"/>
      <c r="AQ363" s="54"/>
      <c r="AR363" s="54"/>
      <c r="AS363" s="54"/>
      <c r="AT363" s="54"/>
      <c r="AU363" s="54"/>
      <c r="AV363" s="54"/>
      <c r="AW363" s="54"/>
      <c r="AX363" s="54"/>
      <c r="AY363" s="54"/>
      <c r="AZ363" s="54"/>
      <c r="BA363" s="54"/>
      <c r="BB363" s="54"/>
      <c r="BC363" s="54"/>
      <c r="BD363" s="54"/>
      <c r="BE363" s="54"/>
      <c r="BF363" s="54"/>
      <c r="BG363" s="54"/>
      <c r="BH363" s="54"/>
      <c r="BI363" s="54"/>
      <c r="BJ363" s="54"/>
      <c r="BK363" s="54"/>
      <c r="BL363" s="54"/>
    </row>
    <row r="364" spans="1:64" ht="11.25" customHeight="1" x14ac:dyDescent="0.3">
      <c r="A364" s="54"/>
      <c r="B364" s="54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4"/>
      <c r="AI364" s="54"/>
      <c r="AJ364" s="54"/>
      <c r="AK364" s="54"/>
      <c r="AL364" s="54"/>
      <c r="AM364" s="54"/>
      <c r="AN364" s="54"/>
      <c r="AO364" s="54"/>
      <c r="AP364" s="54"/>
      <c r="AQ364" s="54"/>
      <c r="AR364" s="54"/>
      <c r="AS364" s="54"/>
      <c r="AT364" s="54"/>
      <c r="AU364" s="54"/>
      <c r="AV364" s="54"/>
      <c r="AW364" s="54"/>
      <c r="AX364" s="54"/>
      <c r="AY364" s="54"/>
      <c r="AZ364" s="54"/>
      <c r="BA364" s="54"/>
      <c r="BB364" s="54"/>
      <c r="BC364" s="54"/>
      <c r="BD364" s="54"/>
      <c r="BE364" s="54"/>
      <c r="BF364" s="54"/>
      <c r="BG364" s="54"/>
      <c r="BH364" s="54"/>
      <c r="BI364" s="54"/>
      <c r="BJ364" s="54"/>
      <c r="BK364" s="54"/>
      <c r="BL364" s="54"/>
    </row>
    <row r="365" spans="1:64" ht="11.25" customHeight="1" x14ac:dyDescent="0.3">
      <c r="A365" s="54"/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4"/>
      <c r="AI365" s="54"/>
      <c r="AJ365" s="54"/>
      <c r="AK365" s="54"/>
      <c r="AL365" s="54"/>
      <c r="AM365" s="54"/>
      <c r="AN365" s="54"/>
      <c r="AO365" s="54"/>
      <c r="AP365" s="54"/>
      <c r="AQ365" s="54"/>
      <c r="AR365" s="54"/>
      <c r="AS365" s="54"/>
      <c r="AT365" s="54"/>
      <c r="AU365" s="54"/>
      <c r="AV365" s="54"/>
      <c r="AW365" s="54"/>
      <c r="AX365" s="54"/>
      <c r="AY365" s="54"/>
      <c r="AZ365" s="54"/>
      <c r="BA365" s="54"/>
      <c r="BB365" s="54"/>
      <c r="BC365" s="54"/>
      <c r="BD365" s="54"/>
      <c r="BE365" s="54"/>
      <c r="BF365" s="54"/>
      <c r="BG365" s="54"/>
      <c r="BH365" s="54"/>
      <c r="BI365" s="54"/>
      <c r="BJ365" s="54"/>
      <c r="BK365" s="54"/>
      <c r="BL365" s="54"/>
    </row>
    <row r="366" spans="1:64" ht="11.25" customHeight="1" x14ac:dyDescent="0.3">
      <c r="A366" s="54"/>
      <c r="B366" s="54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4"/>
      <c r="AI366" s="54"/>
      <c r="AJ366" s="54"/>
      <c r="AK366" s="54"/>
      <c r="AL366" s="54"/>
      <c r="AM366" s="54"/>
      <c r="AN366" s="54"/>
      <c r="AO366" s="54"/>
      <c r="AP366" s="54"/>
      <c r="AQ366" s="54"/>
      <c r="AR366" s="54"/>
      <c r="AS366" s="54"/>
      <c r="AT366" s="54"/>
      <c r="AU366" s="54"/>
      <c r="AV366" s="54"/>
      <c r="AW366" s="54"/>
      <c r="AX366" s="54"/>
      <c r="AY366" s="54"/>
      <c r="AZ366" s="54"/>
      <c r="BA366" s="54"/>
      <c r="BB366" s="54"/>
      <c r="BC366" s="54"/>
      <c r="BD366" s="54"/>
      <c r="BE366" s="54"/>
      <c r="BF366" s="54"/>
      <c r="BG366" s="54"/>
      <c r="BH366" s="54"/>
      <c r="BI366" s="54"/>
      <c r="BJ366" s="54"/>
      <c r="BK366" s="54"/>
      <c r="BL366" s="54"/>
    </row>
    <row r="367" spans="1:64" ht="11.25" customHeight="1" x14ac:dyDescent="0.3">
      <c r="A367" s="54"/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4"/>
      <c r="AI367" s="54"/>
      <c r="AJ367" s="54"/>
      <c r="AK367" s="54"/>
      <c r="AL367" s="54"/>
      <c r="AM367" s="54"/>
      <c r="AN367" s="54"/>
      <c r="AO367" s="54"/>
      <c r="AP367" s="54"/>
      <c r="AQ367" s="54"/>
      <c r="AR367" s="54"/>
      <c r="AS367" s="54"/>
      <c r="AT367" s="54"/>
      <c r="AU367" s="54"/>
      <c r="AV367" s="54"/>
      <c r="AW367" s="54"/>
      <c r="AX367" s="54"/>
      <c r="AY367" s="54"/>
      <c r="AZ367" s="54"/>
      <c r="BA367" s="54"/>
      <c r="BB367" s="54"/>
      <c r="BC367" s="54"/>
      <c r="BD367" s="54"/>
      <c r="BE367" s="54"/>
      <c r="BF367" s="54"/>
      <c r="BG367" s="54"/>
      <c r="BH367" s="54"/>
      <c r="BI367" s="54"/>
      <c r="BJ367" s="54"/>
      <c r="BK367" s="54"/>
      <c r="BL367" s="54"/>
    </row>
    <row r="368" spans="1:64" ht="11.25" customHeight="1" x14ac:dyDescent="0.3">
      <c r="A368" s="54"/>
      <c r="B368" s="54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4"/>
      <c r="AI368" s="54"/>
      <c r="AJ368" s="54"/>
      <c r="AK368" s="54"/>
      <c r="AL368" s="54"/>
      <c r="AM368" s="54"/>
      <c r="AN368" s="54"/>
      <c r="AO368" s="54"/>
      <c r="AP368" s="54"/>
      <c r="AQ368" s="54"/>
      <c r="AR368" s="54"/>
      <c r="AS368" s="54"/>
      <c r="AT368" s="54"/>
      <c r="AU368" s="54"/>
      <c r="AV368" s="54"/>
      <c r="AW368" s="54"/>
      <c r="AX368" s="54"/>
      <c r="AY368" s="54"/>
      <c r="AZ368" s="54"/>
      <c r="BA368" s="54"/>
      <c r="BB368" s="54"/>
      <c r="BC368" s="54"/>
      <c r="BD368" s="54"/>
      <c r="BE368" s="54"/>
      <c r="BF368" s="54"/>
      <c r="BG368" s="54"/>
      <c r="BH368" s="54"/>
      <c r="BI368" s="54"/>
      <c r="BJ368" s="54"/>
      <c r="BK368" s="54"/>
      <c r="BL368" s="54"/>
    </row>
    <row r="369" spans="1:64" ht="11.25" customHeight="1" x14ac:dyDescent="0.3">
      <c r="A369" s="54"/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4"/>
      <c r="AI369" s="54"/>
      <c r="AJ369" s="54"/>
      <c r="AK369" s="54"/>
      <c r="AL369" s="54"/>
      <c r="AM369" s="54"/>
      <c r="AN369" s="54"/>
      <c r="AO369" s="54"/>
      <c r="AP369" s="54"/>
      <c r="AQ369" s="54"/>
      <c r="AR369" s="54"/>
      <c r="AS369" s="54"/>
      <c r="AT369" s="54"/>
      <c r="AU369" s="54"/>
      <c r="AV369" s="54"/>
      <c r="AW369" s="54"/>
      <c r="AX369" s="54"/>
      <c r="AY369" s="54"/>
      <c r="AZ369" s="54"/>
      <c r="BA369" s="54"/>
      <c r="BB369" s="54"/>
      <c r="BC369" s="54"/>
      <c r="BD369" s="54"/>
      <c r="BE369" s="54"/>
      <c r="BF369" s="54"/>
      <c r="BG369" s="54"/>
      <c r="BH369" s="54"/>
      <c r="BI369" s="54"/>
      <c r="BJ369" s="54"/>
      <c r="BK369" s="54"/>
      <c r="BL369" s="54"/>
    </row>
    <row r="370" spans="1:64" ht="11.25" customHeight="1" x14ac:dyDescent="0.3">
      <c r="A370" s="54"/>
      <c r="B370" s="54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4"/>
      <c r="AI370" s="54"/>
      <c r="AJ370" s="54"/>
      <c r="AK370" s="54"/>
      <c r="AL370" s="54"/>
      <c r="AM370" s="54"/>
      <c r="AN370" s="54"/>
      <c r="AO370" s="54"/>
      <c r="AP370" s="54"/>
      <c r="AQ370" s="54"/>
      <c r="AR370" s="54"/>
      <c r="AS370" s="54"/>
      <c r="AT370" s="54"/>
      <c r="AU370" s="54"/>
      <c r="AV370" s="54"/>
      <c r="AW370" s="54"/>
      <c r="AX370" s="54"/>
      <c r="AY370" s="54"/>
      <c r="AZ370" s="54"/>
      <c r="BA370" s="54"/>
      <c r="BB370" s="54"/>
      <c r="BC370" s="54"/>
      <c r="BD370" s="54"/>
      <c r="BE370" s="54"/>
      <c r="BF370" s="54"/>
      <c r="BG370" s="54"/>
      <c r="BH370" s="54"/>
      <c r="BI370" s="54"/>
      <c r="BJ370" s="54"/>
      <c r="BK370" s="54"/>
      <c r="BL370" s="54"/>
    </row>
    <row r="371" spans="1:64" ht="11.25" customHeight="1" x14ac:dyDescent="0.3">
      <c r="A371" s="54"/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  <c r="AG371" s="54"/>
      <c r="AH371" s="54"/>
      <c r="AI371" s="54"/>
      <c r="AJ371" s="54"/>
      <c r="AK371" s="54"/>
      <c r="AL371" s="54"/>
      <c r="AM371" s="54"/>
      <c r="AN371" s="54"/>
      <c r="AO371" s="54"/>
      <c r="AP371" s="54"/>
      <c r="AQ371" s="54"/>
      <c r="AR371" s="54"/>
      <c r="AS371" s="54"/>
      <c r="AT371" s="54"/>
      <c r="AU371" s="54"/>
      <c r="AV371" s="54"/>
      <c r="AW371" s="54"/>
      <c r="AX371" s="54"/>
      <c r="AY371" s="54"/>
      <c r="AZ371" s="54"/>
      <c r="BA371" s="54"/>
      <c r="BB371" s="54"/>
      <c r="BC371" s="54"/>
      <c r="BD371" s="54"/>
      <c r="BE371" s="54"/>
      <c r="BF371" s="54"/>
      <c r="BG371" s="54"/>
      <c r="BH371" s="54"/>
      <c r="BI371" s="54"/>
      <c r="BJ371" s="54"/>
      <c r="BK371" s="54"/>
      <c r="BL371" s="54"/>
    </row>
    <row r="372" spans="1:64" ht="11.25" customHeight="1" x14ac:dyDescent="0.3">
      <c r="A372" s="54"/>
      <c r="B372" s="54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  <c r="AG372" s="54"/>
      <c r="AH372" s="54"/>
      <c r="AI372" s="54"/>
      <c r="AJ372" s="54"/>
      <c r="AK372" s="54"/>
      <c r="AL372" s="54"/>
      <c r="AM372" s="54"/>
      <c r="AN372" s="54"/>
      <c r="AO372" s="54"/>
      <c r="AP372" s="54"/>
      <c r="AQ372" s="54"/>
      <c r="AR372" s="54"/>
      <c r="AS372" s="54"/>
      <c r="AT372" s="54"/>
      <c r="AU372" s="54"/>
      <c r="AV372" s="54"/>
      <c r="AW372" s="54"/>
      <c r="AX372" s="54"/>
      <c r="AY372" s="54"/>
      <c r="AZ372" s="54"/>
      <c r="BA372" s="54"/>
      <c r="BB372" s="54"/>
      <c r="BC372" s="54"/>
      <c r="BD372" s="54"/>
      <c r="BE372" s="54"/>
      <c r="BF372" s="54"/>
      <c r="BG372" s="54"/>
      <c r="BH372" s="54"/>
      <c r="BI372" s="54"/>
      <c r="BJ372" s="54"/>
      <c r="BK372" s="54"/>
      <c r="BL372" s="54"/>
    </row>
    <row r="373" spans="1:64" ht="11.25" customHeight="1" x14ac:dyDescent="0.3">
      <c r="A373" s="54"/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4"/>
      <c r="AI373" s="54"/>
      <c r="AJ373" s="54"/>
      <c r="AK373" s="54"/>
      <c r="AL373" s="54"/>
      <c r="AM373" s="54"/>
      <c r="AN373" s="54"/>
      <c r="AO373" s="54"/>
      <c r="AP373" s="54"/>
      <c r="AQ373" s="54"/>
      <c r="AR373" s="54"/>
      <c r="AS373" s="54"/>
      <c r="AT373" s="54"/>
      <c r="AU373" s="54"/>
      <c r="AV373" s="54"/>
      <c r="AW373" s="54"/>
      <c r="AX373" s="54"/>
      <c r="AY373" s="54"/>
      <c r="AZ373" s="54"/>
      <c r="BA373" s="54"/>
      <c r="BB373" s="54"/>
      <c r="BC373" s="54"/>
      <c r="BD373" s="54"/>
      <c r="BE373" s="54"/>
      <c r="BF373" s="54"/>
      <c r="BG373" s="54"/>
      <c r="BH373" s="54"/>
      <c r="BI373" s="54"/>
      <c r="BJ373" s="54"/>
      <c r="BK373" s="54"/>
      <c r="BL373" s="54"/>
    </row>
    <row r="374" spans="1:64" ht="11.25" customHeight="1" x14ac:dyDescent="0.3">
      <c r="A374" s="54"/>
      <c r="B374" s="54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4"/>
      <c r="AI374" s="54"/>
      <c r="AJ374" s="54"/>
      <c r="AK374" s="54"/>
      <c r="AL374" s="54"/>
      <c r="AM374" s="54"/>
      <c r="AN374" s="54"/>
      <c r="AO374" s="54"/>
      <c r="AP374" s="54"/>
      <c r="AQ374" s="54"/>
      <c r="AR374" s="54"/>
      <c r="AS374" s="54"/>
      <c r="AT374" s="54"/>
      <c r="AU374" s="54"/>
      <c r="AV374" s="54"/>
      <c r="AW374" s="54"/>
      <c r="AX374" s="54"/>
      <c r="AY374" s="54"/>
      <c r="AZ374" s="54"/>
      <c r="BA374" s="54"/>
      <c r="BB374" s="54"/>
      <c r="BC374" s="54"/>
      <c r="BD374" s="54"/>
      <c r="BE374" s="54"/>
      <c r="BF374" s="54"/>
      <c r="BG374" s="54"/>
      <c r="BH374" s="54"/>
      <c r="BI374" s="54"/>
      <c r="BJ374" s="54"/>
      <c r="BK374" s="54"/>
      <c r="BL374" s="54"/>
    </row>
    <row r="375" spans="1:64" ht="11.25" customHeight="1" x14ac:dyDescent="0.3">
      <c r="A375" s="54"/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4"/>
      <c r="AI375" s="54"/>
      <c r="AJ375" s="54"/>
      <c r="AK375" s="54"/>
      <c r="AL375" s="54"/>
      <c r="AM375" s="54"/>
      <c r="AN375" s="54"/>
      <c r="AO375" s="54"/>
      <c r="AP375" s="54"/>
      <c r="AQ375" s="54"/>
      <c r="AR375" s="54"/>
      <c r="AS375" s="54"/>
      <c r="AT375" s="54"/>
      <c r="AU375" s="54"/>
      <c r="AV375" s="54"/>
      <c r="AW375" s="54"/>
      <c r="AX375" s="54"/>
      <c r="AY375" s="54"/>
      <c r="AZ375" s="54"/>
      <c r="BA375" s="54"/>
      <c r="BB375" s="54"/>
      <c r="BC375" s="54"/>
      <c r="BD375" s="54"/>
      <c r="BE375" s="54"/>
      <c r="BF375" s="54"/>
      <c r="BG375" s="54"/>
      <c r="BH375" s="54"/>
      <c r="BI375" s="54"/>
      <c r="BJ375" s="54"/>
      <c r="BK375" s="54"/>
      <c r="BL375" s="54"/>
    </row>
    <row r="376" spans="1:64" ht="11.25" customHeight="1" x14ac:dyDescent="0.3">
      <c r="A376" s="54"/>
      <c r="B376" s="54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4"/>
      <c r="AI376" s="54"/>
      <c r="AJ376" s="54"/>
      <c r="AK376" s="54"/>
      <c r="AL376" s="54"/>
      <c r="AM376" s="54"/>
      <c r="AN376" s="54"/>
      <c r="AO376" s="54"/>
      <c r="AP376" s="54"/>
      <c r="AQ376" s="54"/>
      <c r="AR376" s="54"/>
      <c r="AS376" s="54"/>
      <c r="AT376" s="54"/>
      <c r="AU376" s="54"/>
      <c r="AV376" s="54"/>
      <c r="AW376" s="54"/>
      <c r="AX376" s="54"/>
      <c r="AY376" s="54"/>
      <c r="AZ376" s="54"/>
      <c r="BA376" s="54"/>
      <c r="BB376" s="54"/>
      <c r="BC376" s="54"/>
      <c r="BD376" s="54"/>
      <c r="BE376" s="54"/>
      <c r="BF376" s="54"/>
      <c r="BG376" s="54"/>
      <c r="BH376" s="54"/>
      <c r="BI376" s="54"/>
      <c r="BJ376" s="54"/>
      <c r="BK376" s="54"/>
      <c r="BL376" s="54"/>
    </row>
    <row r="377" spans="1:64" ht="11.25" customHeight="1" x14ac:dyDescent="0.3">
      <c r="A377" s="54"/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4"/>
      <c r="AI377" s="54"/>
      <c r="AJ377" s="54"/>
      <c r="AK377" s="54"/>
      <c r="AL377" s="54"/>
      <c r="AM377" s="54"/>
      <c r="AN377" s="54"/>
      <c r="AO377" s="54"/>
      <c r="AP377" s="54"/>
      <c r="AQ377" s="54"/>
      <c r="AR377" s="54"/>
      <c r="AS377" s="54"/>
      <c r="AT377" s="54"/>
      <c r="AU377" s="54"/>
      <c r="AV377" s="54"/>
      <c r="AW377" s="54"/>
      <c r="AX377" s="54"/>
      <c r="AY377" s="54"/>
      <c r="AZ377" s="54"/>
      <c r="BA377" s="54"/>
      <c r="BB377" s="54"/>
      <c r="BC377" s="54"/>
      <c r="BD377" s="54"/>
      <c r="BE377" s="54"/>
      <c r="BF377" s="54"/>
      <c r="BG377" s="54"/>
      <c r="BH377" s="54"/>
      <c r="BI377" s="54"/>
      <c r="BJ377" s="54"/>
      <c r="BK377" s="54"/>
      <c r="BL377" s="54"/>
    </row>
    <row r="378" spans="1:64" ht="11.25" customHeight="1" x14ac:dyDescent="0.3">
      <c r="A378" s="54"/>
      <c r="B378" s="54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4"/>
      <c r="AI378" s="54"/>
      <c r="AJ378" s="54"/>
      <c r="AK378" s="54"/>
      <c r="AL378" s="54"/>
      <c r="AM378" s="54"/>
      <c r="AN378" s="54"/>
      <c r="AO378" s="54"/>
      <c r="AP378" s="54"/>
      <c r="AQ378" s="54"/>
      <c r="AR378" s="54"/>
      <c r="AS378" s="54"/>
      <c r="AT378" s="54"/>
      <c r="AU378" s="54"/>
      <c r="AV378" s="54"/>
      <c r="AW378" s="54"/>
      <c r="AX378" s="54"/>
      <c r="AY378" s="54"/>
      <c r="AZ378" s="54"/>
      <c r="BA378" s="54"/>
      <c r="BB378" s="54"/>
      <c r="BC378" s="54"/>
      <c r="BD378" s="54"/>
      <c r="BE378" s="54"/>
      <c r="BF378" s="54"/>
      <c r="BG378" s="54"/>
      <c r="BH378" s="54"/>
      <c r="BI378" s="54"/>
      <c r="BJ378" s="54"/>
      <c r="BK378" s="54"/>
      <c r="BL378" s="54"/>
    </row>
    <row r="379" spans="1:64" ht="11.25" customHeight="1" x14ac:dyDescent="0.3">
      <c r="A379" s="54"/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4"/>
      <c r="AI379" s="54"/>
      <c r="AJ379" s="54"/>
      <c r="AK379" s="54"/>
      <c r="AL379" s="54"/>
      <c r="AM379" s="54"/>
      <c r="AN379" s="54"/>
      <c r="AO379" s="54"/>
      <c r="AP379" s="54"/>
      <c r="AQ379" s="54"/>
      <c r="AR379" s="54"/>
      <c r="AS379" s="54"/>
      <c r="AT379" s="54"/>
      <c r="AU379" s="54"/>
      <c r="AV379" s="54"/>
      <c r="AW379" s="54"/>
      <c r="AX379" s="54"/>
      <c r="AY379" s="54"/>
      <c r="AZ379" s="54"/>
      <c r="BA379" s="54"/>
      <c r="BB379" s="54"/>
      <c r="BC379" s="54"/>
      <c r="BD379" s="54"/>
      <c r="BE379" s="54"/>
      <c r="BF379" s="54"/>
      <c r="BG379" s="54"/>
      <c r="BH379" s="54"/>
      <c r="BI379" s="54"/>
      <c r="BJ379" s="54"/>
      <c r="BK379" s="54"/>
      <c r="BL379" s="54"/>
    </row>
    <row r="380" spans="1:64" ht="11.25" customHeight="1" x14ac:dyDescent="0.3">
      <c r="A380" s="54"/>
      <c r="B380" s="54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4"/>
      <c r="AI380" s="54"/>
      <c r="AJ380" s="54"/>
      <c r="AK380" s="54"/>
      <c r="AL380" s="54"/>
      <c r="AM380" s="54"/>
      <c r="AN380" s="54"/>
      <c r="AO380" s="54"/>
      <c r="AP380" s="54"/>
      <c r="AQ380" s="54"/>
      <c r="AR380" s="54"/>
      <c r="AS380" s="54"/>
      <c r="AT380" s="54"/>
      <c r="AU380" s="54"/>
      <c r="AV380" s="54"/>
      <c r="AW380" s="54"/>
      <c r="AX380" s="54"/>
      <c r="AY380" s="54"/>
      <c r="AZ380" s="54"/>
      <c r="BA380" s="54"/>
      <c r="BB380" s="54"/>
      <c r="BC380" s="54"/>
      <c r="BD380" s="54"/>
      <c r="BE380" s="54"/>
      <c r="BF380" s="54"/>
      <c r="BG380" s="54"/>
      <c r="BH380" s="54"/>
      <c r="BI380" s="54"/>
      <c r="BJ380" s="54"/>
      <c r="BK380" s="54"/>
      <c r="BL380" s="54"/>
    </row>
    <row r="381" spans="1:64" ht="11.25" customHeight="1" x14ac:dyDescent="0.3">
      <c r="A381" s="54"/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4"/>
      <c r="AI381" s="54"/>
      <c r="AJ381" s="54"/>
      <c r="AK381" s="54"/>
      <c r="AL381" s="54"/>
      <c r="AM381" s="54"/>
      <c r="AN381" s="54"/>
      <c r="AO381" s="54"/>
      <c r="AP381" s="54"/>
      <c r="AQ381" s="54"/>
      <c r="AR381" s="54"/>
      <c r="AS381" s="54"/>
      <c r="AT381" s="54"/>
      <c r="AU381" s="54"/>
      <c r="AV381" s="54"/>
      <c r="AW381" s="54"/>
      <c r="AX381" s="54"/>
      <c r="AY381" s="54"/>
      <c r="AZ381" s="54"/>
      <c r="BA381" s="54"/>
      <c r="BB381" s="54"/>
      <c r="BC381" s="54"/>
      <c r="BD381" s="54"/>
      <c r="BE381" s="54"/>
      <c r="BF381" s="54"/>
      <c r="BG381" s="54"/>
      <c r="BH381" s="54"/>
      <c r="BI381" s="54"/>
      <c r="BJ381" s="54"/>
      <c r="BK381" s="54"/>
      <c r="BL381" s="54"/>
    </row>
    <row r="382" spans="1:64" ht="11.25" customHeight="1" x14ac:dyDescent="0.3">
      <c r="A382" s="54"/>
      <c r="B382" s="54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4"/>
      <c r="AI382" s="54"/>
      <c r="AJ382" s="54"/>
      <c r="AK382" s="54"/>
      <c r="AL382" s="54"/>
      <c r="AM382" s="54"/>
      <c r="AN382" s="54"/>
      <c r="AO382" s="54"/>
      <c r="AP382" s="54"/>
      <c r="AQ382" s="54"/>
      <c r="AR382" s="54"/>
      <c r="AS382" s="54"/>
      <c r="AT382" s="54"/>
      <c r="AU382" s="54"/>
      <c r="AV382" s="54"/>
      <c r="AW382" s="54"/>
      <c r="AX382" s="54"/>
      <c r="AY382" s="54"/>
      <c r="AZ382" s="54"/>
      <c r="BA382" s="54"/>
      <c r="BB382" s="54"/>
      <c r="BC382" s="54"/>
      <c r="BD382" s="54"/>
      <c r="BE382" s="54"/>
      <c r="BF382" s="54"/>
      <c r="BG382" s="54"/>
      <c r="BH382" s="54"/>
      <c r="BI382" s="54"/>
      <c r="BJ382" s="54"/>
      <c r="BK382" s="54"/>
      <c r="BL382" s="54"/>
    </row>
    <row r="383" spans="1:64" ht="11.25" customHeight="1" x14ac:dyDescent="0.3">
      <c r="A383" s="54"/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4"/>
      <c r="AI383" s="54"/>
      <c r="AJ383" s="54"/>
      <c r="AK383" s="54"/>
      <c r="AL383" s="54"/>
      <c r="AM383" s="54"/>
      <c r="AN383" s="54"/>
      <c r="AO383" s="54"/>
      <c r="AP383" s="54"/>
      <c r="AQ383" s="54"/>
      <c r="AR383" s="54"/>
      <c r="AS383" s="54"/>
      <c r="AT383" s="54"/>
      <c r="AU383" s="54"/>
      <c r="AV383" s="54"/>
      <c r="AW383" s="54"/>
      <c r="AX383" s="54"/>
      <c r="AY383" s="54"/>
      <c r="AZ383" s="54"/>
      <c r="BA383" s="54"/>
      <c r="BB383" s="54"/>
      <c r="BC383" s="54"/>
      <c r="BD383" s="54"/>
      <c r="BE383" s="54"/>
      <c r="BF383" s="54"/>
      <c r="BG383" s="54"/>
      <c r="BH383" s="54"/>
      <c r="BI383" s="54"/>
      <c r="BJ383" s="54"/>
      <c r="BK383" s="54"/>
      <c r="BL383" s="54"/>
    </row>
    <row r="384" spans="1:64" ht="11.25" customHeight="1" x14ac:dyDescent="0.3">
      <c r="A384" s="54"/>
      <c r="B384" s="54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4"/>
      <c r="AI384" s="54"/>
      <c r="AJ384" s="54"/>
      <c r="AK384" s="54"/>
      <c r="AL384" s="54"/>
      <c r="AM384" s="54"/>
      <c r="AN384" s="54"/>
      <c r="AO384" s="54"/>
      <c r="AP384" s="54"/>
      <c r="AQ384" s="54"/>
      <c r="AR384" s="54"/>
      <c r="AS384" s="54"/>
      <c r="AT384" s="54"/>
      <c r="AU384" s="54"/>
      <c r="AV384" s="54"/>
      <c r="AW384" s="54"/>
      <c r="AX384" s="54"/>
      <c r="AY384" s="54"/>
      <c r="AZ384" s="54"/>
      <c r="BA384" s="54"/>
      <c r="BB384" s="54"/>
      <c r="BC384" s="54"/>
      <c r="BD384" s="54"/>
      <c r="BE384" s="54"/>
      <c r="BF384" s="54"/>
      <c r="BG384" s="54"/>
      <c r="BH384" s="54"/>
      <c r="BI384" s="54"/>
      <c r="BJ384" s="54"/>
      <c r="BK384" s="54"/>
      <c r="BL384" s="54"/>
    </row>
    <row r="385" spans="1:64" ht="11.25" customHeight="1" x14ac:dyDescent="0.3">
      <c r="A385" s="54"/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4"/>
      <c r="AI385" s="54"/>
      <c r="AJ385" s="54"/>
      <c r="AK385" s="54"/>
      <c r="AL385" s="54"/>
      <c r="AM385" s="54"/>
      <c r="AN385" s="54"/>
      <c r="AO385" s="54"/>
      <c r="AP385" s="54"/>
      <c r="AQ385" s="54"/>
      <c r="AR385" s="54"/>
      <c r="AS385" s="54"/>
      <c r="AT385" s="54"/>
      <c r="AU385" s="54"/>
      <c r="AV385" s="54"/>
      <c r="AW385" s="54"/>
      <c r="AX385" s="54"/>
      <c r="AY385" s="54"/>
      <c r="AZ385" s="54"/>
      <c r="BA385" s="54"/>
      <c r="BB385" s="54"/>
      <c r="BC385" s="54"/>
      <c r="BD385" s="54"/>
      <c r="BE385" s="54"/>
      <c r="BF385" s="54"/>
      <c r="BG385" s="54"/>
      <c r="BH385" s="54"/>
      <c r="BI385" s="54"/>
      <c r="BJ385" s="54"/>
      <c r="BK385" s="54"/>
      <c r="BL385" s="54"/>
    </row>
    <row r="386" spans="1:64" ht="11.25" customHeight="1" x14ac:dyDescent="0.3">
      <c r="A386" s="54"/>
      <c r="B386" s="54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4"/>
      <c r="AI386" s="54"/>
      <c r="AJ386" s="54"/>
      <c r="AK386" s="54"/>
      <c r="AL386" s="54"/>
      <c r="AM386" s="54"/>
      <c r="AN386" s="54"/>
      <c r="AO386" s="54"/>
      <c r="AP386" s="54"/>
      <c r="AQ386" s="54"/>
      <c r="AR386" s="54"/>
      <c r="AS386" s="54"/>
      <c r="AT386" s="54"/>
      <c r="AU386" s="54"/>
      <c r="AV386" s="54"/>
      <c r="AW386" s="54"/>
      <c r="AX386" s="54"/>
      <c r="AY386" s="54"/>
      <c r="AZ386" s="54"/>
      <c r="BA386" s="54"/>
      <c r="BB386" s="54"/>
      <c r="BC386" s="54"/>
      <c r="BD386" s="54"/>
      <c r="BE386" s="54"/>
      <c r="BF386" s="54"/>
      <c r="BG386" s="54"/>
      <c r="BH386" s="54"/>
      <c r="BI386" s="54"/>
      <c r="BJ386" s="54"/>
      <c r="BK386" s="54"/>
      <c r="BL386" s="54"/>
    </row>
    <row r="387" spans="1:64" ht="11.25" customHeight="1" x14ac:dyDescent="0.3">
      <c r="A387" s="54"/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  <c r="AG387" s="54"/>
      <c r="AH387" s="54"/>
      <c r="AI387" s="54"/>
      <c r="AJ387" s="54"/>
      <c r="AK387" s="54"/>
      <c r="AL387" s="54"/>
      <c r="AM387" s="54"/>
      <c r="AN387" s="54"/>
      <c r="AO387" s="54"/>
      <c r="AP387" s="54"/>
      <c r="AQ387" s="54"/>
      <c r="AR387" s="54"/>
      <c r="AS387" s="54"/>
      <c r="AT387" s="54"/>
      <c r="AU387" s="54"/>
      <c r="AV387" s="54"/>
      <c r="AW387" s="54"/>
      <c r="AX387" s="54"/>
      <c r="AY387" s="54"/>
      <c r="AZ387" s="54"/>
      <c r="BA387" s="54"/>
      <c r="BB387" s="54"/>
      <c r="BC387" s="54"/>
      <c r="BD387" s="54"/>
      <c r="BE387" s="54"/>
      <c r="BF387" s="54"/>
      <c r="BG387" s="54"/>
      <c r="BH387" s="54"/>
      <c r="BI387" s="54"/>
      <c r="BJ387" s="54"/>
      <c r="BK387" s="54"/>
      <c r="BL387" s="54"/>
    </row>
    <row r="388" spans="1:64" ht="11.25" customHeight="1" x14ac:dyDescent="0.3">
      <c r="A388" s="54"/>
      <c r="B388" s="54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4"/>
      <c r="AI388" s="54"/>
      <c r="AJ388" s="54"/>
      <c r="AK388" s="54"/>
      <c r="AL388" s="54"/>
      <c r="AM388" s="54"/>
      <c r="AN388" s="54"/>
      <c r="AO388" s="54"/>
      <c r="AP388" s="54"/>
      <c r="AQ388" s="54"/>
      <c r="AR388" s="54"/>
      <c r="AS388" s="54"/>
      <c r="AT388" s="54"/>
      <c r="AU388" s="54"/>
      <c r="AV388" s="54"/>
      <c r="AW388" s="54"/>
      <c r="AX388" s="54"/>
      <c r="AY388" s="54"/>
      <c r="AZ388" s="54"/>
      <c r="BA388" s="54"/>
      <c r="BB388" s="54"/>
      <c r="BC388" s="54"/>
      <c r="BD388" s="54"/>
      <c r="BE388" s="54"/>
      <c r="BF388" s="54"/>
      <c r="BG388" s="54"/>
      <c r="BH388" s="54"/>
      <c r="BI388" s="54"/>
      <c r="BJ388" s="54"/>
      <c r="BK388" s="54"/>
      <c r="BL388" s="54"/>
    </row>
    <row r="389" spans="1:64" ht="11.25" customHeight="1" x14ac:dyDescent="0.3">
      <c r="A389" s="54"/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4"/>
      <c r="AI389" s="54"/>
      <c r="AJ389" s="54"/>
      <c r="AK389" s="54"/>
      <c r="AL389" s="54"/>
      <c r="AM389" s="54"/>
      <c r="AN389" s="54"/>
      <c r="AO389" s="54"/>
      <c r="AP389" s="54"/>
      <c r="AQ389" s="54"/>
      <c r="AR389" s="54"/>
      <c r="AS389" s="54"/>
      <c r="AT389" s="54"/>
      <c r="AU389" s="54"/>
      <c r="AV389" s="54"/>
      <c r="AW389" s="54"/>
      <c r="AX389" s="54"/>
      <c r="AY389" s="54"/>
      <c r="AZ389" s="54"/>
      <c r="BA389" s="54"/>
      <c r="BB389" s="54"/>
      <c r="BC389" s="54"/>
      <c r="BD389" s="54"/>
      <c r="BE389" s="54"/>
      <c r="BF389" s="54"/>
      <c r="BG389" s="54"/>
      <c r="BH389" s="54"/>
      <c r="BI389" s="54"/>
      <c r="BJ389" s="54"/>
      <c r="BK389" s="54"/>
      <c r="BL389" s="54"/>
    </row>
    <row r="390" spans="1:64" ht="11.25" customHeight="1" x14ac:dyDescent="0.3">
      <c r="A390" s="54"/>
      <c r="B390" s="54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  <c r="AK390" s="54"/>
      <c r="AL390" s="54"/>
      <c r="AM390" s="54"/>
      <c r="AN390" s="54"/>
      <c r="AO390" s="54"/>
      <c r="AP390" s="54"/>
      <c r="AQ390" s="54"/>
      <c r="AR390" s="54"/>
      <c r="AS390" s="54"/>
      <c r="AT390" s="54"/>
      <c r="AU390" s="54"/>
      <c r="AV390" s="54"/>
      <c r="AW390" s="54"/>
      <c r="AX390" s="54"/>
      <c r="AY390" s="54"/>
      <c r="AZ390" s="54"/>
      <c r="BA390" s="54"/>
      <c r="BB390" s="54"/>
      <c r="BC390" s="54"/>
      <c r="BD390" s="54"/>
      <c r="BE390" s="54"/>
      <c r="BF390" s="54"/>
      <c r="BG390" s="54"/>
      <c r="BH390" s="54"/>
      <c r="BI390" s="54"/>
      <c r="BJ390" s="54"/>
      <c r="BK390" s="54"/>
      <c r="BL390" s="54"/>
    </row>
    <row r="391" spans="1:64" ht="11.25" customHeight="1" x14ac:dyDescent="0.3">
      <c r="A391" s="54"/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  <c r="AK391" s="54"/>
      <c r="AL391" s="54"/>
      <c r="AM391" s="54"/>
      <c r="AN391" s="54"/>
      <c r="AO391" s="54"/>
      <c r="AP391" s="54"/>
      <c r="AQ391" s="54"/>
      <c r="AR391" s="54"/>
      <c r="AS391" s="54"/>
      <c r="AT391" s="54"/>
      <c r="AU391" s="54"/>
      <c r="AV391" s="54"/>
      <c r="AW391" s="54"/>
      <c r="AX391" s="54"/>
      <c r="AY391" s="54"/>
      <c r="AZ391" s="54"/>
      <c r="BA391" s="54"/>
      <c r="BB391" s="54"/>
      <c r="BC391" s="54"/>
      <c r="BD391" s="54"/>
      <c r="BE391" s="54"/>
      <c r="BF391" s="54"/>
      <c r="BG391" s="54"/>
      <c r="BH391" s="54"/>
      <c r="BI391" s="54"/>
      <c r="BJ391" s="54"/>
      <c r="BK391" s="54"/>
      <c r="BL391" s="54"/>
    </row>
    <row r="392" spans="1:64" ht="11.25" customHeight="1" x14ac:dyDescent="0.3">
      <c r="A392" s="54"/>
      <c r="B392" s="54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  <c r="AK392" s="54"/>
      <c r="AL392" s="54"/>
      <c r="AM392" s="54"/>
      <c r="AN392" s="54"/>
      <c r="AO392" s="54"/>
      <c r="AP392" s="54"/>
      <c r="AQ392" s="54"/>
      <c r="AR392" s="54"/>
      <c r="AS392" s="54"/>
      <c r="AT392" s="54"/>
      <c r="AU392" s="54"/>
      <c r="AV392" s="54"/>
      <c r="AW392" s="54"/>
      <c r="AX392" s="54"/>
      <c r="AY392" s="54"/>
      <c r="AZ392" s="54"/>
      <c r="BA392" s="54"/>
      <c r="BB392" s="54"/>
      <c r="BC392" s="54"/>
      <c r="BD392" s="54"/>
      <c r="BE392" s="54"/>
      <c r="BF392" s="54"/>
      <c r="BG392" s="54"/>
      <c r="BH392" s="54"/>
      <c r="BI392" s="54"/>
      <c r="BJ392" s="54"/>
      <c r="BK392" s="54"/>
      <c r="BL392" s="54"/>
    </row>
    <row r="393" spans="1:64" ht="11.25" customHeight="1" x14ac:dyDescent="0.3">
      <c r="A393" s="54"/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  <c r="AK393" s="54"/>
      <c r="AL393" s="54"/>
      <c r="AM393" s="54"/>
      <c r="AN393" s="54"/>
      <c r="AO393" s="54"/>
      <c r="AP393" s="54"/>
      <c r="AQ393" s="54"/>
      <c r="AR393" s="54"/>
      <c r="AS393" s="54"/>
      <c r="AT393" s="54"/>
      <c r="AU393" s="54"/>
      <c r="AV393" s="54"/>
      <c r="AW393" s="54"/>
      <c r="AX393" s="54"/>
      <c r="AY393" s="54"/>
      <c r="AZ393" s="54"/>
      <c r="BA393" s="54"/>
      <c r="BB393" s="54"/>
      <c r="BC393" s="54"/>
      <c r="BD393" s="54"/>
      <c r="BE393" s="54"/>
      <c r="BF393" s="54"/>
      <c r="BG393" s="54"/>
      <c r="BH393" s="54"/>
      <c r="BI393" s="54"/>
      <c r="BJ393" s="54"/>
      <c r="BK393" s="54"/>
      <c r="BL393" s="54"/>
    </row>
    <row r="394" spans="1:64" ht="11.25" customHeight="1" x14ac:dyDescent="0.3">
      <c r="A394" s="54"/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  <c r="AK394" s="54"/>
      <c r="AL394" s="54"/>
      <c r="AM394" s="54"/>
      <c r="AN394" s="54"/>
      <c r="AO394" s="54"/>
      <c r="AP394" s="54"/>
      <c r="AQ394" s="54"/>
      <c r="AR394" s="54"/>
      <c r="AS394" s="54"/>
      <c r="AT394" s="54"/>
      <c r="AU394" s="54"/>
      <c r="AV394" s="54"/>
      <c r="AW394" s="54"/>
      <c r="AX394" s="54"/>
      <c r="AY394" s="54"/>
      <c r="AZ394" s="54"/>
      <c r="BA394" s="54"/>
      <c r="BB394" s="54"/>
      <c r="BC394" s="54"/>
      <c r="BD394" s="54"/>
      <c r="BE394" s="54"/>
      <c r="BF394" s="54"/>
      <c r="BG394" s="54"/>
      <c r="BH394" s="54"/>
      <c r="BI394" s="54"/>
      <c r="BJ394" s="54"/>
      <c r="BK394" s="54"/>
      <c r="BL394" s="54"/>
    </row>
    <row r="395" spans="1:64" ht="11.25" customHeight="1" x14ac:dyDescent="0.3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  <c r="AK395" s="54"/>
      <c r="AL395" s="54"/>
      <c r="AM395" s="54"/>
      <c r="AN395" s="54"/>
      <c r="AO395" s="54"/>
      <c r="AP395" s="54"/>
      <c r="AQ395" s="54"/>
      <c r="AR395" s="54"/>
      <c r="AS395" s="54"/>
      <c r="AT395" s="54"/>
      <c r="AU395" s="54"/>
      <c r="AV395" s="54"/>
      <c r="AW395" s="54"/>
      <c r="AX395" s="54"/>
      <c r="AY395" s="54"/>
      <c r="AZ395" s="54"/>
      <c r="BA395" s="54"/>
      <c r="BB395" s="54"/>
      <c r="BC395" s="54"/>
      <c r="BD395" s="54"/>
      <c r="BE395" s="54"/>
      <c r="BF395" s="54"/>
      <c r="BG395" s="54"/>
      <c r="BH395" s="54"/>
      <c r="BI395" s="54"/>
      <c r="BJ395" s="54"/>
      <c r="BK395" s="54"/>
      <c r="BL395" s="54"/>
    </row>
    <row r="396" spans="1:64" ht="11.25" customHeight="1" x14ac:dyDescent="0.3">
      <c r="A396" s="54"/>
      <c r="B396" s="54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4"/>
      <c r="AI396" s="54"/>
      <c r="AJ396" s="54"/>
      <c r="AK396" s="54"/>
      <c r="AL396" s="54"/>
      <c r="AM396" s="54"/>
      <c r="AN396" s="54"/>
      <c r="AO396" s="54"/>
      <c r="AP396" s="54"/>
      <c r="AQ396" s="54"/>
      <c r="AR396" s="54"/>
      <c r="AS396" s="54"/>
      <c r="AT396" s="54"/>
      <c r="AU396" s="54"/>
      <c r="AV396" s="54"/>
      <c r="AW396" s="54"/>
      <c r="AX396" s="54"/>
      <c r="AY396" s="54"/>
      <c r="AZ396" s="54"/>
      <c r="BA396" s="54"/>
      <c r="BB396" s="54"/>
      <c r="BC396" s="54"/>
      <c r="BD396" s="54"/>
      <c r="BE396" s="54"/>
      <c r="BF396" s="54"/>
      <c r="BG396" s="54"/>
      <c r="BH396" s="54"/>
      <c r="BI396" s="54"/>
      <c r="BJ396" s="54"/>
      <c r="BK396" s="54"/>
      <c r="BL396" s="54"/>
    </row>
    <row r="397" spans="1:64" ht="11.25" customHeight="1" x14ac:dyDescent="0.3">
      <c r="A397" s="54"/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  <c r="AK397" s="54"/>
      <c r="AL397" s="54"/>
      <c r="AM397" s="54"/>
      <c r="AN397" s="54"/>
      <c r="AO397" s="54"/>
      <c r="AP397" s="54"/>
      <c r="AQ397" s="54"/>
      <c r="AR397" s="54"/>
      <c r="AS397" s="54"/>
      <c r="AT397" s="54"/>
      <c r="AU397" s="54"/>
      <c r="AV397" s="54"/>
      <c r="AW397" s="54"/>
      <c r="AX397" s="54"/>
      <c r="AY397" s="54"/>
      <c r="AZ397" s="54"/>
      <c r="BA397" s="54"/>
      <c r="BB397" s="54"/>
      <c r="BC397" s="54"/>
      <c r="BD397" s="54"/>
      <c r="BE397" s="54"/>
      <c r="BF397" s="54"/>
      <c r="BG397" s="54"/>
      <c r="BH397" s="54"/>
      <c r="BI397" s="54"/>
      <c r="BJ397" s="54"/>
      <c r="BK397" s="54"/>
      <c r="BL397" s="54"/>
    </row>
    <row r="398" spans="1:64" ht="11.25" customHeight="1" x14ac:dyDescent="0.3">
      <c r="A398" s="54"/>
      <c r="B398" s="54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  <c r="AK398" s="54"/>
      <c r="AL398" s="54"/>
      <c r="AM398" s="54"/>
      <c r="AN398" s="54"/>
      <c r="AO398" s="54"/>
      <c r="AP398" s="54"/>
      <c r="AQ398" s="54"/>
      <c r="AR398" s="54"/>
      <c r="AS398" s="54"/>
      <c r="AT398" s="54"/>
      <c r="AU398" s="54"/>
      <c r="AV398" s="54"/>
      <c r="AW398" s="54"/>
      <c r="AX398" s="54"/>
      <c r="AY398" s="54"/>
      <c r="AZ398" s="54"/>
      <c r="BA398" s="54"/>
      <c r="BB398" s="54"/>
      <c r="BC398" s="54"/>
      <c r="BD398" s="54"/>
      <c r="BE398" s="54"/>
      <c r="BF398" s="54"/>
      <c r="BG398" s="54"/>
      <c r="BH398" s="54"/>
      <c r="BI398" s="54"/>
      <c r="BJ398" s="54"/>
      <c r="BK398" s="54"/>
      <c r="BL398" s="54"/>
    </row>
    <row r="399" spans="1:64" ht="11.25" customHeight="1" x14ac:dyDescent="0.3">
      <c r="A399" s="54"/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  <c r="AK399" s="54"/>
      <c r="AL399" s="54"/>
      <c r="AM399" s="54"/>
      <c r="AN399" s="54"/>
      <c r="AO399" s="54"/>
      <c r="AP399" s="54"/>
      <c r="AQ399" s="54"/>
      <c r="AR399" s="54"/>
      <c r="AS399" s="54"/>
      <c r="AT399" s="54"/>
      <c r="AU399" s="54"/>
      <c r="AV399" s="54"/>
      <c r="AW399" s="54"/>
      <c r="AX399" s="54"/>
      <c r="AY399" s="54"/>
      <c r="AZ399" s="54"/>
      <c r="BA399" s="54"/>
      <c r="BB399" s="54"/>
      <c r="BC399" s="54"/>
      <c r="BD399" s="54"/>
      <c r="BE399" s="54"/>
      <c r="BF399" s="54"/>
      <c r="BG399" s="54"/>
      <c r="BH399" s="54"/>
      <c r="BI399" s="54"/>
      <c r="BJ399" s="54"/>
      <c r="BK399" s="54"/>
      <c r="BL399" s="54"/>
    </row>
    <row r="400" spans="1:64" ht="11.25" customHeight="1" x14ac:dyDescent="0.3">
      <c r="A400" s="54"/>
      <c r="B400" s="54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  <c r="AK400" s="54"/>
      <c r="AL400" s="54"/>
      <c r="AM400" s="54"/>
      <c r="AN400" s="54"/>
      <c r="AO400" s="54"/>
      <c r="AP400" s="54"/>
      <c r="AQ400" s="54"/>
      <c r="AR400" s="54"/>
      <c r="AS400" s="54"/>
      <c r="AT400" s="54"/>
      <c r="AU400" s="54"/>
      <c r="AV400" s="54"/>
      <c r="AW400" s="54"/>
      <c r="AX400" s="54"/>
      <c r="AY400" s="54"/>
      <c r="AZ400" s="54"/>
      <c r="BA400" s="54"/>
      <c r="BB400" s="54"/>
      <c r="BC400" s="54"/>
      <c r="BD400" s="54"/>
      <c r="BE400" s="54"/>
      <c r="BF400" s="54"/>
      <c r="BG400" s="54"/>
      <c r="BH400" s="54"/>
      <c r="BI400" s="54"/>
      <c r="BJ400" s="54"/>
      <c r="BK400" s="54"/>
      <c r="BL400" s="54"/>
    </row>
    <row r="401" spans="1:64" ht="11.25" customHeight="1" x14ac:dyDescent="0.3">
      <c r="A401" s="54"/>
      <c r="B401" s="54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4"/>
      <c r="AI401" s="54"/>
      <c r="AJ401" s="54"/>
      <c r="AK401" s="54"/>
      <c r="AL401" s="54"/>
      <c r="AM401" s="54"/>
      <c r="AN401" s="54"/>
      <c r="AO401" s="54"/>
      <c r="AP401" s="54"/>
      <c r="AQ401" s="54"/>
      <c r="AR401" s="54"/>
      <c r="AS401" s="54"/>
      <c r="AT401" s="54"/>
      <c r="AU401" s="54"/>
      <c r="AV401" s="54"/>
      <c r="AW401" s="54"/>
      <c r="AX401" s="54"/>
      <c r="AY401" s="54"/>
      <c r="AZ401" s="54"/>
      <c r="BA401" s="54"/>
      <c r="BB401" s="54"/>
      <c r="BC401" s="54"/>
      <c r="BD401" s="54"/>
      <c r="BE401" s="54"/>
      <c r="BF401" s="54"/>
      <c r="BG401" s="54"/>
      <c r="BH401" s="54"/>
      <c r="BI401" s="54"/>
      <c r="BJ401" s="54"/>
      <c r="BK401" s="54"/>
      <c r="BL401" s="54"/>
    </row>
    <row r="402" spans="1:64" ht="11.25" customHeight="1" x14ac:dyDescent="0.3">
      <c r="A402" s="54"/>
      <c r="B402" s="54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4"/>
      <c r="AI402" s="54"/>
      <c r="AJ402" s="54"/>
      <c r="AK402" s="54"/>
      <c r="AL402" s="54"/>
      <c r="AM402" s="54"/>
      <c r="AN402" s="54"/>
      <c r="AO402" s="54"/>
      <c r="AP402" s="54"/>
      <c r="AQ402" s="54"/>
      <c r="AR402" s="54"/>
      <c r="AS402" s="54"/>
      <c r="AT402" s="54"/>
      <c r="AU402" s="54"/>
      <c r="AV402" s="54"/>
      <c r="AW402" s="54"/>
      <c r="AX402" s="54"/>
      <c r="AY402" s="54"/>
      <c r="AZ402" s="54"/>
      <c r="BA402" s="54"/>
      <c r="BB402" s="54"/>
      <c r="BC402" s="54"/>
      <c r="BD402" s="54"/>
      <c r="BE402" s="54"/>
      <c r="BF402" s="54"/>
      <c r="BG402" s="54"/>
      <c r="BH402" s="54"/>
      <c r="BI402" s="54"/>
      <c r="BJ402" s="54"/>
      <c r="BK402" s="54"/>
      <c r="BL402" s="54"/>
    </row>
    <row r="403" spans="1:64" ht="11.25" customHeight="1" x14ac:dyDescent="0.3">
      <c r="A403" s="54"/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  <c r="AG403" s="54"/>
      <c r="AH403" s="54"/>
      <c r="AI403" s="54"/>
      <c r="AJ403" s="54"/>
      <c r="AK403" s="54"/>
      <c r="AL403" s="54"/>
      <c r="AM403" s="54"/>
      <c r="AN403" s="54"/>
      <c r="AO403" s="54"/>
      <c r="AP403" s="54"/>
      <c r="AQ403" s="54"/>
      <c r="AR403" s="54"/>
      <c r="AS403" s="54"/>
      <c r="AT403" s="54"/>
      <c r="AU403" s="54"/>
      <c r="AV403" s="54"/>
      <c r="AW403" s="54"/>
      <c r="AX403" s="54"/>
      <c r="AY403" s="54"/>
      <c r="AZ403" s="54"/>
      <c r="BA403" s="54"/>
      <c r="BB403" s="54"/>
      <c r="BC403" s="54"/>
      <c r="BD403" s="54"/>
      <c r="BE403" s="54"/>
      <c r="BF403" s="54"/>
      <c r="BG403" s="54"/>
      <c r="BH403" s="54"/>
      <c r="BI403" s="54"/>
      <c r="BJ403" s="54"/>
      <c r="BK403" s="54"/>
      <c r="BL403" s="54"/>
    </row>
    <row r="404" spans="1:64" ht="11.25" customHeight="1" x14ac:dyDescent="0.3">
      <c r="A404" s="54"/>
      <c r="B404" s="54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  <c r="AG404" s="54"/>
      <c r="AH404" s="54"/>
      <c r="AI404" s="54"/>
      <c r="AJ404" s="54"/>
      <c r="AK404" s="54"/>
      <c r="AL404" s="54"/>
      <c r="AM404" s="54"/>
      <c r="AN404" s="54"/>
      <c r="AO404" s="54"/>
      <c r="AP404" s="54"/>
      <c r="AQ404" s="54"/>
      <c r="AR404" s="54"/>
      <c r="AS404" s="54"/>
      <c r="AT404" s="54"/>
      <c r="AU404" s="54"/>
      <c r="AV404" s="54"/>
      <c r="AW404" s="54"/>
      <c r="AX404" s="54"/>
      <c r="AY404" s="54"/>
      <c r="AZ404" s="54"/>
      <c r="BA404" s="54"/>
      <c r="BB404" s="54"/>
      <c r="BC404" s="54"/>
      <c r="BD404" s="54"/>
      <c r="BE404" s="54"/>
      <c r="BF404" s="54"/>
      <c r="BG404" s="54"/>
      <c r="BH404" s="54"/>
      <c r="BI404" s="54"/>
      <c r="BJ404" s="54"/>
      <c r="BK404" s="54"/>
      <c r="BL404" s="54"/>
    </row>
    <row r="405" spans="1:64" ht="11.25" customHeight="1" x14ac:dyDescent="0.3">
      <c r="A405" s="54"/>
      <c r="B405" s="54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4"/>
      <c r="AI405" s="54"/>
      <c r="AJ405" s="54"/>
      <c r="AK405" s="54"/>
      <c r="AL405" s="54"/>
      <c r="AM405" s="54"/>
      <c r="AN405" s="54"/>
      <c r="AO405" s="54"/>
      <c r="AP405" s="54"/>
      <c r="AQ405" s="54"/>
      <c r="AR405" s="54"/>
      <c r="AS405" s="54"/>
      <c r="AT405" s="54"/>
      <c r="AU405" s="54"/>
      <c r="AV405" s="54"/>
      <c r="AW405" s="54"/>
      <c r="AX405" s="54"/>
      <c r="AY405" s="54"/>
      <c r="AZ405" s="54"/>
      <c r="BA405" s="54"/>
      <c r="BB405" s="54"/>
      <c r="BC405" s="54"/>
      <c r="BD405" s="54"/>
      <c r="BE405" s="54"/>
      <c r="BF405" s="54"/>
      <c r="BG405" s="54"/>
      <c r="BH405" s="54"/>
      <c r="BI405" s="54"/>
      <c r="BJ405" s="54"/>
      <c r="BK405" s="54"/>
      <c r="BL405" s="54"/>
    </row>
    <row r="406" spans="1:64" ht="11.25" customHeight="1" x14ac:dyDescent="0.3">
      <c r="A406" s="54"/>
      <c r="B406" s="54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4"/>
      <c r="AI406" s="54"/>
      <c r="AJ406" s="54"/>
      <c r="AK406" s="54"/>
      <c r="AL406" s="54"/>
      <c r="AM406" s="54"/>
      <c r="AN406" s="54"/>
      <c r="AO406" s="54"/>
      <c r="AP406" s="54"/>
      <c r="AQ406" s="54"/>
      <c r="AR406" s="54"/>
      <c r="AS406" s="54"/>
      <c r="AT406" s="54"/>
      <c r="AU406" s="54"/>
      <c r="AV406" s="54"/>
      <c r="AW406" s="54"/>
      <c r="AX406" s="54"/>
      <c r="AY406" s="54"/>
      <c r="AZ406" s="54"/>
      <c r="BA406" s="54"/>
      <c r="BB406" s="54"/>
      <c r="BC406" s="54"/>
      <c r="BD406" s="54"/>
      <c r="BE406" s="54"/>
      <c r="BF406" s="54"/>
      <c r="BG406" s="54"/>
      <c r="BH406" s="54"/>
      <c r="BI406" s="54"/>
      <c r="BJ406" s="54"/>
      <c r="BK406" s="54"/>
      <c r="BL406" s="54"/>
    </row>
    <row r="407" spans="1:64" ht="11.25" customHeight="1" x14ac:dyDescent="0.3">
      <c r="A407" s="54"/>
      <c r="B407" s="54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4"/>
      <c r="AI407" s="54"/>
      <c r="AJ407" s="54"/>
      <c r="AK407" s="54"/>
      <c r="AL407" s="54"/>
      <c r="AM407" s="54"/>
      <c r="AN407" s="54"/>
      <c r="AO407" s="54"/>
      <c r="AP407" s="54"/>
      <c r="AQ407" s="54"/>
      <c r="AR407" s="54"/>
      <c r="AS407" s="54"/>
      <c r="AT407" s="54"/>
      <c r="AU407" s="54"/>
      <c r="AV407" s="54"/>
      <c r="AW407" s="54"/>
      <c r="AX407" s="54"/>
      <c r="AY407" s="54"/>
      <c r="AZ407" s="54"/>
      <c r="BA407" s="54"/>
      <c r="BB407" s="54"/>
      <c r="BC407" s="54"/>
      <c r="BD407" s="54"/>
      <c r="BE407" s="54"/>
      <c r="BF407" s="54"/>
      <c r="BG407" s="54"/>
      <c r="BH407" s="54"/>
      <c r="BI407" s="54"/>
      <c r="BJ407" s="54"/>
      <c r="BK407" s="54"/>
      <c r="BL407" s="54"/>
    </row>
    <row r="408" spans="1:64" ht="11.25" customHeight="1" x14ac:dyDescent="0.3">
      <c r="A408" s="54"/>
      <c r="B408" s="54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4"/>
      <c r="AI408" s="54"/>
      <c r="AJ408" s="54"/>
      <c r="AK408" s="54"/>
      <c r="AL408" s="54"/>
      <c r="AM408" s="54"/>
      <c r="AN408" s="54"/>
      <c r="AO408" s="54"/>
      <c r="AP408" s="54"/>
      <c r="AQ408" s="54"/>
      <c r="AR408" s="54"/>
      <c r="AS408" s="54"/>
      <c r="AT408" s="54"/>
      <c r="AU408" s="54"/>
      <c r="AV408" s="54"/>
      <c r="AW408" s="54"/>
      <c r="AX408" s="54"/>
      <c r="AY408" s="54"/>
      <c r="AZ408" s="54"/>
      <c r="BA408" s="54"/>
      <c r="BB408" s="54"/>
      <c r="BC408" s="54"/>
      <c r="BD408" s="54"/>
      <c r="BE408" s="54"/>
      <c r="BF408" s="54"/>
      <c r="BG408" s="54"/>
      <c r="BH408" s="54"/>
      <c r="BI408" s="54"/>
      <c r="BJ408" s="54"/>
      <c r="BK408" s="54"/>
      <c r="BL408" s="54"/>
    </row>
    <row r="409" spans="1:64" ht="11.25" customHeight="1" x14ac:dyDescent="0.3">
      <c r="A409" s="54"/>
      <c r="B409" s="54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4"/>
      <c r="AI409" s="54"/>
      <c r="AJ409" s="54"/>
      <c r="AK409" s="54"/>
      <c r="AL409" s="54"/>
      <c r="AM409" s="54"/>
      <c r="AN409" s="54"/>
      <c r="AO409" s="54"/>
      <c r="AP409" s="54"/>
      <c r="AQ409" s="54"/>
      <c r="AR409" s="54"/>
      <c r="AS409" s="54"/>
      <c r="AT409" s="54"/>
      <c r="AU409" s="54"/>
      <c r="AV409" s="54"/>
      <c r="AW409" s="54"/>
      <c r="AX409" s="54"/>
      <c r="AY409" s="54"/>
      <c r="AZ409" s="54"/>
      <c r="BA409" s="54"/>
      <c r="BB409" s="54"/>
      <c r="BC409" s="54"/>
      <c r="BD409" s="54"/>
      <c r="BE409" s="54"/>
      <c r="BF409" s="54"/>
      <c r="BG409" s="54"/>
      <c r="BH409" s="54"/>
      <c r="BI409" s="54"/>
      <c r="BJ409" s="54"/>
      <c r="BK409" s="54"/>
      <c r="BL409" s="54"/>
    </row>
    <row r="410" spans="1:64" ht="11.25" customHeight="1" x14ac:dyDescent="0.3">
      <c r="A410" s="54"/>
      <c r="B410" s="54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4"/>
      <c r="AI410" s="54"/>
      <c r="AJ410" s="54"/>
      <c r="AK410" s="54"/>
      <c r="AL410" s="54"/>
      <c r="AM410" s="54"/>
      <c r="AN410" s="54"/>
      <c r="AO410" s="54"/>
      <c r="AP410" s="54"/>
      <c r="AQ410" s="54"/>
      <c r="AR410" s="54"/>
      <c r="AS410" s="54"/>
      <c r="AT410" s="54"/>
      <c r="AU410" s="54"/>
      <c r="AV410" s="54"/>
      <c r="AW410" s="54"/>
      <c r="AX410" s="54"/>
      <c r="AY410" s="54"/>
      <c r="AZ410" s="54"/>
      <c r="BA410" s="54"/>
      <c r="BB410" s="54"/>
      <c r="BC410" s="54"/>
      <c r="BD410" s="54"/>
      <c r="BE410" s="54"/>
      <c r="BF410" s="54"/>
      <c r="BG410" s="54"/>
      <c r="BH410" s="54"/>
      <c r="BI410" s="54"/>
      <c r="BJ410" s="54"/>
      <c r="BK410" s="54"/>
      <c r="BL410" s="54"/>
    </row>
    <row r="411" spans="1:64" ht="11.25" customHeight="1" x14ac:dyDescent="0.3">
      <c r="A411" s="54"/>
      <c r="B411" s="54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4"/>
      <c r="AI411" s="54"/>
      <c r="AJ411" s="54"/>
      <c r="AK411" s="54"/>
      <c r="AL411" s="54"/>
      <c r="AM411" s="54"/>
      <c r="AN411" s="54"/>
      <c r="AO411" s="54"/>
      <c r="AP411" s="54"/>
      <c r="AQ411" s="54"/>
      <c r="AR411" s="54"/>
      <c r="AS411" s="54"/>
      <c r="AT411" s="54"/>
      <c r="AU411" s="54"/>
      <c r="AV411" s="54"/>
      <c r="AW411" s="54"/>
      <c r="AX411" s="54"/>
      <c r="AY411" s="54"/>
      <c r="AZ411" s="54"/>
      <c r="BA411" s="54"/>
      <c r="BB411" s="54"/>
      <c r="BC411" s="54"/>
      <c r="BD411" s="54"/>
      <c r="BE411" s="54"/>
      <c r="BF411" s="54"/>
      <c r="BG411" s="54"/>
      <c r="BH411" s="54"/>
      <c r="BI411" s="54"/>
      <c r="BJ411" s="54"/>
      <c r="BK411" s="54"/>
      <c r="BL411" s="54"/>
    </row>
    <row r="412" spans="1:64" ht="11.25" customHeight="1" x14ac:dyDescent="0.3">
      <c r="A412" s="54"/>
      <c r="B412" s="54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4"/>
      <c r="AI412" s="54"/>
      <c r="AJ412" s="54"/>
      <c r="AK412" s="54"/>
      <c r="AL412" s="54"/>
      <c r="AM412" s="54"/>
      <c r="AN412" s="54"/>
      <c r="AO412" s="54"/>
      <c r="AP412" s="54"/>
      <c r="AQ412" s="54"/>
      <c r="AR412" s="54"/>
      <c r="AS412" s="54"/>
      <c r="AT412" s="54"/>
      <c r="AU412" s="54"/>
      <c r="AV412" s="54"/>
      <c r="AW412" s="54"/>
      <c r="AX412" s="54"/>
      <c r="AY412" s="54"/>
      <c r="AZ412" s="54"/>
      <c r="BA412" s="54"/>
      <c r="BB412" s="54"/>
      <c r="BC412" s="54"/>
      <c r="BD412" s="54"/>
      <c r="BE412" s="54"/>
      <c r="BF412" s="54"/>
      <c r="BG412" s="54"/>
      <c r="BH412" s="54"/>
      <c r="BI412" s="54"/>
      <c r="BJ412" s="54"/>
      <c r="BK412" s="54"/>
      <c r="BL412" s="54"/>
    </row>
    <row r="413" spans="1:64" ht="11.25" customHeight="1" x14ac:dyDescent="0.3">
      <c r="A413" s="54"/>
      <c r="B413" s="54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4"/>
      <c r="AI413" s="54"/>
      <c r="AJ413" s="54"/>
      <c r="AK413" s="54"/>
      <c r="AL413" s="54"/>
      <c r="AM413" s="54"/>
      <c r="AN413" s="54"/>
      <c r="AO413" s="54"/>
      <c r="AP413" s="54"/>
      <c r="AQ413" s="54"/>
      <c r="AR413" s="54"/>
      <c r="AS413" s="54"/>
      <c r="AT413" s="54"/>
      <c r="AU413" s="54"/>
      <c r="AV413" s="54"/>
      <c r="AW413" s="54"/>
      <c r="AX413" s="54"/>
      <c r="AY413" s="54"/>
      <c r="AZ413" s="54"/>
      <c r="BA413" s="54"/>
      <c r="BB413" s="54"/>
      <c r="BC413" s="54"/>
      <c r="BD413" s="54"/>
      <c r="BE413" s="54"/>
      <c r="BF413" s="54"/>
      <c r="BG413" s="54"/>
      <c r="BH413" s="54"/>
      <c r="BI413" s="54"/>
      <c r="BJ413" s="54"/>
      <c r="BK413" s="54"/>
      <c r="BL413" s="54"/>
    </row>
    <row r="414" spans="1:64" ht="11.25" customHeight="1" x14ac:dyDescent="0.3">
      <c r="A414" s="54"/>
      <c r="B414" s="54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4"/>
      <c r="AI414" s="54"/>
      <c r="AJ414" s="54"/>
      <c r="AK414" s="54"/>
      <c r="AL414" s="54"/>
      <c r="AM414" s="54"/>
      <c r="AN414" s="54"/>
      <c r="AO414" s="54"/>
      <c r="AP414" s="54"/>
      <c r="AQ414" s="54"/>
      <c r="AR414" s="54"/>
      <c r="AS414" s="54"/>
      <c r="AT414" s="54"/>
      <c r="AU414" s="54"/>
      <c r="AV414" s="54"/>
      <c r="AW414" s="54"/>
      <c r="AX414" s="54"/>
      <c r="AY414" s="54"/>
      <c r="AZ414" s="54"/>
      <c r="BA414" s="54"/>
      <c r="BB414" s="54"/>
      <c r="BC414" s="54"/>
      <c r="BD414" s="54"/>
      <c r="BE414" s="54"/>
      <c r="BF414" s="54"/>
      <c r="BG414" s="54"/>
      <c r="BH414" s="54"/>
      <c r="BI414" s="54"/>
      <c r="BJ414" s="54"/>
      <c r="BK414" s="54"/>
      <c r="BL414" s="54"/>
    </row>
    <row r="415" spans="1:64" ht="11.25" customHeight="1" x14ac:dyDescent="0.3">
      <c r="A415" s="54"/>
      <c r="B415" s="54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4"/>
      <c r="AI415" s="54"/>
      <c r="AJ415" s="54"/>
      <c r="AK415" s="54"/>
      <c r="AL415" s="54"/>
      <c r="AM415" s="54"/>
      <c r="AN415" s="54"/>
      <c r="AO415" s="54"/>
      <c r="AP415" s="54"/>
      <c r="AQ415" s="54"/>
      <c r="AR415" s="54"/>
      <c r="AS415" s="54"/>
      <c r="AT415" s="54"/>
      <c r="AU415" s="54"/>
      <c r="AV415" s="54"/>
      <c r="AW415" s="54"/>
      <c r="AX415" s="54"/>
      <c r="AY415" s="54"/>
      <c r="AZ415" s="54"/>
      <c r="BA415" s="54"/>
      <c r="BB415" s="54"/>
      <c r="BC415" s="54"/>
      <c r="BD415" s="54"/>
      <c r="BE415" s="54"/>
      <c r="BF415" s="54"/>
      <c r="BG415" s="54"/>
      <c r="BH415" s="54"/>
      <c r="BI415" s="54"/>
      <c r="BJ415" s="54"/>
      <c r="BK415" s="54"/>
      <c r="BL415" s="54"/>
    </row>
    <row r="416" spans="1:64" ht="11.25" customHeight="1" x14ac:dyDescent="0.3">
      <c r="A416" s="54"/>
      <c r="B416" s="54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4"/>
      <c r="AI416" s="54"/>
      <c r="AJ416" s="54"/>
      <c r="AK416" s="54"/>
      <c r="AL416" s="54"/>
      <c r="AM416" s="54"/>
      <c r="AN416" s="54"/>
      <c r="AO416" s="54"/>
      <c r="AP416" s="54"/>
      <c r="AQ416" s="54"/>
      <c r="AR416" s="54"/>
      <c r="AS416" s="54"/>
      <c r="AT416" s="54"/>
      <c r="AU416" s="54"/>
      <c r="AV416" s="54"/>
      <c r="AW416" s="54"/>
      <c r="AX416" s="54"/>
      <c r="AY416" s="54"/>
      <c r="AZ416" s="54"/>
      <c r="BA416" s="54"/>
      <c r="BB416" s="54"/>
      <c r="BC416" s="54"/>
      <c r="BD416" s="54"/>
      <c r="BE416" s="54"/>
      <c r="BF416" s="54"/>
      <c r="BG416" s="54"/>
      <c r="BH416" s="54"/>
      <c r="BI416" s="54"/>
      <c r="BJ416" s="54"/>
      <c r="BK416" s="54"/>
      <c r="BL416" s="54"/>
    </row>
    <row r="417" spans="1:64" ht="11.25" customHeight="1" x14ac:dyDescent="0.3">
      <c r="A417" s="54"/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4"/>
      <c r="AI417" s="54"/>
      <c r="AJ417" s="54"/>
      <c r="AK417" s="54"/>
      <c r="AL417" s="54"/>
      <c r="AM417" s="54"/>
      <c r="AN417" s="54"/>
      <c r="AO417" s="54"/>
      <c r="AP417" s="54"/>
      <c r="AQ417" s="54"/>
      <c r="AR417" s="54"/>
      <c r="AS417" s="54"/>
      <c r="AT417" s="54"/>
      <c r="AU417" s="54"/>
      <c r="AV417" s="54"/>
      <c r="AW417" s="54"/>
      <c r="AX417" s="54"/>
      <c r="AY417" s="54"/>
      <c r="AZ417" s="54"/>
      <c r="BA417" s="54"/>
      <c r="BB417" s="54"/>
      <c r="BC417" s="54"/>
      <c r="BD417" s="54"/>
      <c r="BE417" s="54"/>
      <c r="BF417" s="54"/>
      <c r="BG417" s="54"/>
      <c r="BH417" s="54"/>
      <c r="BI417" s="54"/>
      <c r="BJ417" s="54"/>
      <c r="BK417" s="54"/>
      <c r="BL417" s="54"/>
    </row>
    <row r="418" spans="1:64" ht="11.25" customHeight="1" x14ac:dyDescent="0.3">
      <c r="A418" s="54"/>
      <c r="B418" s="54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4"/>
      <c r="AI418" s="54"/>
      <c r="AJ418" s="54"/>
      <c r="AK418" s="54"/>
      <c r="AL418" s="54"/>
      <c r="AM418" s="54"/>
      <c r="AN418" s="54"/>
      <c r="AO418" s="54"/>
      <c r="AP418" s="54"/>
      <c r="AQ418" s="54"/>
      <c r="AR418" s="54"/>
      <c r="AS418" s="54"/>
      <c r="AT418" s="54"/>
      <c r="AU418" s="54"/>
      <c r="AV418" s="54"/>
      <c r="AW418" s="54"/>
      <c r="AX418" s="54"/>
      <c r="AY418" s="54"/>
      <c r="AZ418" s="54"/>
      <c r="BA418" s="54"/>
      <c r="BB418" s="54"/>
      <c r="BC418" s="54"/>
      <c r="BD418" s="54"/>
      <c r="BE418" s="54"/>
      <c r="BF418" s="54"/>
      <c r="BG418" s="54"/>
      <c r="BH418" s="54"/>
      <c r="BI418" s="54"/>
      <c r="BJ418" s="54"/>
      <c r="BK418" s="54"/>
      <c r="BL418" s="54"/>
    </row>
    <row r="419" spans="1:64" ht="11.25" customHeight="1" x14ac:dyDescent="0.3">
      <c r="A419" s="54"/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  <c r="AG419" s="54"/>
      <c r="AH419" s="54"/>
      <c r="AI419" s="54"/>
      <c r="AJ419" s="54"/>
      <c r="AK419" s="54"/>
      <c r="AL419" s="54"/>
      <c r="AM419" s="54"/>
      <c r="AN419" s="54"/>
      <c r="AO419" s="54"/>
      <c r="AP419" s="54"/>
      <c r="AQ419" s="54"/>
      <c r="AR419" s="54"/>
      <c r="AS419" s="54"/>
      <c r="AT419" s="54"/>
      <c r="AU419" s="54"/>
      <c r="AV419" s="54"/>
      <c r="AW419" s="54"/>
      <c r="AX419" s="54"/>
      <c r="AY419" s="54"/>
      <c r="AZ419" s="54"/>
      <c r="BA419" s="54"/>
      <c r="BB419" s="54"/>
      <c r="BC419" s="54"/>
      <c r="BD419" s="54"/>
      <c r="BE419" s="54"/>
      <c r="BF419" s="54"/>
      <c r="BG419" s="54"/>
      <c r="BH419" s="54"/>
      <c r="BI419" s="54"/>
      <c r="BJ419" s="54"/>
      <c r="BK419" s="54"/>
      <c r="BL419" s="54"/>
    </row>
    <row r="420" spans="1:64" ht="11.25" customHeight="1" x14ac:dyDescent="0.3">
      <c r="A420" s="54"/>
      <c r="B420" s="54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  <c r="AG420" s="54"/>
      <c r="AH420" s="54"/>
      <c r="AI420" s="54"/>
      <c r="AJ420" s="54"/>
      <c r="AK420" s="54"/>
      <c r="AL420" s="54"/>
      <c r="AM420" s="54"/>
      <c r="AN420" s="54"/>
      <c r="AO420" s="54"/>
      <c r="AP420" s="54"/>
      <c r="AQ420" s="54"/>
      <c r="AR420" s="54"/>
      <c r="AS420" s="54"/>
      <c r="AT420" s="54"/>
      <c r="AU420" s="54"/>
      <c r="AV420" s="54"/>
      <c r="AW420" s="54"/>
      <c r="AX420" s="54"/>
      <c r="AY420" s="54"/>
      <c r="AZ420" s="54"/>
      <c r="BA420" s="54"/>
      <c r="BB420" s="54"/>
      <c r="BC420" s="54"/>
      <c r="BD420" s="54"/>
      <c r="BE420" s="54"/>
      <c r="BF420" s="54"/>
      <c r="BG420" s="54"/>
      <c r="BH420" s="54"/>
      <c r="BI420" s="54"/>
      <c r="BJ420" s="54"/>
      <c r="BK420" s="54"/>
      <c r="BL420" s="54"/>
    </row>
    <row r="421" spans="1:64" ht="11.25" customHeight="1" x14ac:dyDescent="0.3">
      <c r="A421" s="54"/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4"/>
      <c r="AI421" s="54"/>
      <c r="AJ421" s="54"/>
      <c r="AK421" s="54"/>
      <c r="AL421" s="54"/>
      <c r="AM421" s="54"/>
      <c r="AN421" s="54"/>
      <c r="AO421" s="54"/>
      <c r="AP421" s="54"/>
      <c r="AQ421" s="54"/>
      <c r="AR421" s="54"/>
      <c r="AS421" s="54"/>
      <c r="AT421" s="54"/>
      <c r="AU421" s="54"/>
      <c r="AV421" s="54"/>
      <c r="AW421" s="54"/>
      <c r="AX421" s="54"/>
      <c r="AY421" s="54"/>
      <c r="AZ421" s="54"/>
      <c r="BA421" s="54"/>
      <c r="BB421" s="54"/>
      <c r="BC421" s="54"/>
      <c r="BD421" s="54"/>
      <c r="BE421" s="54"/>
      <c r="BF421" s="54"/>
      <c r="BG421" s="54"/>
      <c r="BH421" s="54"/>
      <c r="BI421" s="54"/>
      <c r="BJ421" s="54"/>
      <c r="BK421" s="54"/>
      <c r="BL421" s="54"/>
    </row>
    <row r="422" spans="1:64" ht="11.25" customHeight="1" x14ac:dyDescent="0.3">
      <c r="A422" s="54"/>
      <c r="B422" s="54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4"/>
      <c r="AI422" s="54"/>
      <c r="AJ422" s="54"/>
      <c r="AK422" s="54"/>
      <c r="AL422" s="54"/>
      <c r="AM422" s="54"/>
      <c r="AN422" s="54"/>
      <c r="AO422" s="54"/>
      <c r="AP422" s="54"/>
      <c r="AQ422" s="54"/>
      <c r="AR422" s="54"/>
      <c r="AS422" s="54"/>
      <c r="AT422" s="54"/>
      <c r="AU422" s="54"/>
      <c r="AV422" s="54"/>
      <c r="AW422" s="54"/>
      <c r="AX422" s="54"/>
      <c r="AY422" s="54"/>
      <c r="AZ422" s="54"/>
      <c r="BA422" s="54"/>
      <c r="BB422" s="54"/>
      <c r="BC422" s="54"/>
      <c r="BD422" s="54"/>
      <c r="BE422" s="54"/>
      <c r="BF422" s="54"/>
      <c r="BG422" s="54"/>
      <c r="BH422" s="54"/>
      <c r="BI422" s="54"/>
      <c r="BJ422" s="54"/>
      <c r="BK422" s="54"/>
      <c r="BL422" s="54"/>
    </row>
    <row r="423" spans="1:64" ht="11.25" customHeight="1" x14ac:dyDescent="0.3">
      <c r="A423" s="54"/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4"/>
      <c r="AI423" s="54"/>
      <c r="AJ423" s="54"/>
      <c r="AK423" s="54"/>
      <c r="AL423" s="54"/>
      <c r="AM423" s="54"/>
      <c r="AN423" s="54"/>
      <c r="AO423" s="54"/>
      <c r="AP423" s="54"/>
      <c r="AQ423" s="54"/>
      <c r="AR423" s="54"/>
      <c r="AS423" s="54"/>
      <c r="AT423" s="54"/>
      <c r="AU423" s="54"/>
      <c r="AV423" s="54"/>
      <c r="AW423" s="54"/>
      <c r="AX423" s="54"/>
      <c r="AY423" s="54"/>
      <c r="AZ423" s="54"/>
      <c r="BA423" s="54"/>
      <c r="BB423" s="54"/>
      <c r="BC423" s="54"/>
      <c r="BD423" s="54"/>
      <c r="BE423" s="54"/>
      <c r="BF423" s="54"/>
      <c r="BG423" s="54"/>
      <c r="BH423" s="54"/>
      <c r="BI423" s="54"/>
      <c r="BJ423" s="54"/>
      <c r="BK423" s="54"/>
      <c r="BL423" s="54"/>
    </row>
    <row r="424" spans="1:64" ht="11.25" customHeight="1" x14ac:dyDescent="0.3">
      <c r="A424" s="54"/>
      <c r="B424" s="54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4"/>
      <c r="AI424" s="54"/>
      <c r="AJ424" s="54"/>
      <c r="AK424" s="54"/>
      <c r="AL424" s="54"/>
      <c r="AM424" s="54"/>
      <c r="AN424" s="54"/>
      <c r="AO424" s="54"/>
      <c r="AP424" s="54"/>
      <c r="AQ424" s="54"/>
      <c r="AR424" s="54"/>
      <c r="AS424" s="54"/>
      <c r="AT424" s="54"/>
      <c r="AU424" s="54"/>
      <c r="AV424" s="54"/>
      <c r="AW424" s="54"/>
      <c r="AX424" s="54"/>
      <c r="AY424" s="54"/>
      <c r="AZ424" s="54"/>
      <c r="BA424" s="54"/>
      <c r="BB424" s="54"/>
      <c r="BC424" s="54"/>
      <c r="BD424" s="54"/>
      <c r="BE424" s="54"/>
      <c r="BF424" s="54"/>
      <c r="BG424" s="54"/>
      <c r="BH424" s="54"/>
      <c r="BI424" s="54"/>
      <c r="BJ424" s="54"/>
      <c r="BK424" s="54"/>
      <c r="BL424" s="54"/>
    </row>
    <row r="425" spans="1:64" ht="11.25" customHeight="1" x14ac:dyDescent="0.3">
      <c r="A425" s="54"/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  <c r="AK425" s="54"/>
      <c r="AL425" s="54"/>
      <c r="AM425" s="54"/>
      <c r="AN425" s="54"/>
      <c r="AO425" s="54"/>
      <c r="AP425" s="54"/>
      <c r="AQ425" s="54"/>
      <c r="AR425" s="54"/>
      <c r="AS425" s="54"/>
      <c r="AT425" s="54"/>
      <c r="AU425" s="54"/>
      <c r="AV425" s="54"/>
      <c r="AW425" s="54"/>
      <c r="AX425" s="54"/>
      <c r="AY425" s="54"/>
      <c r="AZ425" s="54"/>
      <c r="BA425" s="54"/>
      <c r="BB425" s="54"/>
      <c r="BC425" s="54"/>
      <c r="BD425" s="54"/>
      <c r="BE425" s="54"/>
      <c r="BF425" s="54"/>
      <c r="BG425" s="54"/>
      <c r="BH425" s="54"/>
      <c r="BI425" s="54"/>
      <c r="BJ425" s="54"/>
      <c r="BK425" s="54"/>
      <c r="BL425" s="54"/>
    </row>
    <row r="426" spans="1:64" ht="11.25" customHeight="1" x14ac:dyDescent="0.3">
      <c r="A426" s="54"/>
      <c r="B426" s="54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4"/>
      <c r="AI426" s="54"/>
      <c r="AJ426" s="54"/>
      <c r="AK426" s="54"/>
      <c r="AL426" s="54"/>
      <c r="AM426" s="54"/>
      <c r="AN426" s="54"/>
      <c r="AO426" s="54"/>
      <c r="AP426" s="54"/>
      <c r="AQ426" s="54"/>
      <c r="AR426" s="54"/>
      <c r="AS426" s="54"/>
      <c r="AT426" s="54"/>
      <c r="AU426" s="54"/>
      <c r="AV426" s="54"/>
      <c r="AW426" s="54"/>
      <c r="AX426" s="54"/>
      <c r="AY426" s="54"/>
      <c r="AZ426" s="54"/>
      <c r="BA426" s="54"/>
      <c r="BB426" s="54"/>
      <c r="BC426" s="54"/>
      <c r="BD426" s="54"/>
      <c r="BE426" s="54"/>
      <c r="BF426" s="54"/>
      <c r="BG426" s="54"/>
      <c r="BH426" s="54"/>
      <c r="BI426" s="54"/>
      <c r="BJ426" s="54"/>
      <c r="BK426" s="54"/>
      <c r="BL426" s="54"/>
    </row>
    <row r="427" spans="1:64" ht="11.25" customHeight="1" x14ac:dyDescent="0.3">
      <c r="A427" s="54"/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4"/>
      <c r="AI427" s="54"/>
      <c r="AJ427" s="54"/>
      <c r="AK427" s="54"/>
      <c r="AL427" s="54"/>
      <c r="AM427" s="54"/>
      <c r="AN427" s="54"/>
      <c r="AO427" s="54"/>
      <c r="AP427" s="54"/>
      <c r="AQ427" s="54"/>
      <c r="AR427" s="54"/>
      <c r="AS427" s="54"/>
      <c r="AT427" s="54"/>
      <c r="AU427" s="54"/>
      <c r="AV427" s="54"/>
      <c r="AW427" s="54"/>
      <c r="AX427" s="54"/>
      <c r="AY427" s="54"/>
      <c r="AZ427" s="54"/>
      <c r="BA427" s="54"/>
      <c r="BB427" s="54"/>
      <c r="BC427" s="54"/>
      <c r="BD427" s="54"/>
      <c r="BE427" s="54"/>
      <c r="BF427" s="54"/>
      <c r="BG427" s="54"/>
      <c r="BH427" s="54"/>
      <c r="BI427" s="54"/>
      <c r="BJ427" s="54"/>
      <c r="BK427" s="54"/>
      <c r="BL427" s="54"/>
    </row>
    <row r="428" spans="1:64" ht="11.25" customHeight="1" x14ac:dyDescent="0.3">
      <c r="A428" s="54"/>
      <c r="B428" s="54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4"/>
      <c r="AI428" s="54"/>
      <c r="AJ428" s="54"/>
      <c r="AK428" s="54"/>
      <c r="AL428" s="54"/>
      <c r="AM428" s="54"/>
      <c r="AN428" s="54"/>
      <c r="AO428" s="54"/>
      <c r="AP428" s="54"/>
      <c r="AQ428" s="54"/>
      <c r="AR428" s="54"/>
      <c r="AS428" s="54"/>
      <c r="AT428" s="54"/>
      <c r="AU428" s="54"/>
      <c r="AV428" s="54"/>
      <c r="AW428" s="54"/>
      <c r="AX428" s="54"/>
      <c r="AY428" s="54"/>
      <c r="AZ428" s="54"/>
      <c r="BA428" s="54"/>
      <c r="BB428" s="54"/>
      <c r="BC428" s="54"/>
      <c r="BD428" s="54"/>
      <c r="BE428" s="54"/>
      <c r="BF428" s="54"/>
      <c r="BG428" s="54"/>
      <c r="BH428" s="54"/>
      <c r="BI428" s="54"/>
      <c r="BJ428" s="54"/>
      <c r="BK428" s="54"/>
      <c r="BL428" s="54"/>
    </row>
    <row r="429" spans="1:64" ht="11.25" customHeight="1" x14ac:dyDescent="0.3">
      <c r="A429" s="54"/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4"/>
      <c r="AI429" s="54"/>
      <c r="AJ429" s="54"/>
      <c r="AK429" s="54"/>
      <c r="AL429" s="54"/>
      <c r="AM429" s="54"/>
      <c r="AN429" s="54"/>
      <c r="AO429" s="54"/>
      <c r="AP429" s="54"/>
      <c r="AQ429" s="54"/>
      <c r="AR429" s="54"/>
      <c r="AS429" s="54"/>
      <c r="AT429" s="54"/>
      <c r="AU429" s="54"/>
      <c r="AV429" s="54"/>
      <c r="AW429" s="54"/>
      <c r="AX429" s="54"/>
      <c r="AY429" s="54"/>
      <c r="AZ429" s="54"/>
      <c r="BA429" s="54"/>
      <c r="BB429" s="54"/>
      <c r="BC429" s="54"/>
      <c r="BD429" s="54"/>
      <c r="BE429" s="54"/>
      <c r="BF429" s="54"/>
      <c r="BG429" s="54"/>
      <c r="BH429" s="54"/>
      <c r="BI429" s="54"/>
      <c r="BJ429" s="54"/>
      <c r="BK429" s="54"/>
      <c r="BL429" s="54"/>
    </row>
    <row r="430" spans="1:64" ht="11.25" customHeight="1" x14ac:dyDescent="0.3">
      <c r="A430" s="54"/>
      <c r="B430" s="54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4"/>
      <c r="AI430" s="54"/>
      <c r="AJ430" s="54"/>
      <c r="AK430" s="54"/>
      <c r="AL430" s="54"/>
      <c r="AM430" s="54"/>
      <c r="AN430" s="54"/>
      <c r="AO430" s="54"/>
      <c r="AP430" s="54"/>
      <c r="AQ430" s="54"/>
      <c r="AR430" s="54"/>
      <c r="AS430" s="54"/>
      <c r="AT430" s="54"/>
      <c r="AU430" s="54"/>
      <c r="AV430" s="54"/>
      <c r="AW430" s="54"/>
      <c r="AX430" s="54"/>
      <c r="AY430" s="54"/>
      <c r="AZ430" s="54"/>
      <c r="BA430" s="54"/>
      <c r="BB430" s="54"/>
      <c r="BC430" s="54"/>
      <c r="BD430" s="54"/>
      <c r="BE430" s="54"/>
      <c r="BF430" s="54"/>
      <c r="BG430" s="54"/>
      <c r="BH430" s="54"/>
      <c r="BI430" s="54"/>
      <c r="BJ430" s="54"/>
      <c r="BK430" s="54"/>
      <c r="BL430" s="54"/>
    </row>
    <row r="431" spans="1:64" ht="11.25" customHeight="1" x14ac:dyDescent="0.3">
      <c r="A431" s="54"/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4"/>
      <c r="AI431" s="54"/>
      <c r="AJ431" s="54"/>
      <c r="AK431" s="54"/>
      <c r="AL431" s="54"/>
      <c r="AM431" s="54"/>
      <c r="AN431" s="54"/>
      <c r="AO431" s="54"/>
      <c r="AP431" s="54"/>
      <c r="AQ431" s="54"/>
      <c r="AR431" s="54"/>
      <c r="AS431" s="54"/>
      <c r="AT431" s="54"/>
      <c r="AU431" s="54"/>
      <c r="AV431" s="54"/>
      <c r="AW431" s="54"/>
      <c r="AX431" s="54"/>
      <c r="AY431" s="54"/>
      <c r="AZ431" s="54"/>
      <c r="BA431" s="54"/>
      <c r="BB431" s="54"/>
      <c r="BC431" s="54"/>
      <c r="BD431" s="54"/>
      <c r="BE431" s="54"/>
      <c r="BF431" s="54"/>
      <c r="BG431" s="54"/>
      <c r="BH431" s="54"/>
      <c r="BI431" s="54"/>
      <c r="BJ431" s="54"/>
      <c r="BK431" s="54"/>
      <c r="BL431" s="54"/>
    </row>
    <row r="432" spans="1:64" ht="11.25" customHeight="1" x14ac:dyDescent="0.3">
      <c r="A432" s="54"/>
      <c r="B432" s="54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4"/>
      <c r="AI432" s="54"/>
      <c r="AJ432" s="54"/>
      <c r="AK432" s="54"/>
      <c r="AL432" s="54"/>
      <c r="AM432" s="54"/>
      <c r="AN432" s="54"/>
      <c r="AO432" s="54"/>
      <c r="AP432" s="54"/>
      <c r="AQ432" s="54"/>
      <c r="AR432" s="54"/>
      <c r="AS432" s="54"/>
      <c r="AT432" s="54"/>
      <c r="AU432" s="54"/>
      <c r="AV432" s="54"/>
      <c r="AW432" s="54"/>
      <c r="AX432" s="54"/>
      <c r="AY432" s="54"/>
      <c r="AZ432" s="54"/>
      <c r="BA432" s="54"/>
      <c r="BB432" s="54"/>
      <c r="BC432" s="54"/>
      <c r="BD432" s="54"/>
      <c r="BE432" s="54"/>
      <c r="BF432" s="54"/>
      <c r="BG432" s="54"/>
      <c r="BH432" s="54"/>
      <c r="BI432" s="54"/>
      <c r="BJ432" s="54"/>
      <c r="BK432" s="54"/>
      <c r="BL432" s="54"/>
    </row>
    <row r="433" spans="1:64" ht="11.25" customHeight="1" x14ac:dyDescent="0.3">
      <c r="A433" s="54"/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4"/>
      <c r="AI433" s="54"/>
      <c r="AJ433" s="54"/>
      <c r="AK433" s="54"/>
      <c r="AL433" s="54"/>
      <c r="AM433" s="54"/>
      <c r="AN433" s="54"/>
      <c r="AO433" s="54"/>
      <c r="AP433" s="54"/>
      <c r="AQ433" s="54"/>
      <c r="AR433" s="54"/>
      <c r="AS433" s="54"/>
      <c r="AT433" s="54"/>
      <c r="AU433" s="54"/>
      <c r="AV433" s="54"/>
      <c r="AW433" s="54"/>
      <c r="AX433" s="54"/>
      <c r="AY433" s="54"/>
      <c r="AZ433" s="54"/>
      <c r="BA433" s="54"/>
      <c r="BB433" s="54"/>
      <c r="BC433" s="54"/>
      <c r="BD433" s="54"/>
      <c r="BE433" s="54"/>
      <c r="BF433" s="54"/>
      <c r="BG433" s="54"/>
      <c r="BH433" s="54"/>
      <c r="BI433" s="54"/>
      <c r="BJ433" s="54"/>
      <c r="BK433" s="54"/>
      <c r="BL433" s="54"/>
    </row>
    <row r="434" spans="1:64" ht="11.25" customHeight="1" x14ac:dyDescent="0.3">
      <c r="A434" s="54"/>
      <c r="B434" s="54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4"/>
      <c r="AI434" s="54"/>
      <c r="AJ434" s="54"/>
      <c r="AK434" s="54"/>
      <c r="AL434" s="54"/>
      <c r="AM434" s="54"/>
      <c r="AN434" s="54"/>
      <c r="AO434" s="54"/>
      <c r="AP434" s="54"/>
      <c r="AQ434" s="54"/>
      <c r="AR434" s="54"/>
      <c r="AS434" s="54"/>
      <c r="AT434" s="54"/>
      <c r="AU434" s="54"/>
      <c r="AV434" s="54"/>
      <c r="AW434" s="54"/>
      <c r="AX434" s="54"/>
      <c r="AY434" s="54"/>
      <c r="AZ434" s="54"/>
      <c r="BA434" s="54"/>
      <c r="BB434" s="54"/>
      <c r="BC434" s="54"/>
      <c r="BD434" s="54"/>
      <c r="BE434" s="54"/>
      <c r="BF434" s="54"/>
      <c r="BG434" s="54"/>
      <c r="BH434" s="54"/>
      <c r="BI434" s="54"/>
      <c r="BJ434" s="54"/>
      <c r="BK434" s="54"/>
      <c r="BL434" s="54"/>
    </row>
    <row r="435" spans="1:64" ht="11.25" customHeight="1" x14ac:dyDescent="0.3">
      <c r="A435" s="54"/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  <c r="AG435" s="54"/>
      <c r="AH435" s="54"/>
      <c r="AI435" s="54"/>
      <c r="AJ435" s="54"/>
      <c r="AK435" s="54"/>
      <c r="AL435" s="54"/>
      <c r="AM435" s="54"/>
      <c r="AN435" s="54"/>
      <c r="AO435" s="54"/>
      <c r="AP435" s="54"/>
      <c r="AQ435" s="54"/>
      <c r="AR435" s="54"/>
      <c r="AS435" s="54"/>
      <c r="AT435" s="54"/>
      <c r="AU435" s="54"/>
      <c r="AV435" s="54"/>
      <c r="AW435" s="54"/>
      <c r="AX435" s="54"/>
      <c r="AY435" s="54"/>
      <c r="AZ435" s="54"/>
      <c r="BA435" s="54"/>
      <c r="BB435" s="54"/>
      <c r="BC435" s="54"/>
      <c r="BD435" s="54"/>
      <c r="BE435" s="54"/>
      <c r="BF435" s="54"/>
      <c r="BG435" s="54"/>
      <c r="BH435" s="54"/>
      <c r="BI435" s="54"/>
      <c r="BJ435" s="54"/>
      <c r="BK435" s="54"/>
      <c r="BL435" s="54"/>
    </row>
    <row r="436" spans="1:64" ht="11.25" customHeight="1" x14ac:dyDescent="0.3">
      <c r="A436" s="54"/>
      <c r="B436" s="54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  <c r="AG436" s="54"/>
      <c r="AH436" s="54"/>
      <c r="AI436" s="54"/>
      <c r="AJ436" s="54"/>
      <c r="AK436" s="54"/>
      <c r="AL436" s="54"/>
      <c r="AM436" s="54"/>
      <c r="AN436" s="54"/>
      <c r="AO436" s="54"/>
      <c r="AP436" s="54"/>
      <c r="AQ436" s="54"/>
      <c r="AR436" s="54"/>
      <c r="AS436" s="54"/>
      <c r="AT436" s="54"/>
      <c r="AU436" s="54"/>
      <c r="AV436" s="54"/>
      <c r="AW436" s="54"/>
      <c r="AX436" s="54"/>
      <c r="AY436" s="54"/>
      <c r="AZ436" s="54"/>
      <c r="BA436" s="54"/>
      <c r="BB436" s="54"/>
      <c r="BC436" s="54"/>
      <c r="BD436" s="54"/>
      <c r="BE436" s="54"/>
      <c r="BF436" s="54"/>
      <c r="BG436" s="54"/>
      <c r="BH436" s="54"/>
      <c r="BI436" s="54"/>
      <c r="BJ436" s="54"/>
      <c r="BK436" s="54"/>
      <c r="BL436" s="54"/>
    </row>
    <row r="437" spans="1:64" ht="11.25" customHeight="1" x14ac:dyDescent="0.3">
      <c r="A437" s="54"/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4"/>
      <c r="AI437" s="54"/>
      <c r="AJ437" s="54"/>
      <c r="AK437" s="54"/>
      <c r="AL437" s="54"/>
      <c r="AM437" s="54"/>
      <c r="AN437" s="54"/>
      <c r="AO437" s="54"/>
      <c r="AP437" s="54"/>
      <c r="AQ437" s="54"/>
      <c r="AR437" s="54"/>
      <c r="AS437" s="54"/>
      <c r="AT437" s="54"/>
      <c r="AU437" s="54"/>
      <c r="AV437" s="54"/>
      <c r="AW437" s="54"/>
      <c r="AX437" s="54"/>
      <c r="AY437" s="54"/>
      <c r="AZ437" s="54"/>
      <c r="BA437" s="54"/>
      <c r="BB437" s="54"/>
      <c r="BC437" s="54"/>
      <c r="BD437" s="54"/>
      <c r="BE437" s="54"/>
      <c r="BF437" s="54"/>
      <c r="BG437" s="54"/>
      <c r="BH437" s="54"/>
      <c r="BI437" s="54"/>
      <c r="BJ437" s="54"/>
      <c r="BK437" s="54"/>
      <c r="BL437" s="54"/>
    </row>
    <row r="438" spans="1:64" ht="11.25" customHeight="1" x14ac:dyDescent="0.3">
      <c r="A438" s="54"/>
      <c r="B438" s="54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4"/>
      <c r="AI438" s="54"/>
      <c r="AJ438" s="54"/>
      <c r="AK438" s="54"/>
      <c r="AL438" s="54"/>
      <c r="AM438" s="54"/>
      <c r="AN438" s="54"/>
      <c r="AO438" s="54"/>
      <c r="AP438" s="54"/>
      <c r="AQ438" s="54"/>
      <c r="AR438" s="54"/>
      <c r="AS438" s="54"/>
      <c r="AT438" s="54"/>
      <c r="AU438" s="54"/>
      <c r="AV438" s="54"/>
      <c r="AW438" s="54"/>
      <c r="AX438" s="54"/>
      <c r="AY438" s="54"/>
      <c r="AZ438" s="54"/>
      <c r="BA438" s="54"/>
      <c r="BB438" s="54"/>
      <c r="BC438" s="54"/>
      <c r="BD438" s="54"/>
      <c r="BE438" s="54"/>
      <c r="BF438" s="54"/>
      <c r="BG438" s="54"/>
      <c r="BH438" s="54"/>
      <c r="BI438" s="54"/>
      <c r="BJ438" s="54"/>
      <c r="BK438" s="54"/>
      <c r="BL438" s="54"/>
    </row>
    <row r="439" spans="1:64" ht="11.25" customHeight="1" x14ac:dyDescent="0.3">
      <c r="A439" s="54"/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4"/>
      <c r="AI439" s="54"/>
      <c r="AJ439" s="54"/>
      <c r="AK439" s="54"/>
      <c r="AL439" s="54"/>
      <c r="AM439" s="54"/>
      <c r="AN439" s="54"/>
      <c r="AO439" s="54"/>
      <c r="AP439" s="54"/>
      <c r="AQ439" s="54"/>
      <c r="AR439" s="54"/>
      <c r="AS439" s="54"/>
      <c r="AT439" s="54"/>
      <c r="AU439" s="54"/>
      <c r="AV439" s="54"/>
      <c r="AW439" s="54"/>
      <c r="AX439" s="54"/>
      <c r="AY439" s="54"/>
      <c r="AZ439" s="54"/>
      <c r="BA439" s="54"/>
      <c r="BB439" s="54"/>
      <c r="BC439" s="54"/>
      <c r="BD439" s="54"/>
      <c r="BE439" s="54"/>
      <c r="BF439" s="54"/>
      <c r="BG439" s="54"/>
      <c r="BH439" s="54"/>
      <c r="BI439" s="54"/>
      <c r="BJ439" s="54"/>
      <c r="BK439" s="54"/>
      <c r="BL439" s="54"/>
    </row>
    <row r="440" spans="1:64" ht="11.25" customHeight="1" x14ac:dyDescent="0.3">
      <c r="A440" s="54"/>
      <c r="B440" s="54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4"/>
      <c r="AI440" s="54"/>
      <c r="AJ440" s="54"/>
      <c r="AK440" s="54"/>
      <c r="AL440" s="54"/>
      <c r="AM440" s="54"/>
      <c r="AN440" s="54"/>
      <c r="AO440" s="54"/>
      <c r="AP440" s="54"/>
      <c r="AQ440" s="54"/>
      <c r="AR440" s="54"/>
      <c r="AS440" s="54"/>
      <c r="AT440" s="54"/>
      <c r="AU440" s="54"/>
      <c r="AV440" s="54"/>
      <c r="AW440" s="54"/>
      <c r="AX440" s="54"/>
      <c r="AY440" s="54"/>
      <c r="AZ440" s="54"/>
      <c r="BA440" s="54"/>
      <c r="BB440" s="54"/>
      <c r="BC440" s="54"/>
      <c r="BD440" s="54"/>
      <c r="BE440" s="54"/>
      <c r="BF440" s="54"/>
      <c r="BG440" s="54"/>
      <c r="BH440" s="54"/>
      <c r="BI440" s="54"/>
      <c r="BJ440" s="54"/>
      <c r="BK440" s="54"/>
      <c r="BL440" s="54"/>
    </row>
    <row r="441" spans="1:64" ht="11.25" customHeight="1" x14ac:dyDescent="0.3">
      <c r="A441" s="54"/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4"/>
      <c r="AI441" s="54"/>
      <c r="AJ441" s="54"/>
      <c r="AK441" s="54"/>
      <c r="AL441" s="54"/>
      <c r="AM441" s="54"/>
      <c r="AN441" s="54"/>
      <c r="AO441" s="54"/>
      <c r="AP441" s="54"/>
      <c r="AQ441" s="54"/>
      <c r="AR441" s="54"/>
      <c r="AS441" s="54"/>
      <c r="AT441" s="54"/>
      <c r="AU441" s="54"/>
      <c r="AV441" s="54"/>
      <c r="AW441" s="54"/>
      <c r="AX441" s="54"/>
      <c r="AY441" s="54"/>
      <c r="AZ441" s="54"/>
      <c r="BA441" s="54"/>
      <c r="BB441" s="54"/>
      <c r="BC441" s="54"/>
      <c r="BD441" s="54"/>
      <c r="BE441" s="54"/>
      <c r="BF441" s="54"/>
      <c r="BG441" s="54"/>
      <c r="BH441" s="54"/>
      <c r="BI441" s="54"/>
      <c r="BJ441" s="54"/>
      <c r="BK441" s="54"/>
      <c r="BL441" s="54"/>
    </row>
    <row r="442" spans="1:64" ht="11.25" customHeight="1" x14ac:dyDescent="0.3">
      <c r="A442" s="54"/>
      <c r="B442" s="54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4"/>
      <c r="AI442" s="54"/>
      <c r="AJ442" s="54"/>
      <c r="AK442" s="54"/>
      <c r="AL442" s="54"/>
      <c r="AM442" s="54"/>
      <c r="AN442" s="54"/>
      <c r="AO442" s="54"/>
      <c r="AP442" s="54"/>
      <c r="AQ442" s="54"/>
      <c r="AR442" s="54"/>
      <c r="AS442" s="54"/>
      <c r="AT442" s="54"/>
      <c r="AU442" s="54"/>
      <c r="AV442" s="54"/>
      <c r="AW442" s="54"/>
      <c r="AX442" s="54"/>
      <c r="AY442" s="54"/>
      <c r="AZ442" s="54"/>
      <c r="BA442" s="54"/>
      <c r="BB442" s="54"/>
      <c r="BC442" s="54"/>
      <c r="BD442" s="54"/>
      <c r="BE442" s="54"/>
      <c r="BF442" s="54"/>
      <c r="BG442" s="54"/>
      <c r="BH442" s="54"/>
      <c r="BI442" s="54"/>
      <c r="BJ442" s="54"/>
      <c r="BK442" s="54"/>
      <c r="BL442" s="54"/>
    </row>
    <row r="443" spans="1:64" ht="11.25" customHeight="1" x14ac:dyDescent="0.3">
      <c r="A443" s="54"/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4"/>
      <c r="AI443" s="54"/>
      <c r="AJ443" s="54"/>
      <c r="AK443" s="54"/>
      <c r="AL443" s="54"/>
      <c r="AM443" s="54"/>
      <c r="AN443" s="54"/>
      <c r="AO443" s="54"/>
      <c r="AP443" s="54"/>
      <c r="AQ443" s="54"/>
      <c r="AR443" s="54"/>
      <c r="AS443" s="54"/>
      <c r="AT443" s="54"/>
      <c r="AU443" s="54"/>
      <c r="AV443" s="54"/>
      <c r="AW443" s="54"/>
      <c r="AX443" s="54"/>
      <c r="AY443" s="54"/>
      <c r="AZ443" s="54"/>
      <c r="BA443" s="54"/>
      <c r="BB443" s="54"/>
      <c r="BC443" s="54"/>
      <c r="BD443" s="54"/>
      <c r="BE443" s="54"/>
      <c r="BF443" s="54"/>
      <c r="BG443" s="54"/>
      <c r="BH443" s="54"/>
      <c r="BI443" s="54"/>
      <c r="BJ443" s="54"/>
      <c r="BK443" s="54"/>
      <c r="BL443" s="54"/>
    </row>
    <row r="444" spans="1:64" ht="11.25" customHeight="1" x14ac:dyDescent="0.3">
      <c r="A444" s="54"/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4"/>
      <c r="AI444" s="54"/>
      <c r="AJ444" s="54"/>
      <c r="AK444" s="54"/>
      <c r="AL444" s="54"/>
      <c r="AM444" s="54"/>
      <c r="AN444" s="54"/>
      <c r="AO444" s="54"/>
      <c r="AP444" s="54"/>
      <c r="AQ444" s="54"/>
      <c r="AR444" s="54"/>
      <c r="AS444" s="54"/>
      <c r="AT444" s="54"/>
      <c r="AU444" s="54"/>
      <c r="AV444" s="54"/>
      <c r="AW444" s="54"/>
      <c r="AX444" s="54"/>
      <c r="AY444" s="54"/>
      <c r="AZ444" s="54"/>
      <c r="BA444" s="54"/>
      <c r="BB444" s="54"/>
      <c r="BC444" s="54"/>
      <c r="BD444" s="54"/>
      <c r="BE444" s="54"/>
      <c r="BF444" s="54"/>
      <c r="BG444" s="54"/>
      <c r="BH444" s="54"/>
      <c r="BI444" s="54"/>
      <c r="BJ444" s="54"/>
      <c r="BK444" s="54"/>
      <c r="BL444" s="54"/>
    </row>
    <row r="445" spans="1:64" ht="11.25" customHeight="1" x14ac:dyDescent="0.3">
      <c r="A445" s="54"/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4"/>
      <c r="AI445" s="54"/>
      <c r="AJ445" s="54"/>
      <c r="AK445" s="54"/>
      <c r="AL445" s="54"/>
      <c r="AM445" s="54"/>
      <c r="AN445" s="54"/>
      <c r="AO445" s="54"/>
      <c r="AP445" s="54"/>
      <c r="AQ445" s="54"/>
      <c r="AR445" s="54"/>
      <c r="AS445" s="54"/>
      <c r="AT445" s="54"/>
      <c r="AU445" s="54"/>
      <c r="AV445" s="54"/>
      <c r="AW445" s="54"/>
      <c r="AX445" s="54"/>
      <c r="AY445" s="54"/>
      <c r="AZ445" s="54"/>
      <c r="BA445" s="54"/>
      <c r="BB445" s="54"/>
      <c r="BC445" s="54"/>
      <c r="BD445" s="54"/>
      <c r="BE445" s="54"/>
      <c r="BF445" s="54"/>
      <c r="BG445" s="54"/>
      <c r="BH445" s="54"/>
      <c r="BI445" s="54"/>
      <c r="BJ445" s="54"/>
      <c r="BK445" s="54"/>
      <c r="BL445" s="54"/>
    </row>
    <row r="446" spans="1:64" ht="11.25" customHeight="1" x14ac:dyDescent="0.3">
      <c r="A446" s="54"/>
      <c r="B446" s="54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4"/>
      <c r="AI446" s="54"/>
      <c r="AJ446" s="54"/>
      <c r="AK446" s="54"/>
      <c r="AL446" s="54"/>
      <c r="AM446" s="54"/>
      <c r="AN446" s="54"/>
      <c r="AO446" s="54"/>
      <c r="AP446" s="54"/>
      <c r="AQ446" s="54"/>
      <c r="AR446" s="54"/>
      <c r="AS446" s="54"/>
      <c r="AT446" s="54"/>
      <c r="AU446" s="54"/>
      <c r="AV446" s="54"/>
      <c r="AW446" s="54"/>
      <c r="AX446" s="54"/>
      <c r="AY446" s="54"/>
      <c r="AZ446" s="54"/>
      <c r="BA446" s="54"/>
      <c r="BB446" s="54"/>
      <c r="BC446" s="54"/>
      <c r="BD446" s="54"/>
      <c r="BE446" s="54"/>
      <c r="BF446" s="54"/>
      <c r="BG446" s="54"/>
      <c r="BH446" s="54"/>
      <c r="BI446" s="54"/>
      <c r="BJ446" s="54"/>
      <c r="BK446" s="54"/>
      <c r="BL446" s="54"/>
    </row>
    <row r="447" spans="1:64" ht="11.25" customHeight="1" x14ac:dyDescent="0.3">
      <c r="A447" s="54"/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4"/>
      <c r="AI447" s="54"/>
      <c r="AJ447" s="54"/>
      <c r="AK447" s="54"/>
      <c r="AL447" s="54"/>
      <c r="AM447" s="54"/>
      <c r="AN447" s="54"/>
      <c r="AO447" s="54"/>
      <c r="AP447" s="54"/>
      <c r="AQ447" s="54"/>
      <c r="AR447" s="54"/>
      <c r="AS447" s="54"/>
      <c r="AT447" s="54"/>
      <c r="AU447" s="54"/>
      <c r="AV447" s="54"/>
      <c r="AW447" s="54"/>
      <c r="AX447" s="54"/>
      <c r="AY447" s="54"/>
      <c r="AZ447" s="54"/>
      <c r="BA447" s="54"/>
      <c r="BB447" s="54"/>
      <c r="BC447" s="54"/>
      <c r="BD447" s="54"/>
      <c r="BE447" s="54"/>
      <c r="BF447" s="54"/>
      <c r="BG447" s="54"/>
      <c r="BH447" s="54"/>
      <c r="BI447" s="54"/>
      <c r="BJ447" s="54"/>
      <c r="BK447" s="54"/>
      <c r="BL447" s="54"/>
    </row>
    <row r="448" spans="1:64" ht="11.25" customHeight="1" x14ac:dyDescent="0.3">
      <c r="A448" s="54"/>
      <c r="B448" s="54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4"/>
      <c r="AI448" s="54"/>
      <c r="AJ448" s="54"/>
      <c r="AK448" s="54"/>
      <c r="AL448" s="54"/>
      <c r="AM448" s="54"/>
      <c r="AN448" s="54"/>
      <c r="AO448" s="54"/>
      <c r="AP448" s="54"/>
      <c r="AQ448" s="54"/>
      <c r="AR448" s="54"/>
      <c r="AS448" s="54"/>
      <c r="AT448" s="54"/>
      <c r="AU448" s="54"/>
      <c r="AV448" s="54"/>
      <c r="AW448" s="54"/>
      <c r="AX448" s="54"/>
      <c r="AY448" s="54"/>
      <c r="AZ448" s="54"/>
      <c r="BA448" s="54"/>
      <c r="BB448" s="54"/>
      <c r="BC448" s="54"/>
      <c r="BD448" s="54"/>
      <c r="BE448" s="54"/>
      <c r="BF448" s="54"/>
      <c r="BG448" s="54"/>
      <c r="BH448" s="54"/>
      <c r="BI448" s="54"/>
      <c r="BJ448" s="54"/>
      <c r="BK448" s="54"/>
      <c r="BL448" s="54"/>
    </row>
    <row r="449" spans="1:64" ht="11.25" customHeight="1" x14ac:dyDescent="0.3">
      <c r="A449" s="54"/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4"/>
      <c r="AI449" s="54"/>
      <c r="AJ449" s="54"/>
      <c r="AK449" s="54"/>
      <c r="AL449" s="54"/>
      <c r="AM449" s="54"/>
      <c r="AN449" s="54"/>
      <c r="AO449" s="54"/>
      <c r="AP449" s="54"/>
      <c r="AQ449" s="54"/>
      <c r="AR449" s="54"/>
      <c r="AS449" s="54"/>
      <c r="AT449" s="54"/>
      <c r="AU449" s="54"/>
      <c r="AV449" s="54"/>
      <c r="AW449" s="54"/>
      <c r="AX449" s="54"/>
      <c r="AY449" s="54"/>
      <c r="AZ449" s="54"/>
      <c r="BA449" s="54"/>
      <c r="BB449" s="54"/>
      <c r="BC449" s="54"/>
      <c r="BD449" s="54"/>
      <c r="BE449" s="54"/>
      <c r="BF449" s="54"/>
      <c r="BG449" s="54"/>
      <c r="BH449" s="54"/>
      <c r="BI449" s="54"/>
      <c r="BJ449" s="54"/>
      <c r="BK449" s="54"/>
      <c r="BL449" s="54"/>
    </row>
    <row r="450" spans="1:64" ht="11.25" customHeight="1" x14ac:dyDescent="0.3">
      <c r="A450" s="54"/>
      <c r="B450" s="54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4"/>
      <c r="AI450" s="54"/>
      <c r="AJ450" s="54"/>
      <c r="AK450" s="54"/>
      <c r="AL450" s="54"/>
      <c r="AM450" s="54"/>
      <c r="AN450" s="54"/>
      <c r="AO450" s="54"/>
      <c r="AP450" s="54"/>
      <c r="AQ450" s="54"/>
      <c r="AR450" s="54"/>
      <c r="AS450" s="54"/>
      <c r="AT450" s="54"/>
      <c r="AU450" s="54"/>
      <c r="AV450" s="54"/>
      <c r="AW450" s="54"/>
      <c r="AX450" s="54"/>
      <c r="AY450" s="54"/>
      <c r="AZ450" s="54"/>
      <c r="BA450" s="54"/>
      <c r="BB450" s="54"/>
      <c r="BC450" s="54"/>
      <c r="BD450" s="54"/>
      <c r="BE450" s="54"/>
      <c r="BF450" s="54"/>
      <c r="BG450" s="54"/>
      <c r="BH450" s="54"/>
      <c r="BI450" s="54"/>
      <c r="BJ450" s="54"/>
      <c r="BK450" s="54"/>
      <c r="BL450" s="54"/>
    </row>
    <row r="451" spans="1:64" ht="11.25" customHeight="1" x14ac:dyDescent="0.3">
      <c r="A451" s="54"/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  <c r="AG451" s="54"/>
      <c r="AH451" s="54"/>
      <c r="AI451" s="54"/>
      <c r="AJ451" s="54"/>
      <c r="AK451" s="54"/>
      <c r="AL451" s="54"/>
      <c r="AM451" s="54"/>
      <c r="AN451" s="54"/>
      <c r="AO451" s="54"/>
      <c r="AP451" s="54"/>
      <c r="AQ451" s="54"/>
      <c r="AR451" s="54"/>
      <c r="AS451" s="54"/>
      <c r="AT451" s="54"/>
      <c r="AU451" s="54"/>
      <c r="AV451" s="54"/>
      <c r="AW451" s="54"/>
      <c r="AX451" s="54"/>
      <c r="AY451" s="54"/>
      <c r="AZ451" s="54"/>
      <c r="BA451" s="54"/>
      <c r="BB451" s="54"/>
      <c r="BC451" s="54"/>
      <c r="BD451" s="54"/>
      <c r="BE451" s="54"/>
      <c r="BF451" s="54"/>
      <c r="BG451" s="54"/>
      <c r="BH451" s="54"/>
      <c r="BI451" s="54"/>
      <c r="BJ451" s="54"/>
      <c r="BK451" s="54"/>
      <c r="BL451" s="54"/>
    </row>
    <row r="452" spans="1:64" ht="11.25" customHeight="1" x14ac:dyDescent="0.3">
      <c r="A452" s="54"/>
      <c r="B452" s="54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  <c r="AG452" s="54"/>
      <c r="AH452" s="54"/>
      <c r="AI452" s="54"/>
      <c r="AJ452" s="54"/>
      <c r="AK452" s="54"/>
      <c r="AL452" s="54"/>
      <c r="AM452" s="54"/>
      <c r="AN452" s="54"/>
      <c r="AO452" s="54"/>
      <c r="AP452" s="54"/>
      <c r="AQ452" s="54"/>
      <c r="AR452" s="54"/>
      <c r="AS452" s="54"/>
      <c r="AT452" s="54"/>
      <c r="AU452" s="54"/>
      <c r="AV452" s="54"/>
      <c r="AW452" s="54"/>
      <c r="AX452" s="54"/>
      <c r="AY452" s="54"/>
      <c r="AZ452" s="54"/>
      <c r="BA452" s="54"/>
      <c r="BB452" s="54"/>
      <c r="BC452" s="54"/>
      <c r="BD452" s="54"/>
      <c r="BE452" s="54"/>
      <c r="BF452" s="54"/>
      <c r="BG452" s="54"/>
      <c r="BH452" s="54"/>
      <c r="BI452" s="54"/>
      <c r="BJ452" s="54"/>
      <c r="BK452" s="54"/>
      <c r="BL452" s="54"/>
    </row>
    <row r="453" spans="1:64" ht="11.25" customHeight="1" x14ac:dyDescent="0.3">
      <c r="A453" s="54"/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4"/>
      <c r="AI453" s="54"/>
      <c r="AJ453" s="54"/>
      <c r="AK453" s="54"/>
      <c r="AL453" s="54"/>
      <c r="AM453" s="54"/>
      <c r="AN453" s="54"/>
      <c r="AO453" s="54"/>
      <c r="AP453" s="54"/>
      <c r="AQ453" s="54"/>
      <c r="AR453" s="54"/>
      <c r="AS453" s="54"/>
      <c r="AT453" s="54"/>
      <c r="AU453" s="54"/>
      <c r="AV453" s="54"/>
      <c r="AW453" s="54"/>
      <c r="AX453" s="54"/>
      <c r="AY453" s="54"/>
      <c r="AZ453" s="54"/>
      <c r="BA453" s="54"/>
      <c r="BB453" s="54"/>
      <c r="BC453" s="54"/>
      <c r="BD453" s="54"/>
      <c r="BE453" s="54"/>
      <c r="BF453" s="54"/>
      <c r="BG453" s="54"/>
      <c r="BH453" s="54"/>
      <c r="BI453" s="54"/>
      <c r="BJ453" s="54"/>
      <c r="BK453" s="54"/>
      <c r="BL453" s="54"/>
    </row>
    <row r="454" spans="1:64" ht="11.25" customHeight="1" x14ac:dyDescent="0.3">
      <c r="A454" s="54"/>
      <c r="B454" s="54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4"/>
      <c r="AI454" s="54"/>
      <c r="AJ454" s="54"/>
      <c r="AK454" s="54"/>
      <c r="AL454" s="54"/>
      <c r="AM454" s="54"/>
      <c r="AN454" s="54"/>
      <c r="AO454" s="54"/>
      <c r="AP454" s="54"/>
      <c r="AQ454" s="54"/>
      <c r="AR454" s="54"/>
      <c r="AS454" s="54"/>
      <c r="AT454" s="54"/>
      <c r="AU454" s="54"/>
      <c r="AV454" s="54"/>
      <c r="AW454" s="54"/>
      <c r="AX454" s="54"/>
      <c r="AY454" s="54"/>
      <c r="AZ454" s="54"/>
      <c r="BA454" s="54"/>
      <c r="BB454" s="54"/>
      <c r="BC454" s="54"/>
      <c r="BD454" s="54"/>
      <c r="BE454" s="54"/>
      <c r="BF454" s="54"/>
      <c r="BG454" s="54"/>
      <c r="BH454" s="54"/>
      <c r="BI454" s="54"/>
      <c r="BJ454" s="54"/>
      <c r="BK454" s="54"/>
      <c r="BL454" s="54"/>
    </row>
    <row r="455" spans="1:64" ht="11.25" customHeight="1" x14ac:dyDescent="0.3">
      <c r="A455" s="54"/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4"/>
      <c r="AI455" s="54"/>
      <c r="AJ455" s="54"/>
      <c r="AK455" s="54"/>
      <c r="AL455" s="54"/>
      <c r="AM455" s="54"/>
      <c r="AN455" s="54"/>
      <c r="AO455" s="54"/>
      <c r="AP455" s="54"/>
      <c r="AQ455" s="54"/>
      <c r="AR455" s="54"/>
      <c r="AS455" s="54"/>
      <c r="AT455" s="54"/>
      <c r="AU455" s="54"/>
      <c r="AV455" s="54"/>
      <c r="AW455" s="54"/>
      <c r="AX455" s="54"/>
      <c r="AY455" s="54"/>
      <c r="AZ455" s="54"/>
      <c r="BA455" s="54"/>
      <c r="BB455" s="54"/>
      <c r="BC455" s="54"/>
      <c r="BD455" s="54"/>
      <c r="BE455" s="54"/>
      <c r="BF455" s="54"/>
      <c r="BG455" s="54"/>
      <c r="BH455" s="54"/>
      <c r="BI455" s="54"/>
      <c r="BJ455" s="54"/>
      <c r="BK455" s="54"/>
      <c r="BL455" s="54"/>
    </row>
    <row r="456" spans="1:64" ht="11.25" customHeight="1" x14ac:dyDescent="0.3">
      <c r="A456" s="54"/>
      <c r="B456" s="54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4"/>
      <c r="AI456" s="54"/>
      <c r="AJ456" s="54"/>
      <c r="AK456" s="54"/>
      <c r="AL456" s="54"/>
      <c r="AM456" s="54"/>
      <c r="AN456" s="54"/>
      <c r="AO456" s="54"/>
      <c r="AP456" s="54"/>
      <c r="AQ456" s="54"/>
      <c r="AR456" s="54"/>
      <c r="AS456" s="54"/>
      <c r="AT456" s="54"/>
      <c r="AU456" s="54"/>
      <c r="AV456" s="54"/>
      <c r="AW456" s="54"/>
      <c r="AX456" s="54"/>
      <c r="AY456" s="54"/>
      <c r="AZ456" s="54"/>
      <c r="BA456" s="54"/>
      <c r="BB456" s="54"/>
      <c r="BC456" s="54"/>
      <c r="BD456" s="54"/>
      <c r="BE456" s="54"/>
      <c r="BF456" s="54"/>
      <c r="BG456" s="54"/>
      <c r="BH456" s="54"/>
      <c r="BI456" s="54"/>
      <c r="BJ456" s="54"/>
      <c r="BK456" s="54"/>
      <c r="BL456" s="54"/>
    </row>
    <row r="457" spans="1:64" ht="11.25" customHeight="1" x14ac:dyDescent="0.3">
      <c r="A457" s="54"/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4"/>
      <c r="AI457" s="54"/>
      <c r="AJ457" s="54"/>
      <c r="AK457" s="54"/>
      <c r="AL457" s="54"/>
      <c r="AM457" s="54"/>
      <c r="AN457" s="54"/>
      <c r="AO457" s="54"/>
      <c r="AP457" s="54"/>
      <c r="AQ457" s="54"/>
      <c r="AR457" s="54"/>
      <c r="AS457" s="54"/>
      <c r="AT457" s="54"/>
      <c r="AU457" s="54"/>
      <c r="AV457" s="54"/>
      <c r="AW457" s="54"/>
      <c r="AX457" s="54"/>
      <c r="AY457" s="54"/>
      <c r="AZ457" s="54"/>
      <c r="BA457" s="54"/>
      <c r="BB457" s="54"/>
      <c r="BC457" s="54"/>
      <c r="BD457" s="54"/>
      <c r="BE457" s="54"/>
      <c r="BF457" s="54"/>
      <c r="BG457" s="54"/>
      <c r="BH457" s="54"/>
      <c r="BI457" s="54"/>
      <c r="BJ457" s="54"/>
      <c r="BK457" s="54"/>
      <c r="BL457" s="54"/>
    </row>
    <row r="458" spans="1:64" ht="11.25" customHeight="1" x14ac:dyDescent="0.3">
      <c r="A458" s="54"/>
      <c r="B458" s="54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4"/>
      <c r="AI458" s="54"/>
      <c r="AJ458" s="54"/>
      <c r="AK458" s="54"/>
      <c r="AL458" s="54"/>
      <c r="AM458" s="54"/>
      <c r="AN458" s="54"/>
      <c r="AO458" s="54"/>
      <c r="AP458" s="54"/>
      <c r="AQ458" s="54"/>
      <c r="AR458" s="54"/>
      <c r="AS458" s="54"/>
      <c r="AT458" s="54"/>
      <c r="AU458" s="54"/>
      <c r="AV458" s="54"/>
      <c r="AW458" s="54"/>
      <c r="AX458" s="54"/>
      <c r="AY458" s="54"/>
      <c r="AZ458" s="54"/>
      <c r="BA458" s="54"/>
      <c r="BB458" s="54"/>
      <c r="BC458" s="54"/>
      <c r="BD458" s="54"/>
      <c r="BE458" s="54"/>
      <c r="BF458" s="54"/>
      <c r="BG458" s="54"/>
      <c r="BH458" s="54"/>
      <c r="BI458" s="54"/>
      <c r="BJ458" s="54"/>
      <c r="BK458" s="54"/>
      <c r="BL458" s="54"/>
    </row>
    <row r="459" spans="1:64" ht="11.25" customHeight="1" x14ac:dyDescent="0.3">
      <c r="A459" s="54"/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4"/>
      <c r="AI459" s="54"/>
      <c r="AJ459" s="54"/>
      <c r="AK459" s="54"/>
      <c r="AL459" s="54"/>
      <c r="AM459" s="54"/>
      <c r="AN459" s="54"/>
      <c r="AO459" s="54"/>
      <c r="AP459" s="54"/>
      <c r="AQ459" s="54"/>
      <c r="AR459" s="54"/>
      <c r="AS459" s="54"/>
      <c r="AT459" s="54"/>
      <c r="AU459" s="54"/>
      <c r="AV459" s="54"/>
      <c r="AW459" s="54"/>
      <c r="AX459" s="54"/>
      <c r="AY459" s="54"/>
      <c r="AZ459" s="54"/>
      <c r="BA459" s="54"/>
      <c r="BB459" s="54"/>
      <c r="BC459" s="54"/>
      <c r="BD459" s="54"/>
      <c r="BE459" s="54"/>
      <c r="BF459" s="54"/>
      <c r="BG459" s="54"/>
      <c r="BH459" s="54"/>
      <c r="BI459" s="54"/>
      <c r="BJ459" s="54"/>
      <c r="BK459" s="54"/>
      <c r="BL459" s="54"/>
    </row>
    <row r="460" spans="1:64" ht="11.25" customHeight="1" x14ac:dyDescent="0.3">
      <c r="A460" s="54"/>
      <c r="B460" s="54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4"/>
      <c r="AI460" s="54"/>
      <c r="AJ460" s="54"/>
      <c r="AK460" s="54"/>
      <c r="AL460" s="54"/>
      <c r="AM460" s="54"/>
      <c r="AN460" s="54"/>
      <c r="AO460" s="54"/>
      <c r="AP460" s="54"/>
      <c r="AQ460" s="54"/>
      <c r="AR460" s="54"/>
      <c r="AS460" s="54"/>
      <c r="AT460" s="54"/>
      <c r="AU460" s="54"/>
      <c r="AV460" s="54"/>
      <c r="AW460" s="54"/>
      <c r="AX460" s="54"/>
      <c r="AY460" s="54"/>
      <c r="AZ460" s="54"/>
      <c r="BA460" s="54"/>
      <c r="BB460" s="54"/>
      <c r="BC460" s="54"/>
      <c r="BD460" s="54"/>
      <c r="BE460" s="54"/>
      <c r="BF460" s="54"/>
      <c r="BG460" s="54"/>
      <c r="BH460" s="54"/>
      <c r="BI460" s="54"/>
      <c r="BJ460" s="54"/>
      <c r="BK460" s="54"/>
      <c r="BL460" s="54"/>
    </row>
    <row r="461" spans="1:64" ht="11.25" customHeight="1" x14ac:dyDescent="0.3">
      <c r="A461" s="54"/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4"/>
      <c r="AI461" s="54"/>
      <c r="AJ461" s="54"/>
      <c r="AK461" s="54"/>
      <c r="AL461" s="54"/>
      <c r="AM461" s="54"/>
      <c r="AN461" s="54"/>
      <c r="AO461" s="54"/>
      <c r="AP461" s="54"/>
      <c r="AQ461" s="54"/>
      <c r="AR461" s="54"/>
      <c r="AS461" s="54"/>
      <c r="AT461" s="54"/>
      <c r="AU461" s="54"/>
      <c r="AV461" s="54"/>
      <c r="AW461" s="54"/>
      <c r="AX461" s="54"/>
      <c r="AY461" s="54"/>
      <c r="AZ461" s="54"/>
      <c r="BA461" s="54"/>
      <c r="BB461" s="54"/>
      <c r="BC461" s="54"/>
      <c r="BD461" s="54"/>
      <c r="BE461" s="54"/>
      <c r="BF461" s="54"/>
      <c r="BG461" s="54"/>
      <c r="BH461" s="54"/>
      <c r="BI461" s="54"/>
      <c r="BJ461" s="54"/>
      <c r="BK461" s="54"/>
      <c r="BL461" s="54"/>
    </row>
    <row r="462" spans="1:64" ht="11.25" customHeight="1" x14ac:dyDescent="0.3">
      <c r="A462" s="54"/>
      <c r="B462" s="54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4"/>
      <c r="AI462" s="54"/>
      <c r="AJ462" s="54"/>
      <c r="AK462" s="54"/>
      <c r="AL462" s="54"/>
      <c r="AM462" s="54"/>
      <c r="AN462" s="54"/>
      <c r="AO462" s="54"/>
      <c r="AP462" s="54"/>
      <c r="AQ462" s="54"/>
      <c r="AR462" s="54"/>
      <c r="AS462" s="54"/>
      <c r="AT462" s="54"/>
      <c r="AU462" s="54"/>
      <c r="AV462" s="54"/>
      <c r="AW462" s="54"/>
      <c r="AX462" s="54"/>
      <c r="AY462" s="54"/>
      <c r="AZ462" s="54"/>
      <c r="BA462" s="54"/>
      <c r="BB462" s="54"/>
      <c r="BC462" s="54"/>
      <c r="BD462" s="54"/>
      <c r="BE462" s="54"/>
      <c r="BF462" s="54"/>
      <c r="BG462" s="54"/>
      <c r="BH462" s="54"/>
      <c r="BI462" s="54"/>
      <c r="BJ462" s="54"/>
      <c r="BK462" s="54"/>
      <c r="BL462" s="54"/>
    </row>
    <row r="463" spans="1:64" ht="11.25" customHeight="1" x14ac:dyDescent="0.3">
      <c r="A463" s="54"/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4"/>
      <c r="AI463" s="54"/>
      <c r="AJ463" s="54"/>
      <c r="AK463" s="54"/>
      <c r="AL463" s="54"/>
      <c r="AM463" s="54"/>
      <c r="AN463" s="54"/>
      <c r="AO463" s="54"/>
      <c r="AP463" s="54"/>
      <c r="AQ463" s="54"/>
      <c r="AR463" s="54"/>
      <c r="AS463" s="54"/>
      <c r="AT463" s="54"/>
      <c r="AU463" s="54"/>
      <c r="AV463" s="54"/>
      <c r="AW463" s="54"/>
      <c r="AX463" s="54"/>
      <c r="AY463" s="54"/>
      <c r="AZ463" s="54"/>
      <c r="BA463" s="54"/>
      <c r="BB463" s="54"/>
      <c r="BC463" s="54"/>
      <c r="BD463" s="54"/>
      <c r="BE463" s="54"/>
      <c r="BF463" s="54"/>
      <c r="BG463" s="54"/>
      <c r="BH463" s="54"/>
      <c r="BI463" s="54"/>
      <c r="BJ463" s="54"/>
      <c r="BK463" s="54"/>
      <c r="BL463" s="54"/>
    </row>
    <row r="464" spans="1:64" ht="11.25" customHeight="1" x14ac:dyDescent="0.3">
      <c r="A464" s="54"/>
      <c r="B464" s="54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4"/>
      <c r="AI464" s="54"/>
      <c r="AJ464" s="54"/>
      <c r="AK464" s="54"/>
      <c r="AL464" s="54"/>
      <c r="AM464" s="54"/>
      <c r="AN464" s="54"/>
      <c r="AO464" s="54"/>
      <c r="AP464" s="54"/>
      <c r="AQ464" s="54"/>
      <c r="AR464" s="54"/>
      <c r="AS464" s="54"/>
      <c r="AT464" s="54"/>
      <c r="AU464" s="54"/>
      <c r="AV464" s="54"/>
      <c r="AW464" s="54"/>
      <c r="AX464" s="54"/>
      <c r="AY464" s="54"/>
      <c r="AZ464" s="54"/>
      <c r="BA464" s="54"/>
      <c r="BB464" s="54"/>
      <c r="BC464" s="54"/>
      <c r="BD464" s="54"/>
      <c r="BE464" s="54"/>
      <c r="BF464" s="54"/>
      <c r="BG464" s="54"/>
      <c r="BH464" s="54"/>
      <c r="BI464" s="54"/>
      <c r="BJ464" s="54"/>
      <c r="BK464" s="54"/>
      <c r="BL464" s="54"/>
    </row>
    <row r="465" spans="1:64" ht="11.25" customHeight="1" x14ac:dyDescent="0.3">
      <c r="A465" s="54"/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4"/>
      <c r="AI465" s="54"/>
      <c r="AJ465" s="54"/>
      <c r="AK465" s="54"/>
      <c r="AL465" s="54"/>
      <c r="AM465" s="54"/>
      <c r="AN465" s="54"/>
      <c r="AO465" s="54"/>
      <c r="AP465" s="54"/>
      <c r="AQ465" s="54"/>
      <c r="AR465" s="54"/>
      <c r="AS465" s="54"/>
      <c r="AT465" s="54"/>
      <c r="AU465" s="54"/>
      <c r="AV465" s="54"/>
      <c r="AW465" s="54"/>
      <c r="AX465" s="54"/>
      <c r="AY465" s="54"/>
      <c r="AZ465" s="54"/>
      <c r="BA465" s="54"/>
      <c r="BB465" s="54"/>
      <c r="BC465" s="54"/>
      <c r="BD465" s="54"/>
      <c r="BE465" s="54"/>
      <c r="BF465" s="54"/>
      <c r="BG465" s="54"/>
      <c r="BH465" s="54"/>
      <c r="BI465" s="54"/>
      <c r="BJ465" s="54"/>
      <c r="BK465" s="54"/>
      <c r="BL465" s="54"/>
    </row>
    <row r="466" spans="1:64" ht="11.25" customHeight="1" x14ac:dyDescent="0.3">
      <c r="A466" s="54"/>
      <c r="B466" s="54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4"/>
      <c r="AI466" s="54"/>
      <c r="AJ466" s="54"/>
      <c r="AK466" s="54"/>
      <c r="AL466" s="54"/>
      <c r="AM466" s="54"/>
      <c r="AN466" s="54"/>
      <c r="AO466" s="54"/>
      <c r="AP466" s="54"/>
      <c r="AQ466" s="54"/>
      <c r="AR466" s="54"/>
      <c r="AS466" s="54"/>
      <c r="AT466" s="54"/>
      <c r="AU466" s="54"/>
      <c r="AV466" s="54"/>
      <c r="AW466" s="54"/>
      <c r="AX466" s="54"/>
      <c r="AY466" s="54"/>
      <c r="AZ466" s="54"/>
      <c r="BA466" s="54"/>
      <c r="BB466" s="54"/>
      <c r="BC466" s="54"/>
      <c r="BD466" s="54"/>
      <c r="BE466" s="54"/>
      <c r="BF466" s="54"/>
      <c r="BG466" s="54"/>
      <c r="BH466" s="54"/>
      <c r="BI466" s="54"/>
      <c r="BJ466" s="54"/>
      <c r="BK466" s="54"/>
      <c r="BL466" s="54"/>
    </row>
    <row r="467" spans="1:64" ht="11.25" customHeight="1" x14ac:dyDescent="0.3">
      <c r="A467" s="54"/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  <c r="AG467" s="54"/>
      <c r="AH467" s="54"/>
      <c r="AI467" s="54"/>
      <c r="AJ467" s="54"/>
      <c r="AK467" s="54"/>
      <c r="AL467" s="54"/>
      <c r="AM467" s="54"/>
      <c r="AN467" s="54"/>
      <c r="AO467" s="54"/>
      <c r="AP467" s="54"/>
      <c r="AQ467" s="54"/>
      <c r="AR467" s="54"/>
      <c r="AS467" s="54"/>
      <c r="AT467" s="54"/>
      <c r="AU467" s="54"/>
      <c r="AV467" s="54"/>
      <c r="AW467" s="54"/>
      <c r="AX467" s="54"/>
      <c r="AY467" s="54"/>
      <c r="AZ467" s="54"/>
      <c r="BA467" s="54"/>
      <c r="BB467" s="54"/>
      <c r="BC467" s="54"/>
      <c r="BD467" s="54"/>
      <c r="BE467" s="54"/>
      <c r="BF467" s="54"/>
      <c r="BG467" s="54"/>
      <c r="BH467" s="54"/>
      <c r="BI467" s="54"/>
      <c r="BJ467" s="54"/>
      <c r="BK467" s="54"/>
      <c r="BL467" s="54"/>
    </row>
    <row r="468" spans="1:64" ht="11.25" customHeight="1" x14ac:dyDescent="0.3">
      <c r="A468" s="54"/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  <c r="AG468" s="54"/>
      <c r="AH468" s="54"/>
      <c r="AI468" s="54"/>
      <c r="AJ468" s="54"/>
      <c r="AK468" s="54"/>
      <c r="AL468" s="54"/>
      <c r="AM468" s="54"/>
      <c r="AN468" s="54"/>
      <c r="AO468" s="54"/>
      <c r="AP468" s="54"/>
      <c r="AQ468" s="54"/>
      <c r="AR468" s="54"/>
      <c r="AS468" s="54"/>
      <c r="AT468" s="54"/>
      <c r="AU468" s="54"/>
      <c r="AV468" s="54"/>
      <c r="AW468" s="54"/>
      <c r="AX468" s="54"/>
      <c r="AY468" s="54"/>
      <c r="AZ468" s="54"/>
      <c r="BA468" s="54"/>
      <c r="BB468" s="54"/>
      <c r="BC468" s="54"/>
      <c r="BD468" s="54"/>
      <c r="BE468" s="54"/>
      <c r="BF468" s="54"/>
      <c r="BG468" s="54"/>
      <c r="BH468" s="54"/>
      <c r="BI468" s="54"/>
      <c r="BJ468" s="54"/>
      <c r="BK468" s="54"/>
      <c r="BL468" s="54"/>
    </row>
    <row r="469" spans="1:64" ht="11.25" customHeight="1" x14ac:dyDescent="0.3">
      <c r="A469" s="54"/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4"/>
      <c r="AI469" s="54"/>
      <c r="AJ469" s="54"/>
      <c r="AK469" s="54"/>
      <c r="AL469" s="54"/>
      <c r="AM469" s="54"/>
      <c r="AN469" s="54"/>
      <c r="AO469" s="54"/>
      <c r="AP469" s="54"/>
      <c r="AQ469" s="54"/>
      <c r="AR469" s="54"/>
      <c r="AS469" s="54"/>
      <c r="AT469" s="54"/>
      <c r="AU469" s="54"/>
      <c r="AV469" s="54"/>
      <c r="AW469" s="54"/>
      <c r="AX469" s="54"/>
      <c r="AY469" s="54"/>
      <c r="AZ469" s="54"/>
      <c r="BA469" s="54"/>
      <c r="BB469" s="54"/>
      <c r="BC469" s="54"/>
      <c r="BD469" s="54"/>
      <c r="BE469" s="54"/>
      <c r="BF469" s="54"/>
      <c r="BG469" s="54"/>
      <c r="BH469" s="54"/>
      <c r="BI469" s="54"/>
      <c r="BJ469" s="54"/>
      <c r="BK469" s="54"/>
      <c r="BL469" s="54"/>
    </row>
    <row r="470" spans="1:64" ht="11.25" customHeight="1" x14ac:dyDescent="0.3">
      <c r="A470" s="54"/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4"/>
      <c r="AI470" s="54"/>
      <c r="AJ470" s="54"/>
      <c r="AK470" s="54"/>
      <c r="AL470" s="54"/>
      <c r="AM470" s="54"/>
      <c r="AN470" s="54"/>
      <c r="AO470" s="54"/>
      <c r="AP470" s="54"/>
      <c r="AQ470" s="54"/>
      <c r="AR470" s="54"/>
      <c r="AS470" s="54"/>
      <c r="AT470" s="54"/>
      <c r="AU470" s="54"/>
      <c r="AV470" s="54"/>
      <c r="AW470" s="54"/>
      <c r="AX470" s="54"/>
      <c r="AY470" s="54"/>
      <c r="AZ470" s="54"/>
      <c r="BA470" s="54"/>
      <c r="BB470" s="54"/>
      <c r="BC470" s="54"/>
      <c r="BD470" s="54"/>
      <c r="BE470" s="54"/>
      <c r="BF470" s="54"/>
      <c r="BG470" s="54"/>
      <c r="BH470" s="54"/>
      <c r="BI470" s="54"/>
      <c r="BJ470" s="54"/>
      <c r="BK470" s="54"/>
      <c r="BL470" s="54"/>
    </row>
    <row r="471" spans="1:64" ht="11.25" customHeight="1" x14ac:dyDescent="0.3">
      <c r="A471" s="54"/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4"/>
      <c r="AI471" s="54"/>
      <c r="AJ471" s="54"/>
      <c r="AK471" s="54"/>
      <c r="AL471" s="54"/>
      <c r="AM471" s="54"/>
      <c r="AN471" s="54"/>
      <c r="AO471" s="54"/>
      <c r="AP471" s="54"/>
      <c r="AQ471" s="54"/>
      <c r="AR471" s="54"/>
      <c r="AS471" s="54"/>
      <c r="AT471" s="54"/>
      <c r="AU471" s="54"/>
      <c r="AV471" s="54"/>
      <c r="AW471" s="54"/>
      <c r="AX471" s="54"/>
      <c r="AY471" s="54"/>
      <c r="AZ471" s="54"/>
      <c r="BA471" s="54"/>
      <c r="BB471" s="54"/>
      <c r="BC471" s="54"/>
      <c r="BD471" s="54"/>
      <c r="BE471" s="54"/>
      <c r="BF471" s="54"/>
      <c r="BG471" s="54"/>
      <c r="BH471" s="54"/>
      <c r="BI471" s="54"/>
      <c r="BJ471" s="54"/>
      <c r="BK471" s="54"/>
      <c r="BL471" s="54"/>
    </row>
    <row r="472" spans="1:64" ht="11.25" customHeight="1" x14ac:dyDescent="0.3">
      <c r="A472" s="54"/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4"/>
      <c r="AI472" s="54"/>
      <c r="AJ472" s="54"/>
      <c r="AK472" s="54"/>
      <c r="AL472" s="54"/>
      <c r="AM472" s="54"/>
      <c r="AN472" s="54"/>
      <c r="AO472" s="54"/>
      <c r="AP472" s="54"/>
      <c r="AQ472" s="54"/>
      <c r="AR472" s="54"/>
      <c r="AS472" s="54"/>
      <c r="AT472" s="54"/>
      <c r="AU472" s="54"/>
      <c r="AV472" s="54"/>
      <c r="AW472" s="54"/>
      <c r="AX472" s="54"/>
      <c r="AY472" s="54"/>
      <c r="AZ472" s="54"/>
      <c r="BA472" s="54"/>
      <c r="BB472" s="54"/>
      <c r="BC472" s="54"/>
      <c r="BD472" s="54"/>
      <c r="BE472" s="54"/>
      <c r="BF472" s="54"/>
      <c r="BG472" s="54"/>
      <c r="BH472" s="54"/>
      <c r="BI472" s="54"/>
      <c r="BJ472" s="54"/>
      <c r="BK472" s="54"/>
      <c r="BL472" s="54"/>
    </row>
    <row r="473" spans="1:64" ht="11.25" customHeight="1" x14ac:dyDescent="0.3">
      <c r="A473" s="54"/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4"/>
      <c r="AI473" s="54"/>
      <c r="AJ473" s="54"/>
      <c r="AK473" s="54"/>
      <c r="AL473" s="54"/>
      <c r="AM473" s="54"/>
      <c r="AN473" s="54"/>
      <c r="AO473" s="54"/>
      <c r="AP473" s="54"/>
      <c r="AQ473" s="54"/>
      <c r="AR473" s="54"/>
      <c r="AS473" s="54"/>
      <c r="AT473" s="54"/>
      <c r="AU473" s="54"/>
      <c r="AV473" s="54"/>
      <c r="AW473" s="54"/>
      <c r="AX473" s="54"/>
      <c r="AY473" s="54"/>
      <c r="AZ473" s="54"/>
      <c r="BA473" s="54"/>
      <c r="BB473" s="54"/>
      <c r="BC473" s="54"/>
      <c r="BD473" s="54"/>
      <c r="BE473" s="54"/>
      <c r="BF473" s="54"/>
      <c r="BG473" s="54"/>
      <c r="BH473" s="54"/>
      <c r="BI473" s="54"/>
      <c r="BJ473" s="54"/>
      <c r="BK473" s="54"/>
      <c r="BL473" s="54"/>
    </row>
    <row r="474" spans="1:64" ht="11.25" customHeight="1" x14ac:dyDescent="0.3">
      <c r="A474" s="54"/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4"/>
      <c r="AI474" s="54"/>
      <c r="AJ474" s="54"/>
      <c r="AK474" s="54"/>
      <c r="AL474" s="54"/>
      <c r="AM474" s="54"/>
      <c r="AN474" s="54"/>
      <c r="AO474" s="54"/>
      <c r="AP474" s="54"/>
      <c r="AQ474" s="54"/>
      <c r="AR474" s="54"/>
      <c r="AS474" s="54"/>
      <c r="AT474" s="54"/>
      <c r="AU474" s="54"/>
      <c r="AV474" s="54"/>
      <c r="AW474" s="54"/>
      <c r="AX474" s="54"/>
      <c r="AY474" s="54"/>
      <c r="AZ474" s="54"/>
      <c r="BA474" s="54"/>
      <c r="BB474" s="54"/>
      <c r="BC474" s="54"/>
      <c r="BD474" s="54"/>
      <c r="BE474" s="54"/>
      <c r="BF474" s="54"/>
      <c r="BG474" s="54"/>
      <c r="BH474" s="54"/>
      <c r="BI474" s="54"/>
      <c r="BJ474" s="54"/>
      <c r="BK474" s="54"/>
      <c r="BL474" s="54"/>
    </row>
    <row r="475" spans="1:64" ht="11.25" customHeight="1" x14ac:dyDescent="0.3">
      <c r="A475" s="54"/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4"/>
      <c r="AI475" s="54"/>
      <c r="AJ475" s="54"/>
      <c r="AK475" s="54"/>
      <c r="AL475" s="54"/>
      <c r="AM475" s="54"/>
      <c r="AN475" s="54"/>
      <c r="AO475" s="54"/>
      <c r="AP475" s="54"/>
      <c r="AQ475" s="54"/>
      <c r="AR475" s="54"/>
      <c r="AS475" s="54"/>
      <c r="AT475" s="54"/>
      <c r="AU475" s="54"/>
      <c r="AV475" s="54"/>
      <c r="AW475" s="54"/>
      <c r="AX475" s="54"/>
      <c r="AY475" s="54"/>
      <c r="AZ475" s="54"/>
      <c r="BA475" s="54"/>
      <c r="BB475" s="54"/>
      <c r="BC475" s="54"/>
      <c r="BD475" s="54"/>
      <c r="BE475" s="54"/>
      <c r="BF475" s="54"/>
      <c r="BG475" s="54"/>
      <c r="BH475" s="54"/>
      <c r="BI475" s="54"/>
      <c r="BJ475" s="54"/>
      <c r="BK475" s="54"/>
      <c r="BL475" s="54"/>
    </row>
    <row r="476" spans="1:64" ht="11.25" customHeight="1" x14ac:dyDescent="0.3">
      <c r="A476" s="54"/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4"/>
      <c r="AI476" s="54"/>
      <c r="AJ476" s="54"/>
      <c r="AK476" s="54"/>
      <c r="AL476" s="54"/>
      <c r="AM476" s="54"/>
      <c r="AN476" s="54"/>
      <c r="AO476" s="54"/>
      <c r="AP476" s="54"/>
      <c r="AQ476" s="54"/>
      <c r="AR476" s="54"/>
      <c r="AS476" s="54"/>
      <c r="AT476" s="54"/>
      <c r="AU476" s="54"/>
      <c r="AV476" s="54"/>
      <c r="AW476" s="54"/>
      <c r="AX476" s="54"/>
      <c r="AY476" s="54"/>
      <c r="AZ476" s="54"/>
      <c r="BA476" s="54"/>
      <c r="BB476" s="54"/>
      <c r="BC476" s="54"/>
      <c r="BD476" s="54"/>
      <c r="BE476" s="54"/>
      <c r="BF476" s="54"/>
      <c r="BG476" s="54"/>
      <c r="BH476" s="54"/>
      <c r="BI476" s="54"/>
      <c r="BJ476" s="54"/>
      <c r="BK476" s="54"/>
      <c r="BL476" s="54"/>
    </row>
    <row r="477" spans="1:64" ht="11.25" customHeight="1" x14ac:dyDescent="0.3">
      <c r="A477" s="54"/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4"/>
      <c r="AI477" s="54"/>
      <c r="AJ477" s="54"/>
      <c r="AK477" s="54"/>
      <c r="AL477" s="54"/>
      <c r="AM477" s="54"/>
      <c r="AN477" s="54"/>
      <c r="AO477" s="54"/>
      <c r="AP477" s="54"/>
      <c r="AQ477" s="54"/>
      <c r="AR477" s="54"/>
      <c r="AS477" s="54"/>
      <c r="AT477" s="54"/>
      <c r="AU477" s="54"/>
      <c r="AV477" s="54"/>
      <c r="AW477" s="54"/>
      <c r="AX477" s="54"/>
      <c r="AY477" s="54"/>
      <c r="AZ477" s="54"/>
      <c r="BA477" s="54"/>
      <c r="BB477" s="54"/>
      <c r="BC477" s="54"/>
      <c r="BD477" s="54"/>
      <c r="BE477" s="54"/>
      <c r="BF477" s="54"/>
      <c r="BG477" s="54"/>
      <c r="BH477" s="54"/>
      <c r="BI477" s="54"/>
      <c r="BJ477" s="54"/>
      <c r="BK477" s="54"/>
      <c r="BL477" s="54"/>
    </row>
    <row r="478" spans="1:64" ht="11.25" customHeight="1" x14ac:dyDescent="0.3">
      <c r="A478" s="54"/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4"/>
      <c r="AI478" s="54"/>
      <c r="AJ478" s="54"/>
      <c r="AK478" s="54"/>
      <c r="AL478" s="54"/>
      <c r="AM478" s="54"/>
      <c r="AN478" s="54"/>
      <c r="AO478" s="54"/>
      <c r="AP478" s="54"/>
      <c r="AQ478" s="54"/>
      <c r="AR478" s="54"/>
      <c r="AS478" s="54"/>
      <c r="AT478" s="54"/>
      <c r="AU478" s="54"/>
      <c r="AV478" s="54"/>
      <c r="AW478" s="54"/>
      <c r="AX478" s="54"/>
      <c r="AY478" s="54"/>
      <c r="AZ478" s="54"/>
      <c r="BA478" s="54"/>
      <c r="BB478" s="54"/>
      <c r="BC478" s="54"/>
      <c r="BD478" s="54"/>
      <c r="BE478" s="54"/>
      <c r="BF478" s="54"/>
      <c r="BG478" s="54"/>
      <c r="BH478" s="54"/>
      <c r="BI478" s="54"/>
      <c r="BJ478" s="54"/>
      <c r="BK478" s="54"/>
      <c r="BL478" s="54"/>
    </row>
    <row r="479" spans="1:64" ht="11.25" customHeight="1" x14ac:dyDescent="0.3">
      <c r="A479" s="54"/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4"/>
      <c r="AI479" s="54"/>
      <c r="AJ479" s="54"/>
      <c r="AK479" s="54"/>
      <c r="AL479" s="54"/>
      <c r="AM479" s="54"/>
      <c r="AN479" s="54"/>
      <c r="AO479" s="54"/>
      <c r="AP479" s="54"/>
      <c r="AQ479" s="54"/>
      <c r="AR479" s="54"/>
      <c r="AS479" s="54"/>
      <c r="AT479" s="54"/>
      <c r="AU479" s="54"/>
      <c r="AV479" s="54"/>
      <c r="AW479" s="54"/>
      <c r="AX479" s="54"/>
      <c r="AY479" s="54"/>
      <c r="AZ479" s="54"/>
      <c r="BA479" s="54"/>
      <c r="BB479" s="54"/>
      <c r="BC479" s="54"/>
      <c r="BD479" s="54"/>
      <c r="BE479" s="54"/>
      <c r="BF479" s="54"/>
      <c r="BG479" s="54"/>
      <c r="BH479" s="54"/>
      <c r="BI479" s="54"/>
      <c r="BJ479" s="54"/>
      <c r="BK479" s="54"/>
      <c r="BL479" s="54"/>
    </row>
    <row r="480" spans="1:64" ht="11.25" customHeight="1" x14ac:dyDescent="0.3">
      <c r="A480" s="54"/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4"/>
      <c r="AI480" s="54"/>
      <c r="AJ480" s="54"/>
      <c r="AK480" s="54"/>
      <c r="AL480" s="54"/>
      <c r="AM480" s="54"/>
      <c r="AN480" s="54"/>
      <c r="AO480" s="54"/>
      <c r="AP480" s="54"/>
      <c r="AQ480" s="54"/>
      <c r="AR480" s="54"/>
      <c r="AS480" s="54"/>
      <c r="AT480" s="54"/>
      <c r="AU480" s="54"/>
      <c r="AV480" s="54"/>
      <c r="AW480" s="54"/>
      <c r="AX480" s="54"/>
      <c r="AY480" s="54"/>
      <c r="AZ480" s="54"/>
      <c r="BA480" s="54"/>
      <c r="BB480" s="54"/>
      <c r="BC480" s="54"/>
      <c r="BD480" s="54"/>
      <c r="BE480" s="54"/>
      <c r="BF480" s="54"/>
      <c r="BG480" s="54"/>
      <c r="BH480" s="54"/>
      <c r="BI480" s="54"/>
      <c r="BJ480" s="54"/>
      <c r="BK480" s="54"/>
      <c r="BL480" s="54"/>
    </row>
    <row r="481" spans="1:64" ht="11.25" customHeight="1" x14ac:dyDescent="0.3">
      <c r="A481" s="54"/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4"/>
      <c r="AI481" s="54"/>
      <c r="AJ481" s="54"/>
      <c r="AK481" s="54"/>
      <c r="AL481" s="54"/>
      <c r="AM481" s="54"/>
      <c r="AN481" s="54"/>
      <c r="AO481" s="54"/>
      <c r="AP481" s="54"/>
      <c r="AQ481" s="54"/>
      <c r="AR481" s="54"/>
      <c r="AS481" s="54"/>
      <c r="AT481" s="54"/>
      <c r="AU481" s="54"/>
      <c r="AV481" s="54"/>
      <c r="AW481" s="54"/>
      <c r="AX481" s="54"/>
      <c r="AY481" s="54"/>
      <c r="AZ481" s="54"/>
      <c r="BA481" s="54"/>
      <c r="BB481" s="54"/>
      <c r="BC481" s="54"/>
      <c r="BD481" s="54"/>
      <c r="BE481" s="54"/>
      <c r="BF481" s="54"/>
      <c r="BG481" s="54"/>
      <c r="BH481" s="54"/>
      <c r="BI481" s="54"/>
      <c r="BJ481" s="54"/>
      <c r="BK481" s="54"/>
      <c r="BL481" s="54"/>
    </row>
    <row r="482" spans="1:64" ht="11.25" customHeight="1" x14ac:dyDescent="0.3">
      <c r="A482" s="54"/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4"/>
      <c r="AI482" s="54"/>
      <c r="AJ482" s="54"/>
      <c r="AK482" s="54"/>
      <c r="AL482" s="54"/>
      <c r="AM482" s="54"/>
      <c r="AN482" s="54"/>
      <c r="AO482" s="54"/>
      <c r="AP482" s="54"/>
      <c r="AQ482" s="54"/>
      <c r="AR482" s="54"/>
      <c r="AS482" s="54"/>
      <c r="AT482" s="54"/>
      <c r="AU482" s="54"/>
      <c r="AV482" s="54"/>
      <c r="AW482" s="54"/>
      <c r="AX482" s="54"/>
      <c r="AY482" s="54"/>
      <c r="AZ482" s="54"/>
      <c r="BA482" s="54"/>
      <c r="BB482" s="54"/>
      <c r="BC482" s="54"/>
      <c r="BD482" s="54"/>
      <c r="BE482" s="54"/>
      <c r="BF482" s="54"/>
      <c r="BG482" s="54"/>
      <c r="BH482" s="54"/>
      <c r="BI482" s="54"/>
      <c r="BJ482" s="54"/>
      <c r="BK482" s="54"/>
      <c r="BL482" s="54"/>
    </row>
    <row r="483" spans="1:64" ht="11.25" customHeight="1" x14ac:dyDescent="0.3">
      <c r="A483" s="54"/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  <c r="AG483" s="54"/>
      <c r="AH483" s="54"/>
      <c r="AI483" s="54"/>
      <c r="AJ483" s="54"/>
      <c r="AK483" s="54"/>
      <c r="AL483" s="54"/>
      <c r="AM483" s="54"/>
      <c r="AN483" s="54"/>
      <c r="AO483" s="54"/>
      <c r="AP483" s="54"/>
      <c r="AQ483" s="54"/>
      <c r="AR483" s="54"/>
      <c r="AS483" s="54"/>
      <c r="AT483" s="54"/>
      <c r="AU483" s="54"/>
      <c r="AV483" s="54"/>
      <c r="AW483" s="54"/>
      <c r="AX483" s="54"/>
      <c r="AY483" s="54"/>
      <c r="AZ483" s="54"/>
      <c r="BA483" s="54"/>
      <c r="BB483" s="54"/>
      <c r="BC483" s="54"/>
      <c r="BD483" s="54"/>
      <c r="BE483" s="54"/>
      <c r="BF483" s="54"/>
      <c r="BG483" s="54"/>
      <c r="BH483" s="54"/>
      <c r="BI483" s="54"/>
      <c r="BJ483" s="54"/>
      <c r="BK483" s="54"/>
      <c r="BL483" s="54"/>
    </row>
    <row r="484" spans="1:64" ht="11.25" customHeight="1" x14ac:dyDescent="0.3">
      <c r="A484" s="54"/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  <c r="AG484" s="54"/>
      <c r="AH484" s="54"/>
      <c r="AI484" s="54"/>
      <c r="AJ484" s="54"/>
      <c r="AK484" s="54"/>
      <c r="AL484" s="54"/>
      <c r="AM484" s="54"/>
      <c r="AN484" s="54"/>
      <c r="AO484" s="54"/>
      <c r="AP484" s="54"/>
      <c r="AQ484" s="54"/>
      <c r="AR484" s="54"/>
      <c r="AS484" s="54"/>
      <c r="AT484" s="54"/>
      <c r="AU484" s="54"/>
      <c r="AV484" s="54"/>
      <c r="AW484" s="54"/>
      <c r="AX484" s="54"/>
      <c r="AY484" s="54"/>
      <c r="AZ484" s="54"/>
      <c r="BA484" s="54"/>
      <c r="BB484" s="54"/>
      <c r="BC484" s="54"/>
      <c r="BD484" s="54"/>
      <c r="BE484" s="54"/>
      <c r="BF484" s="54"/>
      <c r="BG484" s="54"/>
      <c r="BH484" s="54"/>
      <c r="BI484" s="54"/>
      <c r="BJ484" s="54"/>
      <c r="BK484" s="54"/>
      <c r="BL484" s="54"/>
    </row>
    <row r="485" spans="1:64" ht="11.25" customHeight="1" x14ac:dyDescent="0.3">
      <c r="A485" s="54"/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4"/>
      <c r="AI485" s="54"/>
      <c r="AJ485" s="54"/>
      <c r="AK485" s="54"/>
      <c r="AL485" s="54"/>
      <c r="AM485" s="54"/>
      <c r="AN485" s="54"/>
      <c r="AO485" s="54"/>
      <c r="AP485" s="54"/>
      <c r="AQ485" s="54"/>
      <c r="AR485" s="54"/>
      <c r="AS485" s="54"/>
      <c r="AT485" s="54"/>
      <c r="AU485" s="54"/>
      <c r="AV485" s="54"/>
      <c r="AW485" s="54"/>
      <c r="AX485" s="54"/>
      <c r="AY485" s="54"/>
      <c r="AZ485" s="54"/>
      <c r="BA485" s="54"/>
      <c r="BB485" s="54"/>
      <c r="BC485" s="54"/>
      <c r="BD485" s="54"/>
      <c r="BE485" s="54"/>
      <c r="BF485" s="54"/>
      <c r="BG485" s="54"/>
      <c r="BH485" s="54"/>
      <c r="BI485" s="54"/>
      <c r="BJ485" s="54"/>
      <c r="BK485" s="54"/>
      <c r="BL485" s="54"/>
    </row>
    <row r="486" spans="1:64" ht="11.25" customHeight="1" x14ac:dyDescent="0.3">
      <c r="A486" s="54"/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4"/>
      <c r="AI486" s="54"/>
      <c r="AJ486" s="54"/>
      <c r="AK486" s="54"/>
      <c r="AL486" s="54"/>
      <c r="AM486" s="54"/>
      <c r="AN486" s="54"/>
      <c r="AO486" s="54"/>
      <c r="AP486" s="54"/>
      <c r="AQ486" s="54"/>
      <c r="AR486" s="54"/>
      <c r="AS486" s="54"/>
      <c r="AT486" s="54"/>
      <c r="AU486" s="54"/>
      <c r="AV486" s="54"/>
      <c r="AW486" s="54"/>
      <c r="AX486" s="54"/>
      <c r="AY486" s="54"/>
      <c r="AZ486" s="54"/>
      <c r="BA486" s="54"/>
      <c r="BB486" s="54"/>
      <c r="BC486" s="54"/>
      <c r="BD486" s="54"/>
      <c r="BE486" s="54"/>
      <c r="BF486" s="54"/>
      <c r="BG486" s="54"/>
      <c r="BH486" s="54"/>
      <c r="BI486" s="54"/>
      <c r="BJ486" s="54"/>
      <c r="BK486" s="54"/>
      <c r="BL486" s="54"/>
    </row>
    <row r="487" spans="1:64" ht="11.25" customHeight="1" x14ac:dyDescent="0.3">
      <c r="A487" s="54"/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4"/>
      <c r="AI487" s="54"/>
      <c r="AJ487" s="54"/>
      <c r="AK487" s="54"/>
      <c r="AL487" s="54"/>
      <c r="AM487" s="54"/>
      <c r="AN487" s="54"/>
      <c r="AO487" s="54"/>
      <c r="AP487" s="54"/>
      <c r="AQ487" s="54"/>
      <c r="AR487" s="54"/>
      <c r="AS487" s="54"/>
      <c r="AT487" s="54"/>
      <c r="AU487" s="54"/>
      <c r="AV487" s="54"/>
      <c r="AW487" s="54"/>
      <c r="AX487" s="54"/>
      <c r="AY487" s="54"/>
      <c r="AZ487" s="54"/>
      <c r="BA487" s="54"/>
      <c r="BB487" s="54"/>
      <c r="BC487" s="54"/>
      <c r="BD487" s="54"/>
      <c r="BE487" s="54"/>
      <c r="BF487" s="54"/>
      <c r="BG487" s="54"/>
      <c r="BH487" s="54"/>
      <c r="BI487" s="54"/>
      <c r="BJ487" s="54"/>
      <c r="BK487" s="54"/>
      <c r="BL487" s="54"/>
    </row>
    <row r="488" spans="1:64" ht="11.25" customHeight="1" x14ac:dyDescent="0.3">
      <c r="A488" s="54"/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4"/>
      <c r="AI488" s="54"/>
      <c r="AJ488" s="54"/>
      <c r="AK488" s="54"/>
      <c r="AL488" s="54"/>
      <c r="AM488" s="54"/>
      <c r="AN488" s="54"/>
      <c r="AO488" s="54"/>
      <c r="AP488" s="54"/>
      <c r="AQ488" s="54"/>
      <c r="AR488" s="54"/>
      <c r="AS488" s="54"/>
      <c r="AT488" s="54"/>
      <c r="AU488" s="54"/>
      <c r="AV488" s="54"/>
      <c r="AW488" s="54"/>
      <c r="AX488" s="54"/>
      <c r="AY488" s="54"/>
      <c r="AZ488" s="54"/>
      <c r="BA488" s="54"/>
      <c r="BB488" s="54"/>
      <c r="BC488" s="54"/>
      <c r="BD488" s="54"/>
      <c r="BE488" s="54"/>
      <c r="BF488" s="54"/>
      <c r="BG488" s="54"/>
      <c r="BH488" s="54"/>
      <c r="BI488" s="54"/>
      <c r="BJ488" s="54"/>
      <c r="BK488" s="54"/>
      <c r="BL488" s="54"/>
    </row>
    <row r="489" spans="1:64" ht="11.25" customHeight="1" x14ac:dyDescent="0.3">
      <c r="A489" s="54"/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4"/>
      <c r="AI489" s="54"/>
      <c r="AJ489" s="54"/>
      <c r="AK489" s="54"/>
      <c r="AL489" s="54"/>
      <c r="AM489" s="54"/>
      <c r="AN489" s="54"/>
      <c r="AO489" s="54"/>
      <c r="AP489" s="54"/>
      <c r="AQ489" s="54"/>
      <c r="AR489" s="54"/>
      <c r="AS489" s="54"/>
      <c r="AT489" s="54"/>
      <c r="AU489" s="54"/>
      <c r="AV489" s="54"/>
      <c r="AW489" s="54"/>
      <c r="AX489" s="54"/>
      <c r="AY489" s="54"/>
      <c r="AZ489" s="54"/>
      <c r="BA489" s="54"/>
      <c r="BB489" s="54"/>
      <c r="BC489" s="54"/>
      <c r="BD489" s="54"/>
      <c r="BE489" s="54"/>
      <c r="BF489" s="54"/>
      <c r="BG489" s="54"/>
      <c r="BH489" s="54"/>
      <c r="BI489" s="54"/>
      <c r="BJ489" s="54"/>
      <c r="BK489" s="54"/>
      <c r="BL489" s="54"/>
    </row>
    <row r="490" spans="1:64" ht="11.25" customHeight="1" x14ac:dyDescent="0.3">
      <c r="A490" s="54"/>
      <c r="B490" s="54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4"/>
      <c r="AI490" s="54"/>
      <c r="AJ490" s="54"/>
      <c r="AK490" s="54"/>
      <c r="AL490" s="54"/>
      <c r="AM490" s="54"/>
      <c r="AN490" s="54"/>
      <c r="AO490" s="54"/>
      <c r="AP490" s="54"/>
      <c r="AQ490" s="54"/>
      <c r="AR490" s="54"/>
      <c r="AS490" s="54"/>
      <c r="AT490" s="54"/>
      <c r="AU490" s="54"/>
      <c r="AV490" s="54"/>
      <c r="AW490" s="54"/>
      <c r="AX490" s="54"/>
      <c r="AY490" s="54"/>
      <c r="AZ490" s="54"/>
      <c r="BA490" s="54"/>
      <c r="BB490" s="54"/>
      <c r="BC490" s="54"/>
      <c r="BD490" s="54"/>
      <c r="BE490" s="54"/>
      <c r="BF490" s="54"/>
      <c r="BG490" s="54"/>
      <c r="BH490" s="54"/>
      <c r="BI490" s="54"/>
      <c r="BJ490" s="54"/>
      <c r="BK490" s="54"/>
      <c r="BL490" s="54"/>
    </row>
    <row r="491" spans="1:64" ht="11.25" customHeight="1" x14ac:dyDescent="0.3">
      <c r="A491" s="54"/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4"/>
      <c r="AI491" s="54"/>
      <c r="AJ491" s="54"/>
      <c r="AK491" s="54"/>
      <c r="AL491" s="54"/>
      <c r="AM491" s="54"/>
      <c r="AN491" s="54"/>
      <c r="AO491" s="54"/>
      <c r="AP491" s="54"/>
      <c r="AQ491" s="54"/>
      <c r="AR491" s="54"/>
      <c r="AS491" s="54"/>
      <c r="AT491" s="54"/>
      <c r="AU491" s="54"/>
      <c r="AV491" s="54"/>
      <c r="AW491" s="54"/>
      <c r="AX491" s="54"/>
      <c r="AY491" s="54"/>
      <c r="AZ491" s="54"/>
      <c r="BA491" s="54"/>
      <c r="BB491" s="54"/>
      <c r="BC491" s="54"/>
      <c r="BD491" s="54"/>
      <c r="BE491" s="54"/>
      <c r="BF491" s="54"/>
      <c r="BG491" s="54"/>
      <c r="BH491" s="54"/>
      <c r="BI491" s="54"/>
      <c r="BJ491" s="54"/>
      <c r="BK491" s="54"/>
      <c r="BL491" s="54"/>
    </row>
    <row r="492" spans="1:64" ht="11.25" customHeight="1" x14ac:dyDescent="0.3">
      <c r="A492" s="54"/>
      <c r="B492" s="54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4"/>
      <c r="AI492" s="54"/>
      <c r="AJ492" s="54"/>
      <c r="AK492" s="54"/>
      <c r="AL492" s="54"/>
      <c r="AM492" s="54"/>
      <c r="AN492" s="54"/>
      <c r="AO492" s="54"/>
      <c r="AP492" s="54"/>
      <c r="AQ492" s="54"/>
      <c r="AR492" s="54"/>
      <c r="AS492" s="54"/>
      <c r="AT492" s="54"/>
      <c r="AU492" s="54"/>
      <c r="AV492" s="54"/>
      <c r="AW492" s="54"/>
      <c r="AX492" s="54"/>
      <c r="AY492" s="54"/>
      <c r="AZ492" s="54"/>
      <c r="BA492" s="54"/>
      <c r="BB492" s="54"/>
      <c r="BC492" s="54"/>
      <c r="BD492" s="54"/>
      <c r="BE492" s="54"/>
      <c r="BF492" s="54"/>
      <c r="BG492" s="54"/>
      <c r="BH492" s="54"/>
      <c r="BI492" s="54"/>
      <c r="BJ492" s="54"/>
      <c r="BK492" s="54"/>
      <c r="BL492" s="54"/>
    </row>
    <row r="493" spans="1:64" ht="11.25" customHeight="1" x14ac:dyDescent="0.3">
      <c r="A493" s="54"/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4"/>
      <c r="AI493" s="54"/>
      <c r="AJ493" s="54"/>
      <c r="AK493" s="54"/>
      <c r="AL493" s="54"/>
      <c r="AM493" s="54"/>
      <c r="AN493" s="54"/>
      <c r="AO493" s="54"/>
      <c r="AP493" s="54"/>
      <c r="AQ493" s="54"/>
      <c r="AR493" s="54"/>
      <c r="AS493" s="54"/>
      <c r="AT493" s="54"/>
      <c r="AU493" s="54"/>
      <c r="AV493" s="54"/>
      <c r="AW493" s="54"/>
      <c r="AX493" s="54"/>
      <c r="AY493" s="54"/>
      <c r="AZ493" s="54"/>
      <c r="BA493" s="54"/>
      <c r="BB493" s="54"/>
      <c r="BC493" s="54"/>
      <c r="BD493" s="54"/>
      <c r="BE493" s="54"/>
      <c r="BF493" s="54"/>
      <c r="BG493" s="54"/>
      <c r="BH493" s="54"/>
      <c r="BI493" s="54"/>
      <c r="BJ493" s="54"/>
      <c r="BK493" s="54"/>
      <c r="BL493" s="54"/>
    </row>
    <row r="494" spans="1:64" ht="11.25" customHeight="1" x14ac:dyDescent="0.3">
      <c r="A494" s="54"/>
      <c r="B494" s="54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4"/>
      <c r="AI494" s="54"/>
      <c r="AJ494" s="54"/>
      <c r="AK494" s="54"/>
      <c r="AL494" s="54"/>
      <c r="AM494" s="54"/>
      <c r="AN494" s="54"/>
      <c r="AO494" s="54"/>
      <c r="AP494" s="54"/>
      <c r="AQ494" s="54"/>
      <c r="AR494" s="54"/>
      <c r="AS494" s="54"/>
      <c r="AT494" s="54"/>
      <c r="AU494" s="54"/>
      <c r="AV494" s="54"/>
      <c r="AW494" s="54"/>
      <c r="AX494" s="54"/>
      <c r="AY494" s="54"/>
      <c r="AZ494" s="54"/>
      <c r="BA494" s="54"/>
      <c r="BB494" s="54"/>
      <c r="BC494" s="54"/>
      <c r="BD494" s="54"/>
      <c r="BE494" s="54"/>
      <c r="BF494" s="54"/>
      <c r="BG494" s="54"/>
      <c r="BH494" s="54"/>
      <c r="BI494" s="54"/>
      <c r="BJ494" s="54"/>
      <c r="BK494" s="54"/>
      <c r="BL494" s="54"/>
    </row>
    <row r="495" spans="1:64" ht="11.25" customHeight="1" x14ac:dyDescent="0.3">
      <c r="A495" s="54"/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4"/>
      <c r="AI495" s="54"/>
      <c r="AJ495" s="54"/>
      <c r="AK495" s="54"/>
      <c r="AL495" s="54"/>
      <c r="AM495" s="54"/>
      <c r="AN495" s="54"/>
      <c r="AO495" s="54"/>
      <c r="AP495" s="54"/>
      <c r="AQ495" s="54"/>
      <c r="AR495" s="54"/>
      <c r="AS495" s="54"/>
      <c r="AT495" s="54"/>
      <c r="AU495" s="54"/>
      <c r="AV495" s="54"/>
      <c r="AW495" s="54"/>
      <c r="AX495" s="54"/>
      <c r="AY495" s="54"/>
      <c r="AZ495" s="54"/>
      <c r="BA495" s="54"/>
      <c r="BB495" s="54"/>
      <c r="BC495" s="54"/>
      <c r="BD495" s="54"/>
      <c r="BE495" s="54"/>
      <c r="BF495" s="54"/>
      <c r="BG495" s="54"/>
      <c r="BH495" s="54"/>
      <c r="BI495" s="54"/>
      <c r="BJ495" s="54"/>
      <c r="BK495" s="54"/>
      <c r="BL495" s="54"/>
    </row>
    <row r="496" spans="1:64" ht="11.25" customHeight="1" x14ac:dyDescent="0.3">
      <c r="A496" s="54"/>
      <c r="B496" s="54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4"/>
      <c r="AI496" s="54"/>
      <c r="AJ496" s="54"/>
      <c r="AK496" s="54"/>
      <c r="AL496" s="54"/>
      <c r="AM496" s="54"/>
      <c r="AN496" s="54"/>
      <c r="AO496" s="54"/>
      <c r="AP496" s="54"/>
      <c r="AQ496" s="54"/>
      <c r="AR496" s="54"/>
      <c r="AS496" s="54"/>
      <c r="AT496" s="54"/>
      <c r="AU496" s="54"/>
      <c r="AV496" s="54"/>
      <c r="AW496" s="54"/>
      <c r="AX496" s="54"/>
      <c r="AY496" s="54"/>
      <c r="AZ496" s="54"/>
      <c r="BA496" s="54"/>
      <c r="BB496" s="54"/>
      <c r="BC496" s="54"/>
      <c r="BD496" s="54"/>
      <c r="BE496" s="54"/>
      <c r="BF496" s="54"/>
      <c r="BG496" s="54"/>
      <c r="BH496" s="54"/>
      <c r="BI496" s="54"/>
      <c r="BJ496" s="54"/>
      <c r="BK496" s="54"/>
      <c r="BL496" s="54"/>
    </row>
    <row r="497" spans="1:64" ht="11.25" customHeight="1" x14ac:dyDescent="0.3">
      <c r="A497" s="54"/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4"/>
      <c r="AI497" s="54"/>
      <c r="AJ497" s="54"/>
      <c r="AK497" s="54"/>
      <c r="AL497" s="54"/>
      <c r="AM497" s="54"/>
      <c r="AN497" s="54"/>
      <c r="AO497" s="54"/>
      <c r="AP497" s="54"/>
      <c r="AQ497" s="54"/>
      <c r="AR497" s="54"/>
      <c r="AS497" s="54"/>
      <c r="AT497" s="54"/>
      <c r="AU497" s="54"/>
      <c r="AV497" s="54"/>
      <c r="AW497" s="54"/>
      <c r="AX497" s="54"/>
      <c r="AY497" s="54"/>
      <c r="AZ497" s="54"/>
      <c r="BA497" s="54"/>
      <c r="BB497" s="54"/>
      <c r="BC497" s="54"/>
      <c r="BD497" s="54"/>
      <c r="BE497" s="54"/>
      <c r="BF497" s="54"/>
      <c r="BG497" s="54"/>
      <c r="BH497" s="54"/>
      <c r="BI497" s="54"/>
      <c r="BJ497" s="54"/>
      <c r="BK497" s="54"/>
      <c r="BL497" s="54"/>
    </row>
    <row r="498" spans="1:64" ht="11.25" customHeight="1" x14ac:dyDescent="0.3">
      <c r="A498" s="54"/>
      <c r="B498" s="54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4"/>
      <c r="AI498" s="54"/>
      <c r="AJ498" s="54"/>
      <c r="AK498" s="54"/>
      <c r="AL498" s="54"/>
      <c r="AM498" s="54"/>
      <c r="AN498" s="54"/>
      <c r="AO498" s="54"/>
      <c r="AP498" s="54"/>
      <c r="AQ498" s="54"/>
      <c r="AR498" s="54"/>
      <c r="AS498" s="54"/>
      <c r="AT498" s="54"/>
      <c r="AU498" s="54"/>
      <c r="AV498" s="54"/>
      <c r="AW498" s="54"/>
      <c r="AX498" s="54"/>
      <c r="AY498" s="54"/>
      <c r="AZ498" s="54"/>
      <c r="BA498" s="54"/>
      <c r="BB498" s="54"/>
      <c r="BC498" s="54"/>
      <c r="BD498" s="54"/>
      <c r="BE498" s="54"/>
      <c r="BF498" s="54"/>
      <c r="BG498" s="54"/>
      <c r="BH498" s="54"/>
      <c r="BI498" s="54"/>
      <c r="BJ498" s="54"/>
      <c r="BK498" s="54"/>
      <c r="BL498" s="54"/>
    </row>
    <row r="499" spans="1:64" ht="11.25" customHeight="1" x14ac:dyDescent="0.3">
      <c r="A499" s="54"/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  <c r="AG499" s="54"/>
      <c r="AH499" s="54"/>
      <c r="AI499" s="54"/>
      <c r="AJ499" s="54"/>
      <c r="AK499" s="54"/>
      <c r="AL499" s="54"/>
      <c r="AM499" s="54"/>
      <c r="AN499" s="54"/>
      <c r="AO499" s="54"/>
      <c r="AP499" s="54"/>
      <c r="AQ499" s="54"/>
      <c r="AR499" s="54"/>
      <c r="AS499" s="54"/>
      <c r="AT499" s="54"/>
      <c r="AU499" s="54"/>
      <c r="AV499" s="54"/>
      <c r="AW499" s="54"/>
      <c r="AX499" s="54"/>
      <c r="AY499" s="54"/>
      <c r="AZ499" s="54"/>
      <c r="BA499" s="54"/>
      <c r="BB499" s="54"/>
      <c r="BC499" s="54"/>
      <c r="BD499" s="54"/>
      <c r="BE499" s="54"/>
      <c r="BF499" s="54"/>
      <c r="BG499" s="54"/>
      <c r="BH499" s="54"/>
      <c r="BI499" s="54"/>
      <c r="BJ499" s="54"/>
      <c r="BK499" s="54"/>
      <c r="BL499" s="54"/>
    </row>
    <row r="500" spans="1:64" ht="11.25" customHeight="1" x14ac:dyDescent="0.3">
      <c r="A500" s="54"/>
      <c r="B500" s="54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  <c r="AG500" s="54"/>
      <c r="AH500" s="54"/>
      <c r="AI500" s="54"/>
      <c r="AJ500" s="54"/>
      <c r="AK500" s="54"/>
      <c r="AL500" s="54"/>
      <c r="AM500" s="54"/>
      <c r="AN500" s="54"/>
      <c r="AO500" s="54"/>
      <c r="AP500" s="54"/>
      <c r="AQ500" s="54"/>
      <c r="AR500" s="54"/>
      <c r="AS500" s="54"/>
      <c r="AT500" s="54"/>
      <c r="AU500" s="54"/>
      <c r="AV500" s="54"/>
      <c r="AW500" s="54"/>
      <c r="AX500" s="54"/>
      <c r="AY500" s="54"/>
      <c r="AZ500" s="54"/>
      <c r="BA500" s="54"/>
      <c r="BB500" s="54"/>
      <c r="BC500" s="54"/>
      <c r="BD500" s="54"/>
      <c r="BE500" s="54"/>
      <c r="BF500" s="54"/>
      <c r="BG500" s="54"/>
      <c r="BH500" s="54"/>
      <c r="BI500" s="54"/>
      <c r="BJ500" s="54"/>
      <c r="BK500" s="54"/>
      <c r="BL500" s="54"/>
    </row>
    <row r="501" spans="1:64" ht="11.25" customHeight="1" x14ac:dyDescent="0.3">
      <c r="A501" s="54"/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4"/>
      <c r="AI501" s="54"/>
      <c r="AJ501" s="54"/>
      <c r="AK501" s="54"/>
      <c r="AL501" s="54"/>
      <c r="AM501" s="54"/>
      <c r="AN501" s="54"/>
      <c r="AO501" s="54"/>
      <c r="AP501" s="54"/>
      <c r="AQ501" s="54"/>
      <c r="AR501" s="54"/>
      <c r="AS501" s="54"/>
      <c r="AT501" s="54"/>
      <c r="AU501" s="54"/>
      <c r="AV501" s="54"/>
      <c r="AW501" s="54"/>
      <c r="AX501" s="54"/>
      <c r="AY501" s="54"/>
      <c r="AZ501" s="54"/>
      <c r="BA501" s="54"/>
      <c r="BB501" s="54"/>
      <c r="BC501" s="54"/>
      <c r="BD501" s="54"/>
      <c r="BE501" s="54"/>
      <c r="BF501" s="54"/>
      <c r="BG501" s="54"/>
      <c r="BH501" s="54"/>
      <c r="BI501" s="54"/>
      <c r="BJ501" s="54"/>
      <c r="BK501" s="54"/>
      <c r="BL501" s="54"/>
    </row>
    <row r="502" spans="1:64" ht="11.25" customHeight="1" x14ac:dyDescent="0.3">
      <c r="A502" s="54"/>
      <c r="B502" s="54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4"/>
      <c r="AI502" s="54"/>
      <c r="AJ502" s="54"/>
      <c r="AK502" s="54"/>
      <c r="AL502" s="54"/>
      <c r="AM502" s="54"/>
      <c r="AN502" s="54"/>
      <c r="AO502" s="54"/>
      <c r="AP502" s="54"/>
      <c r="AQ502" s="54"/>
      <c r="AR502" s="54"/>
      <c r="AS502" s="54"/>
      <c r="AT502" s="54"/>
      <c r="AU502" s="54"/>
      <c r="AV502" s="54"/>
      <c r="AW502" s="54"/>
      <c r="AX502" s="54"/>
      <c r="AY502" s="54"/>
      <c r="AZ502" s="54"/>
      <c r="BA502" s="54"/>
      <c r="BB502" s="54"/>
      <c r="BC502" s="54"/>
      <c r="BD502" s="54"/>
      <c r="BE502" s="54"/>
      <c r="BF502" s="54"/>
      <c r="BG502" s="54"/>
      <c r="BH502" s="54"/>
      <c r="BI502" s="54"/>
      <c r="BJ502" s="54"/>
      <c r="BK502" s="54"/>
      <c r="BL502" s="54"/>
    </row>
    <row r="503" spans="1:64" ht="11.25" customHeight="1" x14ac:dyDescent="0.3">
      <c r="A503" s="54"/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4"/>
      <c r="AI503" s="54"/>
      <c r="AJ503" s="54"/>
      <c r="AK503" s="54"/>
      <c r="AL503" s="54"/>
      <c r="AM503" s="54"/>
      <c r="AN503" s="54"/>
      <c r="AO503" s="54"/>
      <c r="AP503" s="54"/>
      <c r="AQ503" s="54"/>
      <c r="AR503" s="54"/>
      <c r="AS503" s="54"/>
      <c r="AT503" s="54"/>
      <c r="AU503" s="54"/>
      <c r="AV503" s="54"/>
      <c r="AW503" s="54"/>
      <c r="AX503" s="54"/>
      <c r="AY503" s="54"/>
      <c r="AZ503" s="54"/>
      <c r="BA503" s="54"/>
      <c r="BB503" s="54"/>
      <c r="BC503" s="54"/>
      <c r="BD503" s="54"/>
      <c r="BE503" s="54"/>
      <c r="BF503" s="54"/>
      <c r="BG503" s="54"/>
      <c r="BH503" s="54"/>
      <c r="BI503" s="54"/>
      <c r="BJ503" s="54"/>
      <c r="BK503" s="54"/>
      <c r="BL503" s="54"/>
    </row>
    <row r="504" spans="1:64" ht="11.25" customHeight="1" x14ac:dyDescent="0.3">
      <c r="A504" s="54"/>
      <c r="B504" s="54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4"/>
      <c r="AI504" s="54"/>
      <c r="AJ504" s="54"/>
      <c r="AK504" s="54"/>
      <c r="AL504" s="54"/>
      <c r="AM504" s="54"/>
      <c r="AN504" s="54"/>
      <c r="AO504" s="54"/>
      <c r="AP504" s="54"/>
      <c r="AQ504" s="54"/>
      <c r="AR504" s="54"/>
      <c r="AS504" s="54"/>
      <c r="AT504" s="54"/>
      <c r="AU504" s="54"/>
      <c r="AV504" s="54"/>
      <c r="AW504" s="54"/>
      <c r="AX504" s="54"/>
      <c r="AY504" s="54"/>
      <c r="AZ504" s="54"/>
      <c r="BA504" s="54"/>
      <c r="BB504" s="54"/>
      <c r="BC504" s="54"/>
      <c r="BD504" s="54"/>
      <c r="BE504" s="54"/>
      <c r="BF504" s="54"/>
      <c r="BG504" s="54"/>
      <c r="BH504" s="54"/>
      <c r="BI504" s="54"/>
      <c r="BJ504" s="54"/>
      <c r="BK504" s="54"/>
      <c r="BL504" s="54"/>
    </row>
    <row r="505" spans="1:64" ht="11.25" customHeight="1" x14ac:dyDescent="0.3">
      <c r="A505" s="54"/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4"/>
      <c r="AI505" s="54"/>
      <c r="AJ505" s="54"/>
      <c r="AK505" s="54"/>
      <c r="AL505" s="54"/>
      <c r="AM505" s="54"/>
      <c r="AN505" s="54"/>
      <c r="AO505" s="54"/>
      <c r="AP505" s="54"/>
      <c r="AQ505" s="54"/>
      <c r="AR505" s="54"/>
      <c r="AS505" s="54"/>
      <c r="AT505" s="54"/>
      <c r="AU505" s="54"/>
      <c r="AV505" s="54"/>
      <c r="AW505" s="54"/>
      <c r="AX505" s="54"/>
      <c r="AY505" s="54"/>
      <c r="AZ505" s="54"/>
      <c r="BA505" s="54"/>
      <c r="BB505" s="54"/>
      <c r="BC505" s="54"/>
      <c r="BD505" s="54"/>
      <c r="BE505" s="54"/>
      <c r="BF505" s="54"/>
      <c r="BG505" s="54"/>
      <c r="BH505" s="54"/>
      <c r="BI505" s="54"/>
      <c r="BJ505" s="54"/>
      <c r="BK505" s="54"/>
      <c r="BL505" s="54"/>
    </row>
    <row r="506" spans="1:64" ht="11.25" customHeight="1" x14ac:dyDescent="0.3">
      <c r="A506" s="54"/>
      <c r="B506" s="54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4"/>
      <c r="AI506" s="54"/>
      <c r="AJ506" s="54"/>
      <c r="AK506" s="54"/>
      <c r="AL506" s="54"/>
      <c r="AM506" s="54"/>
      <c r="AN506" s="54"/>
      <c r="AO506" s="54"/>
      <c r="AP506" s="54"/>
      <c r="AQ506" s="54"/>
      <c r="AR506" s="54"/>
      <c r="AS506" s="54"/>
      <c r="AT506" s="54"/>
      <c r="AU506" s="54"/>
      <c r="AV506" s="54"/>
      <c r="AW506" s="54"/>
      <c r="AX506" s="54"/>
      <c r="AY506" s="54"/>
      <c r="AZ506" s="54"/>
      <c r="BA506" s="54"/>
      <c r="BB506" s="54"/>
      <c r="BC506" s="54"/>
      <c r="BD506" s="54"/>
      <c r="BE506" s="54"/>
      <c r="BF506" s="54"/>
      <c r="BG506" s="54"/>
      <c r="BH506" s="54"/>
      <c r="BI506" s="54"/>
      <c r="BJ506" s="54"/>
      <c r="BK506" s="54"/>
      <c r="BL506" s="54"/>
    </row>
    <row r="507" spans="1:64" ht="11.25" customHeight="1" x14ac:dyDescent="0.3">
      <c r="A507" s="54"/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4"/>
      <c r="AI507" s="54"/>
      <c r="AJ507" s="54"/>
      <c r="AK507" s="54"/>
      <c r="AL507" s="54"/>
      <c r="AM507" s="54"/>
      <c r="AN507" s="54"/>
      <c r="AO507" s="54"/>
      <c r="AP507" s="54"/>
      <c r="AQ507" s="54"/>
      <c r="AR507" s="54"/>
      <c r="AS507" s="54"/>
      <c r="AT507" s="54"/>
      <c r="AU507" s="54"/>
      <c r="AV507" s="54"/>
      <c r="AW507" s="54"/>
      <c r="AX507" s="54"/>
      <c r="AY507" s="54"/>
      <c r="AZ507" s="54"/>
      <c r="BA507" s="54"/>
      <c r="BB507" s="54"/>
      <c r="BC507" s="54"/>
      <c r="BD507" s="54"/>
      <c r="BE507" s="54"/>
      <c r="BF507" s="54"/>
      <c r="BG507" s="54"/>
      <c r="BH507" s="54"/>
      <c r="BI507" s="54"/>
      <c r="BJ507" s="54"/>
      <c r="BK507" s="54"/>
      <c r="BL507" s="54"/>
    </row>
    <row r="508" spans="1:64" ht="11.25" customHeight="1" x14ac:dyDescent="0.3">
      <c r="A508" s="54"/>
      <c r="B508" s="54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4"/>
      <c r="AI508" s="54"/>
      <c r="AJ508" s="54"/>
      <c r="AK508" s="54"/>
      <c r="AL508" s="54"/>
      <c r="AM508" s="54"/>
      <c r="AN508" s="54"/>
      <c r="AO508" s="54"/>
      <c r="AP508" s="54"/>
      <c r="AQ508" s="54"/>
      <c r="AR508" s="54"/>
      <c r="AS508" s="54"/>
      <c r="AT508" s="54"/>
      <c r="AU508" s="54"/>
      <c r="AV508" s="54"/>
      <c r="AW508" s="54"/>
      <c r="AX508" s="54"/>
      <c r="AY508" s="54"/>
      <c r="AZ508" s="54"/>
      <c r="BA508" s="54"/>
      <c r="BB508" s="54"/>
      <c r="BC508" s="54"/>
      <c r="BD508" s="54"/>
      <c r="BE508" s="54"/>
      <c r="BF508" s="54"/>
      <c r="BG508" s="54"/>
      <c r="BH508" s="54"/>
      <c r="BI508" s="54"/>
      <c r="BJ508" s="54"/>
      <c r="BK508" s="54"/>
      <c r="BL508" s="54"/>
    </row>
    <row r="509" spans="1:64" ht="11.25" customHeight="1" x14ac:dyDescent="0.3">
      <c r="A509" s="54"/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4"/>
      <c r="AI509" s="54"/>
      <c r="AJ509" s="54"/>
      <c r="AK509" s="54"/>
      <c r="AL509" s="54"/>
      <c r="AM509" s="54"/>
      <c r="AN509" s="54"/>
      <c r="AO509" s="54"/>
      <c r="AP509" s="54"/>
      <c r="AQ509" s="54"/>
      <c r="AR509" s="54"/>
      <c r="AS509" s="54"/>
      <c r="AT509" s="54"/>
      <c r="AU509" s="54"/>
      <c r="AV509" s="54"/>
      <c r="AW509" s="54"/>
      <c r="AX509" s="54"/>
      <c r="AY509" s="54"/>
      <c r="AZ509" s="54"/>
      <c r="BA509" s="54"/>
      <c r="BB509" s="54"/>
      <c r="BC509" s="54"/>
      <c r="BD509" s="54"/>
      <c r="BE509" s="54"/>
      <c r="BF509" s="54"/>
      <c r="BG509" s="54"/>
      <c r="BH509" s="54"/>
      <c r="BI509" s="54"/>
      <c r="BJ509" s="54"/>
      <c r="BK509" s="54"/>
      <c r="BL509" s="54"/>
    </row>
    <row r="510" spans="1:64" ht="11.25" customHeight="1" x14ac:dyDescent="0.3">
      <c r="A510" s="54"/>
      <c r="B510" s="54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4"/>
      <c r="AI510" s="54"/>
      <c r="AJ510" s="54"/>
      <c r="AK510" s="54"/>
      <c r="AL510" s="54"/>
      <c r="AM510" s="54"/>
      <c r="AN510" s="54"/>
      <c r="AO510" s="54"/>
      <c r="AP510" s="54"/>
      <c r="AQ510" s="54"/>
      <c r="AR510" s="54"/>
      <c r="AS510" s="54"/>
      <c r="AT510" s="54"/>
      <c r="AU510" s="54"/>
      <c r="AV510" s="54"/>
      <c r="AW510" s="54"/>
      <c r="AX510" s="54"/>
      <c r="AY510" s="54"/>
      <c r="AZ510" s="54"/>
      <c r="BA510" s="54"/>
      <c r="BB510" s="54"/>
      <c r="BC510" s="54"/>
      <c r="BD510" s="54"/>
      <c r="BE510" s="54"/>
      <c r="BF510" s="54"/>
      <c r="BG510" s="54"/>
      <c r="BH510" s="54"/>
      <c r="BI510" s="54"/>
      <c r="BJ510" s="54"/>
      <c r="BK510" s="54"/>
      <c r="BL510" s="54"/>
    </row>
    <row r="511" spans="1:64" ht="11.25" customHeight="1" x14ac:dyDescent="0.3">
      <c r="A511" s="54"/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4"/>
      <c r="AI511" s="54"/>
      <c r="AJ511" s="54"/>
      <c r="AK511" s="54"/>
      <c r="AL511" s="54"/>
      <c r="AM511" s="54"/>
      <c r="AN511" s="54"/>
      <c r="AO511" s="54"/>
      <c r="AP511" s="54"/>
      <c r="AQ511" s="54"/>
      <c r="AR511" s="54"/>
      <c r="AS511" s="54"/>
      <c r="AT511" s="54"/>
      <c r="AU511" s="54"/>
      <c r="AV511" s="54"/>
      <c r="AW511" s="54"/>
      <c r="AX511" s="54"/>
      <c r="AY511" s="54"/>
      <c r="AZ511" s="54"/>
      <c r="BA511" s="54"/>
      <c r="BB511" s="54"/>
      <c r="BC511" s="54"/>
      <c r="BD511" s="54"/>
      <c r="BE511" s="54"/>
      <c r="BF511" s="54"/>
      <c r="BG511" s="54"/>
      <c r="BH511" s="54"/>
      <c r="BI511" s="54"/>
      <c r="BJ511" s="54"/>
      <c r="BK511" s="54"/>
      <c r="BL511" s="54"/>
    </row>
    <row r="512" spans="1:64" ht="11.25" customHeight="1" x14ac:dyDescent="0.3">
      <c r="A512" s="54"/>
      <c r="B512" s="54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4"/>
      <c r="AI512" s="54"/>
      <c r="AJ512" s="54"/>
      <c r="AK512" s="54"/>
      <c r="AL512" s="54"/>
      <c r="AM512" s="54"/>
      <c r="AN512" s="54"/>
      <c r="AO512" s="54"/>
      <c r="AP512" s="54"/>
      <c r="AQ512" s="54"/>
      <c r="AR512" s="54"/>
      <c r="AS512" s="54"/>
      <c r="AT512" s="54"/>
      <c r="AU512" s="54"/>
      <c r="AV512" s="54"/>
      <c r="AW512" s="54"/>
      <c r="AX512" s="54"/>
      <c r="AY512" s="54"/>
      <c r="AZ512" s="54"/>
      <c r="BA512" s="54"/>
      <c r="BB512" s="54"/>
      <c r="BC512" s="54"/>
      <c r="BD512" s="54"/>
      <c r="BE512" s="54"/>
      <c r="BF512" s="54"/>
      <c r="BG512" s="54"/>
      <c r="BH512" s="54"/>
      <c r="BI512" s="54"/>
      <c r="BJ512" s="54"/>
      <c r="BK512" s="54"/>
      <c r="BL512" s="54"/>
    </row>
    <row r="513" spans="1:64" ht="11.25" customHeight="1" x14ac:dyDescent="0.3">
      <c r="A513" s="54"/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4"/>
      <c r="AI513" s="54"/>
      <c r="AJ513" s="54"/>
      <c r="AK513" s="54"/>
      <c r="AL513" s="54"/>
      <c r="AM513" s="54"/>
      <c r="AN513" s="54"/>
      <c r="AO513" s="54"/>
      <c r="AP513" s="54"/>
      <c r="AQ513" s="54"/>
      <c r="AR513" s="54"/>
      <c r="AS513" s="54"/>
      <c r="AT513" s="54"/>
      <c r="AU513" s="54"/>
      <c r="AV513" s="54"/>
      <c r="AW513" s="54"/>
      <c r="AX513" s="54"/>
      <c r="AY513" s="54"/>
      <c r="AZ513" s="54"/>
      <c r="BA513" s="54"/>
      <c r="BB513" s="54"/>
      <c r="BC513" s="54"/>
      <c r="BD513" s="54"/>
      <c r="BE513" s="54"/>
      <c r="BF513" s="54"/>
      <c r="BG513" s="54"/>
      <c r="BH513" s="54"/>
      <c r="BI513" s="54"/>
      <c r="BJ513" s="54"/>
      <c r="BK513" s="54"/>
      <c r="BL513" s="54"/>
    </row>
    <row r="514" spans="1:64" ht="11.25" customHeight="1" x14ac:dyDescent="0.3">
      <c r="A514" s="54"/>
      <c r="B514" s="54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4"/>
      <c r="AI514" s="54"/>
      <c r="AJ514" s="54"/>
      <c r="AK514" s="54"/>
      <c r="AL514" s="54"/>
      <c r="AM514" s="54"/>
      <c r="AN514" s="54"/>
      <c r="AO514" s="54"/>
      <c r="AP514" s="54"/>
      <c r="AQ514" s="54"/>
      <c r="AR514" s="54"/>
      <c r="AS514" s="54"/>
      <c r="AT514" s="54"/>
      <c r="AU514" s="54"/>
      <c r="AV514" s="54"/>
      <c r="AW514" s="54"/>
      <c r="AX514" s="54"/>
      <c r="AY514" s="54"/>
      <c r="AZ514" s="54"/>
      <c r="BA514" s="54"/>
      <c r="BB514" s="54"/>
      <c r="BC514" s="54"/>
      <c r="BD514" s="54"/>
      <c r="BE514" s="54"/>
      <c r="BF514" s="54"/>
      <c r="BG514" s="54"/>
      <c r="BH514" s="54"/>
      <c r="BI514" s="54"/>
      <c r="BJ514" s="54"/>
      <c r="BK514" s="54"/>
      <c r="BL514" s="54"/>
    </row>
    <row r="515" spans="1:64" ht="11.25" customHeight="1" x14ac:dyDescent="0.3">
      <c r="A515" s="54"/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  <c r="AG515" s="54"/>
      <c r="AH515" s="54"/>
      <c r="AI515" s="54"/>
      <c r="AJ515" s="54"/>
      <c r="AK515" s="54"/>
      <c r="AL515" s="54"/>
      <c r="AM515" s="54"/>
      <c r="AN515" s="54"/>
      <c r="AO515" s="54"/>
      <c r="AP515" s="54"/>
      <c r="AQ515" s="54"/>
      <c r="AR515" s="54"/>
      <c r="AS515" s="54"/>
      <c r="AT515" s="54"/>
      <c r="AU515" s="54"/>
      <c r="AV515" s="54"/>
      <c r="AW515" s="54"/>
      <c r="AX515" s="54"/>
      <c r="AY515" s="54"/>
      <c r="AZ515" s="54"/>
      <c r="BA515" s="54"/>
      <c r="BB515" s="54"/>
      <c r="BC515" s="54"/>
      <c r="BD515" s="54"/>
      <c r="BE515" s="54"/>
      <c r="BF515" s="54"/>
      <c r="BG515" s="54"/>
      <c r="BH515" s="54"/>
      <c r="BI515" s="54"/>
      <c r="BJ515" s="54"/>
      <c r="BK515" s="54"/>
      <c r="BL515" s="54"/>
    </row>
    <row r="516" spans="1:64" ht="11.25" customHeight="1" x14ac:dyDescent="0.3">
      <c r="A516" s="54"/>
      <c r="B516" s="54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  <c r="AG516" s="54"/>
      <c r="AH516" s="54"/>
      <c r="AI516" s="54"/>
      <c r="AJ516" s="54"/>
      <c r="AK516" s="54"/>
      <c r="AL516" s="54"/>
      <c r="AM516" s="54"/>
      <c r="AN516" s="54"/>
      <c r="AO516" s="54"/>
      <c r="AP516" s="54"/>
      <c r="AQ516" s="54"/>
      <c r="AR516" s="54"/>
      <c r="AS516" s="54"/>
      <c r="AT516" s="54"/>
      <c r="AU516" s="54"/>
      <c r="AV516" s="54"/>
      <c r="AW516" s="54"/>
      <c r="AX516" s="54"/>
      <c r="AY516" s="54"/>
      <c r="AZ516" s="54"/>
      <c r="BA516" s="54"/>
      <c r="BB516" s="54"/>
      <c r="BC516" s="54"/>
      <c r="BD516" s="54"/>
      <c r="BE516" s="54"/>
      <c r="BF516" s="54"/>
      <c r="BG516" s="54"/>
      <c r="BH516" s="54"/>
      <c r="BI516" s="54"/>
      <c r="BJ516" s="54"/>
      <c r="BK516" s="54"/>
      <c r="BL516" s="54"/>
    </row>
    <row r="517" spans="1:64" ht="11.25" customHeight="1" x14ac:dyDescent="0.3">
      <c r="A517" s="54"/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4"/>
      <c r="AI517" s="54"/>
      <c r="AJ517" s="54"/>
      <c r="AK517" s="54"/>
      <c r="AL517" s="54"/>
      <c r="AM517" s="54"/>
      <c r="AN517" s="54"/>
      <c r="AO517" s="54"/>
      <c r="AP517" s="54"/>
      <c r="AQ517" s="54"/>
      <c r="AR517" s="54"/>
      <c r="AS517" s="54"/>
      <c r="AT517" s="54"/>
      <c r="AU517" s="54"/>
      <c r="AV517" s="54"/>
      <c r="AW517" s="54"/>
      <c r="AX517" s="54"/>
      <c r="AY517" s="54"/>
      <c r="AZ517" s="54"/>
      <c r="BA517" s="54"/>
      <c r="BB517" s="54"/>
      <c r="BC517" s="54"/>
      <c r="BD517" s="54"/>
      <c r="BE517" s="54"/>
      <c r="BF517" s="54"/>
      <c r="BG517" s="54"/>
      <c r="BH517" s="54"/>
      <c r="BI517" s="54"/>
      <c r="BJ517" s="54"/>
      <c r="BK517" s="54"/>
      <c r="BL517" s="54"/>
    </row>
    <row r="518" spans="1:64" ht="11.25" customHeight="1" x14ac:dyDescent="0.3">
      <c r="A518" s="54"/>
      <c r="B518" s="54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4"/>
      <c r="AI518" s="54"/>
      <c r="AJ518" s="54"/>
      <c r="AK518" s="54"/>
      <c r="AL518" s="54"/>
      <c r="AM518" s="54"/>
      <c r="AN518" s="54"/>
      <c r="AO518" s="54"/>
      <c r="AP518" s="54"/>
      <c r="AQ518" s="54"/>
      <c r="AR518" s="54"/>
      <c r="AS518" s="54"/>
      <c r="AT518" s="54"/>
      <c r="AU518" s="54"/>
      <c r="AV518" s="54"/>
      <c r="AW518" s="54"/>
      <c r="AX518" s="54"/>
      <c r="AY518" s="54"/>
      <c r="AZ518" s="54"/>
      <c r="BA518" s="54"/>
      <c r="BB518" s="54"/>
      <c r="BC518" s="54"/>
      <c r="BD518" s="54"/>
      <c r="BE518" s="54"/>
      <c r="BF518" s="54"/>
      <c r="BG518" s="54"/>
      <c r="BH518" s="54"/>
      <c r="BI518" s="54"/>
      <c r="BJ518" s="54"/>
      <c r="BK518" s="54"/>
      <c r="BL518" s="54"/>
    </row>
    <row r="519" spans="1:64" ht="11.25" customHeight="1" x14ac:dyDescent="0.3">
      <c r="A519" s="54"/>
      <c r="B519" s="54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4"/>
      <c r="AI519" s="54"/>
      <c r="AJ519" s="54"/>
      <c r="AK519" s="54"/>
      <c r="AL519" s="54"/>
      <c r="AM519" s="54"/>
      <c r="AN519" s="54"/>
      <c r="AO519" s="54"/>
      <c r="AP519" s="54"/>
      <c r="AQ519" s="54"/>
      <c r="AR519" s="54"/>
      <c r="AS519" s="54"/>
      <c r="AT519" s="54"/>
      <c r="AU519" s="54"/>
      <c r="AV519" s="54"/>
      <c r="AW519" s="54"/>
      <c r="AX519" s="54"/>
      <c r="AY519" s="54"/>
      <c r="AZ519" s="54"/>
      <c r="BA519" s="54"/>
      <c r="BB519" s="54"/>
      <c r="BC519" s="54"/>
      <c r="BD519" s="54"/>
      <c r="BE519" s="54"/>
      <c r="BF519" s="54"/>
      <c r="BG519" s="54"/>
      <c r="BH519" s="54"/>
      <c r="BI519" s="54"/>
      <c r="BJ519" s="54"/>
      <c r="BK519" s="54"/>
      <c r="BL519" s="54"/>
    </row>
    <row r="520" spans="1:64" ht="11.25" customHeight="1" x14ac:dyDescent="0.3">
      <c r="A520" s="54"/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4"/>
      <c r="AI520" s="54"/>
      <c r="AJ520" s="54"/>
      <c r="AK520" s="54"/>
      <c r="AL520" s="54"/>
      <c r="AM520" s="54"/>
      <c r="AN520" s="54"/>
      <c r="AO520" s="54"/>
      <c r="AP520" s="54"/>
      <c r="AQ520" s="54"/>
      <c r="AR520" s="54"/>
      <c r="AS520" s="54"/>
      <c r="AT520" s="54"/>
      <c r="AU520" s="54"/>
      <c r="AV520" s="54"/>
      <c r="AW520" s="54"/>
      <c r="AX520" s="54"/>
      <c r="AY520" s="54"/>
      <c r="AZ520" s="54"/>
      <c r="BA520" s="54"/>
      <c r="BB520" s="54"/>
      <c r="BC520" s="54"/>
      <c r="BD520" s="54"/>
      <c r="BE520" s="54"/>
      <c r="BF520" s="54"/>
      <c r="BG520" s="54"/>
      <c r="BH520" s="54"/>
      <c r="BI520" s="54"/>
      <c r="BJ520" s="54"/>
      <c r="BK520" s="54"/>
      <c r="BL520" s="54"/>
    </row>
    <row r="521" spans="1:64" ht="11.25" customHeight="1" x14ac:dyDescent="0.3">
      <c r="A521" s="54"/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4"/>
      <c r="AI521" s="54"/>
      <c r="AJ521" s="54"/>
      <c r="AK521" s="54"/>
      <c r="AL521" s="54"/>
      <c r="AM521" s="54"/>
      <c r="AN521" s="54"/>
      <c r="AO521" s="54"/>
      <c r="AP521" s="54"/>
      <c r="AQ521" s="54"/>
      <c r="AR521" s="54"/>
      <c r="AS521" s="54"/>
      <c r="AT521" s="54"/>
      <c r="AU521" s="54"/>
      <c r="AV521" s="54"/>
      <c r="AW521" s="54"/>
      <c r="AX521" s="54"/>
      <c r="AY521" s="54"/>
      <c r="AZ521" s="54"/>
      <c r="BA521" s="54"/>
      <c r="BB521" s="54"/>
      <c r="BC521" s="54"/>
      <c r="BD521" s="54"/>
      <c r="BE521" s="54"/>
      <c r="BF521" s="54"/>
      <c r="BG521" s="54"/>
      <c r="BH521" s="54"/>
      <c r="BI521" s="54"/>
      <c r="BJ521" s="54"/>
      <c r="BK521" s="54"/>
      <c r="BL521" s="54"/>
    </row>
    <row r="522" spans="1:64" ht="11.25" customHeight="1" x14ac:dyDescent="0.3">
      <c r="A522" s="54"/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4"/>
      <c r="AI522" s="54"/>
      <c r="AJ522" s="54"/>
      <c r="AK522" s="54"/>
      <c r="AL522" s="54"/>
      <c r="AM522" s="54"/>
      <c r="AN522" s="54"/>
      <c r="AO522" s="54"/>
      <c r="AP522" s="54"/>
      <c r="AQ522" s="54"/>
      <c r="AR522" s="54"/>
      <c r="AS522" s="54"/>
      <c r="AT522" s="54"/>
      <c r="AU522" s="54"/>
      <c r="AV522" s="54"/>
      <c r="AW522" s="54"/>
      <c r="AX522" s="54"/>
      <c r="AY522" s="54"/>
      <c r="AZ522" s="54"/>
      <c r="BA522" s="54"/>
      <c r="BB522" s="54"/>
      <c r="BC522" s="54"/>
      <c r="BD522" s="54"/>
      <c r="BE522" s="54"/>
      <c r="BF522" s="54"/>
      <c r="BG522" s="54"/>
      <c r="BH522" s="54"/>
      <c r="BI522" s="54"/>
      <c r="BJ522" s="54"/>
      <c r="BK522" s="54"/>
      <c r="BL522" s="54"/>
    </row>
    <row r="523" spans="1:64" ht="11.25" customHeight="1" x14ac:dyDescent="0.3">
      <c r="A523" s="54"/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4"/>
      <c r="AI523" s="54"/>
      <c r="AJ523" s="54"/>
      <c r="AK523" s="54"/>
      <c r="AL523" s="54"/>
      <c r="AM523" s="54"/>
      <c r="AN523" s="54"/>
      <c r="AO523" s="54"/>
      <c r="AP523" s="54"/>
      <c r="AQ523" s="54"/>
      <c r="AR523" s="54"/>
      <c r="AS523" s="54"/>
      <c r="AT523" s="54"/>
      <c r="AU523" s="54"/>
      <c r="AV523" s="54"/>
      <c r="AW523" s="54"/>
      <c r="AX523" s="54"/>
      <c r="AY523" s="54"/>
      <c r="AZ523" s="54"/>
      <c r="BA523" s="54"/>
      <c r="BB523" s="54"/>
      <c r="BC523" s="54"/>
      <c r="BD523" s="54"/>
      <c r="BE523" s="54"/>
      <c r="BF523" s="54"/>
      <c r="BG523" s="54"/>
      <c r="BH523" s="54"/>
      <c r="BI523" s="54"/>
      <c r="BJ523" s="54"/>
      <c r="BK523" s="54"/>
      <c r="BL523" s="54"/>
    </row>
    <row r="524" spans="1:64" ht="11.25" customHeight="1" x14ac:dyDescent="0.3">
      <c r="A524" s="54"/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4"/>
      <c r="AI524" s="54"/>
      <c r="AJ524" s="54"/>
      <c r="AK524" s="54"/>
      <c r="AL524" s="54"/>
      <c r="AM524" s="54"/>
      <c r="AN524" s="54"/>
      <c r="AO524" s="54"/>
      <c r="AP524" s="54"/>
      <c r="AQ524" s="54"/>
      <c r="AR524" s="54"/>
      <c r="AS524" s="54"/>
      <c r="AT524" s="54"/>
      <c r="AU524" s="54"/>
      <c r="AV524" s="54"/>
      <c r="AW524" s="54"/>
      <c r="AX524" s="54"/>
      <c r="AY524" s="54"/>
      <c r="AZ524" s="54"/>
      <c r="BA524" s="54"/>
      <c r="BB524" s="54"/>
      <c r="BC524" s="54"/>
      <c r="BD524" s="54"/>
      <c r="BE524" s="54"/>
      <c r="BF524" s="54"/>
      <c r="BG524" s="54"/>
      <c r="BH524" s="54"/>
      <c r="BI524" s="54"/>
      <c r="BJ524" s="54"/>
      <c r="BK524" s="54"/>
      <c r="BL524" s="54"/>
    </row>
    <row r="525" spans="1:64" ht="11.25" customHeight="1" x14ac:dyDescent="0.3">
      <c r="A525" s="54"/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4"/>
      <c r="AI525" s="54"/>
      <c r="AJ525" s="54"/>
      <c r="AK525" s="54"/>
      <c r="AL525" s="54"/>
      <c r="AM525" s="54"/>
      <c r="AN525" s="54"/>
      <c r="AO525" s="54"/>
      <c r="AP525" s="54"/>
      <c r="AQ525" s="54"/>
      <c r="AR525" s="54"/>
      <c r="AS525" s="54"/>
      <c r="AT525" s="54"/>
      <c r="AU525" s="54"/>
      <c r="AV525" s="54"/>
      <c r="AW525" s="54"/>
      <c r="AX525" s="54"/>
      <c r="AY525" s="54"/>
      <c r="AZ525" s="54"/>
      <c r="BA525" s="54"/>
      <c r="BB525" s="54"/>
      <c r="BC525" s="54"/>
      <c r="BD525" s="54"/>
      <c r="BE525" s="54"/>
      <c r="BF525" s="54"/>
      <c r="BG525" s="54"/>
      <c r="BH525" s="54"/>
      <c r="BI525" s="54"/>
      <c r="BJ525" s="54"/>
      <c r="BK525" s="54"/>
      <c r="BL525" s="54"/>
    </row>
    <row r="526" spans="1:64" ht="11.25" customHeight="1" x14ac:dyDescent="0.3">
      <c r="A526" s="54"/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4"/>
      <c r="AI526" s="54"/>
      <c r="AJ526" s="54"/>
      <c r="AK526" s="54"/>
      <c r="AL526" s="54"/>
      <c r="AM526" s="54"/>
      <c r="AN526" s="54"/>
      <c r="AO526" s="54"/>
      <c r="AP526" s="54"/>
      <c r="AQ526" s="54"/>
      <c r="AR526" s="54"/>
      <c r="AS526" s="54"/>
      <c r="AT526" s="54"/>
      <c r="AU526" s="54"/>
      <c r="AV526" s="54"/>
      <c r="AW526" s="54"/>
      <c r="AX526" s="54"/>
      <c r="AY526" s="54"/>
      <c r="AZ526" s="54"/>
      <c r="BA526" s="54"/>
      <c r="BB526" s="54"/>
      <c r="BC526" s="54"/>
      <c r="BD526" s="54"/>
      <c r="BE526" s="54"/>
      <c r="BF526" s="54"/>
      <c r="BG526" s="54"/>
      <c r="BH526" s="54"/>
      <c r="BI526" s="54"/>
      <c r="BJ526" s="54"/>
      <c r="BK526" s="54"/>
      <c r="BL526" s="54"/>
    </row>
    <row r="527" spans="1:64" ht="11.25" customHeight="1" x14ac:dyDescent="0.3">
      <c r="A527" s="54"/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4"/>
      <c r="AI527" s="54"/>
      <c r="AJ527" s="54"/>
      <c r="AK527" s="54"/>
      <c r="AL527" s="54"/>
      <c r="AM527" s="54"/>
      <c r="AN527" s="54"/>
      <c r="AO527" s="54"/>
      <c r="AP527" s="54"/>
      <c r="AQ527" s="54"/>
      <c r="AR527" s="54"/>
      <c r="AS527" s="54"/>
      <c r="AT527" s="54"/>
      <c r="AU527" s="54"/>
      <c r="AV527" s="54"/>
      <c r="AW527" s="54"/>
      <c r="AX527" s="54"/>
      <c r="AY527" s="54"/>
      <c r="AZ527" s="54"/>
      <c r="BA527" s="54"/>
      <c r="BB527" s="54"/>
      <c r="BC527" s="54"/>
      <c r="BD527" s="54"/>
      <c r="BE527" s="54"/>
      <c r="BF527" s="54"/>
      <c r="BG527" s="54"/>
      <c r="BH527" s="54"/>
      <c r="BI527" s="54"/>
      <c r="BJ527" s="54"/>
      <c r="BK527" s="54"/>
      <c r="BL527" s="54"/>
    </row>
    <row r="528" spans="1:64" ht="11.25" customHeight="1" x14ac:dyDescent="0.3">
      <c r="A528" s="54"/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4"/>
      <c r="AI528" s="54"/>
      <c r="AJ528" s="54"/>
      <c r="AK528" s="54"/>
      <c r="AL528" s="54"/>
      <c r="AM528" s="54"/>
      <c r="AN528" s="54"/>
      <c r="AO528" s="54"/>
      <c r="AP528" s="54"/>
      <c r="AQ528" s="54"/>
      <c r="AR528" s="54"/>
      <c r="AS528" s="54"/>
      <c r="AT528" s="54"/>
      <c r="AU528" s="54"/>
      <c r="AV528" s="54"/>
      <c r="AW528" s="54"/>
      <c r="AX528" s="54"/>
      <c r="AY528" s="54"/>
      <c r="AZ528" s="54"/>
      <c r="BA528" s="54"/>
      <c r="BB528" s="54"/>
      <c r="BC528" s="54"/>
      <c r="BD528" s="54"/>
      <c r="BE528" s="54"/>
      <c r="BF528" s="54"/>
      <c r="BG528" s="54"/>
      <c r="BH528" s="54"/>
      <c r="BI528" s="54"/>
      <c r="BJ528" s="54"/>
      <c r="BK528" s="54"/>
      <c r="BL528" s="54"/>
    </row>
    <row r="529" spans="1:64" ht="11.25" customHeight="1" x14ac:dyDescent="0.3">
      <c r="A529" s="54"/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4"/>
      <c r="AI529" s="54"/>
      <c r="AJ529" s="54"/>
      <c r="AK529" s="54"/>
      <c r="AL529" s="54"/>
      <c r="AM529" s="54"/>
      <c r="AN529" s="54"/>
      <c r="AO529" s="54"/>
      <c r="AP529" s="54"/>
      <c r="AQ529" s="54"/>
      <c r="AR529" s="54"/>
      <c r="AS529" s="54"/>
      <c r="AT529" s="54"/>
      <c r="AU529" s="54"/>
      <c r="AV529" s="54"/>
      <c r="AW529" s="54"/>
      <c r="AX529" s="54"/>
      <c r="AY529" s="54"/>
      <c r="AZ529" s="54"/>
      <c r="BA529" s="54"/>
      <c r="BB529" s="54"/>
      <c r="BC529" s="54"/>
      <c r="BD529" s="54"/>
      <c r="BE529" s="54"/>
      <c r="BF529" s="54"/>
      <c r="BG529" s="54"/>
      <c r="BH529" s="54"/>
      <c r="BI529" s="54"/>
      <c r="BJ529" s="54"/>
      <c r="BK529" s="54"/>
      <c r="BL529" s="54"/>
    </row>
    <row r="530" spans="1:64" ht="11.25" customHeight="1" x14ac:dyDescent="0.3">
      <c r="A530" s="54"/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4"/>
      <c r="AI530" s="54"/>
      <c r="AJ530" s="54"/>
      <c r="AK530" s="54"/>
      <c r="AL530" s="54"/>
      <c r="AM530" s="54"/>
      <c r="AN530" s="54"/>
      <c r="AO530" s="54"/>
      <c r="AP530" s="54"/>
      <c r="AQ530" s="54"/>
      <c r="AR530" s="54"/>
      <c r="AS530" s="54"/>
      <c r="AT530" s="54"/>
      <c r="AU530" s="54"/>
      <c r="AV530" s="54"/>
      <c r="AW530" s="54"/>
      <c r="AX530" s="54"/>
      <c r="AY530" s="54"/>
      <c r="AZ530" s="54"/>
      <c r="BA530" s="54"/>
      <c r="BB530" s="54"/>
      <c r="BC530" s="54"/>
      <c r="BD530" s="54"/>
      <c r="BE530" s="54"/>
      <c r="BF530" s="54"/>
      <c r="BG530" s="54"/>
      <c r="BH530" s="54"/>
      <c r="BI530" s="54"/>
      <c r="BJ530" s="54"/>
      <c r="BK530" s="54"/>
      <c r="BL530" s="54"/>
    </row>
    <row r="531" spans="1:64" ht="11.25" customHeight="1" x14ac:dyDescent="0.3">
      <c r="A531" s="54"/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  <c r="AG531" s="54"/>
      <c r="AH531" s="54"/>
      <c r="AI531" s="54"/>
      <c r="AJ531" s="54"/>
      <c r="AK531" s="54"/>
      <c r="AL531" s="54"/>
      <c r="AM531" s="54"/>
      <c r="AN531" s="54"/>
      <c r="AO531" s="54"/>
      <c r="AP531" s="54"/>
      <c r="AQ531" s="54"/>
      <c r="AR531" s="54"/>
      <c r="AS531" s="54"/>
      <c r="AT531" s="54"/>
      <c r="AU531" s="54"/>
      <c r="AV531" s="54"/>
      <c r="AW531" s="54"/>
      <c r="AX531" s="54"/>
      <c r="AY531" s="54"/>
      <c r="AZ531" s="54"/>
      <c r="BA531" s="54"/>
      <c r="BB531" s="54"/>
      <c r="BC531" s="54"/>
      <c r="BD531" s="54"/>
      <c r="BE531" s="54"/>
      <c r="BF531" s="54"/>
      <c r="BG531" s="54"/>
      <c r="BH531" s="54"/>
      <c r="BI531" s="54"/>
      <c r="BJ531" s="54"/>
      <c r="BK531" s="54"/>
      <c r="BL531" s="54"/>
    </row>
    <row r="532" spans="1:64" ht="11.25" customHeight="1" x14ac:dyDescent="0.3">
      <c r="A532" s="54"/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  <c r="AG532" s="54"/>
      <c r="AH532" s="54"/>
      <c r="AI532" s="54"/>
      <c r="AJ532" s="54"/>
      <c r="AK532" s="54"/>
      <c r="AL532" s="54"/>
      <c r="AM532" s="54"/>
      <c r="AN532" s="54"/>
      <c r="AO532" s="54"/>
      <c r="AP532" s="54"/>
      <c r="AQ532" s="54"/>
      <c r="AR532" s="54"/>
      <c r="AS532" s="54"/>
      <c r="AT532" s="54"/>
      <c r="AU532" s="54"/>
      <c r="AV532" s="54"/>
      <c r="AW532" s="54"/>
      <c r="AX532" s="54"/>
      <c r="AY532" s="54"/>
      <c r="AZ532" s="54"/>
      <c r="BA532" s="54"/>
      <c r="BB532" s="54"/>
      <c r="BC532" s="54"/>
      <c r="BD532" s="54"/>
      <c r="BE532" s="54"/>
      <c r="BF532" s="54"/>
      <c r="BG532" s="54"/>
      <c r="BH532" s="54"/>
      <c r="BI532" s="54"/>
      <c r="BJ532" s="54"/>
      <c r="BK532" s="54"/>
      <c r="BL532" s="54"/>
    </row>
    <row r="533" spans="1:64" ht="11.25" customHeight="1" x14ac:dyDescent="0.3">
      <c r="A533" s="54"/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4"/>
      <c r="AI533" s="54"/>
      <c r="AJ533" s="54"/>
      <c r="AK533" s="54"/>
      <c r="AL533" s="54"/>
      <c r="AM533" s="54"/>
      <c r="AN533" s="54"/>
      <c r="AO533" s="54"/>
      <c r="AP533" s="54"/>
      <c r="AQ533" s="54"/>
      <c r="AR533" s="54"/>
      <c r="AS533" s="54"/>
      <c r="AT533" s="54"/>
      <c r="AU533" s="54"/>
      <c r="AV533" s="54"/>
      <c r="AW533" s="54"/>
      <c r="AX533" s="54"/>
      <c r="AY533" s="54"/>
      <c r="AZ533" s="54"/>
      <c r="BA533" s="54"/>
      <c r="BB533" s="54"/>
      <c r="BC533" s="54"/>
      <c r="BD533" s="54"/>
      <c r="BE533" s="54"/>
      <c r="BF533" s="54"/>
      <c r="BG533" s="54"/>
      <c r="BH533" s="54"/>
      <c r="BI533" s="54"/>
      <c r="BJ533" s="54"/>
      <c r="BK533" s="54"/>
      <c r="BL533" s="54"/>
    </row>
    <row r="534" spans="1:64" ht="11.25" customHeight="1" x14ac:dyDescent="0.3">
      <c r="A534" s="54"/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4"/>
      <c r="AI534" s="54"/>
      <c r="AJ534" s="54"/>
      <c r="AK534" s="54"/>
      <c r="AL534" s="54"/>
      <c r="AM534" s="54"/>
      <c r="AN534" s="54"/>
      <c r="AO534" s="54"/>
      <c r="AP534" s="54"/>
      <c r="AQ534" s="54"/>
      <c r="AR534" s="54"/>
      <c r="AS534" s="54"/>
      <c r="AT534" s="54"/>
      <c r="AU534" s="54"/>
      <c r="AV534" s="54"/>
      <c r="AW534" s="54"/>
      <c r="AX534" s="54"/>
      <c r="AY534" s="54"/>
      <c r="AZ534" s="54"/>
      <c r="BA534" s="54"/>
      <c r="BB534" s="54"/>
      <c r="BC534" s="54"/>
      <c r="BD534" s="54"/>
      <c r="BE534" s="54"/>
      <c r="BF534" s="54"/>
      <c r="BG534" s="54"/>
      <c r="BH534" s="54"/>
      <c r="BI534" s="54"/>
      <c r="BJ534" s="54"/>
      <c r="BK534" s="54"/>
      <c r="BL534" s="54"/>
    </row>
    <row r="535" spans="1:64" ht="11.25" customHeight="1" x14ac:dyDescent="0.3">
      <c r="A535" s="54"/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4"/>
      <c r="AI535" s="54"/>
      <c r="AJ535" s="54"/>
      <c r="AK535" s="54"/>
      <c r="AL535" s="54"/>
      <c r="AM535" s="54"/>
      <c r="AN535" s="54"/>
      <c r="AO535" s="54"/>
      <c r="AP535" s="54"/>
      <c r="AQ535" s="54"/>
      <c r="AR535" s="54"/>
      <c r="AS535" s="54"/>
      <c r="AT535" s="54"/>
      <c r="AU535" s="54"/>
      <c r="AV535" s="54"/>
      <c r="AW535" s="54"/>
      <c r="AX535" s="54"/>
      <c r="AY535" s="54"/>
      <c r="AZ535" s="54"/>
      <c r="BA535" s="54"/>
      <c r="BB535" s="54"/>
      <c r="BC535" s="54"/>
      <c r="BD535" s="54"/>
      <c r="BE535" s="54"/>
      <c r="BF535" s="54"/>
      <c r="BG535" s="54"/>
      <c r="BH535" s="54"/>
      <c r="BI535" s="54"/>
      <c r="BJ535" s="54"/>
      <c r="BK535" s="54"/>
      <c r="BL535" s="54"/>
    </row>
    <row r="536" spans="1:64" ht="11.25" customHeight="1" x14ac:dyDescent="0.3">
      <c r="A536" s="54"/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4"/>
      <c r="AI536" s="54"/>
      <c r="AJ536" s="54"/>
      <c r="AK536" s="54"/>
      <c r="AL536" s="54"/>
      <c r="AM536" s="54"/>
      <c r="AN536" s="54"/>
      <c r="AO536" s="54"/>
      <c r="AP536" s="54"/>
      <c r="AQ536" s="54"/>
      <c r="AR536" s="54"/>
      <c r="AS536" s="54"/>
      <c r="AT536" s="54"/>
      <c r="AU536" s="54"/>
      <c r="AV536" s="54"/>
      <c r="AW536" s="54"/>
      <c r="AX536" s="54"/>
      <c r="AY536" s="54"/>
      <c r="AZ536" s="54"/>
      <c r="BA536" s="54"/>
      <c r="BB536" s="54"/>
      <c r="BC536" s="54"/>
      <c r="BD536" s="54"/>
      <c r="BE536" s="54"/>
      <c r="BF536" s="54"/>
      <c r="BG536" s="54"/>
      <c r="BH536" s="54"/>
      <c r="BI536" s="54"/>
      <c r="BJ536" s="54"/>
      <c r="BK536" s="54"/>
      <c r="BL536" s="54"/>
    </row>
    <row r="537" spans="1:64" ht="11.25" customHeight="1" x14ac:dyDescent="0.3">
      <c r="A537" s="54"/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4"/>
      <c r="AI537" s="54"/>
      <c r="AJ537" s="54"/>
      <c r="AK537" s="54"/>
      <c r="AL537" s="54"/>
      <c r="AM537" s="54"/>
      <c r="AN537" s="54"/>
      <c r="AO537" s="54"/>
      <c r="AP537" s="54"/>
      <c r="AQ537" s="54"/>
      <c r="AR537" s="54"/>
      <c r="AS537" s="54"/>
      <c r="AT537" s="54"/>
      <c r="AU537" s="54"/>
      <c r="AV537" s="54"/>
      <c r="AW537" s="54"/>
      <c r="AX537" s="54"/>
      <c r="AY537" s="54"/>
      <c r="AZ537" s="54"/>
      <c r="BA537" s="54"/>
      <c r="BB537" s="54"/>
      <c r="BC537" s="54"/>
      <c r="BD537" s="54"/>
      <c r="BE537" s="54"/>
      <c r="BF537" s="54"/>
      <c r="BG537" s="54"/>
      <c r="BH537" s="54"/>
      <c r="BI537" s="54"/>
      <c r="BJ537" s="54"/>
      <c r="BK537" s="54"/>
      <c r="BL537" s="54"/>
    </row>
    <row r="538" spans="1:64" ht="11.25" customHeight="1" x14ac:dyDescent="0.3">
      <c r="A538" s="54"/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4"/>
      <c r="AI538" s="54"/>
      <c r="AJ538" s="54"/>
      <c r="AK538" s="54"/>
      <c r="AL538" s="54"/>
      <c r="AM538" s="54"/>
      <c r="AN538" s="54"/>
      <c r="AO538" s="54"/>
      <c r="AP538" s="54"/>
      <c r="AQ538" s="54"/>
      <c r="AR538" s="54"/>
      <c r="AS538" s="54"/>
      <c r="AT538" s="54"/>
      <c r="AU538" s="54"/>
      <c r="AV538" s="54"/>
      <c r="AW538" s="54"/>
      <c r="AX538" s="54"/>
      <c r="AY538" s="54"/>
      <c r="AZ538" s="54"/>
      <c r="BA538" s="54"/>
      <c r="BB538" s="54"/>
      <c r="BC538" s="54"/>
      <c r="BD538" s="54"/>
      <c r="BE538" s="54"/>
      <c r="BF538" s="54"/>
      <c r="BG538" s="54"/>
      <c r="BH538" s="54"/>
      <c r="BI538" s="54"/>
      <c r="BJ538" s="54"/>
      <c r="BK538" s="54"/>
      <c r="BL538" s="54"/>
    </row>
    <row r="539" spans="1:64" ht="11.25" customHeight="1" x14ac:dyDescent="0.3">
      <c r="A539" s="54"/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4"/>
      <c r="AI539" s="54"/>
      <c r="AJ539" s="54"/>
      <c r="AK539" s="54"/>
      <c r="AL539" s="54"/>
      <c r="AM539" s="54"/>
      <c r="AN539" s="54"/>
      <c r="AO539" s="54"/>
      <c r="AP539" s="54"/>
      <c r="AQ539" s="54"/>
      <c r="AR539" s="54"/>
      <c r="AS539" s="54"/>
      <c r="AT539" s="54"/>
      <c r="AU539" s="54"/>
      <c r="AV539" s="54"/>
      <c r="AW539" s="54"/>
      <c r="AX539" s="54"/>
      <c r="AY539" s="54"/>
      <c r="AZ539" s="54"/>
      <c r="BA539" s="54"/>
      <c r="BB539" s="54"/>
      <c r="BC539" s="54"/>
      <c r="BD539" s="54"/>
      <c r="BE539" s="54"/>
      <c r="BF539" s="54"/>
      <c r="BG539" s="54"/>
      <c r="BH539" s="54"/>
      <c r="BI539" s="54"/>
      <c r="BJ539" s="54"/>
      <c r="BK539" s="54"/>
      <c r="BL539" s="54"/>
    </row>
    <row r="540" spans="1:64" ht="11.25" customHeight="1" x14ac:dyDescent="0.3">
      <c r="A540" s="54"/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4"/>
      <c r="AI540" s="54"/>
      <c r="AJ540" s="54"/>
      <c r="AK540" s="54"/>
      <c r="AL540" s="54"/>
      <c r="AM540" s="54"/>
      <c r="AN540" s="54"/>
      <c r="AO540" s="54"/>
      <c r="AP540" s="54"/>
      <c r="AQ540" s="54"/>
      <c r="AR540" s="54"/>
      <c r="AS540" s="54"/>
      <c r="AT540" s="54"/>
      <c r="AU540" s="54"/>
      <c r="AV540" s="54"/>
      <c r="AW540" s="54"/>
      <c r="AX540" s="54"/>
      <c r="AY540" s="54"/>
      <c r="AZ540" s="54"/>
      <c r="BA540" s="54"/>
      <c r="BB540" s="54"/>
      <c r="BC540" s="54"/>
      <c r="BD540" s="54"/>
      <c r="BE540" s="54"/>
      <c r="BF540" s="54"/>
      <c r="BG540" s="54"/>
      <c r="BH540" s="54"/>
      <c r="BI540" s="54"/>
      <c r="BJ540" s="54"/>
      <c r="BK540" s="54"/>
      <c r="BL540" s="54"/>
    </row>
    <row r="541" spans="1:64" ht="11.25" customHeight="1" x14ac:dyDescent="0.3">
      <c r="A541" s="54"/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4"/>
      <c r="AI541" s="54"/>
      <c r="AJ541" s="54"/>
      <c r="AK541" s="54"/>
      <c r="AL541" s="54"/>
      <c r="AM541" s="54"/>
      <c r="AN541" s="54"/>
      <c r="AO541" s="54"/>
      <c r="AP541" s="54"/>
      <c r="AQ541" s="54"/>
      <c r="AR541" s="54"/>
      <c r="AS541" s="54"/>
      <c r="AT541" s="54"/>
      <c r="AU541" s="54"/>
      <c r="AV541" s="54"/>
      <c r="AW541" s="54"/>
      <c r="AX541" s="54"/>
      <c r="AY541" s="54"/>
      <c r="AZ541" s="54"/>
      <c r="BA541" s="54"/>
      <c r="BB541" s="54"/>
      <c r="BC541" s="54"/>
      <c r="BD541" s="54"/>
      <c r="BE541" s="54"/>
      <c r="BF541" s="54"/>
      <c r="BG541" s="54"/>
      <c r="BH541" s="54"/>
      <c r="BI541" s="54"/>
      <c r="BJ541" s="54"/>
      <c r="BK541" s="54"/>
      <c r="BL541" s="54"/>
    </row>
    <row r="542" spans="1:64" ht="11.25" customHeight="1" x14ac:dyDescent="0.3">
      <c r="A542" s="54"/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4"/>
      <c r="AI542" s="54"/>
      <c r="AJ542" s="54"/>
      <c r="AK542" s="54"/>
      <c r="AL542" s="54"/>
      <c r="AM542" s="54"/>
      <c r="AN542" s="54"/>
      <c r="AO542" s="54"/>
      <c r="AP542" s="54"/>
      <c r="AQ542" s="54"/>
      <c r="AR542" s="54"/>
      <c r="AS542" s="54"/>
      <c r="AT542" s="54"/>
      <c r="AU542" s="54"/>
      <c r="AV542" s="54"/>
      <c r="AW542" s="54"/>
      <c r="AX542" s="54"/>
      <c r="AY542" s="54"/>
      <c r="AZ542" s="54"/>
      <c r="BA542" s="54"/>
      <c r="BB542" s="54"/>
      <c r="BC542" s="54"/>
      <c r="BD542" s="54"/>
      <c r="BE542" s="54"/>
      <c r="BF542" s="54"/>
      <c r="BG542" s="54"/>
      <c r="BH542" s="54"/>
      <c r="BI542" s="54"/>
      <c r="BJ542" s="54"/>
      <c r="BK542" s="54"/>
      <c r="BL542" s="54"/>
    </row>
    <row r="543" spans="1:64" ht="11.25" customHeight="1" x14ac:dyDescent="0.3">
      <c r="A543" s="54"/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4"/>
      <c r="AI543" s="54"/>
      <c r="AJ543" s="54"/>
      <c r="AK543" s="54"/>
      <c r="AL543" s="54"/>
      <c r="AM543" s="54"/>
      <c r="AN543" s="54"/>
      <c r="AO543" s="54"/>
      <c r="AP543" s="54"/>
      <c r="AQ543" s="54"/>
      <c r="AR543" s="54"/>
      <c r="AS543" s="54"/>
      <c r="AT543" s="54"/>
      <c r="AU543" s="54"/>
      <c r="AV543" s="54"/>
      <c r="AW543" s="54"/>
      <c r="AX543" s="54"/>
      <c r="AY543" s="54"/>
      <c r="AZ543" s="54"/>
      <c r="BA543" s="54"/>
      <c r="BB543" s="54"/>
      <c r="BC543" s="54"/>
      <c r="BD543" s="54"/>
      <c r="BE543" s="54"/>
      <c r="BF543" s="54"/>
      <c r="BG543" s="54"/>
      <c r="BH543" s="54"/>
      <c r="BI543" s="54"/>
      <c r="BJ543" s="54"/>
      <c r="BK543" s="54"/>
      <c r="BL543" s="54"/>
    </row>
    <row r="544" spans="1:64" ht="11.25" customHeight="1" x14ac:dyDescent="0.3">
      <c r="A544" s="54"/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4"/>
      <c r="AI544" s="54"/>
      <c r="AJ544" s="54"/>
      <c r="AK544" s="54"/>
      <c r="AL544" s="54"/>
      <c r="AM544" s="54"/>
      <c r="AN544" s="54"/>
      <c r="AO544" s="54"/>
      <c r="AP544" s="54"/>
      <c r="AQ544" s="54"/>
      <c r="AR544" s="54"/>
      <c r="AS544" s="54"/>
      <c r="AT544" s="54"/>
      <c r="AU544" s="54"/>
      <c r="AV544" s="54"/>
      <c r="AW544" s="54"/>
      <c r="AX544" s="54"/>
      <c r="AY544" s="54"/>
      <c r="AZ544" s="54"/>
      <c r="BA544" s="54"/>
      <c r="BB544" s="54"/>
      <c r="BC544" s="54"/>
      <c r="BD544" s="54"/>
      <c r="BE544" s="54"/>
      <c r="BF544" s="54"/>
      <c r="BG544" s="54"/>
      <c r="BH544" s="54"/>
      <c r="BI544" s="54"/>
      <c r="BJ544" s="54"/>
      <c r="BK544" s="54"/>
      <c r="BL544" s="54"/>
    </row>
    <row r="545" spans="1:64" ht="11.25" customHeight="1" x14ac:dyDescent="0.3">
      <c r="A545" s="54"/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4"/>
      <c r="AI545" s="54"/>
      <c r="AJ545" s="54"/>
      <c r="AK545" s="54"/>
      <c r="AL545" s="54"/>
      <c r="AM545" s="54"/>
      <c r="AN545" s="54"/>
      <c r="AO545" s="54"/>
      <c r="AP545" s="54"/>
      <c r="AQ545" s="54"/>
      <c r="AR545" s="54"/>
      <c r="AS545" s="54"/>
      <c r="AT545" s="54"/>
      <c r="AU545" s="54"/>
      <c r="AV545" s="54"/>
      <c r="AW545" s="54"/>
      <c r="AX545" s="54"/>
      <c r="AY545" s="54"/>
      <c r="AZ545" s="54"/>
      <c r="BA545" s="54"/>
      <c r="BB545" s="54"/>
      <c r="BC545" s="54"/>
      <c r="BD545" s="54"/>
      <c r="BE545" s="54"/>
      <c r="BF545" s="54"/>
      <c r="BG545" s="54"/>
      <c r="BH545" s="54"/>
      <c r="BI545" s="54"/>
      <c r="BJ545" s="54"/>
      <c r="BK545" s="54"/>
      <c r="BL545" s="54"/>
    </row>
    <row r="546" spans="1:64" ht="11.25" customHeight="1" x14ac:dyDescent="0.3">
      <c r="A546" s="54"/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4"/>
      <c r="AI546" s="54"/>
      <c r="AJ546" s="54"/>
      <c r="AK546" s="54"/>
      <c r="AL546" s="54"/>
      <c r="AM546" s="54"/>
      <c r="AN546" s="54"/>
      <c r="AO546" s="54"/>
      <c r="AP546" s="54"/>
      <c r="AQ546" s="54"/>
      <c r="AR546" s="54"/>
      <c r="AS546" s="54"/>
      <c r="AT546" s="54"/>
      <c r="AU546" s="54"/>
      <c r="AV546" s="54"/>
      <c r="AW546" s="54"/>
      <c r="AX546" s="54"/>
      <c r="AY546" s="54"/>
      <c r="AZ546" s="54"/>
      <c r="BA546" s="54"/>
      <c r="BB546" s="54"/>
      <c r="BC546" s="54"/>
      <c r="BD546" s="54"/>
      <c r="BE546" s="54"/>
      <c r="BF546" s="54"/>
      <c r="BG546" s="54"/>
      <c r="BH546" s="54"/>
      <c r="BI546" s="54"/>
      <c r="BJ546" s="54"/>
      <c r="BK546" s="54"/>
      <c r="BL546" s="54"/>
    </row>
    <row r="547" spans="1:64" ht="11.25" customHeight="1" x14ac:dyDescent="0.3">
      <c r="A547" s="54"/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  <c r="AG547" s="54"/>
      <c r="AH547" s="54"/>
      <c r="AI547" s="54"/>
      <c r="AJ547" s="54"/>
      <c r="AK547" s="54"/>
      <c r="AL547" s="54"/>
      <c r="AM547" s="54"/>
      <c r="AN547" s="54"/>
      <c r="AO547" s="54"/>
      <c r="AP547" s="54"/>
      <c r="AQ547" s="54"/>
      <c r="AR547" s="54"/>
      <c r="AS547" s="54"/>
      <c r="AT547" s="54"/>
      <c r="AU547" s="54"/>
      <c r="AV547" s="54"/>
      <c r="AW547" s="54"/>
      <c r="AX547" s="54"/>
      <c r="AY547" s="54"/>
      <c r="AZ547" s="54"/>
      <c r="BA547" s="54"/>
      <c r="BB547" s="54"/>
      <c r="BC547" s="54"/>
      <c r="BD547" s="54"/>
      <c r="BE547" s="54"/>
      <c r="BF547" s="54"/>
      <c r="BG547" s="54"/>
      <c r="BH547" s="54"/>
      <c r="BI547" s="54"/>
      <c r="BJ547" s="54"/>
      <c r="BK547" s="54"/>
      <c r="BL547" s="54"/>
    </row>
    <row r="548" spans="1:64" ht="11.25" customHeight="1" x14ac:dyDescent="0.3">
      <c r="A548" s="54"/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4"/>
      <c r="AI548" s="54"/>
      <c r="AJ548" s="54"/>
      <c r="AK548" s="54"/>
      <c r="AL548" s="54"/>
      <c r="AM548" s="54"/>
      <c r="AN548" s="54"/>
      <c r="AO548" s="54"/>
      <c r="AP548" s="54"/>
      <c r="AQ548" s="54"/>
      <c r="AR548" s="54"/>
      <c r="AS548" s="54"/>
      <c r="AT548" s="54"/>
      <c r="AU548" s="54"/>
      <c r="AV548" s="54"/>
      <c r="AW548" s="54"/>
      <c r="AX548" s="54"/>
      <c r="AY548" s="54"/>
      <c r="AZ548" s="54"/>
      <c r="BA548" s="54"/>
      <c r="BB548" s="54"/>
      <c r="BC548" s="54"/>
      <c r="BD548" s="54"/>
      <c r="BE548" s="54"/>
      <c r="BF548" s="54"/>
      <c r="BG548" s="54"/>
      <c r="BH548" s="54"/>
      <c r="BI548" s="54"/>
      <c r="BJ548" s="54"/>
      <c r="BK548" s="54"/>
      <c r="BL548" s="54"/>
    </row>
    <row r="549" spans="1:64" ht="11.25" customHeight="1" x14ac:dyDescent="0.3">
      <c r="A549" s="54"/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4"/>
      <c r="AI549" s="54"/>
      <c r="AJ549" s="54"/>
      <c r="AK549" s="54"/>
      <c r="AL549" s="54"/>
      <c r="AM549" s="54"/>
      <c r="AN549" s="54"/>
      <c r="AO549" s="54"/>
      <c r="AP549" s="54"/>
      <c r="AQ549" s="54"/>
      <c r="AR549" s="54"/>
      <c r="AS549" s="54"/>
      <c r="AT549" s="54"/>
      <c r="AU549" s="54"/>
      <c r="AV549" s="54"/>
      <c r="AW549" s="54"/>
      <c r="AX549" s="54"/>
      <c r="AY549" s="54"/>
      <c r="AZ549" s="54"/>
      <c r="BA549" s="54"/>
      <c r="BB549" s="54"/>
      <c r="BC549" s="54"/>
      <c r="BD549" s="54"/>
      <c r="BE549" s="54"/>
      <c r="BF549" s="54"/>
      <c r="BG549" s="54"/>
      <c r="BH549" s="54"/>
      <c r="BI549" s="54"/>
      <c r="BJ549" s="54"/>
      <c r="BK549" s="54"/>
      <c r="BL549" s="54"/>
    </row>
    <row r="550" spans="1:64" ht="11.25" customHeight="1" x14ac:dyDescent="0.3">
      <c r="A550" s="54"/>
      <c r="B550" s="54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4"/>
      <c r="AI550" s="54"/>
      <c r="AJ550" s="54"/>
      <c r="AK550" s="54"/>
      <c r="AL550" s="54"/>
      <c r="AM550" s="54"/>
      <c r="AN550" s="54"/>
      <c r="AO550" s="54"/>
      <c r="AP550" s="54"/>
      <c r="AQ550" s="54"/>
      <c r="AR550" s="54"/>
      <c r="AS550" s="54"/>
      <c r="AT550" s="54"/>
      <c r="AU550" s="54"/>
      <c r="AV550" s="54"/>
      <c r="AW550" s="54"/>
      <c r="AX550" s="54"/>
      <c r="AY550" s="54"/>
      <c r="AZ550" s="54"/>
      <c r="BA550" s="54"/>
      <c r="BB550" s="54"/>
      <c r="BC550" s="54"/>
      <c r="BD550" s="54"/>
      <c r="BE550" s="54"/>
      <c r="BF550" s="54"/>
      <c r="BG550" s="54"/>
      <c r="BH550" s="54"/>
      <c r="BI550" s="54"/>
      <c r="BJ550" s="54"/>
      <c r="BK550" s="54"/>
      <c r="BL550" s="54"/>
    </row>
    <row r="551" spans="1:64" ht="11.25" customHeight="1" x14ac:dyDescent="0.3">
      <c r="A551" s="54"/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4"/>
      <c r="AI551" s="54"/>
      <c r="AJ551" s="54"/>
      <c r="AK551" s="54"/>
      <c r="AL551" s="54"/>
      <c r="AM551" s="54"/>
      <c r="AN551" s="54"/>
      <c r="AO551" s="54"/>
      <c r="AP551" s="54"/>
      <c r="AQ551" s="54"/>
      <c r="AR551" s="54"/>
      <c r="AS551" s="54"/>
      <c r="AT551" s="54"/>
      <c r="AU551" s="54"/>
      <c r="AV551" s="54"/>
      <c r="AW551" s="54"/>
      <c r="AX551" s="54"/>
      <c r="AY551" s="54"/>
      <c r="AZ551" s="54"/>
      <c r="BA551" s="54"/>
      <c r="BB551" s="54"/>
      <c r="BC551" s="54"/>
      <c r="BD551" s="54"/>
      <c r="BE551" s="54"/>
      <c r="BF551" s="54"/>
      <c r="BG551" s="54"/>
      <c r="BH551" s="54"/>
      <c r="BI551" s="54"/>
      <c r="BJ551" s="54"/>
      <c r="BK551" s="54"/>
      <c r="BL551" s="54"/>
    </row>
    <row r="552" spans="1:64" ht="11.25" customHeight="1" x14ac:dyDescent="0.3">
      <c r="A552" s="54"/>
      <c r="B552" s="54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4"/>
      <c r="AI552" s="54"/>
      <c r="AJ552" s="54"/>
      <c r="AK552" s="54"/>
      <c r="AL552" s="54"/>
      <c r="AM552" s="54"/>
      <c r="AN552" s="54"/>
      <c r="AO552" s="54"/>
      <c r="AP552" s="54"/>
      <c r="AQ552" s="54"/>
      <c r="AR552" s="54"/>
      <c r="AS552" s="54"/>
      <c r="AT552" s="54"/>
      <c r="AU552" s="54"/>
      <c r="AV552" s="54"/>
      <c r="AW552" s="54"/>
      <c r="AX552" s="54"/>
      <c r="AY552" s="54"/>
      <c r="AZ552" s="54"/>
      <c r="BA552" s="54"/>
      <c r="BB552" s="54"/>
      <c r="BC552" s="54"/>
      <c r="BD552" s="54"/>
      <c r="BE552" s="54"/>
      <c r="BF552" s="54"/>
      <c r="BG552" s="54"/>
      <c r="BH552" s="54"/>
      <c r="BI552" s="54"/>
      <c r="BJ552" s="54"/>
      <c r="BK552" s="54"/>
      <c r="BL552" s="54"/>
    </row>
    <row r="553" spans="1:64" ht="11.25" customHeight="1" x14ac:dyDescent="0.3">
      <c r="A553" s="54"/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4"/>
      <c r="AI553" s="54"/>
      <c r="AJ553" s="54"/>
      <c r="AK553" s="54"/>
      <c r="AL553" s="54"/>
      <c r="AM553" s="54"/>
      <c r="AN553" s="54"/>
      <c r="AO553" s="54"/>
      <c r="AP553" s="54"/>
      <c r="AQ553" s="54"/>
      <c r="AR553" s="54"/>
      <c r="AS553" s="54"/>
      <c r="AT553" s="54"/>
      <c r="AU553" s="54"/>
      <c r="AV553" s="54"/>
      <c r="AW553" s="54"/>
      <c r="AX553" s="54"/>
      <c r="AY553" s="54"/>
      <c r="AZ553" s="54"/>
      <c r="BA553" s="54"/>
      <c r="BB553" s="54"/>
      <c r="BC553" s="54"/>
      <c r="BD553" s="54"/>
      <c r="BE553" s="54"/>
      <c r="BF553" s="54"/>
      <c r="BG553" s="54"/>
      <c r="BH553" s="54"/>
      <c r="BI553" s="54"/>
      <c r="BJ553" s="54"/>
      <c r="BK553" s="54"/>
      <c r="BL553" s="54"/>
    </row>
    <row r="554" spans="1:64" ht="11.25" customHeight="1" x14ac:dyDescent="0.3">
      <c r="A554" s="54"/>
      <c r="B554" s="54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4"/>
      <c r="AI554" s="54"/>
      <c r="AJ554" s="54"/>
      <c r="AK554" s="54"/>
      <c r="AL554" s="54"/>
      <c r="AM554" s="54"/>
      <c r="AN554" s="54"/>
      <c r="AO554" s="54"/>
      <c r="AP554" s="54"/>
      <c r="AQ554" s="54"/>
      <c r="AR554" s="54"/>
      <c r="AS554" s="54"/>
      <c r="AT554" s="54"/>
      <c r="AU554" s="54"/>
      <c r="AV554" s="54"/>
      <c r="AW554" s="54"/>
      <c r="AX554" s="54"/>
      <c r="AY554" s="54"/>
      <c r="AZ554" s="54"/>
      <c r="BA554" s="54"/>
      <c r="BB554" s="54"/>
      <c r="BC554" s="54"/>
      <c r="BD554" s="54"/>
      <c r="BE554" s="54"/>
      <c r="BF554" s="54"/>
      <c r="BG554" s="54"/>
      <c r="BH554" s="54"/>
      <c r="BI554" s="54"/>
      <c r="BJ554" s="54"/>
      <c r="BK554" s="54"/>
      <c r="BL554" s="54"/>
    </row>
    <row r="555" spans="1:64" ht="11.25" customHeight="1" x14ac:dyDescent="0.3">
      <c r="A555" s="54"/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4"/>
      <c r="AI555" s="54"/>
      <c r="AJ555" s="54"/>
      <c r="AK555" s="54"/>
      <c r="AL555" s="54"/>
      <c r="AM555" s="54"/>
      <c r="AN555" s="54"/>
      <c r="AO555" s="54"/>
      <c r="AP555" s="54"/>
      <c r="AQ555" s="54"/>
      <c r="AR555" s="54"/>
      <c r="AS555" s="54"/>
      <c r="AT555" s="54"/>
      <c r="AU555" s="54"/>
      <c r="AV555" s="54"/>
      <c r="AW555" s="54"/>
      <c r="AX555" s="54"/>
      <c r="AY555" s="54"/>
      <c r="AZ555" s="54"/>
      <c r="BA555" s="54"/>
      <c r="BB555" s="54"/>
      <c r="BC555" s="54"/>
      <c r="BD555" s="54"/>
      <c r="BE555" s="54"/>
      <c r="BF555" s="54"/>
      <c r="BG555" s="54"/>
      <c r="BH555" s="54"/>
      <c r="BI555" s="54"/>
      <c r="BJ555" s="54"/>
      <c r="BK555" s="54"/>
      <c r="BL555" s="54"/>
    </row>
    <row r="556" spans="1:64" ht="11.25" customHeight="1" x14ac:dyDescent="0.3">
      <c r="A556" s="54"/>
      <c r="B556" s="54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4"/>
      <c r="AI556" s="54"/>
      <c r="AJ556" s="54"/>
      <c r="AK556" s="54"/>
      <c r="AL556" s="54"/>
      <c r="AM556" s="54"/>
      <c r="AN556" s="54"/>
      <c r="AO556" s="54"/>
      <c r="AP556" s="54"/>
      <c r="AQ556" s="54"/>
      <c r="AR556" s="54"/>
      <c r="AS556" s="54"/>
      <c r="AT556" s="54"/>
      <c r="AU556" s="54"/>
      <c r="AV556" s="54"/>
      <c r="AW556" s="54"/>
      <c r="AX556" s="54"/>
      <c r="AY556" s="54"/>
      <c r="AZ556" s="54"/>
      <c r="BA556" s="54"/>
      <c r="BB556" s="54"/>
      <c r="BC556" s="54"/>
      <c r="BD556" s="54"/>
      <c r="BE556" s="54"/>
      <c r="BF556" s="54"/>
      <c r="BG556" s="54"/>
      <c r="BH556" s="54"/>
      <c r="BI556" s="54"/>
      <c r="BJ556" s="54"/>
      <c r="BK556" s="54"/>
      <c r="BL556" s="54"/>
    </row>
    <row r="557" spans="1:64" ht="11.25" customHeight="1" x14ac:dyDescent="0.3">
      <c r="A557" s="54"/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4"/>
      <c r="AI557" s="54"/>
      <c r="AJ557" s="54"/>
      <c r="AK557" s="54"/>
      <c r="AL557" s="54"/>
      <c r="AM557" s="54"/>
      <c r="AN557" s="54"/>
      <c r="AO557" s="54"/>
      <c r="AP557" s="54"/>
      <c r="AQ557" s="54"/>
      <c r="AR557" s="54"/>
      <c r="AS557" s="54"/>
      <c r="AT557" s="54"/>
      <c r="AU557" s="54"/>
      <c r="AV557" s="54"/>
      <c r="AW557" s="54"/>
      <c r="AX557" s="54"/>
      <c r="AY557" s="54"/>
      <c r="AZ557" s="54"/>
      <c r="BA557" s="54"/>
      <c r="BB557" s="54"/>
      <c r="BC557" s="54"/>
      <c r="BD557" s="54"/>
      <c r="BE557" s="54"/>
      <c r="BF557" s="54"/>
      <c r="BG557" s="54"/>
      <c r="BH557" s="54"/>
      <c r="BI557" s="54"/>
      <c r="BJ557" s="54"/>
      <c r="BK557" s="54"/>
      <c r="BL557" s="54"/>
    </row>
    <row r="558" spans="1:64" ht="11.25" customHeight="1" x14ac:dyDescent="0.3">
      <c r="A558" s="54"/>
      <c r="B558" s="54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4"/>
      <c r="AI558" s="54"/>
      <c r="AJ558" s="54"/>
      <c r="AK558" s="54"/>
      <c r="AL558" s="54"/>
      <c r="AM558" s="54"/>
      <c r="AN558" s="54"/>
      <c r="AO558" s="54"/>
      <c r="AP558" s="54"/>
      <c r="AQ558" s="54"/>
      <c r="AR558" s="54"/>
      <c r="AS558" s="54"/>
      <c r="AT558" s="54"/>
      <c r="AU558" s="54"/>
      <c r="AV558" s="54"/>
      <c r="AW558" s="54"/>
      <c r="AX558" s="54"/>
      <c r="AY558" s="54"/>
      <c r="AZ558" s="54"/>
      <c r="BA558" s="54"/>
      <c r="BB558" s="54"/>
      <c r="BC558" s="54"/>
      <c r="BD558" s="54"/>
      <c r="BE558" s="54"/>
      <c r="BF558" s="54"/>
      <c r="BG558" s="54"/>
      <c r="BH558" s="54"/>
      <c r="BI558" s="54"/>
      <c r="BJ558" s="54"/>
      <c r="BK558" s="54"/>
      <c r="BL558" s="54"/>
    </row>
    <row r="559" spans="1:64" ht="11.25" customHeight="1" x14ac:dyDescent="0.3">
      <c r="A559" s="54"/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4"/>
      <c r="AI559" s="54"/>
      <c r="AJ559" s="54"/>
      <c r="AK559" s="54"/>
      <c r="AL559" s="54"/>
      <c r="AM559" s="54"/>
      <c r="AN559" s="54"/>
      <c r="AO559" s="54"/>
      <c r="AP559" s="54"/>
      <c r="AQ559" s="54"/>
      <c r="AR559" s="54"/>
      <c r="AS559" s="54"/>
      <c r="AT559" s="54"/>
      <c r="AU559" s="54"/>
      <c r="AV559" s="54"/>
      <c r="AW559" s="54"/>
      <c r="AX559" s="54"/>
      <c r="AY559" s="54"/>
      <c r="AZ559" s="54"/>
      <c r="BA559" s="54"/>
      <c r="BB559" s="54"/>
      <c r="BC559" s="54"/>
      <c r="BD559" s="54"/>
      <c r="BE559" s="54"/>
      <c r="BF559" s="54"/>
      <c r="BG559" s="54"/>
      <c r="BH559" s="54"/>
      <c r="BI559" s="54"/>
      <c r="BJ559" s="54"/>
      <c r="BK559" s="54"/>
      <c r="BL559" s="54"/>
    </row>
    <row r="560" spans="1:64" ht="11.25" customHeight="1" x14ac:dyDescent="0.3">
      <c r="A560" s="54"/>
      <c r="B560" s="54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4"/>
      <c r="AI560" s="54"/>
      <c r="AJ560" s="54"/>
      <c r="AK560" s="54"/>
      <c r="AL560" s="54"/>
      <c r="AM560" s="54"/>
      <c r="AN560" s="54"/>
      <c r="AO560" s="54"/>
      <c r="AP560" s="54"/>
      <c r="AQ560" s="54"/>
      <c r="AR560" s="54"/>
      <c r="AS560" s="54"/>
      <c r="AT560" s="54"/>
      <c r="AU560" s="54"/>
      <c r="AV560" s="54"/>
      <c r="AW560" s="54"/>
      <c r="AX560" s="54"/>
      <c r="AY560" s="54"/>
      <c r="AZ560" s="54"/>
      <c r="BA560" s="54"/>
      <c r="BB560" s="54"/>
      <c r="BC560" s="54"/>
      <c r="BD560" s="54"/>
      <c r="BE560" s="54"/>
      <c r="BF560" s="54"/>
      <c r="BG560" s="54"/>
      <c r="BH560" s="54"/>
      <c r="BI560" s="54"/>
      <c r="BJ560" s="54"/>
      <c r="BK560" s="54"/>
      <c r="BL560" s="54"/>
    </row>
    <row r="561" spans="1:64" ht="11.25" customHeight="1" x14ac:dyDescent="0.3">
      <c r="A561" s="54"/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4"/>
      <c r="AI561" s="54"/>
      <c r="AJ561" s="54"/>
      <c r="AK561" s="54"/>
      <c r="AL561" s="54"/>
      <c r="AM561" s="54"/>
      <c r="AN561" s="54"/>
      <c r="AO561" s="54"/>
      <c r="AP561" s="54"/>
      <c r="AQ561" s="54"/>
      <c r="AR561" s="54"/>
      <c r="AS561" s="54"/>
      <c r="AT561" s="54"/>
      <c r="AU561" s="54"/>
      <c r="AV561" s="54"/>
      <c r="AW561" s="54"/>
      <c r="AX561" s="54"/>
      <c r="AY561" s="54"/>
      <c r="AZ561" s="54"/>
      <c r="BA561" s="54"/>
      <c r="BB561" s="54"/>
      <c r="BC561" s="54"/>
      <c r="BD561" s="54"/>
      <c r="BE561" s="54"/>
      <c r="BF561" s="54"/>
      <c r="BG561" s="54"/>
      <c r="BH561" s="54"/>
      <c r="BI561" s="54"/>
      <c r="BJ561" s="54"/>
      <c r="BK561" s="54"/>
      <c r="BL561" s="54"/>
    </row>
    <row r="562" spans="1:64" ht="11.25" customHeight="1" x14ac:dyDescent="0.3">
      <c r="A562" s="54"/>
      <c r="B562" s="54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4"/>
      <c r="AI562" s="54"/>
      <c r="AJ562" s="54"/>
      <c r="AK562" s="54"/>
      <c r="AL562" s="54"/>
      <c r="AM562" s="54"/>
      <c r="AN562" s="54"/>
      <c r="AO562" s="54"/>
      <c r="AP562" s="54"/>
      <c r="AQ562" s="54"/>
      <c r="AR562" s="54"/>
      <c r="AS562" s="54"/>
      <c r="AT562" s="54"/>
      <c r="AU562" s="54"/>
      <c r="AV562" s="54"/>
      <c r="AW562" s="54"/>
      <c r="AX562" s="54"/>
      <c r="AY562" s="54"/>
      <c r="AZ562" s="54"/>
      <c r="BA562" s="54"/>
      <c r="BB562" s="54"/>
      <c r="BC562" s="54"/>
      <c r="BD562" s="54"/>
      <c r="BE562" s="54"/>
      <c r="BF562" s="54"/>
      <c r="BG562" s="54"/>
      <c r="BH562" s="54"/>
      <c r="BI562" s="54"/>
      <c r="BJ562" s="54"/>
      <c r="BK562" s="54"/>
      <c r="BL562" s="54"/>
    </row>
    <row r="563" spans="1:64" ht="11.25" customHeight="1" x14ac:dyDescent="0.3">
      <c r="A563" s="54"/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  <c r="AG563" s="54"/>
      <c r="AH563" s="54"/>
      <c r="AI563" s="54"/>
      <c r="AJ563" s="54"/>
      <c r="AK563" s="54"/>
      <c r="AL563" s="54"/>
      <c r="AM563" s="54"/>
      <c r="AN563" s="54"/>
      <c r="AO563" s="54"/>
      <c r="AP563" s="54"/>
      <c r="AQ563" s="54"/>
      <c r="AR563" s="54"/>
      <c r="AS563" s="54"/>
      <c r="AT563" s="54"/>
      <c r="AU563" s="54"/>
      <c r="AV563" s="54"/>
      <c r="AW563" s="54"/>
      <c r="AX563" s="54"/>
      <c r="AY563" s="54"/>
      <c r="AZ563" s="54"/>
      <c r="BA563" s="54"/>
      <c r="BB563" s="54"/>
      <c r="BC563" s="54"/>
      <c r="BD563" s="54"/>
      <c r="BE563" s="54"/>
      <c r="BF563" s="54"/>
      <c r="BG563" s="54"/>
      <c r="BH563" s="54"/>
      <c r="BI563" s="54"/>
      <c r="BJ563" s="54"/>
      <c r="BK563" s="54"/>
      <c r="BL563" s="54"/>
    </row>
    <row r="564" spans="1:64" ht="11.25" customHeight="1" x14ac:dyDescent="0.3">
      <c r="A564" s="54"/>
      <c r="B564" s="54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  <c r="AG564" s="54"/>
      <c r="AH564" s="54"/>
      <c r="AI564" s="54"/>
      <c r="AJ564" s="54"/>
      <c r="AK564" s="54"/>
      <c r="AL564" s="54"/>
      <c r="AM564" s="54"/>
      <c r="AN564" s="54"/>
      <c r="AO564" s="54"/>
      <c r="AP564" s="54"/>
      <c r="AQ564" s="54"/>
      <c r="AR564" s="54"/>
      <c r="AS564" s="54"/>
      <c r="AT564" s="54"/>
      <c r="AU564" s="54"/>
      <c r="AV564" s="54"/>
      <c r="AW564" s="54"/>
      <c r="AX564" s="54"/>
      <c r="AY564" s="54"/>
      <c r="AZ564" s="54"/>
      <c r="BA564" s="54"/>
      <c r="BB564" s="54"/>
      <c r="BC564" s="54"/>
      <c r="BD564" s="54"/>
      <c r="BE564" s="54"/>
      <c r="BF564" s="54"/>
      <c r="BG564" s="54"/>
      <c r="BH564" s="54"/>
      <c r="BI564" s="54"/>
      <c r="BJ564" s="54"/>
      <c r="BK564" s="54"/>
      <c r="BL564" s="54"/>
    </row>
    <row r="565" spans="1:64" ht="11.25" customHeight="1" x14ac:dyDescent="0.3">
      <c r="A565" s="54"/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4"/>
      <c r="AI565" s="54"/>
      <c r="AJ565" s="54"/>
      <c r="AK565" s="54"/>
      <c r="AL565" s="54"/>
      <c r="AM565" s="54"/>
      <c r="AN565" s="54"/>
      <c r="AO565" s="54"/>
      <c r="AP565" s="54"/>
      <c r="AQ565" s="54"/>
      <c r="AR565" s="54"/>
      <c r="AS565" s="54"/>
      <c r="AT565" s="54"/>
      <c r="AU565" s="54"/>
      <c r="AV565" s="54"/>
      <c r="AW565" s="54"/>
      <c r="AX565" s="54"/>
      <c r="AY565" s="54"/>
      <c r="AZ565" s="54"/>
      <c r="BA565" s="54"/>
      <c r="BB565" s="54"/>
      <c r="BC565" s="54"/>
      <c r="BD565" s="54"/>
      <c r="BE565" s="54"/>
      <c r="BF565" s="54"/>
      <c r="BG565" s="54"/>
      <c r="BH565" s="54"/>
      <c r="BI565" s="54"/>
      <c r="BJ565" s="54"/>
      <c r="BK565" s="54"/>
      <c r="BL565" s="54"/>
    </row>
    <row r="566" spans="1:64" ht="11.25" customHeight="1" x14ac:dyDescent="0.3">
      <c r="A566" s="54"/>
      <c r="B566" s="54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4"/>
      <c r="AI566" s="54"/>
      <c r="AJ566" s="54"/>
      <c r="AK566" s="54"/>
      <c r="AL566" s="54"/>
      <c r="AM566" s="54"/>
      <c r="AN566" s="54"/>
      <c r="AO566" s="54"/>
      <c r="AP566" s="54"/>
      <c r="AQ566" s="54"/>
      <c r="AR566" s="54"/>
      <c r="AS566" s="54"/>
      <c r="AT566" s="54"/>
      <c r="AU566" s="54"/>
      <c r="AV566" s="54"/>
      <c r="AW566" s="54"/>
      <c r="AX566" s="54"/>
      <c r="AY566" s="54"/>
      <c r="AZ566" s="54"/>
      <c r="BA566" s="54"/>
      <c r="BB566" s="54"/>
      <c r="BC566" s="54"/>
      <c r="BD566" s="54"/>
      <c r="BE566" s="54"/>
      <c r="BF566" s="54"/>
      <c r="BG566" s="54"/>
      <c r="BH566" s="54"/>
      <c r="BI566" s="54"/>
      <c r="BJ566" s="54"/>
      <c r="BK566" s="54"/>
      <c r="BL566" s="54"/>
    </row>
    <row r="567" spans="1:64" ht="11.25" customHeight="1" x14ac:dyDescent="0.3">
      <c r="A567" s="54"/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4"/>
      <c r="AI567" s="54"/>
      <c r="AJ567" s="54"/>
      <c r="AK567" s="54"/>
      <c r="AL567" s="54"/>
      <c r="AM567" s="54"/>
      <c r="AN567" s="54"/>
      <c r="AO567" s="54"/>
      <c r="AP567" s="54"/>
      <c r="AQ567" s="54"/>
      <c r="AR567" s="54"/>
      <c r="AS567" s="54"/>
      <c r="AT567" s="54"/>
      <c r="AU567" s="54"/>
      <c r="AV567" s="54"/>
      <c r="AW567" s="54"/>
      <c r="AX567" s="54"/>
      <c r="AY567" s="54"/>
      <c r="AZ567" s="54"/>
      <c r="BA567" s="54"/>
      <c r="BB567" s="54"/>
      <c r="BC567" s="54"/>
      <c r="BD567" s="54"/>
      <c r="BE567" s="54"/>
      <c r="BF567" s="54"/>
      <c r="BG567" s="54"/>
      <c r="BH567" s="54"/>
      <c r="BI567" s="54"/>
      <c r="BJ567" s="54"/>
      <c r="BK567" s="54"/>
      <c r="BL567" s="54"/>
    </row>
    <row r="568" spans="1:64" ht="11.25" customHeight="1" x14ac:dyDescent="0.3">
      <c r="A568" s="54"/>
      <c r="B568" s="54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4"/>
      <c r="AI568" s="54"/>
      <c r="AJ568" s="54"/>
      <c r="AK568" s="54"/>
      <c r="AL568" s="54"/>
      <c r="AM568" s="54"/>
      <c r="AN568" s="54"/>
      <c r="AO568" s="54"/>
      <c r="AP568" s="54"/>
      <c r="AQ568" s="54"/>
      <c r="AR568" s="54"/>
      <c r="AS568" s="54"/>
      <c r="AT568" s="54"/>
      <c r="AU568" s="54"/>
      <c r="AV568" s="54"/>
      <c r="AW568" s="54"/>
      <c r="AX568" s="54"/>
      <c r="AY568" s="54"/>
      <c r="AZ568" s="54"/>
      <c r="BA568" s="54"/>
      <c r="BB568" s="54"/>
      <c r="BC568" s="54"/>
      <c r="BD568" s="54"/>
      <c r="BE568" s="54"/>
      <c r="BF568" s="54"/>
      <c r="BG568" s="54"/>
      <c r="BH568" s="54"/>
      <c r="BI568" s="54"/>
      <c r="BJ568" s="54"/>
      <c r="BK568" s="54"/>
      <c r="BL568" s="54"/>
    </row>
    <row r="569" spans="1:64" ht="11.25" customHeight="1" x14ac:dyDescent="0.3">
      <c r="A569" s="54"/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4"/>
      <c r="AI569" s="54"/>
      <c r="AJ569" s="54"/>
      <c r="AK569" s="54"/>
      <c r="AL569" s="54"/>
      <c r="AM569" s="54"/>
      <c r="AN569" s="54"/>
      <c r="AO569" s="54"/>
      <c r="AP569" s="54"/>
      <c r="AQ569" s="54"/>
      <c r="AR569" s="54"/>
      <c r="AS569" s="54"/>
      <c r="AT569" s="54"/>
      <c r="AU569" s="54"/>
      <c r="AV569" s="54"/>
      <c r="AW569" s="54"/>
      <c r="AX569" s="54"/>
      <c r="AY569" s="54"/>
      <c r="AZ569" s="54"/>
      <c r="BA569" s="54"/>
      <c r="BB569" s="54"/>
      <c r="BC569" s="54"/>
      <c r="BD569" s="54"/>
      <c r="BE569" s="54"/>
      <c r="BF569" s="54"/>
      <c r="BG569" s="54"/>
      <c r="BH569" s="54"/>
      <c r="BI569" s="54"/>
      <c r="BJ569" s="54"/>
      <c r="BK569" s="54"/>
      <c r="BL569" s="54"/>
    </row>
    <row r="570" spans="1:64" ht="11.25" customHeight="1" x14ac:dyDescent="0.3">
      <c r="A570" s="54"/>
      <c r="B570" s="54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4"/>
      <c r="AI570" s="54"/>
      <c r="AJ570" s="54"/>
      <c r="AK570" s="54"/>
      <c r="AL570" s="54"/>
      <c r="AM570" s="54"/>
      <c r="AN570" s="54"/>
      <c r="AO570" s="54"/>
      <c r="AP570" s="54"/>
      <c r="AQ570" s="54"/>
      <c r="AR570" s="54"/>
      <c r="AS570" s="54"/>
      <c r="AT570" s="54"/>
      <c r="AU570" s="54"/>
      <c r="AV570" s="54"/>
      <c r="AW570" s="54"/>
      <c r="AX570" s="54"/>
      <c r="AY570" s="54"/>
      <c r="AZ570" s="54"/>
      <c r="BA570" s="54"/>
      <c r="BB570" s="54"/>
      <c r="BC570" s="54"/>
      <c r="BD570" s="54"/>
      <c r="BE570" s="54"/>
      <c r="BF570" s="54"/>
      <c r="BG570" s="54"/>
      <c r="BH570" s="54"/>
      <c r="BI570" s="54"/>
      <c r="BJ570" s="54"/>
      <c r="BK570" s="54"/>
      <c r="BL570" s="54"/>
    </row>
    <row r="571" spans="1:64" ht="11.25" customHeight="1" x14ac:dyDescent="0.3">
      <c r="A571" s="54"/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4"/>
      <c r="AI571" s="54"/>
      <c r="AJ571" s="54"/>
      <c r="AK571" s="54"/>
      <c r="AL571" s="54"/>
      <c r="AM571" s="54"/>
      <c r="AN571" s="54"/>
      <c r="AO571" s="54"/>
      <c r="AP571" s="54"/>
      <c r="AQ571" s="54"/>
      <c r="AR571" s="54"/>
      <c r="AS571" s="54"/>
      <c r="AT571" s="54"/>
      <c r="AU571" s="54"/>
      <c r="AV571" s="54"/>
      <c r="AW571" s="54"/>
      <c r="AX571" s="54"/>
      <c r="AY571" s="54"/>
      <c r="AZ571" s="54"/>
      <c r="BA571" s="54"/>
      <c r="BB571" s="54"/>
      <c r="BC571" s="54"/>
      <c r="BD571" s="54"/>
      <c r="BE571" s="54"/>
      <c r="BF571" s="54"/>
      <c r="BG571" s="54"/>
      <c r="BH571" s="54"/>
      <c r="BI571" s="54"/>
      <c r="BJ571" s="54"/>
      <c r="BK571" s="54"/>
      <c r="BL571" s="54"/>
    </row>
    <row r="572" spans="1:64" ht="11.25" customHeight="1" x14ac:dyDescent="0.3">
      <c r="A572" s="54"/>
      <c r="B572" s="54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4"/>
      <c r="AI572" s="54"/>
      <c r="AJ572" s="54"/>
      <c r="AK572" s="54"/>
      <c r="AL572" s="54"/>
      <c r="AM572" s="54"/>
      <c r="AN572" s="54"/>
      <c r="AO572" s="54"/>
      <c r="AP572" s="54"/>
      <c r="AQ572" s="54"/>
      <c r="AR572" s="54"/>
      <c r="AS572" s="54"/>
      <c r="AT572" s="54"/>
      <c r="AU572" s="54"/>
      <c r="AV572" s="54"/>
      <c r="AW572" s="54"/>
      <c r="AX572" s="54"/>
      <c r="AY572" s="54"/>
      <c r="AZ572" s="54"/>
      <c r="BA572" s="54"/>
      <c r="BB572" s="54"/>
      <c r="BC572" s="54"/>
      <c r="BD572" s="54"/>
      <c r="BE572" s="54"/>
      <c r="BF572" s="54"/>
      <c r="BG572" s="54"/>
      <c r="BH572" s="54"/>
      <c r="BI572" s="54"/>
      <c r="BJ572" s="54"/>
      <c r="BK572" s="54"/>
      <c r="BL572" s="54"/>
    </row>
    <row r="573" spans="1:64" ht="11.25" customHeight="1" x14ac:dyDescent="0.3">
      <c r="A573" s="54"/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4"/>
      <c r="AI573" s="54"/>
      <c r="AJ573" s="54"/>
      <c r="AK573" s="54"/>
      <c r="AL573" s="54"/>
      <c r="AM573" s="54"/>
      <c r="AN573" s="54"/>
      <c r="AO573" s="54"/>
      <c r="AP573" s="54"/>
      <c r="AQ573" s="54"/>
      <c r="AR573" s="54"/>
      <c r="AS573" s="54"/>
      <c r="AT573" s="54"/>
      <c r="AU573" s="54"/>
      <c r="AV573" s="54"/>
      <c r="AW573" s="54"/>
      <c r="AX573" s="54"/>
      <c r="AY573" s="54"/>
      <c r="AZ573" s="54"/>
      <c r="BA573" s="54"/>
      <c r="BB573" s="54"/>
      <c r="BC573" s="54"/>
      <c r="BD573" s="54"/>
      <c r="BE573" s="54"/>
      <c r="BF573" s="54"/>
      <c r="BG573" s="54"/>
      <c r="BH573" s="54"/>
      <c r="BI573" s="54"/>
      <c r="BJ573" s="54"/>
      <c r="BK573" s="54"/>
      <c r="BL573" s="54"/>
    </row>
    <row r="574" spans="1:64" ht="11.25" customHeight="1" x14ac:dyDescent="0.3">
      <c r="A574" s="54"/>
      <c r="B574" s="54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4"/>
      <c r="AI574" s="54"/>
      <c r="AJ574" s="54"/>
      <c r="AK574" s="54"/>
      <c r="AL574" s="54"/>
      <c r="AM574" s="54"/>
      <c r="AN574" s="54"/>
      <c r="AO574" s="54"/>
      <c r="AP574" s="54"/>
      <c r="AQ574" s="54"/>
      <c r="AR574" s="54"/>
      <c r="AS574" s="54"/>
      <c r="AT574" s="54"/>
      <c r="AU574" s="54"/>
      <c r="AV574" s="54"/>
      <c r="AW574" s="54"/>
      <c r="AX574" s="54"/>
      <c r="AY574" s="54"/>
      <c r="AZ574" s="54"/>
      <c r="BA574" s="54"/>
      <c r="BB574" s="54"/>
      <c r="BC574" s="54"/>
      <c r="BD574" s="54"/>
      <c r="BE574" s="54"/>
      <c r="BF574" s="54"/>
      <c r="BG574" s="54"/>
      <c r="BH574" s="54"/>
      <c r="BI574" s="54"/>
      <c r="BJ574" s="54"/>
      <c r="BK574" s="54"/>
      <c r="BL574" s="54"/>
    </row>
    <row r="575" spans="1:64" ht="11.25" customHeight="1" x14ac:dyDescent="0.3">
      <c r="A575" s="54"/>
      <c r="B575" s="54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4"/>
      <c r="AI575" s="54"/>
      <c r="AJ575" s="54"/>
      <c r="AK575" s="54"/>
      <c r="AL575" s="54"/>
      <c r="AM575" s="54"/>
      <c r="AN575" s="54"/>
      <c r="AO575" s="54"/>
      <c r="AP575" s="54"/>
      <c r="AQ575" s="54"/>
      <c r="AR575" s="54"/>
      <c r="AS575" s="54"/>
      <c r="AT575" s="54"/>
      <c r="AU575" s="54"/>
      <c r="AV575" s="54"/>
      <c r="AW575" s="54"/>
      <c r="AX575" s="54"/>
      <c r="AY575" s="54"/>
      <c r="AZ575" s="54"/>
      <c r="BA575" s="54"/>
      <c r="BB575" s="54"/>
      <c r="BC575" s="54"/>
      <c r="BD575" s="54"/>
      <c r="BE575" s="54"/>
      <c r="BF575" s="54"/>
      <c r="BG575" s="54"/>
      <c r="BH575" s="54"/>
      <c r="BI575" s="54"/>
      <c r="BJ575" s="54"/>
      <c r="BK575" s="54"/>
      <c r="BL575" s="54"/>
    </row>
    <row r="576" spans="1:64" ht="11.25" customHeight="1" x14ac:dyDescent="0.3">
      <c r="A576" s="54"/>
      <c r="B576" s="54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4"/>
      <c r="AI576" s="54"/>
      <c r="AJ576" s="54"/>
      <c r="AK576" s="54"/>
      <c r="AL576" s="54"/>
      <c r="AM576" s="54"/>
      <c r="AN576" s="54"/>
      <c r="AO576" s="54"/>
      <c r="AP576" s="54"/>
      <c r="AQ576" s="54"/>
      <c r="AR576" s="54"/>
      <c r="AS576" s="54"/>
      <c r="AT576" s="54"/>
      <c r="AU576" s="54"/>
      <c r="AV576" s="54"/>
      <c r="AW576" s="54"/>
      <c r="AX576" s="54"/>
      <c r="AY576" s="54"/>
      <c r="AZ576" s="54"/>
      <c r="BA576" s="54"/>
      <c r="BB576" s="54"/>
      <c r="BC576" s="54"/>
      <c r="BD576" s="54"/>
      <c r="BE576" s="54"/>
      <c r="BF576" s="54"/>
      <c r="BG576" s="54"/>
      <c r="BH576" s="54"/>
      <c r="BI576" s="54"/>
      <c r="BJ576" s="54"/>
      <c r="BK576" s="54"/>
      <c r="BL576" s="54"/>
    </row>
    <row r="577" spans="1:64" ht="11.25" customHeight="1" x14ac:dyDescent="0.3">
      <c r="A577" s="54"/>
      <c r="B577" s="54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4"/>
      <c r="AI577" s="54"/>
      <c r="AJ577" s="54"/>
      <c r="AK577" s="54"/>
      <c r="AL577" s="54"/>
      <c r="AM577" s="54"/>
      <c r="AN577" s="54"/>
      <c r="AO577" s="54"/>
      <c r="AP577" s="54"/>
      <c r="AQ577" s="54"/>
      <c r="AR577" s="54"/>
      <c r="AS577" s="54"/>
      <c r="AT577" s="54"/>
      <c r="AU577" s="54"/>
      <c r="AV577" s="54"/>
      <c r="AW577" s="54"/>
      <c r="AX577" s="54"/>
      <c r="AY577" s="54"/>
      <c r="AZ577" s="54"/>
      <c r="BA577" s="54"/>
      <c r="BB577" s="54"/>
      <c r="BC577" s="54"/>
      <c r="BD577" s="54"/>
      <c r="BE577" s="54"/>
      <c r="BF577" s="54"/>
      <c r="BG577" s="54"/>
      <c r="BH577" s="54"/>
      <c r="BI577" s="54"/>
      <c r="BJ577" s="54"/>
      <c r="BK577" s="54"/>
      <c r="BL577" s="54"/>
    </row>
    <row r="578" spans="1:64" ht="11.25" customHeight="1" x14ac:dyDescent="0.3">
      <c r="A578" s="54"/>
      <c r="B578" s="54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4"/>
      <c r="AI578" s="54"/>
      <c r="AJ578" s="54"/>
      <c r="AK578" s="54"/>
      <c r="AL578" s="54"/>
      <c r="AM578" s="54"/>
      <c r="AN578" s="54"/>
      <c r="AO578" s="54"/>
      <c r="AP578" s="54"/>
      <c r="AQ578" s="54"/>
      <c r="AR578" s="54"/>
      <c r="AS578" s="54"/>
      <c r="AT578" s="54"/>
      <c r="AU578" s="54"/>
      <c r="AV578" s="54"/>
      <c r="AW578" s="54"/>
      <c r="AX578" s="54"/>
      <c r="AY578" s="54"/>
      <c r="AZ578" s="54"/>
      <c r="BA578" s="54"/>
      <c r="BB578" s="54"/>
      <c r="BC578" s="54"/>
      <c r="BD578" s="54"/>
      <c r="BE578" s="54"/>
      <c r="BF578" s="54"/>
      <c r="BG578" s="54"/>
      <c r="BH578" s="54"/>
      <c r="BI578" s="54"/>
      <c r="BJ578" s="54"/>
      <c r="BK578" s="54"/>
      <c r="BL578" s="54"/>
    </row>
    <row r="579" spans="1:64" ht="11.25" customHeight="1" x14ac:dyDescent="0.3">
      <c r="A579" s="54"/>
      <c r="B579" s="54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  <c r="AG579" s="54"/>
      <c r="AH579" s="54"/>
      <c r="AI579" s="54"/>
      <c r="AJ579" s="54"/>
      <c r="AK579" s="54"/>
      <c r="AL579" s="54"/>
      <c r="AM579" s="54"/>
      <c r="AN579" s="54"/>
      <c r="AO579" s="54"/>
      <c r="AP579" s="54"/>
      <c r="AQ579" s="54"/>
      <c r="AR579" s="54"/>
      <c r="AS579" s="54"/>
      <c r="AT579" s="54"/>
      <c r="AU579" s="54"/>
      <c r="AV579" s="54"/>
      <c r="AW579" s="54"/>
      <c r="AX579" s="54"/>
      <c r="AY579" s="54"/>
      <c r="AZ579" s="54"/>
      <c r="BA579" s="54"/>
      <c r="BB579" s="54"/>
      <c r="BC579" s="54"/>
      <c r="BD579" s="54"/>
      <c r="BE579" s="54"/>
      <c r="BF579" s="54"/>
      <c r="BG579" s="54"/>
      <c r="BH579" s="54"/>
      <c r="BI579" s="54"/>
      <c r="BJ579" s="54"/>
      <c r="BK579" s="54"/>
      <c r="BL579" s="54"/>
    </row>
    <row r="580" spans="1:64" ht="11.25" customHeight="1" x14ac:dyDescent="0.3">
      <c r="A580" s="54"/>
      <c r="B580" s="54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  <c r="AG580" s="54"/>
      <c r="AH580" s="54"/>
      <c r="AI580" s="54"/>
      <c r="AJ580" s="54"/>
      <c r="AK580" s="54"/>
      <c r="AL580" s="54"/>
      <c r="AM580" s="54"/>
      <c r="AN580" s="54"/>
      <c r="AO580" s="54"/>
      <c r="AP580" s="54"/>
      <c r="AQ580" s="54"/>
      <c r="AR580" s="54"/>
      <c r="AS580" s="54"/>
      <c r="AT580" s="54"/>
      <c r="AU580" s="54"/>
      <c r="AV580" s="54"/>
      <c r="AW580" s="54"/>
      <c r="AX580" s="54"/>
      <c r="AY580" s="54"/>
      <c r="AZ580" s="54"/>
      <c r="BA580" s="54"/>
      <c r="BB580" s="54"/>
      <c r="BC580" s="54"/>
      <c r="BD580" s="54"/>
      <c r="BE580" s="54"/>
      <c r="BF580" s="54"/>
      <c r="BG580" s="54"/>
      <c r="BH580" s="54"/>
      <c r="BI580" s="54"/>
      <c r="BJ580" s="54"/>
      <c r="BK580" s="54"/>
      <c r="BL580" s="54"/>
    </row>
    <row r="581" spans="1:64" ht="11.25" customHeight="1" x14ac:dyDescent="0.3">
      <c r="A581" s="54"/>
      <c r="B581" s="54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4"/>
      <c r="AI581" s="54"/>
      <c r="AJ581" s="54"/>
      <c r="AK581" s="54"/>
      <c r="AL581" s="54"/>
      <c r="AM581" s="54"/>
      <c r="AN581" s="54"/>
      <c r="AO581" s="54"/>
      <c r="AP581" s="54"/>
      <c r="AQ581" s="54"/>
      <c r="AR581" s="54"/>
      <c r="AS581" s="54"/>
      <c r="AT581" s="54"/>
      <c r="AU581" s="54"/>
      <c r="AV581" s="54"/>
      <c r="AW581" s="54"/>
      <c r="AX581" s="54"/>
      <c r="AY581" s="54"/>
      <c r="AZ581" s="54"/>
      <c r="BA581" s="54"/>
      <c r="BB581" s="54"/>
      <c r="BC581" s="54"/>
      <c r="BD581" s="54"/>
      <c r="BE581" s="54"/>
      <c r="BF581" s="54"/>
      <c r="BG581" s="54"/>
      <c r="BH581" s="54"/>
      <c r="BI581" s="54"/>
      <c r="BJ581" s="54"/>
      <c r="BK581" s="54"/>
      <c r="BL581" s="54"/>
    </row>
    <row r="582" spans="1:64" ht="11.25" customHeight="1" x14ac:dyDescent="0.3">
      <c r="A582" s="54"/>
      <c r="B582" s="54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4"/>
      <c r="AI582" s="54"/>
      <c r="AJ582" s="54"/>
      <c r="AK582" s="54"/>
      <c r="AL582" s="54"/>
      <c r="AM582" s="54"/>
      <c r="AN582" s="54"/>
      <c r="AO582" s="54"/>
      <c r="AP582" s="54"/>
      <c r="AQ582" s="54"/>
      <c r="AR582" s="54"/>
      <c r="AS582" s="54"/>
      <c r="AT582" s="54"/>
      <c r="AU582" s="54"/>
      <c r="AV582" s="54"/>
      <c r="AW582" s="54"/>
      <c r="AX582" s="54"/>
      <c r="AY582" s="54"/>
      <c r="AZ582" s="54"/>
      <c r="BA582" s="54"/>
      <c r="BB582" s="54"/>
      <c r="BC582" s="54"/>
      <c r="BD582" s="54"/>
      <c r="BE582" s="54"/>
      <c r="BF582" s="54"/>
      <c r="BG582" s="54"/>
      <c r="BH582" s="54"/>
      <c r="BI582" s="54"/>
      <c r="BJ582" s="54"/>
      <c r="BK582" s="54"/>
      <c r="BL582" s="54"/>
    </row>
    <row r="583" spans="1:64" ht="11.25" customHeight="1" x14ac:dyDescent="0.3">
      <c r="A583" s="54"/>
      <c r="B583" s="54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4"/>
      <c r="AI583" s="54"/>
      <c r="AJ583" s="54"/>
      <c r="AK583" s="54"/>
      <c r="AL583" s="54"/>
      <c r="AM583" s="54"/>
      <c r="AN583" s="54"/>
      <c r="AO583" s="54"/>
      <c r="AP583" s="54"/>
      <c r="AQ583" s="54"/>
      <c r="AR583" s="54"/>
      <c r="AS583" s="54"/>
      <c r="AT583" s="54"/>
      <c r="AU583" s="54"/>
      <c r="AV583" s="54"/>
      <c r="AW583" s="54"/>
      <c r="AX583" s="54"/>
      <c r="AY583" s="54"/>
      <c r="AZ583" s="54"/>
      <c r="BA583" s="54"/>
      <c r="BB583" s="54"/>
      <c r="BC583" s="54"/>
      <c r="BD583" s="54"/>
      <c r="BE583" s="54"/>
      <c r="BF583" s="54"/>
      <c r="BG583" s="54"/>
      <c r="BH583" s="54"/>
      <c r="BI583" s="54"/>
      <c r="BJ583" s="54"/>
      <c r="BK583" s="54"/>
      <c r="BL583" s="54"/>
    </row>
    <row r="584" spans="1:64" ht="11.25" customHeight="1" x14ac:dyDescent="0.3">
      <c r="A584" s="54"/>
      <c r="B584" s="54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4"/>
      <c r="AI584" s="54"/>
      <c r="AJ584" s="54"/>
      <c r="AK584" s="54"/>
      <c r="AL584" s="54"/>
      <c r="AM584" s="54"/>
      <c r="AN584" s="54"/>
      <c r="AO584" s="54"/>
      <c r="AP584" s="54"/>
      <c r="AQ584" s="54"/>
      <c r="AR584" s="54"/>
      <c r="AS584" s="54"/>
      <c r="AT584" s="54"/>
      <c r="AU584" s="54"/>
      <c r="AV584" s="54"/>
      <c r="AW584" s="54"/>
      <c r="AX584" s="54"/>
      <c r="AY584" s="54"/>
      <c r="AZ584" s="54"/>
      <c r="BA584" s="54"/>
      <c r="BB584" s="54"/>
      <c r="BC584" s="54"/>
      <c r="BD584" s="54"/>
      <c r="BE584" s="54"/>
      <c r="BF584" s="54"/>
      <c r="BG584" s="54"/>
      <c r="BH584" s="54"/>
      <c r="BI584" s="54"/>
      <c r="BJ584" s="54"/>
      <c r="BK584" s="54"/>
      <c r="BL584" s="54"/>
    </row>
    <row r="585" spans="1:64" ht="11.25" customHeight="1" x14ac:dyDescent="0.3">
      <c r="A585" s="54"/>
      <c r="B585" s="54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4"/>
      <c r="AI585" s="54"/>
      <c r="AJ585" s="54"/>
      <c r="AK585" s="54"/>
      <c r="AL585" s="54"/>
      <c r="AM585" s="54"/>
      <c r="AN585" s="54"/>
      <c r="AO585" s="54"/>
      <c r="AP585" s="54"/>
      <c r="AQ585" s="54"/>
      <c r="AR585" s="54"/>
      <c r="AS585" s="54"/>
      <c r="AT585" s="54"/>
      <c r="AU585" s="54"/>
      <c r="AV585" s="54"/>
      <c r="AW585" s="54"/>
      <c r="AX585" s="54"/>
      <c r="AY585" s="54"/>
      <c r="AZ585" s="54"/>
      <c r="BA585" s="54"/>
      <c r="BB585" s="54"/>
      <c r="BC585" s="54"/>
      <c r="BD585" s="54"/>
      <c r="BE585" s="54"/>
      <c r="BF585" s="54"/>
      <c r="BG585" s="54"/>
      <c r="BH585" s="54"/>
      <c r="BI585" s="54"/>
      <c r="BJ585" s="54"/>
      <c r="BK585" s="54"/>
      <c r="BL585" s="54"/>
    </row>
    <row r="586" spans="1:64" ht="11.25" customHeight="1" x14ac:dyDescent="0.3">
      <c r="A586" s="54"/>
      <c r="B586" s="54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4"/>
      <c r="AI586" s="54"/>
      <c r="AJ586" s="54"/>
      <c r="AK586" s="54"/>
      <c r="AL586" s="54"/>
      <c r="AM586" s="54"/>
      <c r="AN586" s="54"/>
      <c r="AO586" s="54"/>
      <c r="AP586" s="54"/>
      <c r="AQ586" s="54"/>
      <c r="AR586" s="54"/>
      <c r="AS586" s="54"/>
      <c r="AT586" s="54"/>
      <c r="AU586" s="54"/>
      <c r="AV586" s="54"/>
      <c r="AW586" s="54"/>
      <c r="AX586" s="54"/>
      <c r="AY586" s="54"/>
      <c r="AZ586" s="54"/>
      <c r="BA586" s="54"/>
      <c r="BB586" s="54"/>
      <c r="BC586" s="54"/>
      <c r="BD586" s="54"/>
      <c r="BE586" s="54"/>
      <c r="BF586" s="54"/>
      <c r="BG586" s="54"/>
      <c r="BH586" s="54"/>
      <c r="BI586" s="54"/>
      <c r="BJ586" s="54"/>
      <c r="BK586" s="54"/>
      <c r="BL586" s="54"/>
    </row>
    <row r="587" spans="1:64" ht="11.25" customHeight="1" x14ac:dyDescent="0.3">
      <c r="A587" s="54"/>
      <c r="B587" s="54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4"/>
      <c r="AI587" s="54"/>
      <c r="AJ587" s="54"/>
      <c r="AK587" s="54"/>
      <c r="AL587" s="54"/>
      <c r="AM587" s="54"/>
      <c r="AN587" s="54"/>
      <c r="AO587" s="54"/>
      <c r="AP587" s="54"/>
      <c r="AQ587" s="54"/>
      <c r="AR587" s="54"/>
      <c r="AS587" s="54"/>
      <c r="AT587" s="54"/>
      <c r="AU587" s="54"/>
      <c r="AV587" s="54"/>
      <c r="AW587" s="54"/>
      <c r="AX587" s="54"/>
      <c r="AY587" s="54"/>
      <c r="AZ587" s="54"/>
      <c r="BA587" s="54"/>
      <c r="BB587" s="54"/>
      <c r="BC587" s="54"/>
      <c r="BD587" s="54"/>
      <c r="BE587" s="54"/>
      <c r="BF587" s="54"/>
      <c r="BG587" s="54"/>
      <c r="BH587" s="54"/>
      <c r="BI587" s="54"/>
      <c r="BJ587" s="54"/>
      <c r="BK587" s="54"/>
      <c r="BL587" s="54"/>
    </row>
    <row r="588" spans="1:64" ht="11.25" customHeight="1" x14ac:dyDescent="0.3">
      <c r="A588" s="54"/>
      <c r="B588" s="54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4"/>
      <c r="AI588" s="54"/>
      <c r="AJ588" s="54"/>
      <c r="AK588" s="54"/>
      <c r="AL588" s="54"/>
      <c r="AM588" s="54"/>
      <c r="AN588" s="54"/>
      <c r="AO588" s="54"/>
      <c r="AP588" s="54"/>
      <c r="AQ588" s="54"/>
      <c r="AR588" s="54"/>
      <c r="AS588" s="54"/>
      <c r="AT588" s="54"/>
      <c r="AU588" s="54"/>
      <c r="AV588" s="54"/>
      <c r="AW588" s="54"/>
      <c r="AX588" s="54"/>
      <c r="AY588" s="54"/>
      <c r="AZ588" s="54"/>
      <c r="BA588" s="54"/>
      <c r="BB588" s="54"/>
      <c r="BC588" s="54"/>
      <c r="BD588" s="54"/>
      <c r="BE588" s="54"/>
      <c r="BF588" s="54"/>
      <c r="BG588" s="54"/>
      <c r="BH588" s="54"/>
      <c r="BI588" s="54"/>
      <c r="BJ588" s="54"/>
      <c r="BK588" s="54"/>
      <c r="BL588" s="54"/>
    </row>
    <row r="589" spans="1:64" ht="11.25" customHeight="1" x14ac:dyDescent="0.3">
      <c r="A589" s="54"/>
      <c r="B589" s="54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4"/>
      <c r="AI589" s="54"/>
      <c r="AJ589" s="54"/>
      <c r="AK589" s="54"/>
      <c r="AL589" s="54"/>
      <c r="AM589" s="54"/>
      <c r="AN589" s="54"/>
      <c r="AO589" s="54"/>
      <c r="AP589" s="54"/>
      <c r="AQ589" s="54"/>
      <c r="AR589" s="54"/>
      <c r="AS589" s="54"/>
      <c r="AT589" s="54"/>
      <c r="AU589" s="54"/>
      <c r="AV589" s="54"/>
      <c r="AW589" s="54"/>
      <c r="AX589" s="54"/>
      <c r="AY589" s="54"/>
      <c r="AZ589" s="54"/>
      <c r="BA589" s="54"/>
      <c r="BB589" s="54"/>
      <c r="BC589" s="54"/>
      <c r="BD589" s="54"/>
      <c r="BE589" s="54"/>
      <c r="BF589" s="54"/>
      <c r="BG589" s="54"/>
      <c r="BH589" s="54"/>
      <c r="BI589" s="54"/>
      <c r="BJ589" s="54"/>
      <c r="BK589" s="54"/>
      <c r="BL589" s="54"/>
    </row>
    <row r="590" spans="1:64" ht="11.25" customHeight="1" x14ac:dyDescent="0.3">
      <c r="A590" s="54"/>
      <c r="B590" s="54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4"/>
      <c r="AI590" s="54"/>
      <c r="AJ590" s="54"/>
      <c r="AK590" s="54"/>
      <c r="AL590" s="54"/>
      <c r="AM590" s="54"/>
      <c r="AN590" s="54"/>
      <c r="AO590" s="54"/>
      <c r="AP590" s="54"/>
      <c r="AQ590" s="54"/>
      <c r="AR590" s="54"/>
      <c r="AS590" s="54"/>
      <c r="AT590" s="54"/>
      <c r="AU590" s="54"/>
      <c r="AV590" s="54"/>
      <c r="AW590" s="54"/>
      <c r="AX590" s="54"/>
      <c r="AY590" s="54"/>
      <c r="AZ590" s="54"/>
      <c r="BA590" s="54"/>
      <c r="BB590" s="54"/>
      <c r="BC590" s="54"/>
      <c r="BD590" s="54"/>
      <c r="BE590" s="54"/>
      <c r="BF590" s="54"/>
      <c r="BG590" s="54"/>
      <c r="BH590" s="54"/>
      <c r="BI590" s="54"/>
      <c r="BJ590" s="54"/>
      <c r="BK590" s="54"/>
      <c r="BL590" s="54"/>
    </row>
    <row r="591" spans="1:64" ht="11.25" customHeight="1" x14ac:dyDescent="0.3">
      <c r="A591" s="54"/>
      <c r="B591" s="54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4"/>
      <c r="AI591" s="54"/>
      <c r="AJ591" s="54"/>
      <c r="AK591" s="54"/>
      <c r="AL591" s="54"/>
      <c r="AM591" s="54"/>
      <c r="AN591" s="54"/>
      <c r="AO591" s="54"/>
      <c r="AP591" s="54"/>
      <c r="AQ591" s="54"/>
      <c r="AR591" s="54"/>
      <c r="AS591" s="54"/>
      <c r="AT591" s="54"/>
      <c r="AU591" s="54"/>
      <c r="AV591" s="54"/>
      <c r="AW591" s="54"/>
      <c r="AX591" s="54"/>
      <c r="AY591" s="54"/>
      <c r="AZ591" s="54"/>
      <c r="BA591" s="54"/>
      <c r="BB591" s="54"/>
      <c r="BC591" s="54"/>
      <c r="BD591" s="54"/>
      <c r="BE591" s="54"/>
      <c r="BF591" s="54"/>
      <c r="BG591" s="54"/>
      <c r="BH591" s="54"/>
      <c r="BI591" s="54"/>
      <c r="BJ591" s="54"/>
      <c r="BK591" s="54"/>
      <c r="BL591" s="54"/>
    </row>
    <row r="592" spans="1:64" ht="11.25" customHeight="1" x14ac:dyDescent="0.3">
      <c r="A592" s="54"/>
      <c r="B592" s="54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4"/>
      <c r="AI592" s="54"/>
      <c r="AJ592" s="54"/>
      <c r="AK592" s="54"/>
      <c r="AL592" s="54"/>
      <c r="AM592" s="54"/>
      <c r="AN592" s="54"/>
      <c r="AO592" s="54"/>
      <c r="AP592" s="54"/>
      <c r="AQ592" s="54"/>
      <c r="AR592" s="54"/>
      <c r="AS592" s="54"/>
      <c r="AT592" s="54"/>
      <c r="AU592" s="54"/>
      <c r="AV592" s="54"/>
      <c r="AW592" s="54"/>
      <c r="AX592" s="54"/>
      <c r="AY592" s="54"/>
      <c r="AZ592" s="54"/>
      <c r="BA592" s="54"/>
      <c r="BB592" s="54"/>
      <c r="BC592" s="54"/>
      <c r="BD592" s="54"/>
      <c r="BE592" s="54"/>
      <c r="BF592" s="54"/>
      <c r="BG592" s="54"/>
      <c r="BH592" s="54"/>
      <c r="BI592" s="54"/>
      <c r="BJ592" s="54"/>
      <c r="BK592" s="54"/>
      <c r="BL592" s="54"/>
    </row>
    <row r="593" spans="1:64" ht="11.25" customHeight="1" x14ac:dyDescent="0.3">
      <c r="A593" s="54"/>
      <c r="B593" s="54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4"/>
      <c r="AI593" s="54"/>
      <c r="AJ593" s="54"/>
      <c r="AK593" s="54"/>
      <c r="AL593" s="54"/>
      <c r="AM593" s="54"/>
      <c r="AN593" s="54"/>
      <c r="AO593" s="54"/>
      <c r="AP593" s="54"/>
      <c r="AQ593" s="54"/>
      <c r="AR593" s="54"/>
      <c r="AS593" s="54"/>
      <c r="AT593" s="54"/>
      <c r="AU593" s="54"/>
      <c r="AV593" s="54"/>
      <c r="AW593" s="54"/>
      <c r="AX593" s="54"/>
      <c r="AY593" s="54"/>
      <c r="AZ593" s="54"/>
      <c r="BA593" s="54"/>
      <c r="BB593" s="54"/>
      <c r="BC593" s="54"/>
      <c r="BD593" s="54"/>
      <c r="BE593" s="54"/>
      <c r="BF593" s="54"/>
      <c r="BG593" s="54"/>
      <c r="BH593" s="54"/>
      <c r="BI593" s="54"/>
      <c r="BJ593" s="54"/>
      <c r="BK593" s="54"/>
      <c r="BL593" s="54"/>
    </row>
    <row r="594" spans="1:64" ht="11.25" customHeight="1" x14ac:dyDescent="0.3">
      <c r="A594" s="54"/>
      <c r="B594" s="54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4"/>
      <c r="AI594" s="54"/>
      <c r="AJ594" s="54"/>
      <c r="AK594" s="54"/>
      <c r="AL594" s="54"/>
      <c r="AM594" s="54"/>
      <c r="AN594" s="54"/>
      <c r="AO594" s="54"/>
      <c r="AP594" s="54"/>
      <c r="AQ594" s="54"/>
      <c r="AR594" s="54"/>
      <c r="AS594" s="54"/>
      <c r="AT594" s="54"/>
      <c r="AU594" s="54"/>
      <c r="AV594" s="54"/>
      <c r="AW594" s="54"/>
      <c r="AX594" s="54"/>
      <c r="AY594" s="54"/>
      <c r="AZ594" s="54"/>
      <c r="BA594" s="54"/>
      <c r="BB594" s="54"/>
      <c r="BC594" s="54"/>
      <c r="BD594" s="54"/>
      <c r="BE594" s="54"/>
      <c r="BF594" s="54"/>
      <c r="BG594" s="54"/>
      <c r="BH594" s="54"/>
      <c r="BI594" s="54"/>
      <c r="BJ594" s="54"/>
      <c r="BK594" s="54"/>
      <c r="BL594" s="54"/>
    </row>
    <row r="595" spans="1:64" ht="11.25" customHeight="1" x14ac:dyDescent="0.3">
      <c r="A595" s="54"/>
      <c r="B595" s="54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  <c r="AG595" s="54"/>
      <c r="AH595" s="54"/>
      <c r="AI595" s="54"/>
      <c r="AJ595" s="54"/>
      <c r="AK595" s="54"/>
      <c r="AL595" s="54"/>
      <c r="AM595" s="54"/>
      <c r="AN595" s="54"/>
      <c r="AO595" s="54"/>
      <c r="AP595" s="54"/>
      <c r="AQ595" s="54"/>
      <c r="AR595" s="54"/>
      <c r="AS595" s="54"/>
      <c r="AT595" s="54"/>
      <c r="AU595" s="54"/>
      <c r="AV595" s="54"/>
      <c r="AW595" s="54"/>
      <c r="AX595" s="54"/>
      <c r="AY595" s="54"/>
      <c r="AZ595" s="54"/>
      <c r="BA595" s="54"/>
      <c r="BB595" s="54"/>
      <c r="BC595" s="54"/>
      <c r="BD595" s="54"/>
      <c r="BE595" s="54"/>
      <c r="BF595" s="54"/>
      <c r="BG595" s="54"/>
      <c r="BH595" s="54"/>
      <c r="BI595" s="54"/>
      <c r="BJ595" s="54"/>
      <c r="BK595" s="54"/>
      <c r="BL595" s="54"/>
    </row>
    <row r="596" spans="1:64" ht="11.25" customHeight="1" x14ac:dyDescent="0.3">
      <c r="A596" s="54"/>
      <c r="B596" s="54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  <c r="AG596" s="54"/>
      <c r="AH596" s="54"/>
      <c r="AI596" s="54"/>
      <c r="AJ596" s="54"/>
      <c r="AK596" s="54"/>
      <c r="AL596" s="54"/>
      <c r="AM596" s="54"/>
      <c r="AN596" s="54"/>
      <c r="AO596" s="54"/>
      <c r="AP596" s="54"/>
      <c r="AQ596" s="54"/>
      <c r="AR596" s="54"/>
      <c r="AS596" s="54"/>
      <c r="AT596" s="54"/>
      <c r="AU596" s="54"/>
      <c r="AV596" s="54"/>
      <c r="AW596" s="54"/>
      <c r="AX596" s="54"/>
      <c r="AY596" s="54"/>
      <c r="AZ596" s="54"/>
      <c r="BA596" s="54"/>
      <c r="BB596" s="54"/>
      <c r="BC596" s="54"/>
      <c r="BD596" s="54"/>
      <c r="BE596" s="54"/>
      <c r="BF596" s="54"/>
      <c r="BG596" s="54"/>
      <c r="BH596" s="54"/>
      <c r="BI596" s="54"/>
      <c r="BJ596" s="54"/>
      <c r="BK596" s="54"/>
      <c r="BL596" s="54"/>
    </row>
    <row r="597" spans="1:64" ht="11.25" customHeight="1" x14ac:dyDescent="0.3">
      <c r="A597" s="54"/>
      <c r="B597" s="54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4"/>
      <c r="AI597" s="54"/>
      <c r="AJ597" s="54"/>
      <c r="AK597" s="54"/>
      <c r="AL597" s="54"/>
      <c r="AM597" s="54"/>
      <c r="AN597" s="54"/>
      <c r="AO597" s="54"/>
      <c r="AP597" s="54"/>
      <c r="AQ597" s="54"/>
      <c r="AR597" s="54"/>
      <c r="AS597" s="54"/>
      <c r="AT597" s="54"/>
      <c r="AU597" s="54"/>
      <c r="AV597" s="54"/>
      <c r="AW597" s="54"/>
      <c r="AX597" s="54"/>
      <c r="AY597" s="54"/>
      <c r="AZ597" s="54"/>
      <c r="BA597" s="54"/>
      <c r="BB597" s="54"/>
      <c r="BC597" s="54"/>
      <c r="BD597" s="54"/>
      <c r="BE597" s="54"/>
      <c r="BF597" s="54"/>
      <c r="BG597" s="54"/>
      <c r="BH597" s="54"/>
      <c r="BI597" s="54"/>
      <c r="BJ597" s="54"/>
      <c r="BK597" s="54"/>
      <c r="BL597" s="54"/>
    </row>
    <row r="598" spans="1:64" ht="11.25" customHeight="1" x14ac:dyDescent="0.3">
      <c r="A598" s="54"/>
      <c r="B598" s="54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4"/>
      <c r="AI598" s="54"/>
      <c r="AJ598" s="54"/>
      <c r="AK598" s="54"/>
      <c r="AL598" s="54"/>
      <c r="AM598" s="54"/>
      <c r="AN598" s="54"/>
      <c r="AO598" s="54"/>
      <c r="AP598" s="54"/>
      <c r="AQ598" s="54"/>
      <c r="AR598" s="54"/>
      <c r="AS598" s="54"/>
      <c r="AT598" s="54"/>
      <c r="AU598" s="54"/>
      <c r="AV598" s="54"/>
      <c r="AW598" s="54"/>
      <c r="AX598" s="54"/>
      <c r="AY598" s="54"/>
      <c r="AZ598" s="54"/>
      <c r="BA598" s="54"/>
      <c r="BB598" s="54"/>
      <c r="BC598" s="54"/>
      <c r="BD598" s="54"/>
      <c r="BE598" s="54"/>
      <c r="BF598" s="54"/>
      <c r="BG598" s="54"/>
      <c r="BH598" s="54"/>
      <c r="BI598" s="54"/>
      <c r="BJ598" s="54"/>
      <c r="BK598" s="54"/>
      <c r="BL598" s="54"/>
    </row>
    <row r="599" spans="1:64" ht="11.25" customHeight="1" x14ac:dyDescent="0.3">
      <c r="A599" s="54"/>
      <c r="B599" s="54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4"/>
      <c r="AI599" s="54"/>
      <c r="AJ599" s="54"/>
      <c r="AK599" s="54"/>
      <c r="AL599" s="54"/>
      <c r="AM599" s="54"/>
      <c r="AN599" s="54"/>
      <c r="AO599" s="54"/>
      <c r="AP599" s="54"/>
      <c r="AQ599" s="54"/>
      <c r="AR599" s="54"/>
      <c r="AS599" s="54"/>
      <c r="AT599" s="54"/>
      <c r="AU599" s="54"/>
      <c r="AV599" s="54"/>
      <c r="AW599" s="54"/>
      <c r="AX599" s="54"/>
      <c r="AY599" s="54"/>
      <c r="AZ599" s="54"/>
      <c r="BA599" s="54"/>
      <c r="BB599" s="54"/>
      <c r="BC599" s="54"/>
      <c r="BD599" s="54"/>
      <c r="BE599" s="54"/>
      <c r="BF599" s="54"/>
      <c r="BG599" s="54"/>
      <c r="BH599" s="54"/>
      <c r="BI599" s="54"/>
      <c r="BJ599" s="54"/>
      <c r="BK599" s="54"/>
      <c r="BL599" s="54"/>
    </row>
    <row r="600" spans="1:64" ht="11.25" customHeight="1" x14ac:dyDescent="0.3">
      <c r="A600" s="54"/>
      <c r="B600" s="54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4"/>
      <c r="AI600" s="54"/>
      <c r="AJ600" s="54"/>
      <c r="AK600" s="54"/>
      <c r="AL600" s="54"/>
      <c r="AM600" s="54"/>
      <c r="AN600" s="54"/>
      <c r="AO600" s="54"/>
      <c r="AP600" s="54"/>
      <c r="AQ600" s="54"/>
      <c r="AR600" s="54"/>
      <c r="AS600" s="54"/>
      <c r="AT600" s="54"/>
      <c r="AU600" s="54"/>
      <c r="AV600" s="54"/>
      <c r="AW600" s="54"/>
      <c r="AX600" s="54"/>
      <c r="AY600" s="54"/>
      <c r="AZ600" s="54"/>
      <c r="BA600" s="54"/>
      <c r="BB600" s="54"/>
      <c r="BC600" s="54"/>
      <c r="BD600" s="54"/>
      <c r="BE600" s="54"/>
      <c r="BF600" s="54"/>
      <c r="BG600" s="54"/>
      <c r="BH600" s="54"/>
      <c r="BI600" s="54"/>
      <c r="BJ600" s="54"/>
      <c r="BK600" s="54"/>
      <c r="BL600" s="54"/>
    </row>
    <row r="601" spans="1:64" ht="11.25" customHeight="1" x14ac:dyDescent="0.3">
      <c r="A601" s="54"/>
      <c r="B601" s="54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4"/>
      <c r="AI601" s="54"/>
      <c r="AJ601" s="54"/>
      <c r="AK601" s="54"/>
      <c r="AL601" s="54"/>
      <c r="AM601" s="54"/>
      <c r="AN601" s="54"/>
      <c r="AO601" s="54"/>
      <c r="AP601" s="54"/>
      <c r="AQ601" s="54"/>
      <c r="AR601" s="54"/>
      <c r="AS601" s="54"/>
      <c r="AT601" s="54"/>
      <c r="AU601" s="54"/>
      <c r="AV601" s="54"/>
      <c r="AW601" s="54"/>
      <c r="AX601" s="54"/>
      <c r="AY601" s="54"/>
      <c r="AZ601" s="54"/>
      <c r="BA601" s="54"/>
      <c r="BB601" s="54"/>
      <c r="BC601" s="54"/>
      <c r="BD601" s="54"/>
      <c r="BE601" s="54"/>
      <c r="BF601" s="54"/>
      <c r="BG601" s="54"/>
      <c r="BH601" s="54"/>
      <c r="BI601" s="54"/>
      <c r="BJ601" s="54"/>
      <c r="BK601" s="54"/>
      <c r="BL601" s="54"/>
    </row>
    <row r="602" spans="1:64" ht="11.25" customHeight="1" x14ac:dyDescent="0.3">
      <c r="A602" s="54"/>
      <c r="B602" s="54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4"/>
      <c r="AI602" s="54"/>
      <c r="AJ602" s="54"/>
      <c r="AK602" s="54"/>
      <c r="AL602" s="54"/>
      <c r="AM602" s="54"/>
      <c r="AN602" s="54"/>
      <c r="AO602" s="54"/>
      <c r="AP602" s="54"/>
      <c r="AQ602" s="54"/>
      <c r="AR602" s="54"/>
      <c r="AS602" s="54"/>
      <c r="AT602" s="54"/>
      <c r="AU602" s="54"/>
      <c r="AV602" s="54"/>
      <c r="AW602" s="54"/>
      <c r="AX602" s="54"/>
      <c r="AY602" s="54"/>
      <c r="AZ602" s="54"/>
      <c r="BA602" s="54"/>
      <c r="BB602" s="54"/>
      <c r="BC602" s="54"/>
      <c r="BD602" s="54"/>
      <c r="BE602" s="54"/>
      <c r="BF602" s="54"/>
      <c r="BG602" s="54"/>
      <c r="BH602" s="54"/>
      <c r="BI602" s="54"/>
      <c r="BJ602" s="54"/>
      <c r="BK602" s="54"/>
      <c r="BL602" s="54"/>
    </row>
    <row r="603" spans="1:64" ht="11.25" customHeight="1" x14ac:dyDescent="0.3">
      <c r="A603" s="54"/>
      <c r="B603" s="54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4"/>
      <c r="AI603" s="54"/>
      <c r="AJ603" s="54"/>
      <c r="AK603" s="54"/>
      <c r="AL603" s="54"/>
      <c r="AM603" s="54"/>
      <c r="AN603" s="54"/>
      <c r="AO603" s="54"/>
      <c r="AP603" s="54"/>
      <c r="AQ603" s="54"/>
      <c r="AR603" s="54"/>
      <c r="AS603" s="54"/>
      <c r="AT603" s="54"/>
      <c r="AU603" s="54"/>
      <c r="AV603" s="54"/>
      <c r="AW603" s="54"/>
      <c r="AX603" s="54"/>
      <c r="AY603" s="54"/>
      <c r="AZ603" s="54"/>
      <c r="BA603" s="54"/>
      <c r="BB603" s="54"/>
      <c r="BC603" s="54"/>
      <c r="BD603" s="54"/>
      <c r="BE603" s="54"/>
      <c r="BF603" s="54"/>
      <c r="BG603" s="54"/>
      <c r="BH603" s="54"/>
      <c r="BI603" s="54"/>
      <c r="BJ603" s="54"/>
      <c r="BK603" s="54"/>
      <c r="BL603" s="54"/>
    </row>
    <row r="604" spans="1:64" ht="11.25" customHeight="1" x14ac:dyDescent="0.3">
      <c r="A604" s="54"/>
      <c r="B604" s="54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4"/>
      <c r="AI604" s="54"/>
      <c r="AJ604" s="54"/>
      <c r="AK604" s="54"/>
      <c r="AL604" s="54"/>
      <c r="AM604" s="54"/>
      <c r="AN604" s="54"/>
      <c r="AO604" s="54"/>
      <c r="AP604" s="54"/>
      <c r="AQ604" s="54"/>
      <c r="AR604" s="54"/>
      <c r="AS604" s="54"/>
      <c r="AT604" s="54"/>
      <c r="AU604" s="54"/>
      <c r="AV604" s="54"/>
      <c r="AW604" s="54"/>
      <c r="AX604" s="54"/>
      <c r="AY604" s="54"/>
      <c r="AZ604" s="54"/>
      <c r="BA604" s="54"/>
      <c r="BB604" s="54"/>
      <c r="BC604" s="54"/>
      <c r="BD604" s="54"/>
      <c r="BE604" s="54"/>
      <c r="BF604" s="54"/>
      <c r="BG604" s="54"/>
      <c r="BH604" s="54"/>
      <c r="BI604" s="54"/>
      <c r="BJ604" s="54"/>
      <c r="BK604" s="54"/>
      <c r="BL604" s="54"/>
    </row>
    <row r="605" spans="1:64" ht="11.25" customHeight="1" x14ac:dyDescent="0.3">
      <c r="A605" s="54"/>
      <c r="B605" s="54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4"/>
      <c r="AI605" s="54"/>
      <c r="AJ605" s="54"/>
      <c r="AK605" s="54"/>
      <c r="AL605" s="54"/>
      <c r="AM605" s="54"/>
      <c r="AN605" s="54"/>
      <c r="AO605" s="54"/>
      <c r="AP605" s="54"/>
      <c r="AQ605" s="54"/>
      <c r="AR605" s="54"/>
      <c r="AS605" s="54"/>
      <c r="AT605" s="54"/>
      <c r="AU605" s="54"/>
      <c r="AV605" s="54"/>
      <c r="AW605" s="54"/>
      <c r="AX605" s="54"/>
      <c r="AY605" s="54"/>
      <c r="AZ605" s="54"/>
      <c r="BA605" s="54"/>
      <c r="BB605" s="54"/>
      <c r="BC605" s="54"/>
      <c r="BD605" s="54"/>
      <c r="BE605" s="54"/>
      <c r="BF605" s="54"/>
      <c r="BG605" s="54"/>
      <c r="BH605" s="54"/>
      <c r="BI605" s="54"/>
      <c r="BJ605" s="54"/>
      <c r="BK605" s="54"/>
      <c r="BL605" s="54"/>
    </row>
    <row r="606" spans="1:64" ht="11.25" customHeight="1" x14ac:dyDescent="0.3">
      <c r="A606" s="54"/>
      <c r="B606" s="54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4"/>
      <c r="AI606" s="54"/>
      <c r="AJ606" s="54"/>
      <c r="AK606" s="54"/>
      <c r="AL606" s="54"/>
      <c r="AM606" s="54"/>
      <c r="AN606" s="54"/>
      <c r="AO606" s="54"/>
      <c r="AP606" s="54"/>
      <c r="AQ606" s="54"/>
      <c r="AR606" s="54"/>
      <c r="AS606" s="54"/>
      <c r="AT606" s="54"/>
      <c r="AU606" s="54"/>
      <c r="AV606" s="54"/>
      <c r="AW606" s="54"/>
      <c r="AX606" s="54"/>
      <c r="AY606" s="54"/>
      <c r="AZ606" s="54"/>
      <c r="BA606" s="54"/>
      <c r="BB606" s="54"/>
      <c r="BC606" s="54"/>
      <c r="BD606" s="54"/>
      <c r="BE606" s="54"/>
      <c r="BF606" s="54"/>
      <c r="BG606" s="54"/>
      <c r="BH606" s="54"/>
      <c r="BI606" s="54"/>
      <c r="BJ606" s="54"/>
      <c r="BK606" s="54"/>
      <c r="BL606" s="54"/>
    </row>
    <row r="607" spans="1:64" ht="11.25" customHeight="1" x14ac:dyDescent="0.3">
      <c r="A607" s="54"/>
      <c r="B607" s="54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4"/>
      <c r="AI607" s="54"/>
      <c r="AJ607" s="54"/>
      <c r="AK607" s="54"/>
      <c r="AL607" s="54"/>
      <c r="AM607" s="54"/>
      <c r="AN607" s="54"/>
      <c r="AO607" s="54"/>
      <c r="AP607" s="54"/>
      <c r="AQ607" s="54"/>
      <c r="AR607" s="54"/>
      <c r="AS607" s="54"/>
      <c r="AT607" s="54"/>
      <c r="AU607" s="54"/>
      <c r="AV607" s="54"/>
      <c r="AW607" s="54"/>
      <c r="AX607" s="54"/>
      <c r="AY607" s="54"/>
      <c r="AZ607" s="54"/>
      <c r="BA607" s="54"/>
      <c r="BB607" s="54"/>
      <c r="BC607" s="54"/>
      <c r="BD607" s="54"/>
      <c r="BE607" s="54"/>
      <c r="BF607" s="54"/>
      <c r="BG607" s="54"/>
      <c r="BH607" s="54"/>
      <c r="BI607" s="54"/>
      <c r="BJ607" s="54"/>
      <c r="BK607" s="54"/>
      <c r="BL607" s="54"/>
    </row>
    <row r="608" spans="1:64" ht="11.25" customHeight="1" x14ac:dyDescent="0.3">
      <c r="A608" s="54"/>
      <c r="B608" s="54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4"/>
      <c r="AI608" s="54"/>
      <c r="AJ608" s="54"/>
      <c r="AK608" s="54"/>
      <c r="AL608" s="54"/>
      <c r="AM608" s="54"/>
      <c r="AN608" s="54"/>
      <c r="AO608" s="54"/>
      <c r="AP608" s="54"/>
      <c r="AQ608" s="54"/>
      <c r="AR608" s="54"/>
      <c r="AS608" s="54"/>
      <c r="AT608" s="54"/>
      <c r="AU608" s="54"/>
      <c r="AV608" s="54"/>
      <c r="AW608" s="54"/>
      <c r="AX608" s="54"/>
      <c r="AY608" s="54"/>
      <c r="AZ608" s="54"/>
      <c r="BA608" s="54"/>
      <c r="BB608" s="54"/>
      <c r="BC608" s="54"/>
      <c r="BD608" s="54"/>
      <c r="BE608" s="54"/>
      <c r="BF608" s="54"/>
      <c r="BG608" s="54"/>
      <c r="BH608" s="54"/>
      <c r="BI608" s="54"/>
      <c r="BJ608" s="54"/>
      <c r="BK608" s="54"/>
      <c r="BL608" s="54"/>
    </row>
    <row r="609" spans="1:64" ht="11.25" customHeight="1" x14ac:dyDescent="0.3">
      <c r="A609" s="54"/>
      <c r="B609" s="54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4"/>
      <c r="AI609" s="54"/>
      <c r="AJ609" s="54"/>
      <c r="AK609" s="54"/>
      <c r="AL609" s="54"/>
      <c r="AM609" s="54"/>
      <c r="AN609" s="54"/>
      <c r="AO609" s="54"/>
      <c r="AP609" s="54"/>
      <c r="AQ609" s="54"/>
      <c r="AR609" s="54"/>
      <c r="AS609" s="54"/>
      <c r="AT609" s="54"/>
      <c r="AU609" s="54"/>
      <c r="AV609" s="54"/>
      <c r="AW609" s="54"/>
      <c r="AX609" s="54"/>
      <c r="AY609" s="54"/>
      <c r="AZ609" s="54"/>
      <c r="BA609" s="54"/>
      <c r="BB609" s="54"/>
      <c r="BC609" s="54"/>
      <c r="BD609" s="54"/>
      <c r="BE609" s="54"/>
      <c r="BF609" s="54"/>
      <c r="BG609" s="54"/>
      <c r="BH609" s="54"/>
      <c r="BI609" s="54"/>
      <c r="BJ609" s="54"/>
      <c r="BK609" s="54"/>
      <c r="BL609" s="54"/>
    </row>
    <row r="610" spans="1:64" ht="11.25" customHeight="1" x14ac:dyDescent="0.3">
      <c r="A610" s="54"/>
      <c r="B610" s="54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4"/>
      <c r="AI610" s="54"/>
      <c r="AJ610" s="54"/>
      <c r="AK610" s="54"/>
      <c r="AL610" s="54"/>
      <c r="AM610" s="54"/>
      <c r="AN610" s="54"/>
      <c r="AO610" s="54"/>
      <c r="AP610" s="54"/>
      <c r="AQ610" s="54"/>
      <c r="AR610" s="54"/>
      <c r="AS610" s="54"/>
      <c r="AT610" s="54"/>
      <c r="AU610" s="54"/>
      <c r="AV610" s="54"/>
      <c r="AW610" s="54"/>
      <c r="AX610" s="54"/>
      <c r="AY610" s="54"/>
      <c r="AZ610" s="54"/>
      <c r="BA610" s="54"/>
      <c r="BB610" s="54"/>
      <c r="BC610" s="54"/>
      <c r="BD610" s="54"/>
      <c r="BE610" s="54"/>
      <c r="BF610" s="54"/>
      <c r="BG610" s="54"/>
      <c r="BH610" s="54"/>
      <c r="BI610" s="54"/>
      <c r="BJ610" s="54"/>
      <c r="BK610" s="54"/>
      <c r="BL610" s="54"/>
    </row>
    <row r="611" spans="1:64" ht="11.25" customHeight="1" x14ac:dyDescent="0.3">
      <c r="A611" s="54"/>
      <c r="B611" s="54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  <c r="AG611" s="54"/>
      <c r="AH611" s="54"/>
      <c r="AI611" s="54"/>
      <c r="AJ611" s="54"/>
      <c r="AK611" s="54"/>
      <c r="AL611" s="54"/>
      <c r="AM611" s="54"/>
      <c r="AN611" s="54"/>
      <c r="AO611" s="54"/>
      <c r="AP611" s="54"/>
      <c r="AQ611" s="54"/>
      <c r="AR611" s="54"/>
      <c r="AS611" s="54"/>
      <c r="AT611" s="54"/>
      <c r="AU611" s="54"/>
      <c r="AV611" s="54"/>
      <c r="AW611" s="54"/>
      <c r="AX611" s="54"/>
      <c r="AY611" s="54"/>
      <c r="AZ611" s="54"/>
      <c r="BA611" s="54"/>
      <c r="BB611" s="54"/>
      <c r="BC611" s="54"/>
      <c r="BD611" s="54"/>
      <c r="BE611" s="54"/>
      <c r="BF611" s="54"/>
      <c r="BG611" s="54"/>
      <c r="BH611" s="54"/>
      <c r="BI611" s="54"/>
      <c r="BJ611" s="54"/>
      <c r="BK611" s="54"/>
      <c r="BL611" s="54"/>
    </row>
    <row r="612" spans="1:64" ht="11.25" customHeight="1" x14ac:dyDescent="0.3">
      <c r="A612" s="54"/>
      <c r="B612" s="54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  <c r="AG612" s="54"/>
      <c r="AH612" s="54"/>
      <c r="AI612" s="54"/>
      <c r="AJ612" s="54"/>
      <c r="AK612" s="54"/>
      <c r="AL612" s="54"/>
      <c r="AM612" s="54"/>
      <c r="AN612" s="54"/>
      <c r="AO612" s="54"/>
      <c r="AP612" s="54"/>
      <c r="AQ612" s="54"/>
      <c r="AR612" s="54"/>
      <c r="AS612" s="54"/>
      <c r="AT612" s="54"/>
      <c r="AU612" s="54"/>
      <c r="AV612" s="54"/>
      <c r="AW612" s="54"/>
      <c r="AX612" s="54"/>
      <c r="AY612" s="54"/>
      <c r="AZ612" s="54"/>
      <c r="BA612" s="54"/>
      <c r="BB612" s="54"/>
      <c r="BC612" s="54"/>
      <c r="BD612" s="54"/>
      <c r="BE612" s="54"/>
      <c r="BF612" s="54"/>
      <c r="BG612" s="54"/>
      <c r="BH612" s="54"/>
      <c r="BI612" s="54"/>
      <c r="BJ612" s="54"/>
      <c r="BK612" s="54"/>
      <c r="BL612" s="54"/>
    </row>
    <row r="613" spans="1:64" ht="11.25" customHeight="1" x14ac:dyDescent="0.3">
      <c r="A613" s="54"/>
      <c r="B613" s="54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4"/>
      <c r="AI613" s="54"/>
      <c r="AJ613" s="54"/>
      <c r="AK613" s="54"/>
      <c r="AL613" s="54"/>
      <c r="AM613" s="54"/>
      <c r="AN613" s="54"/>
      <c r="AO613" s="54"/>
      <c r="AP613" s="54"/>
      <c r="AQ613" s="54"/>
      <c r="AR613" s="54"/>
      <c r="AS613" s="54"/>
      <c r="AT613" s="54"/>
      <c r="AU613" s="54"/>
      <c r="AV613" s="54"/>
      <c r="AW613" s="54"/>
      <c r="AX613" s="54"/>
      <c r="AY613" s="54"/>
      <c r="AZ613" s="54"/>
      <c r="BA613" s="54"/>
      <c r="BB613" s="54"/>
      <c r="BC613" s="54"/>
      <c r="BD613" s="54"/>
      <c r="BE613" s="54"/>
      <c r="BF613" s="54"/>
      <c r="BG613" s="54"/>
      <c r="BH613" s="54"/>
      <c r="BI613" s="54"/>
      <c r="BJ613" s="54"/>
      <c r="BK613" s="54"/>
      <c r="BL613" s="54"/>
    </row>
    <row r="614" spans="1:64" ht="11.25" customHeight="1" x14ac:dyDescent="0.3">
      <c r="A614" s="54"/>
      <c r="B614" s="54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4"/>
      <c r="AI614" s="54"/>
      <c r="AJ614" s="54"/>
      <c r="AK614" s="54"/>
      <c r="AL614" s="54"/>
      <c r="AM614" s="54"/>
      <c r="AN614" s="54"/>
      <c r="AO614" s="54"/>
      <c r="AP614" s="54"/>
      <c r="AQ614" s="54"/>
      <c r="AR614" s="54"/>
      <c r="AS614" s="54"/>
      <c r="AT614" s="54"/>
      <c r="AU614" s="54"/>
      <c r="AV614" s="54"/>
      <c r="AW614" s="54"/>
      <c r="AX614" s="54"/>
      <c r="AY614" s="54"/>
      <c r="AZ614" s="54"/>
      <c r="BA614" s="54"/>
      <c r="BB614" s="54"/>
      <c r="BC614" s="54"/>
      <c r="BD614" s="54"/>
      <c r="BE614" s="54"/>
      <c r="BF614" s="54"/>
      <c r="BG614" s="54"/>
      <c r="BH614" s="54"/>
      <c r="BI614" s="54"/>
      <c r="BJ614" s="54"/>
      <c r="BK614" s="54"/>
      <c r="BL614" s="54"/>
    </row>
    <row r="615" spans="1:64" ht="11.25" customHeight="1" x14ac:dyDescent="0.3">
      <c r="A615" s="54"/>
      <c r="B615" s="54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4"/>
      <c r="AI615" s="54"/>
      <c r="AJ615" s="54"/>
      <c r="AK615" s="54"/>
      <c r="AL615" s="54"/>
      <c r="AM615" s="54"/>
      <c r="AN615" s="54"/>
      <c r="AO615" s="54"/>
      <c r="AP615" s="54"/>
      <c r="AQ615" s="54"/>
      <c r="AR615" s="54"/>
      <c r="AS615" s="54"/>
      <c r="AT615" s="54"/>
      <c r="AU615" s="54"/>
      <c r="AV615" s="54"/>
      <c r="AW615" s="54"/>
      <c r="AX615" s="54"/>
      <c r="AY615" s="54"/>
      <c r="AZ615" s="54"/>
      <c r="BA615" s="54"/>
      <c r="BB615" s="54"/>
      <c r="BC615" s="54"/>
      <c r="BD615" s="54"/>
      <c r="BE615" s="54"/>
      <c r="BF615" s="54"/>
      <c r="BG615" s="54"/>
      <c r="BH615" s="54"/>
      <c r="BI615" s="54"/>
      <c r="BJ615" s="54"/>
      <c r="BK615" s="54"/>
      <c r="BL615" s="54"/>
    </row>
    <row r="616" spans="1:64" ht="11.25" customHeight="1" x14ac:dyDescent="0.3">
      <c r="A616" s="54"/>
      <c r="B616" s="54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4"/>
      <c r="AI616" s="54"/>
      <c r="AJ616" s="54"/>
      <c r="AK616" s="54"/>
      <c r="AL616" s="54"/>
      <c r="AM616" s="54"/>
      <c r="AN616" s="54"/>
      <c r="AO616" s="54"/>
      <c r="AP616" s="54"/>
      <c r="AQ616" s="54"/>
      <c r="AR616" s="54"/>
      <c r="AS616" s="54"/>
      <c r="AT616" s="54"/>
      <c r="AU616" s="54"/>
      <c r="AV616" s="54"/>
      <c r="AW616" s="54"/>
      <c r="AX616" s="54"/>
      <c r="AY616" s="54"/>
      <c r="AZ616" s="54"/>
      <c r="BA616" s="54"/>
      <c r="BB616" s="54"/>
      <c r="BC616" s="54"/>
      <c r="BD616" s="54"/>
      <c r="BE616" s="54"/>
      <c r="BF616" s="54"/>
      <c r="BG616" s="54"/>
      <c r="BH616" s="54"/>
      <c r="BI616" s="54"/>
      <c r="BJ616" s="54"/>
      <c r="BK616" s="54"/>
      <c r="BL616" s="54"/>
    </row>
    <row r="617" spans="1:64" ht="11.25" customHeight="1" x14ac:dyDescent="0.3">
      <c r="A617" s="54"/>
      <c r="B617" s="54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4"/>
      <c r="AI617" s="54"/>
      <c r="AJ617" s="54"/>
      <c r="AK617" s="54"/>
      <c r="AL617" s="54"/>
      <c r="AM617" s="54"/>
      <c r="AN617" s="54"/>
      <c r="AO617" s="54"/>
      <c r="AP617" s="54"/>
      <c r="AQ617" s="54"/>
      <c r="AR617" s="54"/>
      <c r="AS617" s="54"/>
      <c r="AT617" s="54"/>
      <c r="AU617" s="54"/>
      <c r="AV617" s="54"/>
      <c r="AW617" s="54"/>
      <c r="AX617" s="54"/>
      <c r="AY617" s="54"/>
      <c r="AZ617" s="54"/>
      <c r="BA617" s="54"/>
      <c r="BB617" s="54"/>
      <c r="BC617" s="54"/>
      <c r="BD617" s="54"/>
      <c r="BE617" s="54"/>
      <c r="BF617" s="54"/>
      <c r="BG617" s="54"/>
      <c r="BH617" s="54"/>
      <c r="BI617" s="54"/>
      <c r="BJ617" s="54"/>
      <c r="BK617" s="54"/>
      <c r="BL617" s="54"/>
    </row>
    <row r="618" spans="1:64" ht="11.25" customHeight="1" x14ac:dyDescent="0.3">
      <c r="A618" s="54"/>
      <c r="B618" s="54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4"/>
      <c r="AI618" s="54"/>
      <c r="AJ618" s="54"/>
      <c r="AK618" s="54"/>
      <c r="AL618" s="54"/>
      <c r="AM618" s="54"/>
      <c r="AN618" s="54"/>
      <c r="AO618" s="54"/>
      <c r="AP618" s="54"/>
      <c r="AQ618" s="54"/>
      <c r="AR618" s="54"/>
      <c r="AS618" s="54"/>
      <c r="AT618" s="54"/>
      <c r="AU618" s="54"/>
      <c r="AV618" s="54"/>
      <c r="AW618" s="54"/>
      <c r="AX618" s="54"/>
      <c r="AY618" s="54"/>
      <c r="AZ618" s="54"/>
      <c r="BA618" s="54"/>
      <c r="BB618" s="54"/>
      <c r="BC618" s="54"/>
      <c r="BD618" s="54"/>
      <c r="BE618" s="54"/>
      <c r="BF618" s="54"/>
      <c r="BG618" s="54"/>
      <c r="BH618" s="54"/>
      <c r="BI618" s="54"/>
      <c r="BJ618" s="54"/>
      <c r="BK618" s="54"/>
      <c r="BL618" s="54"/>
    </row>
    <row r="619" spans="1:64" ht="11.25" customHeight="1" x14ac:dyDescent="0.3">
      <c r="A619" s="54"/>
      <c r="B619" s="54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4"/>
      <c r="AI619" s="54"/>
      <c r="AJ619" s="54"/>
      <c r="AK619" s="54"/>
      <c r="AL619" s="54"/>
      <c r="AM619" s="54"/>
      <c r="AN619" s="54"/>
      <c r="AO619" s="54"/>
      <c r="AP619" s="54"/>
      <c r="AQ619" s="54"/>
      <c r="AR619" s="54"/>
      <c r="AS619" s="54"/>
      <c r="AT619" s="54"/>
      <c r="AU619" s="54"/>
      <c r="AV619" s="54"/>
      <c r="AW619" s="54"/>
      <c r="AX619" s="54"/>
      <c r="AY619" s="54"/>
      <c r="AZ619" s="54"/>
      <c r="BA619" s="54"/>
      <c r="BB619" s="54"/>
      <c r="BC619" s="54"/>
      <c r="BD619" s="54"/>
      <c r="BE619" s="54"/>
      <c r="BF619" s="54"/>
      <c r="BG619" s="54"/>
      <c r="BH619" s="54"/>
      <c r="BI619" s="54"/>
      <c r="BJ619" s="54"/>
      <c r="BK619" s="54"/>
      <c r="BL619" s="54"/>
    </row>
    <row r="620" spans="1:64" ht="11.25" customHeight="1" x14ac:dyDescent="0.3">
      <c r="A620" s="54"/>
      <c r="B620" s="54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4"/>
      <c r="AI620" s="54"/>
      <c r="AJ620" s="54"/>
      <c r="AK620" s="54"/>
      <c r="AL620" s="54"/>
      <c r="AM620" s="54"/>
      <c r="AN620" s="54"/>
      <c r="AO620" s="54"/>
      <c r="AP620" s="54"/>
      <c r="AQ620" s="54"/>
      <c r="AR620" s="54"/>
      <c r="AS620" s="54"/>
      <c r="AT620" s="54"/>
      <c r="AU620" s="54"/>
      <c r="AV620" s="54"/>
      <c r="AW620" s="54"/>
      <c r="AX620" s="54"/>
      <c r="AY620" s="54"/>
      <c r="AZ620" s="54"/>
      <c r="BA620" s="54"/>
      <c r="BB620" s="54"/>
      <c r="BC620" s="54"/>
      <c r="BD620" s="54"/>
      <c r="BE620" s="54"/>
      <c r="BF620" s="54"/>
      <c r="BG620" s="54"/>
      <c r="BH620" s="54"/>
      <c r="BI620" s="54"/>
      <c r="BJ620" s="54"/>
      <c r="BK620" s="54"/>
      <c r="BL620" s="54"/>
    </row>
    <row r="621" spans="1:64" ht="11.25" customHeight="1" x14ac:dyDescent="0.3">
      <c r="A621" s="54"/>
      <c r="B621" s="54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4"/>
      <c r="AI621" s="54"/>
      <c r="AJ621" s="54"/>
      <c r="AK621" s="54"/>
      <c r="AL621" s="54"/>
      <c r="AM621" s="54"/>
      <c r="AN621" s="54"/>
      <c r="AO621" s="54"/>
      <c r="AP621" s="54"/>
      <c r="AQ621" s="54"/>
      <c r="AR621" s="54"/>
      <c r="AS621" s="54"/>
      <c r="AT621" s="54"/>
      <c r="AU621" s="54"/>
      <c r="AV621" s="54"/>
      <c r="AW621" s="54"/>
      <c r="AX621" s="54"/>
      <c r="AY621" s="54"/>
      <c r="AZ621" s="54"/>
      <c r="BA621" s="54"/>
      <c r="BB621" s="54"/>
      <c r="BC621" s="54"/>
      <c r="BD621" s="54"/>
      <c r="BE621" s="54"/>
      <c r="BF621" s="54"/>
      <c r="BG621" s="54"/>
      <c r="BH621" s="54"/>
      <c r="BI621" s="54"/>
      <c r="BJ621" s="54"/>
      <c r="BK621" s="54"/>
      <c r="BL621" s="54"/>
    </row>
    <row r="622" spans="1:64" ht="11.25" customHeight="1" x14ac:dyDescent="0.3">
      <c r="A622" s="54"/>
      <c r="B622" s="54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4"/>
      <c r="AI622" s="54"/>
      <c r="AJ622" s="54"/>
      <c r="AK622" s="54"/>
      <c r="AL622" s="54"/>
      <c r="AM622" s="54"/>
      <c r="AN622" s="54"/>
      <c r="AO622" s="54"/>
      <c r="AP622" s="54"/>
      <c r="AQ622" s="54"/>
      <c r="AR622" s="54"/>
      <c r="AS622" s="54"/>
      <c r="AT622" s="54"/>
      <c r="AU622" s="54"/>
      <c r="AV622" s="54"/>
      <c r="AW622" s="54"/>
      <c r="AX622" s="54"/>
      <c r="AY622" s="54"/>
      <c r="AZ622" s="54"/>
      <c r="BA622" s="54"/>
      <c r="BB622" s="54"/>
      <c r="BC622" s="54"/>
      <c r="BD622" s="54"/>
      <c r="BE622" s="54"/>
      <c r="BF622" s="54"/>
      <c r="BG622" s="54"/>
      <c r="BH622" s="54"/>
      <c r="BI622" s="54"/>
      <c r="BJ622" s="54"/>
      <c r="BK622" s="54"/>
      <c r="BL622" s="54"/>
    </row>
    <row r="623" spans="1:64" ht="11.25" customHeight="1" x14ac:dyDescent="0.3">
      <c r="A623" s="54"/>
      <c r="B623" s="54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4"/>
      <c r="AI623" s="54"/>
      <c r="AJ623" s="54"/>
      <c r="AK623" s="54"/>
      <c r="AL623" s="54"/>
      <c r="AM623" s="54"/>
      <c r="AN623" s="54"/>
      <c r="AO623" s="54"/>
      <c r="AP623" s="54"/>
      <c r="AQ623" s="54"/>
      <c r="AR623" s="54"/>
      <c r="AS623" s="54"/>
      <c r="AT623" s="54"/>
      <c r="AU623" s="54"/>
      <c r="AV623" s="54"/>
      <c r="AW623" s="54"/>
      <c r="AX623" s="54"/>
      <c r="AY623" s="54"/>
      <c r="AZ623" s="54"/>
      <c r="BA623" s="54"/>
      <c r="BB623" s="54"/>
      <c r="BC623" s="54"/>
      <c r="BD623" s="54"/>
      <c r="BE623" s="54"/>
      <c r="BF623" s="54"/>
      <c r="BG623" s="54"/>
      <c r="BH623" s="54"/>
      <c r="BI623" s="54"/>
      <c r="BJ623" s="54"/>
      <c r="BK623" s="54"/>
      <c r="BL623" s="54"/>
    </row>
    <row r="624" spans="1:64" ht="11.25" customHeight="1" x14ac:dyDescent="0.3">
      <c r="A624" s="54"/>
      <c r="B624" s="54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4"/>
      <c r="AI624" s="54"/>
      <c r="AJ624" s="54"/>
      <c r="AK624" s="54"/>
      <c r="AL624" s="54"/>
      <c r="AM624" s="54"/>
      <c r="AN624" s="54"/>
      <c r="AO624" s="54"/>
      <c r="AP624" s="54"/>
      <c r="AQ624" s="54"/>
      <c r="AR624" s="54"/>
      <c r="AS624" s="54"/>
      <c r="AT624" s="54"/>
      <c r="AU624" s="54"/>
      <c r="AV624" s="54"/>
      <c r="AW624" s="54"/>
      <c r="AX624" s="54"/>
      <c r="AY624" s="54"/>
      <c r="AZ624" s="54"/>
      <c r="BA624" s="54"/>
      <c r="BB624" s="54"/>
      <c r="BC624" s="54"/>
      <c r="BD624" s="54"/>
      <c r="BE624" s="54"/>
      <c r="BF624" s="54"/>
      <c r="BG624" s="54"/>
      <c r="BH624" s="54"/>
      <c r="BI624" s="54"/>
      <c r="BJ624" s="54"/>
      <c r="BK624" s="54"/>
      <c r="BL624" s="54"/>
    </row>
    <row r="625" spans="1:64" ht="11.25" customHeight="1" x14ac:dyDescent="0.3">
      <c r="A625" s="54"/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4"/>
      <c r="AI625" s="54"/>
      <c r="AJ625" s="54"/>
      <c r="AK625" s="54"/>
      <c r="AL625" s="54"/>
      <c r="AM625" s="54"/>
      <c r="AN625" s="54"/>
      <c r="AO625" s="54"/>
      <c r="AP625" s="54"/>
      <c r="AQ625" s="54"/>
      <c r="AR625" s="54"/>
      <c r="AS625" s="54"/>
      <c r="AT625" s="54"/>
      <c r="AU625" s="54"/>
      <c r="AV625" s="54"/>
      <c r="AW625" s="54"/>
      <c r="AX625" s="54"/>
      <c r="AY625" s="54"/>
      <c r="AZ625" s="54"/>
      <c r="BA625" s="54"/>
      <c r="BB625" s="54"/>
      <c r="BC625" s="54"/>
      <c r="BD625" s="54"/>
      <c r="BE625" s="54"/>
      <c r="BF625" s="54"/>
      <c r="BG625" s="54"/>
      <c r="BH625" s="54"/>
      <c r="BI625" s="54"/>
      <c r="BJ625" s="54"/>
      <c r="BK625" s="54"/>
      <c r="BL625" s="54"/>
    </row>
    <row r="626" spans="1:64" ht="11.25" customHeight="1" x14ac:dyDescent="0.3">
      <c r="A626" s="54"/>
      <c r="B626" s="54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4"/>
      <c r="AI626" s="54"/>
      <c r="AJ626" s="54"/>
      <c r="AK626" s="54"/>
      <c r="AL626" s="54"/>
      <c r="AM626" s="54"/>
      <c r="AN626" s="54"/>
      <c r="AO626" s="54"/>
      <c r="AP626" s="54"/>
      <c r="AQ626" s="54"/>
      <c r="AR626" s="54"/>
      <c r="AS626" s="54"/>
      <c r="AT626" s="54"/>
      <c r="AU626" s="54"/>
      <c r="AV626" s="54"/>
      <c r="AW626" s="54"/>
      <c r="AX626" s="54"/>
      <c r="AY626" s="54"/>
      <c r="AZ626" s="54"/>
      <c r="BA626" s="54"/>
      <c r="BB626" s="54"/>
      <c r="BC626" s="54"/>
      <c r="BD626" s="54"/>
      <c r="BE626" s="54"/>
      <c r="BF626" s="54"/>
      <c r="BG626" s="54"/>
      <c r="BH626" s="54"/>
      <c r="BI626" s="54"/>
      <c r="BJ626" s="54"/>
      <c r="BK626" s="54"/>
      <c r="BL626" s="54"/>
    </row>
    <row r="627" spans="1:64" ht="11.25" customHeight="1" x14ac:dyDescent="0.3">
      <c r="A627" s="54"/>
      <c r="B627" s="54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  <c r="AG627" s="54"/>
      <c r="AH627" s="54"/>
      <c r="AI627" s="54"/>
      <c r="AJ627" s="54"/>
      <c r="AK627" s="54"/>
      <c r="AL627" s="54"/>
      <c r="AM627" s="54"/>
      <c r="AN627" s="54"/>
      <c r="AO627" s="54"/>
      <c r="AP627" s="54"/>
      <c r="AQ627" s="54"/>
      <c r="AR627" s="54"/>
      <c r="AS627" s="54"/>
      <c r="AT627" s="54"/>
      <c r="AU627" s="54"/>
      <c r="AV627" s="54"/>
      <c r="AW627" s="54"/>
      <c r="AX627" s="54"/>
      <c r="AY627" s="54"/>
      <c r="AZ627" s="54"/>
      <c r="BA627" s="54"/>
      <c r="BB627" s="54"/>
      <c r="BC627" s="54"/>
      <c r="BD627" s="54"/>
      <c r="BE627" s="54"/>
      <c r="BF627" s="54"/>
      <c r="BG627" s="54"/>
      <c r="BH627" s="54"/>
      <c r="BI627" s="54"/>
      <c r="BJ627" s="54"/>
      <c r="BK627" s="54"/>
      <c r="BL627" s="54"/>
    </row>
    <row r="628" spans="1:64" ht="11.25" customHeight="1" x14ac:dyDescent="0.3">
      <c r="A628" s="54"/>
      <c r="B628" s="54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  <c r="AG628" s="54"/>
      <c r="AH628" s="54"/>
      <c r="AI628" s="54"/>
      <c r="AJ628" s="54"/>
      <c r="AK628" s="54"/>
      <c r="AL628" s="54"/>
      <c r="AM628" s="54"/>
      <c r="AN628" s="54"/>
      <c r="AO628" s="54"/>
      <c r="AP628" s="54"/>
      <c r="AQ628" s="54"/>
      <c r="AR628" s="54"/>
      <c r="AS628" s="54"/>
      <c r="AT628" s="54"/>
      <c r="AU628" s="54"/>
      <c r="AV628" s="54"/>
      <c r="AW628" s="54"/>
      <c r="AX628" s="54"/>
      <c r="AY628" s="54"/>
      <c r="AZ628" s="54"/>
      <c r="BA628" s="54"/>
      <c r="BB628" s="54"/>
      <c r="BC628" s="54"/>
      <c r="BD628" s="54"/>
      <c r="BE628" s="54"/>
      <c r="BF628" s="54"/>
      <c r="BG628" s="54"/>
      <c r="BH628" s="54"/>
      <c r="BI628" s="54"/>
      <c r="BJ628" s="54"/>
      <c r="BK628" s="54"/>
      <c r="BL628" s="54"/>
    </row>
    <row r="629" spans="1:64" ht="11.25" customHeight="1" x14ac:dyDescent="0.3">
      <c r="A629" s="54"/>
      <c r="B629" s="54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4"/>
      <c r="AI629" s="54"/>
      <c r="AJ629" s="54"/>
      <c r="AK629" s="54"/>
      <c r="AL629" s="54"/>
      <c r="AM629" s="54"/>
      <c r="AN629" s="54"/>
      <c r="AO629" s="54"/>
      <c r="AP629" s="54"/>
      <c r="AQ629" s="54"/>
      <c r="AR629" s="54"/>
      <c r="AS629" s="54"/>
      <c r="AT629" s="54"/>
      <c r="AU629" s="54"/>
      <c r="AV629" s="54"/>
      <c r="AW629" s="54"/>
      <c r="AX629" s="54"/>
      <c r="AY629" s="54"/>
      <c r="AZ629" s="54"/>
      <c r="BA629" s="54"/>
      <c r="BB629" s="54"/>
      <c r="BC629" s="54"/>
      <c r="BD629" s="54"/>
      <c r="BE629" s="54"/>
      <c r="BF629" s="54"/>
      <c r="BG629" s="54"/>
      <c r="BH629" s="54"/>
      <c r="BI629" s="54"/>
      <c r="BJ629" s="54"/>
      <c r="BK629" s="54"/>
      <c r="BL629" s="54"/>
    </row>
    <row r="630" spans="1:64" ht="11.25" customHeight="1" x14ac:dyDescent="0.3">
      <c r="A630" s="54"/>
      <c r="B630" s="54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4"/>
      <c r="AI630" s="54"/>
      <c r="AJ630" s="54"/>
      <c r="AK630" s="54"/>
      <c r="AL630" s="54"/>
      <c r="AM630" s="54"/>
      <c r="AN630" s="54"/>
      <c r="AO630" s="54"/>
      <c r="AP630" s="54"/>
      <c r="AQ630" s="54"/>
      <c r="AR630" s="54"/>
      <c r="AS630" s="54"/>
      <c r="AT630" s="54"/>
      <c r="AU630" s="54"/>
      <c r="AV630" s="54"/>
      <c r="AW630" s="54"/>
      <c r="AX630" s="54"/>
      <c r="AY630" s="54"/>
      <c r="AZ630" s="54"/>
      <c r="BA630" s="54"/>
      <c r="BB630" s="54"/>
      <c r="BC630" s="54"/>
      <c r="BD630" s="54"/>
      <c r="BE630" s="54"/>
      <c r="BF630" s="54"/>
      <c r="BG630" s="54"/>
      <c r="BH630" s="54"/>
      <c r="BI630" s="54"/>
      <c r="BJ630" s="54"/>
      <c r="BK630" s="54"/>
      <c r="BL630" s="54"/>
    </row>
    <row r="631" spans="1:64" ht="11.25" customHeight="1" x14ac:dyDescent="0.3">
      <c r="A631" s="54"/>
      <c r="B631" s="54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4"/>
      <c r="AI631" s="54"/>
      <c r="AJ631" s="54"/>
      <c r="AK631" s="54"/>
      <c r="AL631" s="54"/>
      <c r="AM631" s="54"/>
      <c r="AN631" s="54"/>
      <c r="AO631" s="54"/>
      <c r="AP631" s="54"/>
      <c r="AQ631" s="54"/>
      <c r="AR631" s="54"/>
      <c r="AS631" s="54"/>
      <c r="AT631" s="54"/>
      <c r="AU631" s="54"/>
      <c r="AV631" s="54"/>
      <c r="AW631" s="54"/>
      <c r="AX631" s="54"/>
      <c r="AY631" s="54"/>
      <c r="AZ631" s="54"/>
      <c r="BA631" s="54"/>
      <c r="BB631" s="54"/>
      <c r="BC631" s="54"/>
      <c r="BD631" s="54"/>
      <c r="BE631" s="54"/>
      <c r="BF631" s="54"/>
      <c r="BG631" s="54"/>
      <c r="BH631" s="54"/>
      <c r="BI631" s="54"/>
      <c r="BJ631" s="54"/>
      <c r="BK631" s="54"/>
      <c r="BL631" s="54"/>
    </row>
    <row r="632" spans="1:64" ht="11.25" customHeight="1" x14ac:dyDescent="0.3">
      <c r="A632" s="54"/>
      <c r="B632" s="54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4"/>
      <c r="AI632" s="54"/>
      <c r="AJ632" s="54"/>
      <c r="AK632" s="54"/>
      <c r="AL632" s="54"/>
      <c r="AM632" s="54"/>
      <c r="AN632" s="54"/>
      <c r="AO632" s="54"/>
      <c r="AP632" s="54"/>
      <c r="AQ632" s="54"/>
      <c r="AR632" s="54"/>
      <c r="AS632" s="54"/>
      <c r="AT632" s="54"/>
      <c r="AU632" s="54"/>
      <c r="AV632" s="54"/>
      <c r="AW632" s="54"/>
      <c r="AX632" s="54"/>
      <c r="AY632" s="54"/>
      <c r="AZ632" s="54"/>
      <c r="BA632" s="54"/>
      <c r="BB632" s="54"/>
      <c r="BC632" s="54"/>
      <c r="BD632" s="54"/>
      <c r="BE632" s="54"/>
      <c r="BF632" s="54"/>
      <c r="BG632" s="54"/>
      <c r="BH632" s="54"/>
      <c r="BI632" s="54"/>
      <c r="BJ632" s="54"/>
      <c r="BK632" s="54"/>
      <c r="BL632" s="54"/>
    </row>
    <row r="633" spans="1:64" ht="11.25" customHeight="1" x14ac:dyDescent="0.3">
      <c r="A633" s="54"/>
      <c r="B633" s="54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4"/>
      <c r="AI633" s="54"/>
      <c r="AJ633" s="54"/>
      <c r="AK633" s="54"/>
      <c r="AL633" s="54"/>
      <c r="AM633" s="54"/>
      <c r="AN633" s="54"/>
      <c r="AO633" s="54"/>
      <c r="AP633" s="54"/>
      <c r="AQ633" s="54"/>
      <c r="AR633" s="54"/>
      <c r="AS633" s="54"/>
      <c r="AT633" s="54"/>
      <c r="AU633" s="54"/>
      <c r="AV633" s="54"/>
      <c r="AW633" s="54"/>
      <c r="AX633" s="54"/>
      <c r="AY633" s="54"/>
      <c r="AZ633" s="54"/>
      <c r="BA633" s="54"/>
      <c r="BB633" s="54"/>
      <c r="BC633" s="54"/>
      <c r="BD633" s="54"/>
      <c r="BE633" s="54"/>
      <c r="BF633" s="54"/>
      <c r="BG633" s="54"/>
      <c r="BH633" s="54"/>
      <c r="BI633" s="54"/>
      <c r="BJ633" s="54"/>
      <c r="BK633" s="54"/>
      <c r="BL633" s="54"/>
    </row>
    <row r="634" spans="1:64" ht="11.25" customHeight="1" x14ac:dyDescent="0.3">
      <c r="A634" s="54"/>
      <c r="B634" s="54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4"/>
      <c r="AI634" s="54"/>
      <c r="AJ634" s="54"/>
      <c r="AK634" s="54"/>
      <c r="AL634" s="54"/>
      <c r="AM634" s="54"/>
      <c r="AN634" s="54"/>
      <c r="AO634" s="54"/>
      <c r="AP634" s="54"/>
      <c r="AQ634" s="54"/>
      <c r="AR634" s="54"/>
      <c r="AS634" s="54"/>
      <c r="AT634" s="54"/>
      <c r="AU634" s="54"/>
      <c r="AV634" s="54"/>
      <c r="AW634" s="54"/>
      <c r="AX634" s="54"/>
      <c r="AY634" s="54"/>
      <c r="AZ634" s="54"/>
      <c r="BA634" s="54"/>
      <c r="BB634" s="54"/>
      <c r="BC634" s="54"/>
      <c r="BD634" s="54"/>
      <c r="BE634" s="54"/>
      <c r="BF634" s="54"/>
      <c r="BG634" s="54"/>
      <c r="BH634" s="54"/>
      <c r="BI634" s="54"/>
      <c r="BJ634" s="54"/>
      <c r="BK634" s="54"/>
      <c r="BL634" s="54"/>
    </row>
    <row r="635" spans="1:64" ht="11.25" customHeight="1" x14ac:dyDescent="0.3">
      <c r="A635" s="54"/>
      <c r="B635" s="54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4"/>
      <c r="AI635" s="54"/>
      <c r="AJ635" s="54"/>
      <c r="AK635" s="54"/>
      <c r="AL635" s="54"/>
      <c r="AM635" s="54"/>
      <c r="AN635" s="54"/>
      <c r="AO635" s="54"/>
      <c r="AP635" s="54"/>
      <c r="AQ635" s="54"/>
      <c r="AR635" s="54"/>
      <c r="AS635" s="54"/>
      <c r="AT635" s="54"/>
      <c r="AU635" s="54"/>
      <c r="AV635" s="54"/>
      <c r="AW635" s="54"/>
      <c r="AX635" s="54"/>
      <c r="AY635" s="54"/>
      <c r="AZ635" s="54"/>
      <c r="BA635" s="54"/>
      <c r="BB635" s="54"/>
      <c r="BC635" s="54"/>
      <c r="BD635" s="54"/>
      <c r="BE635" s="54"/>
      <c r="BF635" s="54"/>
      <c r="BG635" s="54"/>
      <c r="BH635" s="54"/>
      <c r="BI635" s="54"/>
      <c r="BJ635" s="54"/>
      <c r="BK635" s="54"/>
      <c r="BL635" s="54"/>
    </row>
    <row r="636" spans="1:64" ht="11.25" customHeight="1" x14ac:dyDescent="0.3">
      <c r="A636" s="54"/>
      <c r="B636" s="54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4"/>
      <c r="AI636" s="54"/>
      <c r="AJ636" s="54"/>
      <c r="AK636" s="54"/>
      <c r="AL636" s="54"/>
      <c r="AM636" s="54"/>
      <c r="AN636" s="54"/>
      <c r="AO636" s="54"/>
      <c r="AP636" s="54"/>
      <c r="AQ636" s="54"/>
      <c r="AR636" s="54"/>
      <c r="AS636" s="54"/>
      <c r="AT636" s="54"/>
      <c r="AU636" s="54"/>
      <c r="AV636" s="54"/>
      <c r="AW636" s="54"/>
      <c r="AX636" s="54"/>
      <c r="AY636" s="54"/>
      <c r="AZ636" s="54"/>
      <c r="BA636" s="54"/>
      <c r="BB636" s="54"/>
      <c r="BC636" s="54"/>
      <c r="BD636" s="54"/>
      <c r="BE636" s="54"/>
      <c r="BF636" s="54"/>
      <c r="BG636" s="54"/>
      <c r="BH636" s="54"/>
      <c r="BI636" s="54"/>
      <c r="BJ636" s="54"/>
      <c r="BK636" s="54"/>
      <c r="BL636" s="54"/>
    </row>
    <row r="637" spans="1:64" ht="11.25" customHeight="1" x14ac:dyDescent="0.3">
      <c r="A637" s="54"/>
      <c r="B637" s="54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4"/>
      <c r="AI637" s="54"/>
      <c r="AJ637" s="54"/>
      <c r="AK637" s="54"/>
      <c r="AL637" s="54"/>
      <c r="AM637" s="54"/>
      <c r="AN637" s="54"/>
      <c r="AO637" s="54"/>
      <c r="AP637" s="54"/>
      <c r="AQ637" s="54"/>
      <c r="AR637" s="54"/>
      <c r="AS637" s="54"/>
      <c r="AT637" s="54"/>
      <c r="AU637" s="54"/>
      <c r="AV637" s="54"/>
      <c r="AW637" s="54"/>
      <c r="AX637" s="54"/>
      <c r="AY637" s="54"/>
      <c r="AZ637" s="54"/>
      <c r="BA637" s="54"/>
      <c r="BB637" s="54"/>
      <c r="BC637" s="54"/>
      <c r="BD637" s="54"/>
      <c r="BE637" s="54"/>
      <c r="BF637" s="54"/>
      <c r="BG637" s="54"/>
      <c r="BH637" s="54"/>
      <c r="BI637" s="54"/>
      <c r="BJ637" s="54"/>
      <c r="BK637" s="54"/>
      <c r="BL637" s="54"/>
    </row>
    <row r="638" spans="1:64" ht="11.25" customHeight="1" x14ac:dyDescent="0.3">
      <c r="A638" s="54"/>
      <c r="B638" s="54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4"/>
      <c r="AI638" s="54"/>
      <c r="AJ638" s="54"/>
      <c r="AK638" s="54"/>
      <c r="AL638" s="54"/>
      <c r="AM638" s="54"/>
      <c r="AN638" s="54"/>
      <c r="AO638" s="54"/>
      <c r="AP638" s="54"/>
      <c r="AQ638" s="54"/>
      <c r="AR638" s="54"/>
      <c r="AS638" s="54"/>
      <c r="AT638" s="54"/>
      <c r="AU638" s="54"/>
      <c r="AV638" s="54"/>
      <c r="AW638" s="54"/>
      <c r="AX638" s="54"/>
      <c r="AY638" s="54"/>
      <c r="AZ638" s="54"/>
      <c r="BA638" s="54"/>
      <c r="BB638" s="54"/>
      <c r="BC638" s="54"/>
      <c r="BD638" s="54"/>
      <c r="BE638" s="54"/>
      <c r="BF638" s="54"/>
      <c r="BG638" s="54"/>
      <c r="BH638" s="54"/>
      <c r="BI638" s="54"/>
      <c r="BJ638" s="54"/>
      <c r="BK638" s="54"/>
      <c r="BL638" s="54"/>
    </row>
    <row r="639" spans="1:64" ht="11.25" customHeight="1" x14ac:dyDescent="0.3">
      <c r="A639" s="54"/>
      <c r="B639" s="54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4"/>
      <c r="AI639" s="54"/>
      <c r="AJ639" s="54"/>
      <c r="AK639" s="54"/>
      <c r="AL639" s="54"/>
      <c r="AM639" s="54"/>
      <c r="AN639" s="54"/>
      <c r="AO639" s="54"/>
      <c r="AP639" s="54"/>
      <c r="AQ639" s="54"/>
      <c r="AR639" s="54"/>
      <c r="AS639" s="54"/>
      <c r="AT639" s="54"/>
      <c r="AU639" s="54"/>
      <c r="AV639" s="54"/>
      <c r="AW639" s="54"/>
      <c r="AX639" s="54"/>
      <c r="AY639" s="54"/>
      <c r="AZ639" s="54"/>
      <c r="BA639" s="54"/>
      <c r="BB639" s="54"/>
      <c r="BC639" s="54"/>
      <c r="BD639" s="54"/>
      <c r="BE639" s="54"/>
      <c r="BF639" s="54"/>
      <c r="BG639" s="54"/>
      <c r="BH639" s="54"/>
      <c r="BI639" s="54"/>
      <c r="BJ639" s="54"/>
      <c r="BK639" s="54"/>
      <c r="BL639" s="54"/>
    </row>
    <row r="640" spans="1:64" ht="11.25" customHeight="1" x14ac:dyDescent="0.3">
      <c r="A640" s="54"/>
      <c r="B640" s="54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4"/>
      <c r="AI640" s="54"/>
      <c r="AJ640" s="54"/>
      <c r="AK640" s="54"/>
      <c r="AL640" s="54"/>
      <c r="AM640" s="54"/>
      <c r="AN640" s="54"/>
      <c r="AO640" s="54"/>
      <c r="AP640" s="54"/>
      <c r="AQ640" s="54"/>
      <c r="AR640" s="54"/>
      <c r="AS640" s="54"/>
      <c r="AT640" s="54"/>
      <c r="AU640" s="54"/>
      <c r="AV640" s="54"/>
      <c r="AW640" s="54"/>
      <c r="AX640" s="54"/>
      <c r="AY640" s="54"/>
      <c r="AZ640" s="54"/>
      <c r="BA640" s="54"/>
      <c r="BB640" s="54"/>
      <c r="BC640" s="54"/>
      <c r="BD640" s="54"/>
      <c r="BE640" s="54"/>
      <c r="BF640" s="54"/>
      <c r="BG640" s="54"/>
      <c r="BH640" s="54"/>
      <c r="BI640" s="54"/>
      <c r="BJ640" s="54"/>
      <c r="BK640" s="54"/>
      <c r="BL640" s="54"/>
    </row>
    <row r="641" spans="1:64" ht="11.25" customHeight="1" x14ac:dyDescent="0.3">
      <c r="A641" s="54"/>
      <c r="B641" s="54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4"/>
      <c r="AI641" s="54"/>
      <c r="AJ641" s="54"/>
      <c r="AK641" s="54"/>
      <c r="AL641" s="54"/>
      <c r="AM641" s="54"/>
      <c r="AN641" s="54"/>
      <c r="AO641" s="54"/>
      <c r="AP641" s="54"/>
      <c r="AQ641" s="54"/>
      <c r="AR641" s="54"/>
      <c r="AS641" s="54"/>
      <c r="AT641" s="54"/>
      <c r="AU641" s="54"/>
      <c r="AV641" s="54"/>
      <c r="AW641" s="54"/>
      <c r="AX641" s="54"/>
      <c r="AY641" s="54"/>
      <c r="AZ641" s="54"/>
      <c r="BA641" s="54"/>
      <c r="BB641" s="54"/>
      <c r="BC641" s="54"/>
      <c r="BD641" s="54"/>
      <c r="BE641" s="54"/>
      <c r="BF641" s="54"/>
      <c r="BG641" s="54"/>
      <c r="BH641" s="54"/>
      <c r="BI641" s="54"/>
      <c r="BJ641" s="54"/>
      <c r="BK641" s="54"/>
      <c r="BL641" s="54"/>
    </row>
    <row r="642" spans="1:64" ht="11.25" customHeight="1" x14ac:dyDescent="0.3">
      <c r="A642" s="54"/>
      <c r="B642" s="54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4"/>
      <c r="AI642" s="54"/>
      <c r="AJ642" s="54"/>
      <c r="AK642" s="54"/>
      <c r="AL642" s="54"/>
      <c r="AM642" s="54"/>
      <c r="AN642" s="54"/>
      <c r="AO642" s="54"/>
      <c r="AP642" s="54"/>
      <c r="AQ642" s="54"/>
      <c r="AR642" s="54"/>
      <c r="AS642" s="54"/>
      <c r="AT642" s="54"/>
      <c r="AU642" s="54"/>
      <c r="AV642" s="54"/>
      <c r="AW642" s="54"/>
      <c r="AX642" s="54"/>
      <c r="AY642" s="54"/>
      <c r="AZ642" s="54"/>
      <c r="BA642" s="54"/>
      <c r="BB642" s="54"/>
      <c r="BC642" s="54"/>
      <c r="BD642" s="54"/>
      <c r="BE642" s="54"/>
      <c r="BF642" s="54"/>
      <c r="BG642" s="54"/>
      <c r="BH642" s="54"/>
      <c r="BI642" s="54"/>
      <c r="BJ642" s="54"/>
      <c r="BK642" s="54"/>
      <c r="BL642" s="54"/>
    </row>
    <row r="643" spans="1:64" ht="11.25" customHeight="1" x14ac:dyDescent="0.3">
      <c r="A643" s="54"/>
      <c r="B643" s="54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  <c r="AG643" s="54"/>
      <c r="AH643" s="54"/>
      <c r="AI643" s="54"/>
      <c r="AJ643" s="54"/>
      <c r="AK643" s="54"/>
      <c r="AL643" s="54"/>
      <c r="AM643" s="54"/>
      <c r="AN643" s="54"/>
      <c r="AO643" s="54"/>
      <c r="AP643" s="54"/>
      <c r="AQ643" s="54"/>
      <c r="AR643" s="54"/>
      <c r="AS643" s="54"/>
      <c r="AT643" s="54"/>
      <c r="AU643" s="54"/>
      <c r="AV643" s="54"/>
      <c r="AW643" s="54"/>
      <c r="AX643" s="54"/>
      <c r="AY643" s="54"/>
      <c r="AZ643" s="54"/>
      <c r="BA643" s="54"/>
      <c r="BB643" s="54"/>
      <c r="BC643" s="54"/>
      <c r="BD643" s="54"/>
      <c r="BE643" s="54"/>
      <c r="BF643" s="54"/>
      <c r="BG643" s="54"/>
      <c r="BH643" s="54"/>
      <c r="BI643" s="54"/>
      <c r="BJ643" s="54"/>
      <c r="BK643" s="54"/>
      <c r="BL643" s="54"/>
    </row>
    <row r="644" spans="1:64" ht="11.25" customHeight="1" x14ac:dyDescent="0.3">
      <c r="A644" s="54"/>
      <c r="B644" s="54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  <c r="AG644" s="54"/>
      <c r="AH644" s="54"/>
      <c r="AI644" s="54"/>
      <c r="AJ644" s="54"/>
      <c r="AK644" s="54"/>
      <c r="AL644" s="54"/>
      <c r="AM644" s="54"/>
      <c r="AN644" s="54"/>
      <c r="AO644" s="54"/>
      <c r="AP644" s="54"/>
      <c r="AQ644" s="54"/>
      <c r="AR644" s="54"/>
      <c r="AS644" s="54"/>
      <c r="AT644" s="54"/>
      <c r="AU644" s="54"/>
      <c r="AV644" s="54"/>
      <c r="AW644" s="54"/>
      <c r="AX644" s="54"/>
      <c r="AY644" s="54"/>
      <c r="AZ644" s="54"/>
      <c r="BA644" s="54"/>
      <c r="BB644" s="54"/>
      <c r="BC644" s="54"/>
      <c r="BD644" s="54"/>
      <c r="BE644" s="54"/>
      <c r="BF644" s="54"/>
      <c r="BG644" s="54"/>
      <c r="BH644" s="54"/>
      <c r="BI644" s="54"/>
      <c r="BJ644" s="54"/>
      <c r="BK644" s="54"/>
      <c r="BL644" s="54"/>
    </row>
    <row r="645" spans="1:64" ht="11.25" customHeight="1" x14ac:dyDescent="0.3">
      <c r="A645" s="54"/>
      <c r="B645" s="54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4"/>
      <c r="AI645" s="54"/>
      <c r="AJ645" s="54"/>
      <c r="AK645" s="54"/>
      <c r="AL645" s="54"/>
      <c r="AM645" s="54"/>
      <c r="AN645" s="54"/>
      <c r="AO645" s="54"/>
      <c r="AP645" s="54"/>
      <c r="AQ645" s="54"/>
      <c r="AR645" s="54"/>
      <c r="AS645" s="54"/>
      <c r="AT645" s="54"/>
      <c r="AU645" s="54"/>
      <c r="AV645" s="54"/>
      <c r="AW645" s="54"/>
      <c r="AX645" s="54"/>
      <c r="AY645" s="54"/>
      <c r="AZ645" s="54"/>
      <c r="BA645" s="54"/>
      <c r="BB645" s="54"/>
      <c r="BC645" s="54"/>
      <c r="BD645" s="54"/>
      <c r="BE645" s="54"/>
      <c r="BF645" s="54"/>
      <c r="BG645" s="54"/>
      <c r="BH645" s="54"/>
      <c r="BI645" s="54"/>
      <c r="BJ645" s="54"/>
      <c r="BK645" s="54"/>
      <c r="BL645" s="54"/>
    </row>
    <row r="646" spans="1:64" ht="11.25" customHeight="1" x14ac:dyDescent="0.3">
      <c r="A646" s="54"/>
      <c r="B646" s="54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4"/>
      <c r="AI646" s="54"/>
      <c r="AJ646" s="54"/>
      <c r="AK646" s="54"/>
      <c r="AL646" s="54"/>
      <c r="AM646" s="54"/>
      <c r="AN646" s="54"/>
      <c r="AO646" s="54"/>
      <c r="AP646" s="54"/>
      <c r="AQ646" s="54"/>
      <c r="AR646" s="54"/>
      <c r="AS646" s="54"/>
      <c r="AT646" s="54"/>
      <c r="AU646" s="54"/>
      <c r="AV646" s="54"/>
      <c r="AW646" s="54"/>
      <c r="AX646" s="54"/>
      <c r="AY646" s="54"/>
      <c r="AZ646" s="54"/>
      <c r="BA646" s="54"/>
      <c r="BB646" s="54"/>
      <c r="BC646" s="54"/>
      <c r="BD646" s="54"/>
      <c r="BE646" s="54"/>
      <c r="BF646" s="54"/>
      <c r="BG646" s="54"/>
      <c r="BH646" s="54"/>
      <c r="BI646" s="54"/>
      <c r="BJ646" s="54"/>
      <c r="BK646" s="54"/>
      <c r="BL646" s="54"/>
    </row>
    <row r="647" spans="1:64" ht="11.25" customHeight="1" x14ac:dyDescent="0.3">
      <c r="A647" s="54"/>
      <c r="B647" s="54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4"/>
      <c r="AI647" s="54"/>
      <c r="AJ647" s="54"/>
      <c r="AK647" s="54"/>
      <c r="AL647" s="54"/>
      <c r="AM647" s="54"/>
      <c r="AN647" s="54"/>
      <c r="AO647" s="54"/>
      <c r="AP647" s="54"/>
      <c r="AQ647" s="54"/>
      <c r="AR647" s="54"/>
      <c r="AS647" s="54"/>
      <c r="AT647" s="54"/>
      <c r="AU647" s="54"/>
      <c r="AV647" s="54"/>
      <c r="AW647" s="54"/>
      <c r="AX647" s="54"/>
      <c r="AY647" s="54"/>
      <c r="AZ647" s="54"/>
      <c r="BA647" s="54"/>
      <c r="BB647" s="54"/>
      <c r="BC647" s="54"/>
      <c r="BD647" s="54"/>
      <c r="BE647" s="54"/>
      <c r="BF647" s="54"/>
      <c r="BG647" s="54"/>
      <c r="BH647" s="54"/>
      <c r="BI647" s="54"/>
      <c r="BJ647" s="54"/>
      <c r="BK647" s="54"/>
      <c r="BL647" s="54"/>
    </row>
    <row r="648" spans="1:64" ht="11.25" customHeight="1" x14ac:dyDescent="0.3">
      <c r="A648" s="54"/>
      <c r="B648" s="54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4"/>
      <c r="AI648" s="54"/>
      <c r="AJ648" s="54"/>
      <c r="AK648" s="54"/>
      <c r="AL648" s="54"/>
      <c r="AM648" s="54"/>
      <c r="AN648" s="54"/>
      <c r="AO648" s="54"/>
      <c r="AP648" s="54"/>
      <c r="AQ648" s="54"/>
      <c r="AR648" s="54"/>
      <c r="AS648" s="54"/>
      <c r="AT648" s="54"/>
      <c r="AU648" s="54"/>
      <c r="AV648" s="54"/>
      <c r="AW648" s="54"/>
      <c r="AX648" s="54"/>
      <c r="AY648" s="54"/>
      <c r="AZ648" s="54"/>
      <c r="BA648" s="54"/>
      <c r="BB648" s="54"/>
      <c r="BC648" s="54"/>
      <c r="BD648" s="54"/>
      <c r="BE648" s="54"/>
      <c r="BF648" s="54"/>
      <c r="BG648" s="54"/>
      <c r="BH648" s="54"/>
      <c r="BI648" s="54"/>
      <c r="BJ648" s="54"/>
      <c r="BK648" s="54"/>
      <c r="BL648" s="54"/>
    </row>
    <row r="649" spans="1:64" ht="11.25" customHeight="1" x14ac:dyDescent="0.3">
      <c r="A649" s="54"/>
      <c r="B649" s="54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4"/>
      <c r="AI649" s="54"/>
      <c r="AJ649" s="54"/>
      <c r="AK649" s="54"/>
      <c r="AL649" s="54"/>
      <c r="AM649" s="54"/>
      <c r="AN649" s="54"/>
      <c r="AO649" s="54"/>
      <c r="AP649" s="54"/>
      <c r="AQ649" s="54"/>
      <c r="AR649" s="54"/>
      <c r="AS649" s="54"/>
      <c r="AT649" s="54"/>
      <c r="AU649" s="54"/>
      <c r="AV649" s="54"/>
      <c r="AW649" s="54"/>
      <c r="AX649" s="54"/>
      <c r="AY649" s="54"/>
      <c r="AZ649" s="54"/>
      <c r="BA649" s="54"/>
      <c r="BB649" s="54"/>
      <c r="BC649" s="54"/>
      <c r="BD649" s="54"/>
      <c r="BE649" s="54"/>
      <c r="BF649" s="54"/>
      <c r="BG649" s="54"/>
      <c r="BH649" s="54"/>
      <c r="BI649" s="54"/>
      <c r="BJ649" s="54"/>
      <c r="BK649" s="54"/>
      <c r="BL649" s="54"/>
    </row>
    <row r="650" spans="1:64" ht="11.25" customHeight="1" x14ac:dyDescent="0.3">
      <c r="A650" s="54"/>
      <c r="B650" s="54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4"/>
      <c r="AI650" s="54"/>
      <c r="AJ650" s="54"/>
      <c r="AK650" s="54"/>
      <c r="AL650" s="54"/>
      <c r="AM650" s="54"/>
      <c r="AN650" s="54"/>
      <c r="AO650" s="54"/>
      <c r="AP650" s="54"/>
      <c r="AQ650" s="54"/>
      <c r="AR650" s="54"/>
      <c r="AS650" s="54"/>
      <c r="AT650" s="54"/>
      <c r="AU650" s="54"/>
      <c r="AV650" s="54"/>
      <c r="AW650" s="54"/>
      <c r="AX650" s="54"/>
      <c r="AY650" s="54"/>
      <c r="AZ650" s="54"/>
      <c r="BA650" s="54"/>
      <c r="BB650" s="54"/>
      <c r="BC650" s="54"/>
      <c r="BD650" s="54"/>
      <c r="BE650" s="54"/>
      <c r="BF650" s="54"/>
      <c r="BG650" s="54"/>
      <c r="BH650" s="54"/>
      <c r="BI650" s="54"/>
      <c r="BJ650" s="54"/>
      <c r="BK650" s="54"/>
      <c r="BL650" s="54"/>
    </row>
    <row r="651" spans="1:64" ht="11.25" customHeight="1" x14ac:dyDescent="0.3">
      <c r="A651" s="54"/>
      <c r="B651" s="54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4"/>
      <c r="AI651" s="54"/>
      <c r="AJ651" s="54"/>
      <c r="AK651" s="54"/>
      <c r="AL651" s="54"/>
      <c r="AM651" s="54"/>
      <c r="AN651" s="54"/>
      <c r="AO651" s="54"/>
      <c r="AP651" s="54"/>
      <c r="AQ651" s="54"/>
      <c r="AR651" s="54"/>
      <c r="AS651" s="54"/>
      <c r="AT651" s="54"/>
      <c r="AU651" s="54"/>
      <c r="AV651" s="54"/>
      <c r="AW651" s="54"/>
      <c r="AX651" s="54"/>
      <c r="AY651" s="54"/>
      <c r="AZ651" s="54"/>
      <c r="BA651" s="54"/>
      <c r="BB651" s="54"/>
      <c r="BC651" s="54"/>
      <c r="BD651" s="54"/>
      <c r="BE651" s="54"/>
      <c r="BF651" s="54"/>
      <c r="BG651" s="54"/>
      <c r="BH651" s="54"/>
      <c r="BI651" s="54"/>
      <c r="BJ651" s="54"/>
      <c r="BK651" s="54"/>
      <c r="BL651" s="54"/>
    </row>
    <row r="652" spans="1:64" ht="11.25" customHeight="1" x14ac:dyDescent="0.3">
      <c r="A652" s="54"/>
      <c r="B652" s="54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4"/>
      <c r="AI652" s="54"/>
      <c r="AJ652" s="54"/>
      <c r="AK652" s="54"/>
      <c r="AL652" s="54"/>
      <c r="AM652" s="54"/>
      <c r="AN652" s="54"/>
      <c r="AO652" s="54"/>
      <c r="AP652" s="54"/>
      <c r="AQ652" s="54"/>
      <c r="AR652" s="54"/>
      <c r="AS652" s="54"/>
      <c r="AT652" s="54"/>
      <c r="AU652" s="54"/>
      <c r="AV652" s="54"/>
      <c r="AW652" s="54"/>
      <c r="AX652" s="54"/>
      <c r="AY652" s="54"/>
      <c r="AZ652" s="54"/>
      <c r="BA652" s="54"/>
      <c r="BB652" s="54"/>
      <c r="BC652" s="54"/>
      <c r="BD652" s="54"/>
      <c r="BE652" s="54"/>
      <c r="BF652" s="54"/>
      <c r="BG652" s="54"/>
      <c r="BH652" s="54"/>
      <c r="BI652" s="54"/>
      <c r="BJ652" s="54"/>
      <c r="BK652" s="54"/>
      <c r="BL652" s="54"/>
    </row>
    <row r="653" spans="1:64" ht="11.25" customHeight="1" x14ac:dyDescent="0.3">
      <c r="A653" s="54"/>
      <c r="B653" s="54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4"/>
      <c r="AI653" s="54"/>
      <c r="AJ653" s="54"/>
      <c r="AK653" s="54"/>
      <c r="AL653" s="54"/>
      <c r="AM653" s="54"/>
      <c r="AN653" s="54"/>
      <c r="AO653" s="54"/>
      <c r="AP653" s="54"/>
      <c r="AQ653" s="54"/>
      <c r="AR653" s="54"/>
      <c r="AS653" s="54"/>
      <c r="AT653" s="54"/>
      <c r="AU653" s="54"/>
      <c r="AV653" s="54"/>
      <c r="AW653" s="54"/>
      <c r="AX653" s="54"/>
      <c r="AY653" s="54"/>
      <c r="AZ653" s="54"/>
      <c r="BA653" s="54"/>
      <c r="BB653" s="54"/>
      <c r="BC653" s="54"/>
      <c r="BD653" s="54"/>
      <c r="BE653" s="54"/>
      <c r="BF653" s="54"/>
      <c r="BG653" s="54"/>
      <c r="BH653" s="54"/>
      <c r="BI653" s="54"/>
      <c r="BJ653" s="54"/>
      <c r="BK653" s="54"/>
      <c r="BL653" s="54"/>
    </row>
    <row r="654" spans="1:64" ht="11.25" customHeight="1" x14ac:dyDescent="0.3">
      <c r="A654" s="54"/>
      <c r="B654" s="54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4"/>
      <c r="AI654" s="54"/>
      <c r="AJ654" s="54"/>
      <c r="AK654" s="54"/>
      <c r="AL654" s="54"/>
      <c r="AM654" s="54"/>
      <c r="AN654" s="54"/>
      <c r="AO654" s="54"/>
      <c r="AP654" s="54"/>
      <c r="AQ654" s="54"/>
      <c r="AR654" s="54"/>
      <c r="AS654" s="54"/>
      <c r="AT654" s="54"/>
      <c r="AU654" s="54"/>
      <c r="AV654" s="54"/>
      <c r="AW654" s="54"/>
      <c r="AX654" s="54"/>
      <c r="AY654" s="54"/>
      <c r="AZ654" s="54"/>
      <c r="BA654" s="54"/>
      <c r="BB654" s="54"/>
      <c r="BC654" s="54"/>
      <c r="BD654" s="54"/>
      <c r="BE654" s="54"/>
      <c r="BF654" s="54"/>
      <c r="BG654" s="54"/>
      <c r="BH654" s="54"/>
      <c r="BI654" s="54"/>
      <c r="BJ654" s="54"/>
      <c r="BK654" s="54"/>
      <c r="BL654" s="54"/>
    </row>
    <row r="655" spans="1:64" ht="11.25" customHeight="1" x14ac:dyDescent="0.3">
      <c r="A655" s="54"/>
      <c r="B655" s="54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4"/>
      <c r="AI655" s="54"/>
      <c r="AJ655" s="54"/>
      <c r="AK655" s="54"/>
      <c r="AL655" s="54"/>
      <c r="AM655" s="54"/>
      <c r="AN655" s="54"/>
      <c r="AO655" s="54"/>
      <c r="AP655" s="54"/>
      <c r="AQ655" s="54"/>
      <c r="AR655" s="54"/>
      <c r="AS655" s="54"/>
      <c r="AT655" s="54"/>
      <c r="AU655" s="54"/>
      <c r="AV655" s="54"/>
      <c r="AW655" s="54"/>
      <c r="AX655" s="54"/>
      <c r="AY655" s="54"/>
      <c r="AZ655" s="54"/>
      <c r="BA655" s="54"/>
      <c r="BB655" s="54"/>
      <c r="BC655" s="54"/>
      <c r="BD655" s="54"/>
      <c r="BE655" s="54"/>
      <c r="BF655" s="54"/>
      <c r="BG655" s="54"/>
      <c r="BH655" s="54"/>
      <c r="BI655" s="54"/>
      <c r="BJ655" s="54"/>
      <c r="BK655" s="54"/>
      <c r="BL655" s="54"/>
    </row>
    <row r="656" spans="1:64" ht="11.25" customHeight="1" x14ac:dyDescent="0.3">
      <c r="A656" s="54"/>
      <c r="B656" s="54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4"/>
      <c r="AI656" s="54"/>
      <c r="AJ656" s="54"/>
      <c r="AK656" s="54"/>
      <c r="AL656" s="54"/>
      <c r="AM656" s="54"/>
      <c r="AN656" s="54"/>
      <c r="AO656" s="54"/>
      <c r="AP656" s="54"/>
      <c r="AQ656" s="54"/>
      <c r="AR656" s="54"/>
      <c r="AS656" s="54"/>
      <c r="AT656" s="54"/>
      <c r="AU656" s="54"/>
      <c r="AV656" s="54"/>
      <c r="AW656" s="54"/>
      <c r="AX656" s="54"/>
      <c r="AY656" s="54"/>
      <c r="AZ656" s="54"/>
      <c r="BA656" s="54"/>
      <c r="BB656" s="54"/>
      <c r="BC656" s="54"/>
      <c r="BD656" s="54"/>
      <c r="BE656" s="54"/>
      <c r="BF656" s="54"/>
      <c r="BG656" s="54"/>
      <c r="BH656" s="54"/>
      <c r="BI656" s="54"/>
      <c r="BJ656" s="54"/>
      <c r="BK656" s="54"/>
      <c r="BL656" s="54"/>
    </row>
    <row r="657" spans="1:64" ht="11.25" customHeight="1" x14ac:dyDescent="0.3">
      <c r="A657" s="54"/>
      <c r="B657" s="54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4"/>
      <c r="AI657" s="54"/>
      <c r="AJ657" s="54"/>
      <c r="AK657" s="54"/>
      <c r="AL657" s="54"/>
      <c r="AM657" s="54"/>
      <c r="AN657" s="54"/>
      <c r="AO657" s="54"/>
      <c r="AP657" s="54"/>
      <c r="AQ657" s="54"/>
      <c r="AR657" s="54"/>
      <c r="AS657" s="54"/>
      <c r="AT657" s="54"/>
      <c r="AU657" s="54"/>
      <c r="AV657" s="54"/>
      <c r="AW657" s="54"/>
      <c r="AX657" s="54"/>
      <c r="AY657" s="54"/>
      <c r="AZ657" s="54"/>
      <c r="BA657" s="54"/>
      <c r="BB657" s="54"/>
      <c r="BC657" s="54"/>
      <c r="BD657" s="54"/>
      <c r="BE657" s="54"/>
      <c r="BF657" s="54"/>
      <c r="BG657" s="54"/>
      <c r="BH657" s="54"/>
      <c r="BI657" s="54"/>
      <c r="BJ657" s="54"/>
      <c r="BK657" s="54"/>
      <c r="BL657" s="54"/>
    </row>
    <row r="658" spans="1:64" ht="11.25" customHeight="1" x14ac:dyDescent="0.3">
      <c r="A658" s="54"/>
      <c r="B658" s="54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4"/>
      <c r="AI658" s="54"/>
      <c r="AJ658" s="54"/>
      <c r="AK658" s="54"/>
      <c r="AL658" s="54"/>
      <c r="AM658" s="54"/>
      <c r="AN658" s="54"/>
      <c r="AO658" s="54"/>
      <c r="AP658" s="54"/>
      <c r="AQ658" s="54"/>
      <c r="AR658" s="54"/>
      <c r="AS658" s="54"/>
      <c r="AT658" s="54"/>
      <c r="AU658" s="54"/>
      <c r="AV658" s="54"/>
      <c r="AW658" s="54"/>
      <c r="AX658" s="54"/>
      <c r="AY658" s="54"/>
      <c r="AZ658" s="54"/>
      <c r="BA658" s="54"/>
      <c r="BB658" s="54"/>
      <c r="BC658" s="54"/>
      <c r="BD658" s="54"/>
      <c r="BE658" s="54"/>
      <c r="BF658" s="54"/>
      <c r="BG658" s="54"/>
      <c r="BH658" s="54"/>
      <c r="BI658" s="54"/>
      <c r="BJ658" s="54"/>
      <c r="BK658" s="54"/>
      <c r="BL658" s="54"/>
    </row>
    <row r="659" spans="1:64" ht="11.25" customHeight="1" x14ac:dyDescent="0.3">
      <c r="A659" s="54"/>
      <c r="B659" s="54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  <c r="AG659" s="54"/>
      <c r="AH659" s="54"/>
      <c r="AI659" s="54"/>
      <c r="AJ659" s="54"/>
      <c r="AK659" s="54"/>
      <c r="AL659" s="54"/>
      <c r="AM659" s="54"/>
      <c r="AN659" s="54"/>
      <c r="AO659" s="54"/>
      <c r="AP659" s="54"/>
      <c r="AQ659" s="54"/>
      <c r="AR659" s="54"/>
      <c r="AS659" s="54"/>
      <c r="AT659" s="54"/>
      <c r="AU659" s="54"/>
      <c r="AV659" s="54"/>
      <c r="AW659" s="54"/>
      <c r="AX659" s="54"/>
      <c r="AY659" s="54"/>
      <c r="AZ659" s="54"/>
      <c r="BA659" s="54"/>
      <c r="BB659" s="54"/>
      <c r="BC659" s="54"/>
      <c r="BD659" s="54"/>
      <c r="BE659" s="54"/>
      <c r="BF659" s="54"/>
      <c r="BG659" s="54"/>
      <c r="BH659" s="54"/>
      <c r="BI659" s="54"/>
      <c r="BJ659" s="54"/>
      <c r="BK659" s="54"/>
      <c r="BL659" s="54"/>
    </row>
    <row r="660" spans="1:64" ht="11.25" customHeight="1" x14ac:dyDescent="0.3">
      <c r="A660" s="54"/>
      <c r="B660" s="54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  <c r="AG660" s="54"/>
      <c r="AH660" s="54"/>
      <c r="AI660" s="54"/>
      <c r="AJ660" s="54"/>
      <c r="AK660" s="54"/>
      <c r="AL660" s="54"/>
      <c r="AM660" s="54"/>
      <c r="AN660" s="54"/>
      <c r="AO660" s="54"/>
      <c r="AP660" s="54"/>
      <c r="AQ660" s="54"/>
      <c r="AR660" s="54"/>
      <c r="AS660" s="54"/>
      <c r="AT660" s="54"/>
      <c r="AU660" s="54"/>
      <c r="AV660" s="54"/>
      <c r="AW660" s="54"/>
      <c r="AX660" s="54"/>
      <c r="AY660" s="54"/>
      <c r="AZ660" s="54"/>
      <c r="BA660" s="54"/>
      <c r="BB660" s="54"/>
      <c r="BC660" s="54"/>
      <c r="BD660" s="54"/>
      <c r="BE660" s="54"/>
      <c r="BF660" s="54"/>
      <c r="BG660" s="54"/>
      <c r="BH660" s="54"/>
      <c r="BI660" s="54"/>
      <c r="BJ660" s="54"/>
      <c r="BK660" s="54"/>
      <c r="BL660" s="54"/>
    </row>
    <row r="661" spans="1:64" ht="11.25" customHeight="1" x14ac:dyDescent="0.3">
      <c r="A661" s="54"/>
      <c r="B661" s="54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4"/>
      <c r="AI661" s="54"/>
      <c r="AJ661" s="54"/>
      <c r="AK661" s="54"/>
      <c r="AL661" s="54"/>
      <c r="AM661" s="54"/>
      <c r="AN661" s="54"/>
      <c r="AO661" s="54"/>
      <c r="AP661" s="54"/>
      <c r="AQ661" s="54"/>
      <c r="AR661" s="54"/>
      <c r="AS661" s="54"/>
      <c r="AT661" s="54"/>
      <c r="AU661" s="54"/>
      <c r="AV661" s="54"/>
      <c r="AW661" s="54"/>
      <c r="AX661" s="54"/>
      <c r="AY661" s="54"/>
      <c r="AZ661" s="54"/>
      <c r="BA661" s="54"/>
      <c r="BB661" s="54"/>
      <c r="BC661" s="54"/>
      <c r="BD661" s="54"/>
      <c r="BE661" s="54"/>
      <c r="BF661" s="54"/>
      <c r="BG661" s="54"/>
      <c r="BH661" s="54"/>
      <c r="BI661" s="54"/>
      <c r="BJ661" s="54"/>
      <c r="BK661" s="54"/>
      <c r="BL661" s="54"/>
    </row>
    <row r="662" spans="1:64" ht="11.25" customHeight="1" x14ac:dyDescent="0.3">
      <c r="A662" s="54"/>
      <c r="B662" s="54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4"/>
      <c r="AI662" s="54"/>
      <c r="AJ662" s="54"/>
      <c r="AK662" s="54"/>
      <c r="AL662" s="54"/>
      <c r="AM662" s="54"/>
      <c r="AN662" s="54"/>
      <c r="AO662" s="54"/>
      <c r="AP662" s="54"/>
      <c r="AQ662" s="54"/>
      <c r="AR662" s="54"/>
      <c r="AS662" s="54"/>
      <c r="AT662" s="54"/>
      <c r="AU662" s="54"/>
      <c r="AV662" s="54"/>
      <c r="AW662" s="54"/>
      <c r="AX662" s="54"/>
      <c r="AY662" s="54"/>
      <c r="AZ662" s="54"/>
      <c r="BA662" s="54"/>
      <c r="BB662" s="54"/>
      <c r="BC662" s="54"/>
      <c r="BD662" s="54"/>
      <c r="BE662" s="54"/>
      <c r="BF662" s="54"/>
      <c r="BG662" s="54"/>
      <c r="BH662" s="54"/>
      <c r="BI662" s="54"/>
      <c r="BJ662" s="54"/>
      <c r="BK662" s="54"/>
      <c r="BL662" s="54"/>
    </row>
    <row r="663" spans="1:64" ht="11.25" customHeight="1" x14ac:dyDescent="0.3">
      <c r="A663" s="54"/>
      <c r="B663" s="54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4"/>
      <c r="AI663" s="54"/>
      <c r="AJ663" s="54"/>
      <c r="AK663" s="54"/>
      <c r="AL663" s="54"/>
      <c r="AM663" s="54"/>
      <c r="AN663" s="54"/>
      <c r="AO663" s="54"/>
      <c r="AP663" s="54"/>
      <c r="AQ663" s="54"/>
      <c r="AR663" s="54"/>
      <c r="AS663" s="54"/>
      <c r="AT663" s="54"/>
      <c r="AU663" s="54"/>
      <c r="AV663" s="54"/>
      <c r="AW663" s="54"/>
      <c r="AX663" s="54"/>
      <c r="AY663" s="54"/>
      <c r="AZ663" s="54"/>
      <c r="BA663" s="54"/>
      <c r="BB663" s="54"/>
      <c r="BC663" s="54"/>
      <c r="BD663" s="54"/>
      <c r="BE663" s="54"/>
      <c r="BF663" s="54"/>
      <c r="BG663" s="54"/>
      <c r="BH663" s="54"/>
      <c r="BI663" s="54"/>
      <c r="BJ663" s="54"/>
      <c r="BK663" s="54"/>
      <c r="BL663" s="54"/>
    </row>
    <row r="664" spans="1:64" ht="11.25" customHeight="1" x14ac:dyDescent="0.3">
      <c r="A664" s="54"/>
      <c r="B664" s="54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4"/>
      <c r="AI664" s="54"/>
      <c r="AJ664" s="54"/>
      <c r="AK664" s="54"/>
      <c r="AL664" s="54"/>
      <c r="AM664" s="54"/>
      <c r="AN664" s="54"/>
      <c r="AO664" s="54"/>
      <c r="AP664" s="54"/>
      <c r="AQ664" s="54"/>
      <c r="AR664" s="54"/>
      <c r="AS664" s="54"/>
      <c r="AT664" s="54"/>
      <c r="AU664" s="54"/>
      <c r="AV664" s="54"/>
      <c r="AW664" s="54"/>
      <c r="AX664" s="54"/>
      <c r="AY664" s="54"/>
      <c r="AZ664" s="54"/>
      <c r="BA664" s="54"/>
      <c r="BB664" s="54"/>
      <c r="BC664" s="54"/>
      <c r="BD664" s="54"/>
      <c r="BE664" s="54"/>
      <c r="BF664" s="54"/>
      <c r="BG664" s="54"/>
      <c r="BH664" s="54"/>
      <c r="BI664" s="54"/>
      <c r="BJ664" s="54"/>
      <c r="BK664" s="54"/>
      <c r="BL664" s="54"/>
    </row>
    <row r="665" spans="1:64" ht="11.25" customHeight="1" x14ac:dyDescent="0.3">
      <c r="A665" s="54"/>
      <c r="B665" s="54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4"/>
      <c r="AI665" s="54"/>
      <c r="AJ665" s="54"/>
      <c r="AK665" s="54"/>
      <c r="AL665" s="54"/>
      <c r="AM665" s="54"/>
      <c r="AN665" s="54"/>
      <c r="AO665" s="54"/>
      <c r="AP665" s="54"/>
      <c r="AQ665" s="54"/>
      <c r="AR665" s="54"/>
      <c r="AS665" s="54"/>
      <c r="AT665" s="54"/>
      <c r="AU665" s="54"/>
      <c r="AV665" s="54"/>
      <c r="AW665" s="54"/>
      <c r="AX665" s="54"/>
      <c r="AY665" s="54"/>
      <c r="AZ665" s="54"/>
      <c r="BA665" s="54"/>
      <c r="BB665" s="54"/>
      <c r="BC665" s="54"/>
      <c r="BD665" s="54"/>
      <c r="BE665" s="54"/>
      <c r="BF665" s="54"/>
      <c r="BG665" s="54"/>
      <c r="BH665" s="54"/>
      <c r="BI665" s="54"/>
      <c r="BJ665" s="54"/>
      <c r="BK665" s="54"/>
      <c r="BL665" s="54"/>
    </row>
    <row r="666" spans="1:64" ht="11.25" customHeight="1" x14ac:dyDescent="0.3">
      <c r="A666" s="54"/>
      <c r="B666" s="54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4"/>
      <c r="AI666" s="54"/>
      <c r="AJ666" s="54"/>
      <c r="AK666" s="54"/>
      <c r="AL666" s="54"/>
      <c r="AM666" s="54"/>
      <c r="AN666" s="54"/>
      <c r="AO666" s="54"/>
      <c r="AP666" s="54"/>
      <c r="AQ666" s="54"/>
      <c r="AR666" s="54"/>
      <c r="AS666" s="54"/>
      <c r="AT666" s="54"/>
      <c r="AU666" s="54"/>
      <c r="AV666" s="54"/>
      <c r="AW666" s="54"/>
      <c r="AX666" s="54"/>
      <c r="AY666" s="54"/>
      <c r="AZ666" s="54"/>
      <c r="BA666" s="54"/>
      <c r="BB666" s="54"/>
      <c r="BC666" s="54"/>
      <c r="BD666" s="54"/>
      <c r="BE666" s="54"/>
      <c r="BF666" s="54"/>
      <c r="BG666" s="54"/>
      <c r="BH666" s="54"/>
      <c r="BI666" s="54"/>
      <c r="BJ666" s="54"/>
      <c r="BK666" s="54"/>
      <c r="BL666" s="54"/>
    </row>
    <row r="667" spans="1:64" ht="11.25" customHeight="1" x14ac:dyDescent="0.3">
      <c r="A667" s="54"/>
      <c r="B667" s="54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4"/>
      <c r="AI667" s="54"/>
      <c r="AJ667" s="54"/>
      <c r="AK667" s="54"/>
      <c r="AL667" s="54"/>
      <c r="AM667" s="54"/>
      <c r="AN667" s="54"/>
      <c r="AO667" s="54"/>
      <c r="AP667" s="54"/>
      <c r="AQ667" s="54"/>
      <c r="AR667" s="54"/>
      <c r="AS667" s="54"/>
      <c r="AT667" s="54"/>
      <c r="AU667" s="54"/>
      <c r="AV667" s="54"/>
      <c r="AW667" s="54"/>
      <c r="AX667" s="54"/>
      <c r="AY667" s="54"/>
      <c r="AZ667" s="54"/>
      <c r="BA667" s="54"/>
      <c r="BB667" s="54"/>
      <c r="BC667" s="54"/>
      <c r="BD667" s="54"/>
      <c r="BE667" s="54"/>
      <c r="BF667" s="54"/>
      <c r="BG667" s="54"/>
      <c r="BH667" s="54"/>
      <c r="BI667" s="54"/>
      <c r="BJ667" s="54"/>
      <c r="BK667" s="54"/>
      <c r="BL667" s="54"/>
    </row>
    <row r="668" spans="1:64" ht="11.25" customHeight="1" x14ac:dyDescent="0.3">
      <c r="A668" s="54"/>
      <c r="B668" s="54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4"/>
      <c r="AI668" s="54"/>
      <c r="AJ668" s="54"/>
      <c r="AK668" s="54"/>
      <c r="AL668" s="54"/>
      <c r="AM668" s="54"/>
      <c r="AN668" s="54"/>
      <c r="AO668" s="54"/>
      <c r="AP668" s="54"/>
      <c r="AQ668" s="54"/>
      <c r="AR668" s="54"/>
      <c r="AS668" s="54"/>
      <c r="AT668" s="54"/>
      <c r="AU668" s="54"/>
      <c r="AV668" s="54"/>
      <c r="AW668" s="54"/>
      <c r="AX668" s="54"/>
      <c r="AY668" s="54"/>
      <c r="AZ668" s="54"/>
      <c r="BA668" s="54"/>
      <c r="BB668" s="54"/>
      <c r="BC668" s="54"/>
      <c r="BD668" s="54"/>
      <c r="BE668" s="54"/>
      <c r="BF668" s="54"/>
      <c r="BG668" s="54"/>
      <c r="BH668" s="54"/>
      <c r="BI668" s="54"/>
      <c r="BJ668" s="54"/>
      <c r="BK668" s="54"/>
      <c r="BL668" s="54"/>
    </row>
    <row r="669" spans="1:64" ht="11.25" customHeight="1" x14ac:dyDescent="0.3">
      <c r="A669" s="54"/>
      <c r="B669" s="54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4"/>
      <c r="AI669" s="54"/>
      <c r="AJ669" s="54"/>
      <c r="AK669" s="54"/>
      <c r="AL669" s="54"/>
      <c r="AM669" s="54"/>
      <c r="AN669" s="54"/>
      <c r="AO669" s="54"/>
      <c r="AP669" s="54"/>
      <c r="AQ669" s="54"/>
      <c r="AR669" s="54"/>
      <c r="AS669" s="54"/>
      <c r="AT669" s="54"/>
      <c r="AU669" s="54"/>
      <c r="AV669" s="54"/>
      <c r="AW669" s="54"/>
      <c r="AX669" s="54"/>
      <c r="AY669" s="54"/>
      <c r="AZ669" s="54"/>
      <c r="BA669" s="54"/>
      <c r="BB669" s="54"/>
      <c r="BC669" s="54"/>
      <c r="BD669" s="54"/>
      <c r="BE669" s="54"/>
      <c r="BF669" s="54"/>
      <c r="BG669" s="54"/>
      <c r="BH669" s="54"/>
      <c r="BI669" s="54"/>
      <c r="BJ669" s="54"/>
      <c r="BK669" s="54"/>
      <c r="BL669" s="54"/>
    </row>
    <row r="670" spans="1:64" ht="11.25" customHeight="1" x14ac:dyDescent="0.3">
      <c r="A670" s="54"/>
      <c r="B670" s="54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4"/>
      <c r="AI670" s="54"/>
      <c r="AJ670" s="54"/>
      <c r="AK670" s="54"/>
      <c r="AL670" s="54"/>
      <c r="AM670" s="54"/>
      <c r="AN670" s="54"/>
      <c r="AO670" s="54"/>
      <c r="AP670" s="54"/>
      <c r="AQ670" s="54"/>
      <c r="AR670" s="54"/>
      <c r="AS670" s="54"/>
      <c r="AT670" s="54"/>
      <c r="AU670" s="54"/>
      <c r="AV670" s="54"/>
      <c r="AW670" s="54"/>
      <c r="AX670" s="54"/>
      <c r="AY670" s="54"/>
      <c r="AZ670" s="54"/>
      <c r="BA670" s="54"/>
      <c r="BB670" s="54"/>
      <c r="BC670" s="54"/>
      <c r="BD670" s="54"/>
      <c r="BE670" s="54"/>
      <c r="BF670" s="54"/>
      <c r="BG670" s="54"/>
      <c r="BH670" s="54"/>
      <c r="BI670" s="54"/>
      <c r="BJ670" s="54"/>
      <c r="BK670" s="54"/>
      <c r="BL670" s="54"/>
    </row>
    <row r="671" spans="1:64" ht="11.25" customHeight="1" x14ac:dyDescent="0.3">
      <c r="A671" s="54"/>
      <c r="B671" s="54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4"/>
      <c r="AI671" s="54"/>
      <c r="AJ671" s="54"/>
      <c r="AK671" s="54"/>
      <c r="AL671" s="54"/>
      <c r="AM671" s="54"/>
      <c r="AN671" s="54"/>
      <c r="AO671" s="54"/>
      <c r="AP671" s="54"/>
      <c r="AQ671" s="54"/>
      <c r="AR671" s="54"/>
      <c r="AS671" s="54"/>
      <c r="AT671" s="54"/>
      <c r="AU671" s="54"/>
      <c r="AV671" s="54"/>
      <c r="AW671" s="54"/>
      <c r="AX671" s="54"/>
      <c r="AY671" s="54"/>
      <c r="AZ671" s="54"/>
      <c r="BA671" s="54"/>
      <c r="BB671" s="54"/>
      <c r="BC671" s="54"/>
      <c r="BD671" s="54"/>
      <c r="BE671" s="54"/>
      <c r="BF671" s="54"/>
      <c r="BG671" s="54"/>
      <c r="BH671" s="54"/>
      <c r="BI671" s="54"/>
      <c r="BJ671" s="54"/>
      <c r="BK671" s="54"/>
      <c r="BL671" s="54"/>
    </row>
    <row r="672" spans="1:64" ht="11.25" customHeight="1" x14ac:dyDescent="0.3">
      <c r="A672" s="54"/>
      <c r="B672" s="54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4"/>
      <c r="AI672" s="54"/>
      <c r="AJ672" s="54"/>
      <c r="AK672" s="54"/>
      <c r="AL672" s="54"/>
      <c r="AM672" s="54"/>
      <c r="AN672" s="54"/>
      <c r="AO672" s="54"/>
      <c r="AP672" s="54"/>
      <c r="AQ672" s="54"/>
      <c r="AR672" s="54"/>
      <c r="AS672" s="54"/>
      <c r="AT672" s="54"/>
      <c r="AU672" s="54"/>
      <c r="AV672" s="54"/>
      <c r="AW672" s="54"/>
      <c r="AX672" s="54"/>
      <c r="AY672" s="54"/>
      <c r="AZ672" s="54"/>
      <c r="BA672" s="54"/>
      <c r="BB672" s="54"/>
      <c r="BC672" s="54"/>
      <c r="BD672" s="54"/>
      <c r="BE672" s="54"/>
      <c r="BF672" s="54"/>
      <c r="BG672" s="54"/>
      <c r="BH672" s="54"/>
      <c r="BI672" s="54"/>
      <c r="BJ672" s="54"/>
      <c r="BK672" s="54"/>
      <c r="BL672" s="54"/>
    </row>
    <row r="673" spans="1:64" ht="11.25" customHeight="1" x14ac:dyDescent="0.3">
      <c r="A673" s="54"/>
      <c r="B673" s="54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4"/>
      <c r="AI673" s="54"/>
      <c r="AJ673" s="54"/>
      <c r="AK673" s="54"/>
      <c r="AL673" s="54"/>
      <c r="AM673" s="54"/>
      <c r="AN673" s="54"/>
      <c r="AO673" s="54"/>
      <c r="AP673" s="54"/>
      <c r="AQ673" s="54"/>
      <c r="AR673" s="54"/>
      <c r="AS673" s="54"/>
      <c r="AT673" s="54"/>
      <c r="AU673" s="54"/>
      <c r="AV673" s="54"/>
      <c r="AW673" s="54"/>
      <c r="AX673" s="54"/>
      <c r="AY673" s="54"/>
      <c r="AZ673" s="54"/>
      <c r="BA673" s="54"/>
      <c r="BB673" s="54"/>
      <c r="BC673" s="54"/>
      <c r="BD673" s="54"/>
      <c r="BE673" s="54"/>
      <c r="BF673" s="54"/>
      <c r="BG673" s="54"/>
      <c r="BH673" s="54"/>
      <c r="BI673" s="54"/>
      <c r="BJ673" s="54"/>
      <c r="BK673" s="54"/>
      <c r="BL673" s="54"/>
    </row>
    <row r="674" spans="1:64" ht="11.25" customHeight="1" x14ac:dyDescent="0.3">
      <c r="A674" s="54"/>
      <c r="B674" s="54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4"/>
      <c r="AI674" s="54"/>
      <c r="AJ674" s="54"/>
      <c r="AK674" s="54"/>
      <c r="AL674" s="54"/>
      <c r="AM674" s="54"/>
      <c r="AN674" s="54"/>
      <c r="AO674" s="54"/>
      <c r="AP674" s="54"/>
      <c r="AQ674" s="54"/>
      <c r="AR674" s="54"/>
      <c r="AS674" s="54"/>
      <c r="AT674" s="54"/>
      <c r="AU674" s="54"/>
      <c r="AV674" s="54"/>
      <c r="AW674" s="54"/>
      <c r="AX674" s="54"/>
      <c r="AY674" s="54"/>
      <c r="AZ674" s="54"/>
      <c r="BA674" s="54"/>
      <c r="BB674" s="54"/>
      <c r="BC674" s="54"/>
      <c r="BD674" s="54"/>
      <c r="BE674" s="54"/>
      <c r="BF674" s="54"/>
      <c r="BG674" s="54"/>
      <c r="BH674" s="54"/>
      <c r="BI674" s="54"/>
      <c r="BJ674" s="54"/>
      <c r="BK674" s="54"/>
      <c r="BL674" s="54"/>
    </row>
    <row r="675" spans="1:64" ht="11.25" customHeight="1" x14ac:dyDescent="0.3">
      <c r="A675" s="54"/>
      <c r="B675" s="54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  <c r="AG675" s="54"/>
      <c r="AH675" s="54"/>
      <c r="AI675" s="54"/>
      <c r="AJ675" s="54"/>
      <c r="AK675" s="54"/>
      <c r="AL675" s="54"/>
      <c r="AM675" s="54"/>
      <c r="AN675" s="54"/>
      <c r="AO675" s="54"/>
      <c r="AP675" s="54"/>
      <c r="AQ675" s="54"/>
      <c r="AR675" s="54"/>
      <c r="AS675" s="54"/>
      <c r="AT675" s="54"/>
      <c r="AU675" s="54"/>
      <c r="AV675" s="54"/>
      <c r="AW675" s="54"/>
      <c r="AX675" s="54"/>
      <c r="AY675" s="54"/>
      <c r="AZ675" s="54"/>
      <c r="BA675" s="54"/>
      <c r="BB675" s="54"/>
      <c r="BC675" s="54"/>
      <c r="BD675" s="54"/>
      <c r="BE675" s="54"/>
      <c r="BF675" s="54"/>
      <c r="BG675" s="54"/>
      <c r="BH675" s="54"/>
      <c r="BI675" s="54"/>
      <c r="BJ675" s="54"/>
      <c r="BK675" s="54"/>
      <c r="BL675" s="54"/>
    </row>
    <row r="676" spans="1:64" ht="11.25" customHeight="1" x14ac:dyDescent="0.3">
      <c r="A676" s="54"/>
      <c r="B676" s="54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  <c r="AG676" s="54"/>
      <c r="AH676" s="54"/>
      <c r="AI676" s="54"/>
      <c r="AJ676" s="54"/>
      <c r="AK676" s="54"/>
      <c r="AL676" s="54"/>
      <c r="AM676" s="54"/>
      <c r="AN676" s="54"/>
      <c r="AO676" s="54"/>
      <c r="AP676" s="54"/>
      <c r="AQ676" s="54"/>
      <c r="AR676" s="54"/>
      <c r="AS676" s="54"/>
      <c r="AT676" s="54"/>
      <c r="AU676" s="54"/>
      <c r="AV676" s="54"/>
      <c r="AW676" s="54"/>
      <c r="AX676" s="54"/>
      <c r="AY676" s="54"/>
      <c r="AZ676" s="54"/>
      <c r="BA676" s="54"/>
      <c r="BB676" s="54"/>
      <c r="BC676" s="54"/>
      <c r="BD676" s="54"/>
      <c r="BE676" s="54"/>
      <c r="BF676" s="54"/>
      <c r="BG676" s="54"/>
      <c r="BH676" s="54"/>
      <c r="BI676" s="54"/>
      <c r="BJ676" s="54"/>
      <c r="BK676" s="54"/>
      <c r="BL676" s="54"/>
    </row>
    <row r="677" spans="1:64" ht="11.25" customHeight="1" x14ac:dyDescent="0.3">
      <c r="A677" s="54"/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4"/>
      <c r="AI677" s="54"/>
      <c r="AJ677" s="54"/>
      <c r="AK677" s="54"/>
      <c r="AL677" s="54"/>
      <c r="AM677" s="54"/>
      <c r="AN677" s="54"/>
      <c r="AO677" s="54"/>
      <c r="AP677" s="54"/>
      <c r="AQ677" s="54"/>
      <c r="AR677" s="54"/>
      <c r="AS677" s="54"/>
      <c r="AT677" s="54"/>
      <c r="AU677" s="54"/>
      <c r="AV677" s="54"/>
      <c r="AW677" s="54"/>
      <c r="AX677" s="54"/>
      <c r="AY677" s="54"/>
      <c r="AZ677" s="54"/>
      <c r="BA677" s="54"/>
      <c r="BB677" s="54"/>
      <c r="BC677" s="54"/>
      <c r="BD677" s="54"/>
      <c r="BE677" s="54"/>
      <c r="BF677" s="54"/>
      <c r="BG677" s="54"/>
      <c r="BH677" s="54"/>
      <c r="BI677" s="54"/>
      <c r="BJ677" s="54"/>
      <c r="BK677" s="54"/>
      <c r="BL677" s="54"/>
    </row>
    <row r="678" spans="1:64" ht="11.25" customHeight="1" x14ac:dyDescent="0.3">
      <c r="A678" s="54"/>
      <c r="B678" s="54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4"/>
      <c r="AI678" s="54"/>
      <c r="AJ678" s="54"/>
      <c r="AK678" s="54"/>
      <c r="AL678" s="54"/>
      <c r="AM678" s="54"/>
      <c r="AN678" s="54"/>
      <c r="AO678" s="54"/>
      <c r="AP678" s="54"/>
      <c r="AQ678" s="54"/>
      <c r="AR678" s="54"/>
      <c r="AS678" s="54"/>
      <c r="AT678" s="54"/>
      <c r="AU678" s="54"/>
      <c r="AV678" s="54"/>
      <c r="AW678" s="54"/>
      <c r="AX678" s="54"/>
      <c r="AY678" s="54"/>
      <c r="AZ678" s="54"/>
      <c r="BA678" s="54"/>
      <c r="BB678" s="54"/>
      <c r="BC678" s="54"/>
      <c r="BD678" s="54"/>
      <c r="BE678" s="54"/>
      <c r="BF678" s="54"/>
      <c r="BG678" s="54"/>
      <c r="BH678" s="54"/>
      <c r="BI678" s="54"/>
      <c r="BJ678" s="54"/>
      <c r="BK678" s="54"/>
      <c r="BL678" s="54"/>
    </row>
    <row r="679" spans="1:64" ht="11.25" customHeight="1" x14ac:dyDescent="0.3">
      <c r="A679" s="54"/>
      <c r="B679" s="54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4"/>
      <c r="AI679" s="54"/>
      <c r="AJ679" s="54"/>
      <c r="AK679" s="54"/>
      <c r="AL679" s="54"/>
      <c r="AM679" s="54"/>
      <c r="AN679" s="54"/>
      <c r="AO679" s="54"/>
      <c r="AP679" s="54"/>
      <c r="AQ679" s="54"/>
      <c r="AR679" s="54"/>
      <c r="AS679" s="54"/>
      <c r="AT679" s="54"/>
      <c r="AU679" s="54"/>
      <c r="AV679" s="54"/>
      <c r="AW679" s="54"/>
      <c r="AX679" s="54"/>
      <c r="AY679" s="54"/>
      <c r="AZ679" s="54"/>
      <c r="BA679" s="54"/>
      <c r="BB679" s="54"/>
      <c r="BC679" s="54"/>
      <c r="BD679" s="54"/>
      <c r="BE679" s="54"/>
      <c r="BF679" s="54"/>
      <c r="BG679" s="54"/>
      <c r="BH679" s="54"/>
      <c r="BI679" s="54"/>
      <c r="BJ679" s="54"/>
      <c r="BK679" s="54"/>
      <c r="BL679" s="54"/>
    </row>
    <row r="680" spans="1:64" ht="11.25" customHeight="1" x14ac:dyDescent="0.3">
      <c r="A680" s="54"/>
      <c r="B680" s="54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4"/>
      <c r="AI680" s="54"/>
      <c r="AJ680" s="54"/>
      <c r="AK680" s="54"/>
      <c r="AL680" s="54"/>
      <c r="AM680" s="54"/>
      <c r="AN680" s="54"/>
      <c r="AO680" s="54"/>
      <c r="AP680" s="54"/>
      <c r="AQ680" s="54"/>
      <c r="AR680" s="54"/>
      <c r="AS680" s="54"/>
      <c r="AT680" s="54"/>
      <c r="AU680" s="54"/>
      <c r="AV680" s="54"/>
      <c r="AW680" s="54"/>
      <c r="AX680" s="54"/>
      <c r="AY680" s="54"/>
      <c r="AZ680" s="54"/>
      <c r="BA680" s="54"/>
      <c r="BB680" s="54"/>
      <c r="BC680" s="54"/>
      <c r="BD680" s="54"/>
      <c r="BE680" s="54"/>
      <c r="BF680" s="54"/>
      <c r="BG680" s="54"/>
      <c r="BH680" s="54"/>
      <c r="BI680" s="54"/>
      <c r="BJ680" s="54"/>
      <c r="BK680" s="54"/>
      <c r="BL680" s="54"/>
    </row>
    <row r="681" spans="1:64" ht="11.25" customHeight="1" x14ac:dyDescent="0.3">
      <c r="A681" s="54"/>
      <c r="B681" s="54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4"/>
      <c r="AI681" s="54"/>
      <c r="AJ681" s="54"/>
      <c r="AK681" s="54"/>
      <c r="AL681" s="54"/>
      <c r="AM681" s="54"/>
      <c r="AN681" s="54"/>
      <c r="AO681" s="54"/>
      <c r="AP681" s="54"/>
      <c r="AQ681" s="54"/>
      <c r="AR681" s="54"/>
      <c r="AS681" s="54"/>
      <c r="AT681" s="54"/>
      <c r="AU681" s="54"/>
      <c r="AV681" s="54"/>
      <c r="AW681" s="54"/>
      <c r="AX681" s="54"/>
      <c r="AY681" s="54"/>
      <c r="AZ681" s="54"/>
      <c r="BA681" s="54"/>
      <c r="BB681" s="54"/>
      <c r="BC681" s="54"/>
      <c r="BD681" s="54"/>
      <c r="BE681" s="54"/>
      <c r="BF681" s="54"/>
      <c r="BG681" s="54"/>
      <c r="BH681" s="54"/>
      <c r="BI681" s="54"/>
      <c r="BJ681" s="54"/>
      <c r="BK681" s="54"/>
      <c r="BL681" s="54"/>
    </row>
    <row r="682" spans="1:64" ht="11.25" customHeight="1" x14ac:dyDescent="0.3">
      <c r="A682" s="54"/>
      <c r="B682" s="54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4"/>
      <c r="AI682" s="54"/>
      <c r="AJ682" s="54"/>
      <c r="AK682" s="54"/>
      <c r="AL682" s="54"/>
      <c r="AM682" s="54"/>
      <c r="AN682" s="54"/>
      <c r="AO682" s="54"/>
      <c r="AP682" s="54"/>
      <c r="AQ682" s="54"/>
      <c r="AR682" s="54"/>
      <c r="AS682" s="54"/>
      <c r="AT682" s="54"/>
      <c r="AU682" s="54"/>
      <c r="AV682" s="54"/>
      <c r="AW682" s="54"/>
      <c r="AX682" s="54"/>
      <c r="AY682" s="54"/>
      <c r="AZ682" s="54"/>
      <c r="BA682" s="54"/>
      <c r="BB682" s="54"/>
      <c r="BC682" s="54"/>
      <c r="BD682" s="54"/>
      <c r="BE682" s="54"/>
      <c r="BF682" s="54"/>
      <c r="BG682" s="54"/>
      <c r="BH682" s="54"/>
      <c r="BI682" s="54"/>
      <c r="BJ682" s="54"/>
      <c r="BK682" s="54"/>
      <c r="BL682" s="54"/>
    </row>
    <row r="683" spans="1:64" ht="11.25" customHeight="1" x14ac:dyDescent="0.3">
      <c r="A683" s="54"/>
      <c r="B683" s="54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4"/>
      <c r="AI683" s="54"/>
      <c r="AJ683" s="54"/>
      <c r="AK683" s="54"/>
      <c r="AL683" s="54"/>
      <c r="AM683" s="54"/>
      <c r="AN683" s="54"/>
      <c r="AO683" s="54"/>
      <c r="AP683" s="54"/>
      <c r="AQ683" s="54"/>
      <c r="AR683" s="54"/>
      <c r="AS683" s="54"/>
      <c r="AT683" s="54"/>
      <c r="AU683" s="54"/>
      <c r="AV683" s="54"/>
      <c r="AW683" s="54"/>
      <c r="AX683" s="54"/>
      <c r="AY683" s="54"/>
      <c r="AZ683" s="54"/>
      <c r="BA683" s="54"/>
      <c r="BB683" s="54"/>
      <c r="BC683" s="54"/>
      <c r="BD683" s="54"/>
      <c r="BE683" s="54"/>
      <c r="BF683" s="54"/>
      <c r="BG683" s="54"/>
      <c r="BH683" s="54"/>
      <c r="BI683" s="54"/>
      <c r="BJ683" s="54"/>
      <c r="BK683" s="54"/>
      <c r="BL683" s="54"/>
    </row>
    <row r="684" spans="1:64" ht="11.25" customHeight="1" x14ac:dyDescent="0.3">
      <c r="A684" s="54"/>
      <c r="B684" s="54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4"/>
      <c r="AI684" s="54"/>
      <c r="AJ684" s="54"/>
      <c r="AK684" s="54"/>
      <c r="AL684" s="54"/>
      <c r="AM684" s="54"/>
      <c r="AN684" s="54"/>
      <c r="AO684" s="54"/>
      <c r="AP684" s="54"/>
      <c r="AQ684" s="54"/>
      <c r="AR684" s="54"/>
      <c r="AS684" s="54"/>
      <c r="AT684" s="54"/>
      <c r="AU684" s="54"/>
      <c r="AV684" s="54"/>
      <c r="AW684" s="54"/>
      <c r="AX684" s="54"/>
      <c r="AY684" s="54"/>
      <c r="AZ684" s="54"/>
      <c r="BA684" s="54"/>
      <c r="BB684" s="54"/>
      <c r="BC684" s="54"/>
      <c r="BD684" s="54"/>
      <c r="BE684" s="54"/>
      <c r="BF684" s="54"/>
      <c r="BG684" s="54"/>
      <c r="BH684" s="54"/>
      <c r="BI684" s="54"/>
      <c r="BJ684" s="54"/>
      <c r="BK684" s="54"/>
      <c r="BL684" s="54"/>
    </row>
    <row r="685" spans="1:64" ht="11.25" customHeight="1" x14ac:dyDescent="0.3">
      <c r="A685" s="54"/>
      <c r="B685" s="54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4"/>
      <c r="AI685" s="54"/>
      <c r="AJ685" s="54"/>
      <c r="AK685" s="54"/>
      <c r="AL685" s="54"/>
      <c r="AM685" s="54"/>
      <c r="AN685" s="54"/>
      <c r="AO685" s="54"/>
      <c r="AP685" s="54"/>
      <c r="AQ685" s="54"/>
      <c r="AR685" s="54"/>
      <c r="AS685" s="54"/>
      <c r="AT685" s="54"/>
      <c r="AU685" s="54"/>
      <c r="AV685" s="54"/>
      <c r="AW685" s="54"/>
      <c r="AX685" s="54"/>
      <c r="AY685" s="54"/>
      <c r="AZ685" s="54"/>
      <c r="BA685" s="54"/>
      <c r="BB685" s="54"/>
      <c r="BC685" s="54"/>
      <c r="BD685" s="54"/>
      <c r="BE685" s="54"/>
      <c r="BF685" s="54"/>
      <c r="BG685" s="54"/>
      <c r="BH685" s="54"/>
      <c r="BI685" s="54"/>
      <c r="BJ685" s="54"/>
      <c r="BK685" s="54"/>
      <c r="BL685" s="54"/>
    </row>
    <row r="686" spans="1:64" ht="11.25" customHeight="1" x14ac:dyDescent="0.3">
      <c r="A686" s="54"/>
      <c r="B686" s="54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4"/>
      <c r="AI686" s="54"/>
      <c r="AJ686" s="54"/>
      <c r="AK686" s="54"/>
      <c r="AL686" s="54"/>
      <c r="AM686" s="54"/>
      <c r="AN686" s="54"/>
      <c r="AO686" s="54"/>
      <c r="AP686" s="54"/>
      <c r="AQ686" s="54"/>
      <c r="AR686" s="54"/>
      <c r="AS686" s="54"/>
      <c r="AT686" s="54"/>
      <c r="AU686" s="54"/>
      <c r="AV686" s="54"/>
      <c r="AW686" s="54"/>
      <c r="AX686" s="54"/>
      <c r="AY686" s="54"/>
      <c r="AZ686" s="54"/>
      <c r="BA686" s="54"/>
      <c r="BB686" s="54"/>
      <c r="BC686" s="54"/>
      <c r="BD686" s="54"/>
      <c r="BE686" s="54"/>
      <c r="BF686" s="54"/>
      <c r="BG686" s="54"/>
      <c r="BH686" s="54"/>
      <c r="BI686" s="54"/>
      <c r="BJ686" s="54"/>
      <c r="BK686" s="54"/>
      <c r="BL686" s="54"/>
    </row>
    <row r="687" spans="1:64" ht="11.25" customHeight="1" x14ac:dyDescent="0.3">
      <c r="A687" s="54"/>
      <c r="B687" s="54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4"/>
      <c r="AI687" s="54"/>
      <c r="AJ687" s="54"/>
      <c r="AK687" s="54"/>
      <c r="AL687" s="54"/>
      <c r="AM687" s="54"/>
      <c r="AN687" s="54"/>
      <c r="AO687" s="54"/>
      <c r="AP687" s="54"/>
      <c r="AQ687" s="54"/>
      <c r="AR687" s="54"/>
      <c r="AS687" s="54"/>
      <c r="AT687" s="54"/>
      <c r="AU687" s="54"/>
      <c r="AV687" s="54"/>
      <c r="AW687" s="54"/>
      <c r="AX687" s="54"/>
      <c r="AY687" s="54"/>
      <c r="AZ687" s="54"/>
      <c r="BA687" s="54"/>
      <c r="BB687" s="54"/>
      <c r="BC687" s="54"/>
      <c r="BD687" s="54"/>
      <c r="BE687" s="54"/>
      <c r="BF687" s="54"/>
      <c r="BG687" s="54"/>
      <c r="BH687" s="54"/>
      <c r="BI687" s="54"/>
      <c r="BJ687" s="54"/>
      <c r="BK687" s="54"/>
      <c r="BL687" s="54"/>
    </row>
    <row r="688" spans="1:64" ht="11.25" customHeight="1" x14ac:dyDescent="0.3">
      <c r="A688" s="54"/>
      <c r="B688" s="54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4"/>
      <c r="AI688" s="54"/>
      <c r="AJ688" s="54"/>
      <c r="AK688" s="54"/>
      <c r="AL688" s="54"/>
      <c r="AM688" s="54"/>
      <c r="AN688" s="54"/>
      <c r="AO688" s="54"/>
      <c r="AP688" s="54"/>
      <c r="AQ688" s="54"/>
      <c r="AR688" s="54"/>
      <c r="AS688" s="54"/>
      <c r="AT688" s="54"/>
      <c r="AU688" s="54"/>
      <c r="AV688" s="54"/>
      <c r="AW688" s="54"/>
      <c r="AX688" s="54"/>
      <c r="AY688" s="54"/>
      <c r="AZ688" s="54"/>
      <c r="BA688" s="54"/>
      <c r="BB688" s="54"/>
      <c r="BC688" s="54"/>
      <c r="BD688" s="54"/>
      <c r="BE688" s="54"/>
      <c r="BF688" s="54"/>
      <c r="BG688" s="54"/>
      <c r="BH688" s="54"/>
      <c r="BI688" s="54"/>
      <c r="BJ688" s="54"/>
      <c r="BK688" s="54"/>
      <c r="BL688" s="54"/>
    </row>
    <row r="689" spans="1:64" ht="11.25" customHeight="1" x14ac:dyDescent="0.3">
      <c r="A689" s="54"/>
      <c r="B689" s="54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4"/>
      <c r="AI689" s="54"/>
      <c r="AJ689" s="54"/>
      <c r="AK689" s="54"/>
      <c r="AL689" s="54"/>
      <c r="AM689" s="54"/>
      <c r="AN689" s="54"/>
      <c r="AO689" s="54"/>
      <c r="AP689" s="54"/>
      <c r="AQ689" s="54"/>
      <c r="AR689" s="54"/>
      <c r="AS689" s="54"/>
      <c r="AT689" s="54"/>
      <c r="AU689" s="54"/>
      <c r="AV689" s="54"/>
      <c r="AW689" s="54"/>
      <c r="AX689" s="54"/>
      <c r="AY689" s="54"/>
      <c r="AZ689" s="54"/>
      <c r="BA689" s="54"/>
      <c r="BB689" s="54"/>
      <c r="BC689" s="54"/>
      <c r="BD689" s="54"/>
      <c r="BE689" s="54"/>
      <c r="BF689" s="54"/>
      <c r="BG689" s="54"/>
      <c r="BH689" s="54"/>
      <c r="BI689" s="54"/>
      <c r="BJ689" s="54"/>
      <c r="BK689" s="54"/>
      <c r="BL689" s="54"/>
    </row>
    <row r="690" spans="1:64" ht="11.25" customHeight="1" x14ac:dyDescent="0.3">
      <c r="A690" s="54"/>
      <c r="B690" s="54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4"/>
      <c r="AI690" s="54"/>
      <c r="AJ690" s="54"/>
      <c r="AK690" s="54"/>
      <c r="AL690" s="54"/>
      <c r="AM690" s="54"/>
      <c r="AN690" s="54"/>
      <c r="AO690" s="54"/>
      <c r="AP690" s="54"/>
      <c r="AQ690" s="54"/>
      <c r="AR690" s="54"/>
      <c r="AS690" s="54"/>
      <c r="AT690" s="54"/>
      <c r="AU690" s="54"/>
      <c r="AV690" s="54"/>
      <c r="AW690" s="54"/>
      <c r="AX690" s="54"/>
      <c r="AY690" s="54"/>
      <c r="AZ690" s="54"/>
      <c r="BA690" s="54"/>
      <c r="BB690" s="54"/>
      <c r="BC690" s="54"/>
      <c r="BD690" s="54"/>
      <c r="BE690" s="54"/>
      <c r="BF690" s="54"/>
      <c r="BG690" s="54"/>
      <c r="BH690" s="54"/>
      <c r="BI690" s="54"/>
      <c r="BJ690" s="54"/>
      <c r="BK690" s="54"/>
      <c r="BL690" s="54"/>
    </row>
    <row r="691" spans="1:64" ht="11.25" customHeight="1" x14ac:dyDescent="0.3">
      <c r="A691" s="54"/>
      <c r="B691" s="54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  <c r="AA691" s="54"/>
      <c r="AB691" s="54"/>
      <c r="AC691" s="54"/>
      <c r="AD691" s="54"/>
      <c r="AE691" s="54"/>
      <c r="AF691" s="54"/>
      <c r="AG691" s="54"/>
      <c r="AH691" s="54"/>
      <c r="AI691" s="54"/>
      <c r="AJ691" s="54"/>
      <c r="AK691" s="54"/>
      <c r="AL691" s="54"/>
      <c r="AM691" s="54"/>
      <c r="AN691" s="54"/>
      <c r="AO691" s="54"/>
      <c r="AP691" s="54"/>
      <c r="AQ691" s="54"/>
      <c r="AR691" s="54"/>
      <c r="AS691" s="54"/>
      <c r="AT691" s="54"/>
      <c r="AU691" s="54"/>
      <c r="AV691" s="54"/>
      <c r="AW691" s="54"/>
      <c r="AX691" s="54"/>
      <c r="AY691" s="54"/>
      <c r="AZ691" s="54"/>
      <c r="BA691" s="54"/>
      <c r="BB691" s="54"/>
      <c r="BC691" s="54"/>
      <c r="BD691" s="54"/>
      <c r="BE691" s="54"/>
      <c r="BF691" s="54"/>
      <c r="BG691" s="54"/>
      <c r="BH691" s="54"/>
      <c r="BI691" s="54"/>
      <c r="BJ691" s="54"/>
      <c r="BK691" s="54"/>
      <c r="BL691" s="54"/>
    </row>
    <row r="692" spans="1:64" ht="11.25" customHeight="1" x14ac:dyDescent="0.3">
      <c r="A692" s="54"/>
      <c r="B692" s="54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  <c r="AA692" s="54"/>
      <c r="AB692" s="54"/>
      <c r="AC692" s="54"/>
      <c r="AD692" s="54"/>
      <c r="AE692" s="54"/>
      <c r="AF692" s="54"/>
      <c r="AG692" s="54"/>
      <c r="AH692" s="54"/>
      <c r="AI692" s="54"/>
      <c r="AJ692" s="54"/>
      <c r="AK692" s="54"/>
      <c r="AL692" s="54"/>
      <c r="AM692" s="54"/>
      <c r="AN692" s="54"/>
      <c r="AO692" s="54"/>
      <c r="AP692" s="54"/>
      <c r="AQ692" s="54"/>
      <c r="AR692" s="54"/>
      <c r="AS692" s="54"/>
      <c r="AT692" s="54"/>
      <c r="AU692" s="54"/>
      <c r="AV692" s="54"/>
      <c r="AW692" s="54"/>
      <c r="AX692" s="54"/>
      <c r="AY692" s="54"/>
      <c r="AZ692" s="54"/>
      <c r="BA692" s="54"/>
      <c r="BB692" s="54"/>
      <c r="BC692" s="54"/>
      <c r="BD692" s="54"/>
      <c r="BE692" s="54"/>
      <c r="BF692" s="54"/>
      <c r="BG692" s="54"/>
      <c r="BH692" s="54"/>
      <c r="BI692" s="54"/>
      <c r="BJ692" s="54"/>
      <c r="BK692" s="54"/>
      <c r="BL692" s="54"/>
    </row>
    <row r="693" spans="1:64" ht="11.25" customHeight="1" x14ac:dyDescent="0.3">
      <c r="A693" s="54"/>
      <c r="B693" s="54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4"/>
      <c r="AI693" s="54"/>
      <c r="AJ693" s="54"/>
      <c r="AK693" s="54"/>
      <c r="AL693" s="54"/>
      <c r="AM693" s="54"/>
      <c r="AN693" s="54"/>
      <c r="AO693" s="54"/>
      <c r="AP693" s="54"/>
      <c r="AQ693" s="54"/>
      <c r="AR693" s="54"/>
      <c r="AS693" s="54"/>
      <c r="AT693" s="54"/>
      <c r="AU693" s="54"/>
      <c r="AV693" s="54"/>
      <c r="AW693" s="54"/>
      <c r="AX693" s="54"/>
      <c r="AY693" s="54"/>
      <c r="AZ693" s="54"/>
      <c r="BA693" s="54"/>
      <c r="BB693" s="54"/>
      <c r="BC693" s="54"/>
      <c r="BD693" s="54"/>
      <c r="BE693" s="54"/>
      <c r="BF693" s="54"/>
      <c r="BG693" s="54"/>
      <c r="BH693" s="54"/>
      <c r="BI693" s="54"/>
      <c r="BJ693" s="54"/>
      <c r="BK693" s="54"/>
      <c r="BL693" s="54"/>
    </row>
    <row r="694" spans="1:64" ht="11.25" customHeight="1" x14ac:dyDescent="0.3">
      <c r="A694" s="54"/>
      <c r="B694" s="54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4"/>
      <c r="AI694" s="54"/>
      <c r="AJ694" s="54"/>
      <c r="AK694" s="54"/>
      <c r="AL694" s="54"/>
      <c r="AM694" s="54"/>
      <c r="AN694" s="54"/>
      <c r="AO694" s="54"/>
      <c r="AP694" s="54"/>
      <c r="AQ694" s="54"/>
      <c r="AR694" s="54"/>
      <c r="AS694" s="54"/>
      <c r="AT694" s="54"/>
      <c r="AU694" s="54"/>
      <c r="AV694" s="54"/>
      <c r="AW694" s="54"/>
      <c r="AX694" s="54"/>
      <c r="AY694" s="54"/>
      <c r="AZ694" s="54"/>
      <c r="BA694" s="54"/>
      <c r="BB694" s="54"/>
      <c r="BC694" s="54"/>
      <c r="BD694" s="54"/>
      <c r="BE694" s="54"/>
      <c r="BF694" s="54"/>
      <c r="BG694" s="54"/>
      <c r="BH694" s="54"/>
      <c r="BI694" s="54"/>
      <c r="BJ694" s="54"/>
      <c r="BK694" s="54"/>
      <c r="BL694" s="54"/>
    </row>
    <row r="695" spans="1:64" ht="11.25" customHeight="1" x14ac:dyDescent="0.3">
      <c r="A695" s="54"/>
      <c r="B695" s="54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4"/>
      <c r="AI695" s="54"/>
      <c r="AJ695" s="54"/>
      <c r="AK695" s="54"/>
      <c r="AL695" s="54"/>
      <c r="AM695" s="54"/>
      <c r="AN695" s="54"/>
      <c r="AO695" s="54"/>
      <c r="AP695" s="54"/>
      <c r="AQ695" s="54"/>
      <c r="AR695" s="54"/>
      <c r="AS695" s="54"/>
      <c r="AT695" s="54"/>
      <c r="AU695" s="54"/>
      <c r="AV695" s="54"/>
      <c r="AW695" s="54"/>
      <c r="AX695" s="54"/>
      <c r="AY695" s="54"/>
      <c r="AZ695" s="54"/>
      <c r="BA695" s="54"/>
      <c r="BB695" s="54"/>
      <c r="BC695" s="54"/>
      <c r="BD695" s="54"/>
      <c r="BE695" s="54"/>
      <c r="BF695" s="54"/>
      <c r="BG695" s="54"/>
      <c r="BH695" s="54"/>
      <c r="BI695" s="54"/>
      <c r="BJ695" s="54"/>
      <c r="BK695" s="54"/>
      <c r="BL695" s="54"/>
    </row>
    <row r="696" spans="1:64" ht="11.25" customHeight="1" x14ac:dyDescent="0.3">
      <c r="A696" s="54"/>
      <c r="B696" s="54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4"/>
      <c r="AI696" s="54"/>
      <c r="AJ696" s="54"/>
      <c r="AK696" s="54"/>
      <c r="AL696" s="54"/>
      <c r="AM696" s="54"/>
      <c r="AN696" s="54"/>
      <c r="AO696" s="54"/>
      <c r="AP696" s="54"/>
      <c r="AQ696" s="54"/>
      <c r="AR696" s="54"/>
      <c r="AS696" s="54"/>
      <c r="AT696" s="54"/>
      <c r="AU696" s="54"/>
      <c r="AV696" s="54"/>
      <c r="AW696" s="54"/>
      <c r="AX696" s="54"/>
      <c r="AY696" s="54"/>
      <c r="AZ696" s="54"/>
      <c r="BA696" s="54"/>
      <c r="BB696" s="54"/>
      <c r="BC696" s="54"/>
      <c r="BD696" s="54"/>
      <c r="BE696" s="54"/>
      <c r="BF696" s="54"/>
      <c r="BG696" s="54"/>
      <c r="BH696" s="54"/>
      <c r="BI696" s="54"/>
      <c r="BJ696" s="54"/>
      <c r="BK696" s="54"/>
      <c r="BL696" s="54"/>
    </row>
    <row r="697" spans="1:64" ht="11.25" customHeight="1" x14ac:dyDescent="0.3">
      <c r="A697" s="54"/>
      <c r="B697" s="54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4"/>
      <c r="AI697" s="54"/>
      <c r="AJ697" s="54"/>
      <c r="AK697" s="54"/>
      <c r="AL697" s="54"/>
      <c r="AM697" s="54"/>
      <c r="AN697" s="54"/>
      <c r="AO697" s="54"/>
      <c r="AP697" s="54"/>
      <c r="AQ697" s="54"/>
      <c r="AR697" s="54"/>
      <c r="AS697" s="54"/>
      <c r="AT697" s="54"/>
      <c r="AU697" s="54"/>
      <c r="AV697" s="54"/>
      <c r="AW697" s="54"/>
      <c r="AX697" s="54"/>
      <c r="AY697" s="54"/>
      <c r="AZ697" s="54"/>
      <c r="BA697" s="54"/>
      <c r="BB697" s="54"/>
      <c r="BC697" s="54"/>
      <c r="BD697" s="54"/>
      <c r="BE697" s="54"/>
      <c r="BF697" s="54"/>
      <c r="BG697" s="54"/>
      <c r="BH697" s="54"/>
      <c r="BI697" s="54"/>
      <c r="BJ697" s="54"/>
      <c r="BK697" s="54"/>
      <c r="BL697" s="54"/>
    </row>
    <row r="698" spans="1:64" ht="11.25" customHeight="1" x14ac:dyDescent="0.3">
      <c r="A698" s="54"/>
      <c r="B698" s="54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4"/>
      <c r="AI698" s="54"/>
      <c r="AJ698" s="54"/>
      <c r="AK698" s="54"/>
      <c r="AL698" s="54"/>
      <c r="AM698" s="54"/>
      <c r="AN698" s="54"/>
      <c r="AO698" s="54"/>
      <c r="AP698" s="54"/>
      <c r="AQ698" s="54"/>
      <c r="AR698" s="54"/>
      <c r="AS698" s="54"/>
      <c r="AT698" s="54"/>
      <c r="AU698" s="54"/>
      <c r="AV698" s="54"/>
      <c r="AW698" s="54"/>
      <c r="AX698" s="54"/>
      <c r="AY698" s="54"/>
      <c r="AZ698" s="54"/>
      <c r="BA698" s="54"/>
      <c r="BB698" s="54"/>
      <c r="BC698" s="54"/>
      <c r="BD698" s="54"/>
      <c r="BE698" s="54"/>
      <c r="BF698" s="54"/>
      <c r="BG698" s="54"/>
      <c r="BH698" s="54"/>
      <c r="BI698" s="54"/>
      <c r="BJ698" s="54"/>
      <c r="BK698" s="54"/>
      <c r="BL698" s="54"/>
    </row>
    <row r="699" spans="1:64" ht="11.25" customHeight="1" x14ac:dyDescent="0.3">
      <c r="A699" s="54"/>
      <c r="B699" s="54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4"/>
      <c r="AI699" s="54"/>
      <c r="AJ699" s="54"/>
      <c r="AK699" s="54"/>
      <c r="AL699" s="54"/>
      <c r="AM699" s="54"/>
      <c r="AN699" s="54"/>
      <c r="AO699" s="54"/>
      <c r="AP699" s="54"/>
      <c r="AQ699" s="54"/>
      <c r="AR699" s="54"/>
      <c r="AS699" s="54"/>
      <c r="AT699" s="54"/>
      <c r="AU699" s="54"/>
      <c r="AV699" s="54"/>
      <c r="AW699" s="54"/>
      <c r="AX699" s="54"/>
      <c r="AY699" s="54"/>
      <c r="AZ699" s="54"/>
      <c r="BA699" s="54"/>
      <c r="BB699" s="54"/>
      <c r="BC699" s="54"/>
      <c r="BD699" s="54"/>
      <c r="BE699" s="54"/>
      <c r="BF699" s="54"/>
      <c r="BG699" s="54"/>
      <c r="BH699" s="54"/>
      <c r="BI699" s="54"/>
      <c r="BJ699" s="54"/>
      <c r="BK699" s="54"/>
      <c r="BL699" s="54"/>
    </row>
    <row r="700" spans="1:64" ht="11.25" customHeight="1" x14ac:dyDescent="0.3">
      <c r="A700" s="54"/>
      <c r="B700" s="54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4"/>
      <c r="AI700" s="54"/>
      <c r="AJ700" s="54"/>
      <c r="AK700" s="54"/>
      <c r="AL700" s="54"/>
      <c r="AM700" s="54"/>
      <c r="AN700" s="54"/>
      <c r="AO700" s="54"/>
      <c r="AP700" s="54"/>
      <c r="AQ700" s="54"/>
      <c r="AR700" s="54"/>
      <c r="AS700" s="54"/>
      <c r="AT700" s="54"/>
      <c r="AU700" s="54"/>
      <c r="AV700" s="54"/>
      <c r="AW700" s="54"/>
      <c r="AX700" s="54"/>
      <c r="AY700" s="54"/>
      <c r="AZ700" s="54"/>
      <c r="BA700" s="54"/>
      <c r="BB700" s="54"/>
      <c r="BC700" s="54"/>
      <c r="BD700" s="54"/>
      <c r="BE700" s="54"/>
      <c r="BF700" s="54"/>
      <c r="BG700" s="54"/>
      <c r="BH700" s="54"/>
      <c r="BI700" s="54"/>
      <c r="BJ700" s="54"/>
      <c r="BK700" s="54"/>
      <c r="BL700" s="54"/>
    </row>
    <row r="701" spans="1:64" ht="11.25" customHeight="1" x14ac:dyDescent="0.3">
      <c r="A701" s="54"/>
      <c r="B701" s="54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4"/>
      <c r="AI701" s="54"/>
      <c r="AJ701" s="54"/>
      <c r="AK701" s="54"/>
      <c r="AL701" s="54"/>
      <c r="AM701" s="54"/>
      <c r="AN701" s="54"/>
      <c r="AO701" s="54"/>
      <c r="AP701" s="54"/>
      <c r="AQ701" s="54"/>
      <c r="AR701" s="54"/>
      <c r="AS701" s="54"/>
      <c r="AT701" s="54"/>
      <c r="AU701" s="54"/>
      <c r="AV701" s="54"/>
      <c r="AW701" s="54"/>
      <c r="AX701" s="54"/>
      <c r="AY701" s="54"/>
      <c r="AZ701" s="54"/>
      <c r="BA701" s="54"/>
      <c r="BB701" s="54"/>
      <c r="BC701" s="54"/>
      <c r="BD701" s="54"/>
      <c r="BE701" s="54"/>
      <c r="BF701" s="54"/>
      <c r="BG701" s="54"/>
      <c r="BH701" s="54"/>
      <c r="BI701" s="54"/>
      <c r="BJ701" s="54"/>
      <c r="BK701" s="54"/>
      <c r="BL701" s="54"/>
    </row>
    <row r="702" spans="1:64" ht="11.25" customHeight="1" x14ac:dyDescent="0.3">
      <c r="A702" s="54"/>
      <c r="B702" s="54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4"/>
      <c r="AI702" s="54"/>
      <c r="AJ702" s="54"/>
      <c r="AK702" s="54"/>
      <c r="AL702" s="54"/>
      <c r="AM702" s="54"/>
      <c r="AN702" s="54"/>
      <c r="AO702" s="54"/>
      <c r="AP702" s="54"/>
      <c r="AQ702" s="54"/>
      <c r="AR702" s="54"/>
      <c r="AS702" s="54"/>
      <c r="AT702" s="54"/>
      <c r="AU702" s="54"/>
      <c r="AV702" s="54"/>
      <c r="AW702" s="54"/>
      <c r="AX702" s="54"/>
      <c r="AY702" s="54"/>
      <c r="AZ702" s="54"/>
      <c r="BA702" s="54"/>
      <c r="BB702" s="54"/>
      <c r="BC702" s="54"/>
      <c r="BD702" s="54"/>
      <c r="BE702" s="54"/>
      <c r="BF702" s="54"/>
      <c r="BG702" s="54"/>
      <c r="BH702" s="54"/>
      <c r="BI702" s="54"/>
      <c r="BJ702" s="54"/>
      <c r="BK702" s="54"/>
      <c r="BL702" s="54"/>
    </row>
    <row r="703" spans="1:64" ht="11.25" customHeight="1" x14ac:dyDescent="0.3">
      <c r="A703" s="54"/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4"/>
      <c r="AI703" s="54"/>
      <c r="AJ703" s="54"/>
      <c r="AK703" s="54"/>
      <c r="AL703" s="54"/>
      <c r="AM703" s="54"/>
      <c r="AN703" s="54"/>
      <c r="AO703" s="54"/>
      <c r="AP703" s="54"/>
      <c r="AQ703" s="54"/>
      <c r="AR703" s="54"/>
      <c r="AS703" s="54"/>
      <c r="AT703" s="54"/>
      <c r="AU703" s="54"/>
      <c r="AV703" s="54"/>
      <c r="AW703" s="54"/>
      <c r="AX703" s="54"/>
      <c r="AY703" s="54"/>
      <c r="AZ703" s="54"/>
      <c r="BA703" s="54"/>
      <c r="BB703" s="54"/>
      <c r="BC703" s="54"/>
      <c r="BD703" s="54"/>
      <c r="BE703" s="54"/>
      <c r="BF703" s="54"/>
      <c r="BG703" s="54"/>
      <c r="BH703" s="54"/>
      <c r="BI703" s="54"/>
      <c r="BJ703" s="54"/>
      <c r="BK703" s="54"/>
      <c r="BL703" s="54"/>
    </row>
    <row r="704" spans="1:64" ht="11.25" customHeight="1" x14ac:dyDescent="0.3">
      <c r="A704" s="54"/>
      <c r="B704" s="54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4"/>
      <c r="AI704" s="54"/>
      <c r="AJ704" s="54"/>
      <c r="AK704" s="54"/>
      <c r="AL704" s="54"/>
      <c r="AM704" s="54"/>
      <c r="AN704" s="54"/>
      <c r="AO704" s="54"/>
      <c r="AP704" s="54"/>
      <c r="AQ704" s="54"/>
      <c r="AR704" s="54"/>
      <c r="AS704" s="54"/>
      <c r="AT704" s="54"/>
      <c r="AU704" s="54"/>
      <c r="AV704" s="54"/>
      <c r="AW704" s="54"/>
      <c r="AX704" s="54"/>
      <c r="AY704" s="54"/>
      <c r="AZ704" s="54"/>
      <c r="BA704" s="54"/>
      <c r="BB704" s="54"/>
      <c r="BC704" s="54"/>
      <c r="BD704" s="54"/>
      <c r="BE704" s="54"/>
      <c r="BF704" s="54"/>
      <c r="BG704" s="54"/>
      <c r="BH704" s="54"/>
      <c r="BI704" s="54"/>
      <c r="BJ704" s="54"/>
      <c r="BK704" s="54"/>
      <c r="BL704" s="54"/>
    </row>
    <row r="705" spans="1:64" ht="11.25" customHeight="1" x14ac:dyDescent="0.3">
      <c r="A705" s="54"/>
      <c r="B705" s="54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4"/>
      <c r="AI705" s="54"/>
      <c r="AJ705" s="54"/>
      <c r="AK705" s="54"/>
      <c r="AL705" s="54"/>
      <c r="AM705" s="54"/>
      <c r="AN705" s="54"/>
      <c r="AO705" s="54"/>
      <c r="AP705" s="54"/>
      <c r="AQ705" s="54"/>
      <c r="AR705" s="54"/>
      <c r="AS705" s="54"/>
      <c r="AT705" s="54"/>
      <c r="AU705" s="54"/>
      <c r="AV705" s="54"/>
      <c r="AW705" s="54"/>
      <c r="AX705" s="54"/>
      <c r="AY705" s="54"/>
      <c r="AZ705" s="54"/>
      <c r="BA705" s="54"/>
      <c r="BB705" s="54"/>
      <c r="BC705" s="54"/>
      <c r="BD705" s="54"/>
      <c r="BE705" s="54"/>
      <c r="BF705" s="54"/>
      <c r="BG705" s="54"/>
      <c r="BH705" s="54"/>
      <c r="BI705" s="54"/>
      <c r="BJ705" s="54"/>
      <c r="BK705" s="54"/>
      <c r="BL705" s="54"/>
    </row>
    <row r="706" spans="1:64" ht="11.25" customHeight="1" x14ac:dyDescent="0.3">
      <c r="A706" s="54"/>
      <c r="B706" s="54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4"/>
      <c r="AI706" s="54"/>
      <c r="AJ706" s="54"/>
      <c r="AK706" s="54"/>
      <c r="AL706" s="54"/>
      <c r="AM706" s="54"/>
      <c r="AN706" s="54"/>
      <c r="AO706" s="54"/>
      <c r="AP706" s="54"/>
      <c r="AQ706" s="54"/>
      <c r="AR706" s="54"/>
      <c r="AS706" s="54"/>
      <c r="AT706" s="54"/>
      <c r="AU706" s="54"/>
      <c r="AV706" s="54"/>
      <c r="AW706" s="54"/>
      <c r="AX706" s="54"/>
      <c r="AY706" s="54"/>
      <c r="AZ706" s="54"/>
      <c r="BA706" s="54"/>
      <c r="BB706" s="54"/>
      <c r="BC706" s="54"/>
      <c r="BD706" s="54"/>
      <c r="BE706" s="54"/>
      <c r="BF706" s="54"/>
      <c r="BG706" s="54"/>
      <c r="BH706" s="54"/>
      <c r="BI706" s="54"/>
      <c r="BJ706" s="54"/>
      <c r="BK706" s="54"/>
      <c r="BL706" s="54"/>
    </row>
    <row r="707" spans="1:64" ht="11.25" customHeight="1" x14ac:dyDescent="0.3">
      <c r="A707" s="54"/>
      <c r="B707" s="54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  <c r="AA707" s="54"/>
      <c r="AB707" s="54"/>
      <c r="AC707" s="54"/>
      <c r="AD707" s="54"/>
      <c r="AE707" s="54"/>
      <c r="AF707" s="54"/>
      <c r="AG707" s="54"/>
      <c r="AH707" s="54"/>
      <c r="AI707" s="54"/>
      <c r="AJ707" s="54"/>
      <c r="AK707" s="54"/>
      <c r="AL707" s="54"/>
      <c r="AM707" s="54"/>
      <c r="AN707" s="54"/>
      <c r="AO707" s="54"/>
      <c r="AP707" s="54"/>
      <c r="AQ707" s="54"/>
      <c r="AR707" s="54"/>
      <c r="AS707" s="54"/>
      <c r="AT707" s="54"/>
      <c r="AU707" s="54"/>
      <c r="AV707" s="54"/>
      <c r="AW707" s="54"/>
      <c r="AX707" s="54"/>
      <c r="AY707" s="54"/>
      <c r="AZ707" s="54"/>
      <c r="BA707" s="54"/>
      <c r="BB707" s="54"/>
      <c r="BC707" s="54"/>
      <c r="BD707" s="54"/>
      <c r="BE707" s="54"/>
      <c r="BF707" s="54"/>
      <c r="BG707" s="54"/>
      <c r="BH707" s="54"/>
      <c r="BI707" s="54"/>
      <c r="BJ707" s="54"/>
      <c r="BK707" s="54"/>
      <c r="BL707" s="54"/>
    </row>
    <row r="708" spans="1:64" ht="11.25" customHeight="1" x14ac:dyDescent="0.3">
      <c r="A708" s="54"/>
      <c r="B708" s="54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  <c r="AA708" s="54"/>
      <c r="AB708" s="54"/>
      <c r="AC708" s="54"/>
      <c r="AD708" s="54"/>
      <c r="AE708" s="54"/>
      <c r="AF708" s="54"/>
      <c r="AG708" s="54"/>
      <c r="AH708" s="54"/>
      <c r="AI708" s="54"/>
      <c r="AJ708" s="54"/>
      <c r="AK708" s="54"/>
      <c r="AL708" s="54"/>
      <c r="AM708" s="54"/>
      <c r="AN708" s="54"/>
      <c r="AO708" s="54"/>
      <c r="AP708" s="54"/>
      <c r="AQ708" s="54"/>
      <c r="AR708" s="54"/>
      <c r="AS708" s="54"/>
      <c r="AT708" s="54"/>
      <c r="AU708" s="54"/>
      <c r="AV708" s="54"/>
      <c r="AW708" s="54"/>
      <c r="AX708" s="54"/>
      <c r="AY708" s="54"/>
      <c r="AZ708" s="54"/>
      <c r="BA708" s="54"/>
      <c r="BB708" s="54"/>
      <c r="BC708" s="54"/>
      <c r="BD708" s="54"/>
      <c r="BE708" s="54"/>
      <c r="BF708" s="54"/>
      <c r="BG708" s="54"/>
      <c r="BH708" s="54"/>
      <c r="BI708" s="54"/>
      <c r="BJ708" s="54"/>
      <c r="BK708" s="54"/>
      <c r="BL708" s="54"/>
    </row>
    <row r="709" spans="1:64" ht="11.25" customHeight="1" x14ac:dyDescent="0.3">
      <c r="A709" s="54"/>
      <c r="B709" s="54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4"/>
      <c r="AI709" s="54"/>
      <c r="AJ709" s="54"/>
      <c r="AK709" s="54"/>
      <c r="AL709" s="54"/>
      <c r="AM709" s="54"/>
      <c r="AN709" s="54"/>
      <c r="AO709" s="54"/>
      <c r="AP709" s="54"/>
      <c r="AQ709" s="54"/>
      <c r="AR709" s="54"/>
      <c r="AS709" s="54"/>
      <c r="AT709" s="54"/>
      <c r="AU709" s="54"/>
      <c r="AV709" s="54"/>
      <c r="AW709" s="54"/>
      <c r="AX709" s="54"/>
      <c r="AY709" s="54"/>
      <c r="AZ709" s="54"/>
      <c r="BA709" s="54"/>
      <c r="BB709" s="54"/>
      <c r="BC709" s="54"/>
      <c r="BD709" s="54"/>
      <c r="BE709" s="54"/>
      <c r="BF709" s="54"/>
      <c r="BG709" s="54"/>
      <c r="BH709" s="54"/>
      <c r="BI709" s="54"/>
      <c r="BJ709" s="54"/>
      <c r="BK709" s="54"/>
      <c r="BL709" s="54"/>
    </row>
    <row r="710" spans="1:64" ht="11.25" customHeight="1" x14ac:dyDescent="0.3">
      <c r="A710" s="54"/>
      <c r="B710" s="54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4"/>
      <c r="AI710" s="54"/>
      <c r="AJ710" s="54"/>
      <c r="AK710" s="54"/>
      <c r="AL710" s="54"/>
      <c r="AM710" s="54"/>
      <c r="AN710" s="54"/>
      <c r="AO710" s="54"/>
      <c r="AP710" s="54"/>
      <c r="AQ710" s="54"/>
      <c r="AR710" s="54"/>
      <c r="AS710" s="54"/>
      <c r="AT710" s="54"/>
      <c r="AU710" s="54"/>
      <c r="AV710" s="54"/>
      <c r="AW710" s="54"/>
      <c r="AX710" s="54"/>
      <c r="AY710" s="54"/>
      <c r="AZ710" s="54"/>
      <c r="BA710" s="54"/>
      <c r="BB710" s="54"/>
      <c r="BC710" s="54"/>
      <c r="BD710" s="54"/>
      <c r="BE710" s="54"/>
      <c r="BF710" s="54"/>
      <c r="BG710" s="54"/>
      <c r="BH710" s="54"/>
      <c r="BI710" s="54"/>
      <c r="BJ710" s="54"/>
      <c r="BK710" s="54"/>
      <c r="BL710" s="54"/>
    </row>
    <row r="711" spans="1:64" ht="11.25" customHeight="1" x14ac:dyDescent="0.3">
      <c r="A711" s="54"/>
      <c r="B711" s="54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4"/>
      <c r="AI711" s="54"/>
      <c r="AJ711" s="54"/>
      <c r="AK711" s="54"/>
      <c r="AL711" s="54"/>
      <c r="AM711" s="54"/>
      <c r="AN711" s="54"/>
      <c r="AO711" s="54"/>
      <c r="AP711" s="54"/>
      <c r="AQ711" s="54"/>
      <c r="AR711" s="54"/>
      <c r="AS711" s="54"/>
      <c r="AT711" s="54"/>
      <c r="AU711" s="54"/>
      <c r="AV711" s="54"/>
      <c r="AW711" s="54"/>
      <c r="AX711" s="54"/>
      <c r="AY711" s="54"/>
      <c r="AZ711" s="54"/>
      <c r="BA711" s="54"/>
      <c r="BB711" s="54"/>
      <c r="BC711" s="54"/>
      <c r="BD711" s="54"/>
      <c r="BE711" s="54"/>
      <c r="BF711" s="54"/>
      <c r="BG711" s="54"/>
      <c r="BH711" s="54"/>
      <c r="BI711" s="54"/>
      <c r="BJ711" s="54"/>
      <c r="BK711" s="54"/>
      <c r="BL711" s="54"/>
    </row>
    <row r="712" spans="1:64" ht="11.25" customHeight="1" x14ac:dyDescent="0.3">
      <c r="A712" s="54"/>
      <c r="B712" s="54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4"/>
      <c r="AI712" s="54"/>
      <c r="AJ712" s="54"/>
      <c r="AK712" s="54"/>
      <c r="AL712" s="54"/>
      <c r="AM712" s="54"/>
      <c r="AN712" s="54"/>
      <c r="AO712" s="54"/>
      <c r="AP712" s="54"/>
      <c r="AQ712" s="54"/>
      <c r="AR712" s="54"/>
      <c r="AS712" s="54"/>
      <c r="AT712" s="54"/>
      <c r="AU712" s="54"/>
      <c r="AV712" s="54"/>
      <c r="AW712" s="54"/>
      <c r="AX712" s="54"/>
      <c r="AY712" s="54"/>
      <c r="AZ712" s="54"/>
      <c r="BA712" s="54"/>
      <c r="BB712" s="54"/>
      <c r="BC712" s="54"/>
      <c r="BD712" s="54"/>
      <c r="BE712" s="54"/>
      <c r="BF712" s="54"/>
      <c r="BG712" s="54"/>
      <c r="BH712" s="54"/>
      <c r="BI712" s="54"/>
      <c r="BJ712" s="54"/>
      <c r="BK712" s="54"/>
      <c r="BL712" s="54"/>
    </row>
    <row r="713" spans="1:64" ht="11.25" customHeight="1" x14ac:dyDescent="0.3">
      <c r="A713" s="54"/>
      <c r="B713" s="54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4"/>
      <c r="AI713" s="54"/>
      <c r="AJ713" s="54"/>
      <c r="AK713" s="54"/>
      <c r="AL713" s="54"/>
      <c r="AM713" s="54"/>
      <c r="AN713" s="54"/>
      <c r="AO713" s="54"/>
      <c r="AP713" s="54"/>
      <c r="AQ713" s="54"/>
      <c r="AR713" s="54"/>
      <c r="AS713" s="54"/>
      <c r="AT713" s="54"/>
      <c r="AU713" s="54"/>
      <c r="AV713" s="54"/>
      <c r="AW713" s="54"/>
      <c r="AX713" s="54"/>
      <c r="AY713" s="54"/>
      <c r="AZ713" s="54"/>
      <c r="BA713" s="54"/>
      <c r="BB713" s="54"/>
      <c r="BC713" s="54"/>
      <c r="BD713" s="54"/>
      <c r="BE713" s="54"/>
      <c r="BF713" s="54"/>
      <c r="BG713" s="54"/>
      <c r="BH713" s="54"/>
      <c r="BI713" s="54"/>
      <c r="BJ713" s="54"/>
      <c r="BK713" s="54"/>
      <c r="BL713" s="54"/>
    </row>
    <row r="714" spans="1:64" ht="11.25" customHeight="1" x14ac:dyDescent="0.3">
      <c r="A714" s="54"/>
      <c r="B714" s="54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4"/>
      <c r="AI714" s="54"/>
      <c r="AJ714" s="54"/>
      <c r="AK714" s="54"/>
      <c r="AL714" s="54"/>
      <c r="AM714" s="54"/>
      <c r="AN714" s="54"/>
      <c r="AO714" s="54"/>
      <c r="AP714" s="54"/>
      <c r="AQ714" s="54"/>
      <c r="AR714" s="54"/>
      <c r="AS714" s="54"/>
      <c r="AT714" s="54"/>
      <c r="AU714" s="54"/>
      <c r="AV714" s="54"/>
      <c r="AW714" s="54"/>
      <c r="AX714" s="54"/>
      <c r="AY714" s="54"/>
      <c r="AZ714" s="54"/>
      <c r="BA714" s="54"/>
      <c r="BB714" s="54"/>
      <c r="BC714" s="54"/>
      <c r="BD714" s="54"/>
      <c r="BE714" s="54"/>
      <c r="BF714" s="54"/>
      <c r="BG714" s="54"/>
      <c r="BH714" s="54"/>
      <c r="BI714" s="54"/>
      <c r="BJ714" s="54"/>
      <c r="BK714" s="54"/>
      <c r="BL714" s="54"/>
    </row>
    <row r="715" spans="1:64" ht="11.25" customHeight="1" x14ac:dyDescent="0.3">
      <c r="A715" s="54"/>
      <c r="B715" s="54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4"/>
      <c r="AI715" s="54"/>
      <c r="AJ715" s="54"/>
      <c r="AK715" s="54"/>
      <c r="AL715" s="54"/>
      <c r="AM715" s="54"/>
      <c r="AN715" s="54"/>
      <c r="AO715" s="54"/>
      <c r="AP715" s="54"/>
      <c r="AQ715" s="54"/>
      <c r="AR715" s="54"/>
      <c r="AS715" s="54"/>
      <c r="AT715" s="54"/>
      <c r="AU715" s="54"/>
      <c r="AV715" s="54"/>
      <c r="AW715" s="54"/>
      <c r="AX715" s="54"/>
      <c r="AY715" s="54"/>
      <c r="AZ715" s="54"/>
      <c r="BA715" s="54"/>
      <c r="BB715" s="54"/>
      <c r="BC715" s="54"/>
      <c r="BD715" s="54"/>
      <c r="BE715" s="54"/>
      <c r="BF715" s="54"/>
      <c r="BG715" s="54"/>
      <c r="BH715" s="54"/>
      <c r="BI715" s="54"/>
      <c r="BJ715" s="54"/>
      <c r="BK715" s="54"/>
      <c r="BL715" s="54"/>
    </row>
    <row r="716" spans="1:64" ht="11.25" customHeight="1" x14ac:dyDescent="0.3">
      <c r="A716" s="54"/>
      <c r="B716" s="54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4"/>
      <c r="AI716" s="54"/>
      <c r="AJ716" s="54"/>
      <c r="AK716" s="54"/>
      <c r="AL716" s="54"/>
      <c r="AM716" s="54"/>
      <c r="AN716" s="54"/>
      <c r="AO716" s="54"/>
      <c r="AP716" s="54"/>
      <c r="AQ716" s="54"/>
      <c r="AR716" s="54"/>
      <c r="AS716" s="54"/>
      <c r="AT716" s="54"/>
      <c r="AU716" s="54"/>
      <c r="AV716" s="54"/>
      <c r="AW716" s="54"/>
      <c r="AX716" s="54"/>
      <c r="AY716" s="54"/>
      <c r="AZ716" s="54"/>
      <c r="BA716" s="54"/>
      <c r="BB716" s="54"/>
      <c r="BC716" s="54"/>
      <c r="BD716" s="54"/>
      <c r="BE716" s="54"/>
      <c r="BF716" s="54"/>
      <c r="BG716" s="54"/>
      <c r="BH716" s="54"/>
      <c r="BI716" s="54"/>
      <c r="BJ716" s="54"/>
      <c r="BK716" s="54"/>
      <c r="BL716" s="54"/>
    </row>
    <row r="717" spans="1:64" ht="11.25" customHeight="1" x14ac:dyDescent="0.3">
      <c r="A717" s="54"/>
      <c r="B717" s="54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4"/>
      <c r="AI717" s="54"/>
      <c r="AJ717" s="54"/>
      <c r="AK717" s="54"/>
      <c r="AL717" s="54"/>
      <c r="AM717" s="54"/>
      <c r="AN717" s="54"/>
      <c r="AO717" s="54"/>
      <c r="AP717" s="54"/>
      <c r="AQ717" s="54"/>
      <c r="AR717" s="54"/>
      <c r="AS717" s="54"/>
      <c r="AT717" s="54"/>
      <c r="AU717" s="54"/>
      <c r="AV717" s="54"/>
      <c r="AW717" s="54"/>
      <c r="AX717" s="54"/>
      <c r="AY717" s="54"/>
      <c r="AZ717" s="54"/>
      <c r="BA717" s="54"/>
      <c r="BB717" s="54"/>
      <c r="BC717" s="54"/>
      <c r="BD717" s="54"/>
      <c r="BE717" s="54"/>
      <c r="BF717" s="54"/>
      <c r="BG717" s="54"/>
      <c r="BH717" s="54"/>
      <c r="BI717" s="54"/>
      <c r="BJ717" s="54"/>
      <c r="BK717" s="54"/>
      <c r="BL717" s="54"/>
    </row>
    <row r="718" spans="1:64" ht="11.25" customHeight="1" x14ac:dyDescent="0.3">
      <c r="A718" s="54"/>
      <c r="B718" s="54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4"/>
      <c r="AI718" s="54"/>
      <c r="AJ718" s="54"/>
      <c r="AK718" s="54"/>
      <c r="AL718" s="54"/>
      <c r="AM718" s="54"/>
      <c r="AN718" s="54"/>
      <c r="AO718" s="54"/>
      <c r="AP718" s="54"/>
      <c r="AQ718" s="54"/>
      <c r="AR718" s="54"/>
      <c r="AS718" s="54"/>
      <c r="AT718" s="54"/>
      <c r="AU718" s="54"/>
      <c r="AV718" s="54"/>
      <c r="AW718" s="54"/>
      <c r="AX718" s="54"/>
      <c r="AY718" s="54"/>
      <c r="AZ718" s="54"/>
      <c r="BA718" s="54"/>
      <c r="BB718" s="54"/>
      <c r="BC718" s="54"/>
      <c r="BD718" s="54"/>
      <c r="BE718" s="54"/>
      <c r="BF718" s="54"/>
      <c r="BG718" s="54"/>
      <c r="BH718" s="54"/>
      <c r="BI718" s="54"/>
      <c r="BJ718" s="54"/>
      <c r="BK718" s="54"/>
      <c r="BL718" s="54"/>
    </row>
    <row r="719" spans="1:64" ht="11.25" customHeight="1" x14ac:dyDescent="0.3">
      <c r="A719" s="54"/>
      <c r="B719" s="54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4"/>
      <c r="AI719" s="54"/>
      <c r="AJ719" s="54"/>
      <c r="AK719" s="54"/>
      <c r="AL719" s="54"/>
      <c r="AM719" s="54"/>
      <c r="AN719" s="54"/>
      <c r="AO719" s="54"/>
      <c r="AP719" s="54"/>
      <c r="AQ719" s="54"/>
      <c r="AR719" s="54"/>
      <c r="AS719" s="54"/>
      <c r="AT719" s="54"/>
      <c r="AU719" s="54"/>
      <c r="AV719" s="54"/>
      <c r="AW719" s="54"/>
      <c r="AX719" s="54"/>
      <c r="AY719" s="54"/>
      <c r="AZ719" s="54"/>
      <c r="BA719" s="54"/>
      <c r="BB719" s="54"/>
      <c r="BC719" s="54"/>
      <c r="BD719" s="54"/>
      <c r="BE719" s="54"/>
      <c r="BF719" s="54"/>
      <c r="BG719" s="54"/>
      <c r="BH719" s="54"/>
      <c r="BI719" s="54"/>
      <c r="BJ719" s="54"/>
      <c r="BK719" s="54"/>
      <c r="BL719" s="54"/>
    </row>
    <row r="720" spans="1:64" ht="11.25" customHeight="1" x14ac:dyDescent="0.3">
      <c r="A720" s="54"/>
      <c r="B720" s="54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4"/>
      <c r="AI720" s="54"/>
      <c r="AJ720" s="54"/>
      <c r="AK720" s="54"/>
      <c r="AL720" s="54"/>
      <c r="AM720" s="54"/>
      <c r="AN720" s="54"/>
      <c r="AO720" s="54"/>
      <c r="AP720" s="54"/>
      <c r="AQ720" s="54"/>
      <c r="AR720" s="54"/>
      <c r="AS720" s="54"/>
      <c r="AT720" s="54"/>
      <c r="AU720" s="54"/>
      <c r="AV720" s="54"/>
      <c r="AW720" s="54"/>
      <c r="AX720" s="54"/>
      <c r="AY720" s="54"/>
      <c r="AZ720" s="54"/>
      <c r="BA720" s="54"/>
      <c r="BB720" s="54"/>
      <c r="BC720" s="54"/>
      <c r="BD720" s="54"/>
      <c r="BE720" s="54"/>
      <c r="BF720" s="54"/>
      <c r="BG720" s="54"/>
      <c r="BH720" s="54"/>
      <c r="BI720" s="54"/>
      <c r="BJ720" s="54"/>
      <c r="BK720" s="54"/>
      <c r="BL720" s="54"/>
    </row>
    <row r="721" spans="1:64" ht="11.25" customHeight="1" x14ac:dyDescent="0.3">
      <c r="A721" s="54"/>
      <c r="B721" s="54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4"/>
      <c r="AI721" s="54"/>
      <c r="AJ721" s="54"/>
      <c r="AK721" s="54"/>
      <c r="AL721" s="54"/>
      <c r="AM721" s="54"/>
      <c r="AN721" s="54"/>
      <c r="AO721" s="54"/>
      <c r="AP721" s="54"/>
      <c r="AQ721" s="54"/>
      <c r="AR721" s="54"/>
      <c r="AS721" s="54"/>
      <c r="AT721" s="54"/>
      <c r="AU721" s="54"/>
      <c r="AV721" s="54"/>
      <c r="AW721" s="54"/>
      <c r="AX721" s="54"/>
      <c r="AY721" s="54"/>
      <c r="AZ721" s="54"/>
      <c r="BA721" s="54"/>
      <c r="BB721" s="54"/>
      <c r="BC721" s="54"/>
      <c r="BD721" s="54"/>
      <c r="BE721" s="54"/>
      <c r="BF721" s="54"/>
      <c r="BG721" s="54"/>
      <c r="BH721" s="54"/>
      <c r="BI721" s="54"/>
      <c r="BJ721" s="54"/>
      <c r="BK721" s="54"/>
      <c r="BL721" s="54"/>
    </row>
    <row r="722" spans="1:64" ht="11.25" customHeight="1" x14ac:dyDescent="0.3">
      <c r="A722" s="54"/>
      <c r="B722" s="54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4"/>
      <c r="AI722" s="54"/>
      <c r="AJ722" s="54"/>
      <c r="AK722" s="54"/>
      <c r="AL722" s="54"/>
      <c r="AM722" s="54"/>
      <c r="AN722" s="54"/>
      <c r="AO722" s="54"/>
      <c r="AP722" s="54"/>
      <c r="AQ722" s="54"/>
      <c r="AR722" s="54"/>
      <c r="AS722" s="54"/>
      <c r="AT722" s="54"/>
      <c r="AU722" s="54"/>
      <c r="AV722" s="54"/>
      <c r="AW722" s="54"/>
      <c r="AX722" s="54"/>
      <c r="AY722" s="54"/>
      <c r="AZ722" s="54"/>
      <c r="BA722" s="54"/>
      <c r="BB722" s="54"/>
      <c r="BC722" s="54"/>
      <c r="BD722" s="54"/>
      <c r="BE722" s="54"/>
      <c r="BF722" s="54"/>
      <c r="BG722" s="54"/>
      <c r="BH722" s="54"/>
      <c r="BI722" s="54"/>
      <c r="BJ722" s="54"/>
      <c r="BK722" s="54"/>
      <c r="BL722" s="54"/>
    </row>
    <row r="723" spans="1:64" ht="11.25" customHeight="1" x14ac:dyDescent="0.3">
      <c r="A723" s="54"/>
      <c r="B723" s="54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  <c r="AA723" s="54"/>
      <c r="AB723" s="54"/>
      <c r="AC723" s="54"/>
      <c r="AD723" s="54"/>
      <c r="AE723" s="54"/>
      <c r="AF723" s="54"/>
      <c r="AG723" s="54"/>
      <c r="AH723" s="54"/>
      <c r="AI723" s="54"/>
      <c r="AJ723" s="54"/>
      <c r="AK723" s="54"/>
      <c r="AL723" s="54"/>
      <c r="AM723" s="54"/>
      <c r="AN723" s="54"/>
      <c r="AO723" s="54"/>
      <c r="AP723" s="54"/>
      <c r="AQ723" s="54"/>
      <c r="AR723" s="54"/>
      <c r="AS723" s="54"/>
      <c r="AT723" s="54"/>
      <c r="AU723" s="54"/>
      <c r="AV723" s="54"/>
      <c r="AW723" s="54"/>
      <c r="AX723" s="54"/>
      <c r="AY723" s="54"/>
      <c r="AZ723" s="54"/>
      <c r="BA723" s="54"/>
      <c r="BB723" s="54"/>
      <c r="BC723" s="54"/>
      <c r="BD723" s="54"/>
      <c r="BE723" s="54"/>
      <c r="BF723" s="54"/>
      <c r="BG723" s="54"/>
      <c r="BH723" s="54"/>
      <c r="BI723" s="54"/>
      <c r="BJ723" s="54"/>
      <c r="BK723" s="54"/>
      <c r="BL723" s="54"/>
    </row>
    <row r="724" spans="1:64" ht="11.25" customHeight="1" x14ac:dyDescent="0.3">
      <c r="A724" s="54"/>
      <c r="B724" s="54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  <c r="AA724" s="54"/>
      <c r="AB724" s="54"/>
      <c r="AC724" s="54"/>
      <c r="AD724" s="54"/>
      <c r="AE724" s="54"/>
      <c r="AF724" s="54"/>
      <c r="AG724" s="54"/>
      <c r="AH724" s="54"/>
      <c r="AI724" s="54"/>
      <c r="AJ724" s="54"/>
      <c r="AK724" s="54"/>
      <c r="AL724" s="54"/>
      <c r="AM724" s="54"/>
      <c r="AN724" s="54"/>
      <c r="AO724" s="54"/>
      <c r="AP724" s="54"/>
      <c r="AQ724" s="54"/>
      <c r="AR724" s="54"/>
      <c r="AS724" s="54"/>
      <c r="AT724" s="54"/>
      <c r="AU724" s="54"/>
      <c r="AV724" s="54"/>
      <c r="AW724" s="54"/>
      <c r="AX724" s="54"/>
      <c r="AY724" s="54"/>
      <c r="AZ724" s="54"/>
      <c r="BA724" s="54"/>
      <c r="BB724" s="54"/>
      <c r="BC724" s="54"/>
      <c r="BD724" s="54"/>
      <c r="BE724" s="54"/>
      <c r="BF724" s="54"/>
      <c r="BG724" s="54"/>
      <c r="BH724" s="54"/>
      <c r="BI724" s="54"/>
      <c r="BJ724" s="54"/>
      <c r="BK724" s="54"/>
      <c r="BL724" s="54"/>
    </row>
    <row r="725" spans="1:64" ht="11.25" customHeight="1" x14ac:dyDescent="0.3">
      <c r="A725" s="54"/>
      <c r="B725" s="54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4"/>
      <c r="AI725" s="54"/>
      <c r="AJ725" s="54"/>
      <c r="AK725" s="54"/>
      <c r="AL725" s="54"/>
      <c r="AM725" s="54"/>
      <c r="AN725" s="54"/>
      <c r="AO725" s="54"/>
      <c r="AP725" s="54"/>
      <c r="AQ725" s="54"/>
      <c r="AR725" s="54"/>
      <c r="AS725" s="54"/>
      <c r="AT725" s="54"/>
      <c r="AU725" s="54"/>
      <c r="AV725" s="54"/>
      <c r="AW725" s="54"/>
      <c r="AX725" s="54"/>
      <c r="AY725" s="54"/>
      <c r="AZ725" s="54"/>
      <c r="BA725" s="54"/>
      <c r="BB725" s="54"/>
      <c r="BC725" s="54"/>
      <c r="BD725" s="54"/>
      <c r="BE725" s="54"/>
      <c r="BF725" s="54"/>
      <c r="BG725" s="54"/>
      <c r="BH725" s="54"/>
      <c r="BI725" s="54"/>
      <c r="BJ725" s="54"/>
      <c r="BK725" s="54"/>
      <c r="BL725" s="54"/>
    </row>
    <row r="726" spans="1:64" ht="11.25" customHeight="1" x14ac:dyDescent="0.3">
      <c r="A726" s="54"/>
      <c r="B726" s="54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4"/>
      <c r="AI726" s="54"/>
      <c r="AJ726" s="54"/>
      <c r="AK726" s="54"/>
      <c r="AL726" s="54"/>
      <c r="AM726" s="54"/>
      <c r="AN726" s="54"/>
      <c r="AO726" s="54"/>
      <c r="AP726" s="54"/>
      <c r="AQ726" s="54"/>
      <c r="AR726" s="54"/>
      <c r="AS726" s="54"/>
      <c r="AT726" s="54"/>
      <c r="AU726" s="54"/>
      <c r="AV726" s="54"/>
      <c r="AW726" s="54"/>
      <c r="AX726" s="54"/>
      <c r="AY726" s="54"/>
      <c r="AZ726" s="54"/>
      <c r="BA726" s="54"/>
      <c r="BB726" s="54"/>
      <c r="BC726" s="54"/>
      <c r="BD726" s="54"/>
      <c r="BE726" s="54"/>
      <c r="BF726" s="54"/>
      <c r="BG726" s="54"/>
      <c r="BH726" s="54"/>
      <c r="BI726" s="54"/>
      <c r="BJ726" s="54"/>
      <c r="BK726" s="54"/>
      <c r="BL726" s="54"/>
    </row>
    <row r="727" spans="1:64" ht="11.25" customHeight="1" x14ac:dyDescent="0.3">
      <c r="A727" s="54"/>
      <c r="B727" s="54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4"/>
      <c r="AI727" s="54"/>
      <c r="AJ727" s="54"/>
      <c r="AK727" s="54"/>
      <c r="AL727" s="54"/>
      <c r="AM727" s="54"/>
      <c r="AN727" s="54"/>
      <c r="AO727" s="54"/>
      <c r="AP727" s="54"/>
      <c r="AQ727" s="54"/>
      <c r="AR727" s="54"/>
      <c r="AS727" s="54"/>
      <c r="AT727" s="54"/>
      <c r="AU727" s="54"/>
      <c r="AV727" s="54"/>
      <c r="AW727" s="54"/>
      <c r="AX727" s="54"/>
      <c r="AY727" s="54"/>
      <c r="AZ727" s="54"/>
      <c r="BA727" s="54"/>
      <c r="BB727" s="54"/>
      <c r="BC727" s="54"/>
      <c r="BD727" s="54"/>
      <c r="BE727" s="54"/>
      <c r="BF727" s="54"/>
      <c r="BG727" s="54"/>
      <c r="BH727" s="54"/>
      <c r="BI727" s="54"/>
      <c r="BJ727" s="54"/>
      <c r="BK727" s="54"/>
      <c r="BL727" s="54"/>
    </row>
    <row r="728" spans="1:64" ht="11.25" customHeight="1" x14ac:dyDescent="0.3">
      <c r="A728" s="54"/>
      <c r="B728" s="54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4"/>
      <c r="AI728" s="54"/>
      <c r="AJ728" s="54"/>
      <c r="AK728" s="54"/>
      <c r="AL728" s="54"/>
      <c r="AM728" s="54"/>
      <c r="AN728" s="54"/>
      <c r="AO728" s="54"/>
      <c r="AP728" s="54"/>
      <c r="AQ728" s="54"/>
      <c r="AR728" s="54"/>
      <c r="AS728" s="54"/>
      <c r="AT728" s="54"/>
      <c r="AU728" s="54"/>
      <c r="AV728" s="54"/>
      <c r="AW728" s="54"/>
      <c r="AX728" s="54"/>
      <c r="AY728" s="54"/>
      <c r="AZ728" s="54"/>
      <c r="BA728" s="54"/>
      <c r="BB728" s="54"/>
      <c r="BC728" s="54"/>
      <c r="BD728" s="54"/>
      <c r="BE728" s="54"/>
      <c r="BF728" s="54"/>
      <c r="BG728" s="54"/>
      <c r="BH728" s="54"/>
      <c r="BI728" s="54"/>
      <c r="BJ728" s="54"/>
      <c r="BK728" s="54"/>
      <c r="BL728" s="54"/>
    </row>
    <row r="729" spans="1:64" ht="11.25" customHeight="1" x14ac:dyDescent="0.3">
      <c r="A729" s="54"/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4"/>
      <c r="AI729" s="54"/>
      <c r="AJ729" s="54"/>
      <c r="AK729" s="54"/>
      <c r="AL729" s="54"/>
      <c r="AM729" s="54"/>
      <c r="AN729" s="54"/>
      <c r="AO729" s="54"/>
      <c r="AP729" s="54"/>
      <c r="AQ729" s="54"/>
      <c r="AR729" s="54"/>
      <c r="AS729" s="54"/>
      <c r="AT729" s="54"/>
      <c r="AU729" s="54"/>
      <c r="AV729" s="54"/>
      <c r="AW729" s="54"/>
      <c r="AX729" s="54"/>
      <c r="AY729" s="54"/>
      <c r="AZ729" s="54"/>
      <c r="BA729" s="54"/>
      <c r="BB729" s="54"/>
      <c r="BC729" s="54"/>
      <c r="BD729" s="54"/>
      <c r="BE729" s="54"/>
      <c r="BF729" s="54"/>
      <c r="BG729" s="54"/>
      <c r="BH729" s="54"/>
      <c r="BI729" s="54"/>
      <c r="BJ729" s="54"/>
      <c r="BK729" s="54"/>
      <c r="BL729" s="54"/>
    </row>
    <row r="730" spans="1:64" ht="11.25" customHeight="1" x14ac:dyDescent="0.3">
      <c r="A730" s="54"/>
      <c r="B730" s="54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4"/>
      <c r="AI730" s="54"/>
      <c r="AJ730" s="54"/>
      <c r="AK730" s="54"/>
      <c r="AL730" s="54"/>
      <c r="AM730" s="54"/>
      <c r="AN730" s="54"/>
      <c r="AO730" s="54"/>
      <c r="AP730" s="54"/>
      <c r="AQ730" s="54"/>
      <c r="AR730" s="54"/>
      <c r="AS730" s="54"/>
      <c r="AT730" s="54"/>
      <c r="AU730" s="54"/>
      <c r="AV730" s="54"/>
      <c r="AW730" s="54"/>
      <c r="AX730" s="54"/>
      <c r="AY730" s="54"/>
      <c r="AZ730" s="54"/>
      <c r="BA730" s="54"/>
      <c r="BB730" s="54"/>
      <c r="BC730" s="54"/>
      <c r="BD730" s="54"/>
      <c r="BE730" s="54"/>
      <c r="BF730" s="54"/>
      <c r="BG730" s="54"/>
      <c r="BH730" s="54"/>
      <c r="BI730" s="54"/>
      <c r="BJ730" s="54"/>
      <c r="BK730" s="54"/>
      <c r="BL730" s="54"/>
    </row>
    <row r="731" spans="1:64" ht="11.25" customHeight="1" x14ac:dyDescent="0.3">
      <c r="A731" s="54"/>
      <c r="B731" s="54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4"/>
      <c r="AI731" s="54"/>
      <c r="AJ731" s="54"/>
      <c r="AK731" s="54"/>
      <c r="AL731" s="54"/>
      <c r="AM731" s="54"/>
      <c r="AN731" s="54"/>
      <c r="AO731" s="54"/>
      <c r="AP731" s="54"/>
      <c r="AQ731" s="54"/>
      <c r="AR731" s="54"/>
      <c r="AS731" s="54"/>
      <c r="AT731" s="54"/>
      <c r="AU731" s="54"/>
      <c r="AV731" s="54"/>
      <c r="AW731" s="54"/>
      <c r="AX731" s="54"/>
      <c r="AY731" s="54"/>
      <c r="AZ731" s="54"/>
      <c r="BA731" s="54"/>
      <c r="BB731" s="54"/>
      <c r="BC731" s="54"/>
      <c r="BD731" s="54"/>
      <c r="BE731" s="54"/>
      <c r="BF731" s="54"/>
      <c r="BG731" s="54"/>
      <c r="BH731" s="54"/>
      <c r="BI731" s="54"/>
      <c r="BJ731" s="54"/>
      <c r="BK731" s="54"/>
      <c r="BL731" s="54"/>
    </row>
    <row r="732" spans="1:64" ht="11.25" customHeight="1" x14ac:dyDescent="0.3">
      <c r="A732" s="54"/>
      <c r="B732" s="54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4"/>
      <c r="AI732" s="54"/>
      <c r="AJ732" s="54"/>
      <c r="AK732" s="54"/>
      <c r="AL732" s="54"/>
      <c r="AM732" s="54"/>
      <c r="AN732" s="54"/>
      <c r="AO732" s="54"/>
      <c r="AP732" s="54"/>
      <c r="AQ732" s="54"/>
      <c r="AR732" s="54"/>
      <c r="AS732" s="54"/>
      <c r="AT732" s="54"/>
      <c r="AU732" s="54"/>
      <c r="AV732" s="54"/>
      <c r="AW732" s="54"/>
      <c r="AX732" s="54"/>
      <c r="AY732" s="54"/>
      <c r="AZ732" s="54"/>
      <c r="BA732" s="54"/>
      <c r="BB732" s="54"/>
      <c r="BC732" s="54"/>
      <c r="BD732" s="54"/>
      <c r="BE732" s="54"/>
      <c r="BF732" s="54"/>
      <c r="BG732" s="54"/>
      <c r="BH732" s="54"/>
      <c r="BI732" s="54"/>
      <c r="BJ732" s="54"/>
      <c r="BK732" s="54"/>
      <c r="BL732" s="54"/>
    </row>
    <row r="733" spans="1:64" ht="11.25" customHeight="1" x14ac:dyDescent="0.3">
      <c r="A733" s="54"/>
      <c r="B733" s="54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  <c r="AA733" s="54"/>
      <c r="AB733" s="54"/>
      <c r="AC733" s="54"/>
      <c r="AD733" s="54"/>
      <c r="AE733" s="54"/>
      <c r="AF733" s="54"/>
      <c r="AG733" s="54"/>
      <c r="AH733" s="54"/>
      <c r="AI733" s="54"/>
      <c r="AJ733" s="54"/>
      <c r="AK733" s="54"/>
      <c r="AL733" s="54"/>
      <c r="AM733" s="54"/>
      <c r="AN733" s="54"/>
      <c r="AO733" s="54"/>
      <c r="AP733" s="54"/>
      <c r="AQ733" s="54"/>
      <c r="AR733" s="54"/>
      <c r="AS733" s="54"/>
      <c r="AT733" s="54"/>
      <c r="AU733" s="54"/>
      <c r="AV733" s="54"/>
      <c r="AW733" s="54"/>
      <c r="AX733" s="54"/>
      <c r="AY733" s="54"/>
      <c r="AZ733" s="54"/>
      <c r="BA733" s="54"/>
      <c r="BB733" s="54"/>
      <c r="BC733" s="54"/>
      <c r="BD733" s="54"/>
      <c r="BE733" s="54"/>
      <c r="BF733" s="54"/>
      <c r="BG733" s="54"/>
      <c r="BH733" s="54"/>
      <c r="BI733" s="54"/>
      <c r="BJ733" s="54"/>
      <c r="BK733" s="54"/>
      <c r="BL733" s="54"/>
    </row>
    <row r="734" spans="1:64" ht="11.25" customHeight="1" x14ac:dyDescent="0.3">
      <c r="A734" s="54"/>
      <c r="B734" s="54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  <c r="AA734" s="54"/>
      <c r="AB734" s="54"/>
      <c r="AC734" s="54"/>
      <c r="AD734" s="54"/>
      <c r="AE734" s="54"/>
      <c r="AF734" s="54"/>
      <c r="AG734" s="54"/>
      <c r="AH734" s="54"/>
      <c r="AI734" s="54"/>
      <c r="AJ734" s="54"/>
      <c r="AK734" s="54"/>
      <c r="AL734" s="54"/>
      <c r="AM734" s="54"/>
      <c r="AN734" s="54"/>
      <c r="AO734" s="54"/>
      <c r="AP734" s="54"/>
      <c r="AQ734" s="54"/>
      <c r="AR734" s="54"/>
      <c r="AS734" s="54"/>
      <c r="AT734" s="54"/>
      <c r="AU734" s="54"/>
      <c r="AV734" s="54"/>
      <c r="AW734" s="54"/>
      <c r="AX734" s="54"/>
      <c r="AY734" s="54"/>
      <c r="AZ734" s="54"/>
      <c r="BA734" s="54"/>
      <c r="BB734" s="54"/>
      <c r="BC734" s="54"/>
      <c r="BD734" s="54"/>
      <c r="BE734" s="54"/>
      <c r="BF734" s="54"/>
      <c r="BG734" s="54"/>
      <c r="BH734" s="54"/>
      <c r="BI734" s="54"/>
      <c r="BJ734" s="54"/>
      <c r="BK734" s="54"/>
      <c r="BL734" s="54"/>
    </row>
    <row r="735" spans="1:64" ht="11.25" customHeight="1" x14ac:dyDescent="0.3">
      <c r="A735" s="54"/>
      <c r="B735" s="54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  <c r="AA735" s="54"/>
      <c r="AB735" s="54"/>
      <c r="AC735" s="54"/>
      <c r="AD735" s="54"/>
      <c r="AE735" s="54"/>
      <c r="AF735" s="54"/>
      <c r="AG735" s="54"/>
      <c r="AH735" s="54"/>
      <c r="AI735" s="54"/>
      <c r="AJ735" s="54"/>
      <c r="AK735" s="54"/>
      <c r="AL735" s="54"/>
      <c r="AM735" s="54"/>
      <c r="AN735" s="54"/>
      <c r="AO735" s="54"/>
      <c r="AP735" s="54"/>
      <c r="AQ735" s="54"/>
      <c r="AR735" s="54"/>
      <c r="AS735" s="54"/>
      <c r="AT735" s="54"/>
      <c r="AU735" s="54"/>
      <c r="AV735" s="54"/>
      <c r="AW735" s="54"/>
      <c r="AX735" s="54"/>
      <c r="AY735" s="54"/>
      <c r="AZ735" s="54"/>
      <c r="BA735" s="54"/>
      <c r="BB735" s="54"/>
      <c r="BC735" s="54"/>
      <c r="BD735" s="54"/>
      <c r="BE735" s="54"/>
      <c r="BF735" s="54"/>
      <c r="BG735" s="54"/>
      <c r="BH735" s="54"/>
      <c r="BI735" s="54"/>
      <c r="BJ735" s="54"/>
      <c r="BK735" s="54"/>
      <c r="BL735" s="54"/>
    </row>
    <row r="736" spans="1:64" ht="11.25" customHeight="1" x14ac:dyDescent="0.3">
      <c r="A736" s="54"/>
      <c r="B736" s="54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  <c r="AA736" s="54"/>
      <c r="AB736" s="54"/>
      <c r="AC736" s="54"/>
      <c r="AD736" s="54"/>
      <c r="AE736" s="54"/>
      <c r="AF736" s="54"/>
      <c r="AG736" s="54"/>
      <c r="AH736" s="54"/>
      <c r="AI736" s="54"/>
      <c r="AJ736" s="54"/>
      <c r="AK736" s="54"/>
      <c r="AL736" s="54"/>
      <c r="AM736" s="54"/>
      <c r="AN736" s="54"/>
      <c r="AO736" s="54"/>
      <c r="AP736" s="54"/>
      <c r="AQ736" s="54"/>
      <c r="AR736" s="54"/>
      <c r="AS736" s="54"/>
      <c r="AT736" s="54"/>
      <c r="AU736" s="54"/>
      <c r="AV736" s="54"/>
      <c r="AW736" s="54"/>
      <c r="AX736" s="54"/>
      <c r="AY736" s="54"/>
      <c r="AZ736" s="54"/>
      <c r="BA736" s="54"/>
      <c r="BB736" s="54"/>
      <c r="BC736" s="54"/>
      <c r="BD736" s="54"/>
      <c r="BE736" s="54"/>
      <c r="BF736" s="54"/>
      <c r="BG736" s="54"/>
      <c r="BH736" s="54"/>
      <c r="BI736" s="54"/>
      <c r="BJ736" s="54"/>
      <c r="BK736" s="54"/>
      <c r="BL736" s="54"/>
    </row>
    <row r="737" spans="1:64" ht="11.25" customHeight="1" x14ac:dyDescent="0.3">
      <c r="A737" s="54"/>
      <c r="B737" s="54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  <c r="AA737" s="54"/>
      <c r="AB737" s="54"/>
      <c r="AC737" s="54"/>
      <c r="AD737" s="54"/>
      <c r="AE737" s="54"/>
      <c r="AF737" s="54"/>
      <c r="AG737" s="54"/>
      <c r="AH737" s="54"/>
      <c r="AI737" s="54"/>
      <c r="AJ737" s="54"/>
      <c r="AK737" s="54"/>
      <c r="AL737" s="54"/>
      <c r="AM737" s="54"/>
      <c r="AN737" s="54"/>
      <c r="AO737" s="54"/>
      <c r="AP737" s="54"/>
      <c r="AQ737" s="54"/>
      <c r="AR737" s="54"/>
      <c r="AS737" s="54"/>
      <c r="AT737" s="54"/>
      <c r="AU737" s="54"/>
      <c r="AV737" s="54"/>
      <c r="AW737" s="54"/>
      <c r="AX737" s="54"/>
      <c r="AY737" s="54"/>
      <c r="AZ737" s="54"/>
      <c r="BA737" s="54"/>
      <c r="BB737" s="54"/>
      <c r="BC737" s="54"/>
      <c r="BD737" s="54"/>
      <c r="BE737" s="54"/>
      <c r="BF737" s="54"/>
      <c r="BG737" s="54"/>
      <c r="BH737" s="54"/>
      <c r="BI737" s="54"/>
      <c r="BJ737" s="54"/>
      <c r="BK737" s="54"/>
      <c r="BL737" s="54"/>
    </row>
    <row r="738" spans="1:64" ht="11.25" customHeight="1" x14ac:dyDescent="0.3">
      <c r="A738" s="54"/>
      <c r="B738" s="54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  <c r="AA738" s="54"/>
      <c r="AB738" s="54"/>
      <c r="AC738" s="54"/>
      <c r="AD738" s="54"/>
      <c r="AE738" s="54"/>
      <c r="AF738" s="54"/>
      <c r="AG738" s="54"/>
      <c r="AH738" s="54"/>
      <c r="AI738" s="54"/>
      <c r="AJ738" s="54"/>
      <c r="AK738" s="54"/>
      <c r="AL738" s="54"/>
      <c r="AM738" s="54"/>
      <c r="AN738" s="54"/>
      <c r="AO738" s="54"/>
      <c r="AP738" s="54"/>
      <c r="AQ738" s="54"/>
      <c r="AR738" s="54"/>
      <c r="AS738" s="54"/>
      <c r="AT738" s="54"/>
      <c r="AU738" s="54"/>
      <c r="AV738" s="54"/>
      <c r="AW738" s="54"/>
      <c r="AX738" s="54"/>
      <c r="AY738" s="54"/>
      <c r="AZ738" s="54"/>
      <c r="BA738" s="54"/>
      <c r="BB738" s="54"/>
      <c r="BC738" s="54"/>
      <c r="BD738" s="54"/>
      <c r="BE738" s="54"/>
      <c r="BF738" s="54"/>
      <c r="BG738" s="54"/>
      <c r="BH738" s="54"/>
      <c r="BI738" s="54"/>
      <c r="BJ738" s="54"/>
      <c r="BK738" s="54"/>
      <c r="BL738" s="54"/>
    </row>
    <row r="739" spans="1:64" ht="11.25" customHeight="1" x14ac:dyDescent="0.3">
      <c r="A739" s="54"/>
      <c r="B739" s="54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  <c r="AA739" s="54"/>
      <c r="AB739" s="54"/>
      <c r="AC739" s="54"/>
      <c r="AD739" s="54"/>
      <c r="AE739" s="54"/>
      <c r="AF739" s="54"/>
      <c r="AG739" s="54"/>
      <c r="AH739" s="54"/>
      <c r="AI739" s="54"/>
      <c r="AJ739" s="54"/>
      <c r="AK739" s="54"/>
      <c r="AL739" s="54"/>
      <c r="AM739" s="54"/>
      <c r="AN739" s="54"/>
      <c r="AO739" s="54"/>
      <c r="AP739" s="54"/>
      <c r="AQ739" s="54"/>
      <c r="AR739" s="54"/>
      <c r="AS739" s="54"/>
      <c r="AT739" s="54"/>
      <c r="AU739" s="54"/>
      <c r="AV739" s="54"/>
      <c r="AW739" s="54"/>
      <c r="AX739" s="54"/>
      <c r="AY739" s="54"/>
      <c r="AZ739" s="54"/>
      <c r="BA739" s="54"/>
      <c r="BB739" s="54"/>
      <c r="BC739" s="54"/>
      <c r="BD739" s="54"/>
      <c r="BE739" s="54"/>
      <c r="BF739" s="54"/>
      <c r="BG739" s="54"/>
      <c r="BH739" s="54"/>
      <c r="BI739" s="54"/>
      <c r="BJ739" s="54"/>
      <c r="BK739" s="54"/>
      <c r="BL739" s="54"/>
    </row>
    <row r="740" spans="1:64" ht="11.25" customHeight="1" x14ac:dyDescent="0.3">
      <c r="A740" s="54"/>
      <c r="B740" s="54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  <c r="AA740" s="54"/>
      <c r="AB740" s="54"/>
      <c r="AC740" s="54"/>
      <c r="AD740" s="54"/>
      <c r="AE740" s="54"/>
      <c r="AF740" s="54"/>
      <c r="AG740" s="54"/>
      <c r="AH740" s="54"/>
      <c r="AI740" s="54"/>
      <c r="AJ740" s="54"/>
      <c r="AK740" s="54"/>
      <c r="AL740" s="54"/>
      <c r="AM740" s="54"/>
      <c r="AN740" s="54"/>
      <c r="AO740" s="54"/>
      <c r="AP740" s="54"/>
      <c r="AQ740" s="54"/>
      <c r="AR740" s="54"/>
      <c r="AS740" s="54"/>
      <c r="AT740" s="54"/>
      <c r="AU740" s="54"/>
      <c r="AV740" s="54"/>
      <c r="AW740" s="54"/>
      <c r="AX740" s="54"/>
      <c r="AY740" s="54"/>
      <c r="AZ740" s="54"/>
      <c r="BA740" s="54"/>
      <c r="BB740" s="54"/>
      <c r="BC740" s="54"/>
      <c r="BD740" s="54"/>
      <c r="BE740" s="54"/>
      <c r="BF740" s="54"/>
      <c r="BG740" s="54"/>
      <c r="BH740" s="54"/>
      <c r="BI740" s="54"/>
      <c r="BJ740" s="54"/>
      <c r="BK740" s="54"/>
      <c r="BL740" s="54"/>
    </row>
    <row r="741" spans="1:64" ht="11.25" customHeight="1" x14ac:dyDescent="0.3">
      <c r="A741" s="54"/>
      <c r="B741" s="54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  <c r="AA741" s="54"/>
      <c r="AB741" s="54"/>
      <c r="AC741" s="54"/>
      <c r="AD741" s="54"/>
      <c r="AE741" s="54"/>
      <c r="AF741" s="54"/>
      <c r="AG741" s="54"/>
      <c r="AH741" s="54"/>
      <c r="AI741" s="54"/>
      <c r="AJ741" s="54"/>
      <c r="AK741" s="54"/>
      <c r="AL741" s="54"/>
      <c r="AM741" s="54"/>
      <c r="AN741" s="54"/>
      <c r="AO741" s="54"/>
      <c r="AP741" s="54"/>
      <c r="AQ741" s="54"/>
      <c r="AR741" s="54"/>
      <c r="AS741" s="54"/>
      <c r="AT741" s="54"/>
      <c r="AU741" s="54"/>
      <c r="AV741" s="54"/>
      <c r="AW741" s="54"/>
      <c r="AX741" s="54"/>
      <c r="AY741" s="54"/>
      <c r="AZ741" s="54"/>
      <c r="BA741" s="54"/>
      <c r="BB741" s="54"/>
      <c r="BC741" s="54"/>
      <c r="BD741" s="54"/>
      <c r="BE741" s="54"/>
      <c r="BF741" s="54"/>
      <c r="BG741" s="54"/>
      <c r="BH741" s="54"/>
      <c r="BI741" s="54"/>
      <c r="BJ741" s="54"/>
      <c r="BK741" s="54"/>
      <c r="BL741" s="54"/>
    </row>
    <row r="742" spans="1:64" ht="11.25" customHeight="1" x14ac:dyDescent="0.3">
      <c r="A742" s="54"/>
      <c r="B742" s="54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  <c r="AA742" s="54"/>
      <c r="AB742" s="54"/>
      <c r="AC742" s="54"/>
      <c r="AD742" s="54"/>
      <c r="AE742" s="54"/>
      <c r="AF742" s="54"/>
      <c r="AG742" s="54"/>
      <c r="AH742" s="54"/>
      <c r="AI742" s="54"/>
      <c r="AJ742" s="54"/>
      <c r="AK742" s="54"/>
      <c r="AL742" s="54"/>
      <c r="AM742" s="54"/>
      <c r="AN742" s="54"/>
      <c r="AO742" s="54"/>
      <c r="AP742" s="54"/>
      <c r="AQ742" s="54"/>
      <c r="AR742" s="54"/>
      <c r="AS742" s="54"/>
      <c r="AT742" s="54"/>
      <c r="AU742" s="54"/>
      <c r="AV742" s="54"/>
      <c r="AW742" s="54"/>
      <c r="AX742" s="54"/>
      <c r="AY742" s="54"/>
      <c r="AZ742" s="54"/>
      <c r="BA742" s="54"/>
      <c r="BB742" s="54"/>
      <c r="BC742" s="54"/>
      <c r="BD742" s="54"/>
      <c r="BE742" s="54"/>
      <c r="BF742" s="54"/>
      <c r="BG742" s="54"/>
      <c r="BH742" s="54"/>
      <c r="BI742" s="54"/>
      <c r="BJ742" s="54"/>
      <c r="BK742" s="54"/>
      <c r="BL742" s="54"/>
    </row>
    <row r="743" spans="1:64" ht="11.25" customHeight="1" x14ac:dyDescent="0.3">
      <c r="A743" s="54"/>
      <c r="B743" s="54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  <c r="AA743" s="54"/>
      <c r="AB743" s="54"/>
      <c r="AC743" s="54"/>
      <c r="AD743" s="54"/>
      <c r="AE743" s="54"/>
      <c r="AF743" s="54"/>
      <c r="AG743" s="54"/>
      <c r="AH743" s="54"/>
      <c r="AI743" s="54"/>
      <c r="AJ743" s="54"/>
      <c r="AK743" s="54"/>
      <c r="AL743" s="54"/>
      <c r="AM743" s="54"/>
      <c r="AN743" s="54"/>
      <c r="AO743" s="54"/>
      <c r="AP743" s="54"/>
      <c r="AQ743" s="54"/>
      <c r="AR743" s="54"/>
      <c r="AS743" s="54"/>
      <c r="AT743" s="54"/>
      <c r="AU743" s="54"/>
      <c r="AV743" s="54"/>
      <c r="AW743" s="54"/>
      <c r="AX743" s="54"/>
      <c r="AY743" s="54"/>
      <c r="AZ743" s="54"/>
      <c r="BA743" s="54"/>
      <c r="BB743" s="54"/>
      <c r="BC743" s="54"/>
      <c r="BD743" s="54"/>
      <c r="BE743" s="54"/>
      <c r="BF743" s="54"/>
      <c r="BG743" s="54"/>
      <c r="BH743" s="54"/>
      <c r="BI743" s="54"/>
      <c r="BJ743" s="54"/>
      <c r="BK743" s="54"/>
      <c r="BL743" s="54"/>
    </row>
    <row r="744" spans="1:64" ht="11.25" customHeight="1" x14ac:dyDescent="0.3">
      <c r="A744" s="54"/>
      <c r="B744" s="54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  <c r="AA744" s="54"/>
      <c r="AB744" s="54"/>
      <c r="AC744" s="54"/>
      <c r="AD744" s="54"/>
      <c r="AE744" s="54"/>
      <c r="AF744" s="54"/>
      <c r="AG744" s="54"/>
      <c r="AH744" s="54"/>
      <c r="AI744" s="54"/>
      <c r="AJ744" s="54"/>
      <c r="AK744" s="54"/>
      <c r="AL744" s="54"/>
      <c r="AM744" s="54"/>
      <c r="AN744" s="54"/>
      <c r="AO744" s="54"/>
      <c r="AP744" s="54"/>
      <c r="AQ744" s="54"/>
      <c r="AR744" s="54"/>
      <c r="AS744" s="54"/>
      <c r="AT744" s="54"/>
      <c r="AU744" s="54"/>
      <c r="AV744" s="54"/>
      <c r="AW744" s="54"/>
      <c r="AX744" s="54"/>
      <c r="AY744" s="54"/>
      <c r="AZ744" s="54"/>
      <c r="BA744" s="54"/>
      <c r="BB744" s="54"/>
      <c r="BC744" s="54"/>
      <c r="BD744" s="54"/>
      <c r="BE744" s="54"/>
      <c r="BF744" s="54"/>
      <c r="BG744" s="54"/>
      <c r="BH744" s="54"/>
      <c r="BI744" s="54"/>
      <c r="BJ744" s="54"/>
      <c r="BK744" s="54"/>
      <c r="BL744" s="54"/>
    </row>
    <row r="745" spans="1:64" ht="11.25" customHeight="1" x14ac:dyDescent="0.3">
      <c r="A745" s="54"/>
      <c r="B745" s="54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  <c r="AA745" s="54"/>
      <c r="AB745" s="54"/>
      <c r="AC745" s="54"/>
      <c r="AD745" s="54"/>
      <c r="AE745" s="54"/>
      <c r="AF745" s="54"/>
      <c r="AG745" s="54"/>
      <c r="AH745" s="54"/>
      <c r="AI745" s="54"/>
      <c r="AJ745" s="54"/>
      <c r="AK745" s="54"/>
      <c r="AL745" s="54"/>
      <c r="AM745" s="54"/>
      <c r="AN745" s="54"/>
      <c r="AO745" s="54"/>
      <c r="AP745" s="54"/>
      <c r="AQ745" s="54"/>
      <c r="AR745" s="54"/>
      <c r="AS745" s="54"/>
      <c r="AT745" s="54"/>
      <c r="AU745" s="54"/>
      <c r="AV745" s="54"/>
      <c r="AW745" s="54"/>
      <c r="AX745" s="54"/>
      <c r="AY745" s="54"/>
      <c r="AZ745" s="54"/>
      <c r="BA745" s="54"/>
      <c r="BB745" s="54"/>
      <c r="BC745" s="54"/>
      <c r="BD745" s="54"/>
      <c r="BE745" s="54"/>
      <c r="BF745" s="54"/>
      <c r="BG745" s="54"/>
      <c r="BH745" s="54"/>
      <c r="BI745" s="54"/>
      <c r="BJ745" s="54"/>
      <c r="BK745" s="54"/>
      <c r="BL745" s="54"/>
    </row>
    <row r="746" spans="1:64" ht="11.25" customHeight="1" x14ac:dyDescent="0.3">
      <c r="A746" s="54"/>
      <c r="B746" s="54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  <c r="AA746" s="54"/>
      <c r="AB746" s="54"/>
      <c r="AC746" s="54"/>
      <c r="AD746" s="54"/>
      <c r="AE746" s="54"/>
      <c r="AF746" s="54"/>
      <c r="AG746" s="54"/>
      <c r="AH746" s="54"/>
      <c r="AI746" s="54"/>
      <c r="AJ746" s="54"/>
      <c r="AK746" s="54"/>
      <c r="AL746" s="54"/>
      <c r="AM746" s="54"/>
      <c r="AN746" s="54"/>
      <c r="AO746" s="54"/>
      <c r="AP746" s="54"/>
      <c r="AQ746" s="54"/>
      <c r="AR746" s="54"/>
      <c r="AS746" s="54"/>
      <c r="AT746" s="54"/>
      <c r="AU746" s="54"/>
      <c r="AV746" s="54"/>
      <c r="AW746" s="54"/>
      <c r="AX746" s="54"/>
      <c r="AY746" s="54"/>
      <c r="AZ746" s="54"/>
      <c r="BA746" s="54"/>
      <c r="BB746" s="54"/>
      <c r="BC746" s="54"/>
      <c r="BD746" s="54"/>
      <c r="BE746" s="54"/>
      <c r="BF746" s="54"/>
      <c r="BG746" s="54"/>
      <c r="BH746" s="54"/>
      <c r="BI746" s="54"/>
      <c r="BJ746" s="54"/>
      <c r="BK746" s="54"/>
      <c r="BL746" s="54"/>
    </row>
    <row r="747" spans="1:64" ht="11.25" customHeight="1" x14ac:dyDescent="0.3">
      <c r="A747" s="54"/>
      <c r="B747" s="54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  <c r="AA747" s="54"/>
      <c r="AB747" s="54"/>
      <c r="AC747" s="54"/>
      <c r="AD747" s="54"/>
      <c r="AE747" s="54"/>
      <c r="AF747" s="54"/>
      <c r="AG747" s="54"/>
      <c r="AH747" s="54"/>
      <c r="AI747" s="54"/>
      <c r="AJ747" s="54"/>
      <c r="AK747" s="54"/>
      <c r="AL747" s="54"/>
      <c r="AM747" s="54"/>
      <c r="AN747" s="54"/>
      <c r="AO747" s="54"/>
      <c r="AP747" s="54"/>
      <c r="AQ747" s="54"/>
      <c r="AR747" s="54"/>
      <c r="AS747" s="54"/>
      <c r="AT747" s="54"/>
      <c r="AU747" s="54"/>
      <c r="AV747" s="54"/>
      <c r="AW747" s="54"/>
      <c r="AX747" s="54"/>
      <c r="AY747" s="54"/>
      <c r="AZ747" s="54"/>
      <c r="BA747" s="54"/>
      <c r="BB747" s="54"/>
      <c r="BC747" s="54"/>
      <c r="BD747" s="54"/>
      <c r="BE747" s="54"/>
      <c r="BF747" s="54"/>
      <c r="BG747" s="54"/>
      <c r="BH747" s="54"/>
      <c r="BI747" s="54"/>
      <c r="BJ747" s="54"/>
      <c r="BK747" s="54"/>
      <c r="BL747" s="54"/>
    </row>
    <row r="748" spans="1:64" ht="11.25" customHeight="1" x14ac:dyDescent="0.3">
      <c r="A748" s="54"/>
      <c r="B748" s="54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  <c r="AA748" s="54"/>
      <c r="AB748" s="54"/>
      <c r="AC748" s="54"/>
      <c r="AD748" s="54"/>
      <c r="AE748" s="54"/>
      <c r="AF748" s="54"/>
      <c r="AG748" s="54"/>
      <c r="AH748" s="54"/>
      <c r="AI748" s="54"/>
      <c r="AJ748" s="54"/>
      <c r="AK748" s="54"/>
      <c r="AL748" s="54"/>
      <c r="AM748" s="54"/>
      <c r="AN748" s="54"/>
      <c r="AO748" s="54"/>
      <c r="AP748" s="54"/>
      <c r="AQ748" s="54"/>
      <c r="AR748" s="54"/>
      <c r="AS748" s="54"/>
      <c r="AT748" s="54"/>
      <c r="AU748" s="54"/>
      <c r="AV748" s="54"/>
      <c r="AW748" s="54"/>
      <c r="AX748" s="54"/>
      <c r="AY748" s="54"/>
      <c r="AZ748" s="54"/>
      <c r="BA748" s="54"/>
      <c r="BB748" s="54"/>
      <c r="BC748" s="54"/>
      <c r="BD748" s="54"/>
      <c r="BE748" s="54"/>
      <c r="BF748" s="54"/>
      <c r="BG748" s="54"/>
      <c r="BH748" s="54"/>
      <c r="BI748" s="54"/>
      <c r="BJ748" s="54"/>
      <c r="BK748" s="54"/>
      <c r="BL748" s="54"/>
    </row>
    <row r="749" spans="1:64" ht="11.25" customHeight="1" x14ac:dyDescent="0.3">
      <c r="A749" s="54"/>
      <c r="B749" s="54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  <c r="AA749" s="54"/>
      <c r="AB749" s="54"/>
      <c r="AC749" s="54"/>
      <c r="AD749" s="54"/>
      <c r="AE749" s="54"/>
      <c r="AF749" s="54"/>
      <c r="AG749" s="54"/>
      <c r="AH749" s="54"/>
      <c r="AI749" s="54"/>
      <c r="AJ749" s="54"/>
      <c r="AK749" s="54"/>
      <c r="AL749" s="54"/>
      <c r="AM749" s="54"/>
      <c r="AN749" s="54"/>
      <c r="AO749" s="54"/>
      <c r="AP749" s="54"/>
      <c r="AQ749" s="54"/>
      <c r="AR749" s="54"/>
      <c r="AS749" s="54"/>
      <c r="AT749" s="54"/>
      <c r="AU749" s="54"/>
      <c r="AV749" s="54"/>
      <c r="AW749" s="54"/>
      <c r="AX749" s="54"/>
      <c r="AY749" s="54"/>
      <c r="AZ749" s="54"/>
      <c r="BA749" s="54"/>
      <c r="BB749" s="54"/>
      <c r="BC749" s="54"/>
      <c r="BD749" s="54"/>
      <c r="BE749" s="54"/>
      <c r="BF749" s="54"/>
      <c r="BG749" s="54"/>
      <c r="BH749" s="54"/>
      <c r="BI749" s="54"/>
      <c r="BJ749" s="54"/>
      <c r="BK749" s="54"/>
      <c r="BL749" s="54"/>
    </row>
    <row r="750" spans="1:64" ht="11.25" customHeight="1" x14ac:dyDescent="0.3">
      <c r="A750" s="54"/>
      <c r="B750" s="54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  <c r="AA750" s="54"/>
      <c r="AB750" s="54"/>
      <c r="AC750" s="54"/>
      <c r="AD750" s="54"/>
      <c r="AE750" s="54"/>
      <c r="AF750" s="54"/>
      <c r="AG750" s="54"/>
      <c r="AH750" s="54"/>
      <c r="AI750" s="54"/>
      <c r="AJ750" s="54"/>
      <c r="AK750" s="54"/>
      <c r="AL750" s="54"/>
      <c r="AM750" s="54"/>
      <c r="AN750" s="54"/>
      <c r="AO750" s="54"/>
      <c r="AP750" s="54"/>
      <c r="AQ750" s="54"/>
      <c r="AR750" s="54"/>
      <c r="AS750" s="54"/>
      <c r="AT750" s="54"/>
      <c r="AU750" s="54"/>
      <c r="AV750" s="54"/>
      <c r="AW750" s="54"/>
      <c r="AX750" s="54"/>
      <c r="AY750" s="54"/>
      <c r="AZ750" s="54"/>
      <c r="BA750" s="54"/>
      <c r="BB750" s="54"/>
      <c r="BC750" s="54"/>
      <c r="BD750" s="54"/>
      <c r="BE750" s="54"/>
      <c r="BF750" s="54"/>
      <c r="BG750" s="54"/>
      <c r="BH750" s="54"/>
      <c r="BI750" s="54"/>
      <c r="BJ750" s="54"/>
      <c r="BK750" s="54"/>
      <c r="BL750" s="54"/>
    </row>
    <row r="751" spans="1:64" ht="11.25" customHeight="1" x14ac:dyDescent="0.3">
      <c r="A751" s="54"/>
      <c r="B751" s="54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  <c r="AA751" s="54"/>
      <c r="AB751" s="54"/>
      <c r="AC751" s="54"/>
      <c r="AD751" s="54"/>
      <c r="AE751" s="54"/>
      <c r="AF751" s="54"/>
      <c r="AG751" s="54"/>
      <c r="AH751" s="54"/>
      <c r="AI751" s="54"/>
      <c r="AJ751" s="54"/>
      <c r="AK751" s="54"/>
      <c r="AL751" s="54"/>
      <c r="AM751" s="54"/>
      <c r="AN751" s="54"/>
      <c r="AO751" s="54"/>
      <c r="AP751" s="54"/>
      <c r="AQ751" s="54"/>
      <c r="AR751" s="54"/>
      <c r="AS751" s="54"/>
      <c r="AT751" s="54"/>
      <c r="AU751" s="54"/>
      <c r="AV751" s="54"/>
      <c r="AW751" s="54"/>
      <c r="AX751" s="54"/>
      <c r="AY751" s="54"/>
      <c r="AZ751" s="54"/>
      <c r="BA751" s="54"/>
      <c r="BB751" s="54"/>
      <c r="BC751" s="54"/>
      <c r="BD751" s="54"/>
      <c r="BE751" s="54"/>
      <c r="BF751" s="54"/>
      <c r="BG751" s="54"/>
      <c r="BH751" s="54"/>
      <c r="BI751" s="54"/>
      <c r="BJ751" s="54"/>
      <c r="BK751" s="54"/>
      <c r="BL751" s="54"/>
    </row>
    <row r="752" spans="1:64" ht="11.25" customHeight="1" x14ac:dyDescent="0.3">
      <c r="A752" s="54"/>
      <c r="B752" s="54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  <c r="AA752" s="54"/>
      <c r="AB752" s="54"/>
      <c r="AC752" s="54"/>
      <c r="AD752" s="54"/>
      <c r="AE752" s="54"/>
      <c r="AF752" s="54"/>
      <c r="AG752" s="54"/>
      <c r="AH752" s="54"/>
      <c r="AI752" s="54"/>
      <c r="AJ752" s="54"/>
      <c r="AK752" s="54"/>
      <c r="AL752" s="54"/>
      <c r="AM752" s="54"/>
      <c r="AN752" s="54"/>
      <c r="AO752" s="54"/>
      <c r="AP752" s="54"/>
      <c r="AQ752" s="54"/>
      <c r="AR752" s="54"/>
      <c r="AS752" s="54"/>
      <c r="AT752" s="54"/>
      <c r="AU752" s="54"/>
      <c r="AV752" s="54"/>
      <c r="AW752" s="54"/>
      <c r="AX752" s="54"/>
      <c r="AY752" s="54"/>
      <c r="AZ752" s="54"/>
      <c r="BA752" s="54"/>
      <c r="BB752" s="54"/>
      <c r="BC752" s="54"/>
      <c r="BD752" s="54"/>
      <c r="BE752" s="54"/>
      <c r="BF752" s="54"/>
      <c r="BG752" s="54"/>
      <c r="BH752" s="54"/>
      <c r="BI752" s="54"/>
      <c r="BJ752" s="54"/>
      <c r="BK752" s="54"/>
      <c r="BL752" s="54"/>
    </row>
    <row r="753" spans="1:64" ht="11.25" customHeight="1" x14ac:dyDescent="0.3">
      <c r="A753" s="54"/>
      <c r="B753" s="54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  <c r="AA753" s="54"/>
      <c r="AB753" s="54"/>
      <c r="AC753" s="54"/>
      <c r="AD753" s="54"/>
      <c r="AE753" s="54"/>
      <c r="AF753" s="54"/>
      <c r="AG753" s="54"/>
      <c r="AH753" s="54"/>
      <c r="AI753" s="54"/>
      <c r="AJ753" s="54"/>
      <c r="AK753" s="54"/>
      <c r="AL753" s="54"/>
      <c r="AM753" s="54"/>
      <c r="AN753" s="54"/>
      <c r="AO753" s="54"/>
      <c r="AP753" s="54"/>
      <c r="AQ753" s="54"/>
      <c r="AR753" s="54"/>
      <c r="AS753" s="54"/>
      <c r="AT753" s="54"/>
      <c r="AU753" s="54"/>
      <c r="AV753" s="54"/>
      <c r="AW753" s="54"/>
      <c r="AX753" s="54"/>
      <c r="AY753" s="54"/>
      <c r="AZ753" s="54"/>
      <c r="BA753" s="54"/>
      <c r="BB753" s="54"/>
      <c r="BC753" s="54"/>
      <c r="BD753" s="54"/>
      <c r="BE753" s="54"/>
      <c r="BF753" s="54"/>
      <c r="BG753" s="54"/>
      <c r="BH753" s="54"/>
      <c r="BI753" s="54"/>
      <c r="BJ753" s="54"/>
      <c r="BK753" s="54"/>
      <c r="BL753" s="54"/>
    </row>
    <row r="754" spans="1:64" ht="11.25" customHeight="1" x14ac:dyDescent="0.3">
      <c r="A754" s="54"/>
      <c r="B754" s="54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  <c r="AA754" s="54"/>
      <c r="AB754" s="54"/>
      <c r="AC754" s="54"/>
      <c r="AD754" s="54"/>
      <c r="AE754" s="54"/>
      <c r="AF754" s="54"/>
      <c r="AG754" s="54"/>
      <c r="AH754" s="54"/>
      <c r="AI754" s="54"/>
      <c r="AJ754" s="54"/>
      <c r="AK754" s="54"/>
      <c r="AL754" s="54"/>
      <c r="AM754" s="54"/>
      <c r="AN754" s="54"/>
      <c r="AO754" s="54"/>
      <c r="AP754" s="54"/>
      <c r="AQ754" s="54"/>
      <c r="AR754" s="54"/>
      <c r="AS754" s="54"/>
      <c r="AT754" s="54"/>
      <c r="AU754" s="54"/>
      <c r="AV754" s="54"/>
      <c r="AW754" s="54"/>
      <c r="AX754" s="54"/>
      <c r="AY754" s="54"/>
      <c r="AZ754" s="54"/>
      <c r="BA754" s="54"/>
      <c r="BB754" s="54"/>
      <c r="BC754" s="54"/>
      <c r="BD754" s="54"/>
      <c r="BE754" s="54"/>
      <c r="BF754" s="54"/>
      <c r="BG754" s="54"/>
      <c r="BH754" s="54"/>
      <c r="BI754" s="54"/>
      <c r="BJ754" s="54"/>
      <c r="BK754" s="54"/>
      <c r="BL754" s="54"/>
    </row>
    <row r="755" spans="1:64" ht="11.25" customHeight="1" x14ac:dyDescent="0.3">
      <c r="A755" s="54"/>
      <c r="B755" s="54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  <c r="AA755" s="54"/>
      <c r="AB755" s="54"/>
      <c r="AC755" s="54"/>
      <c r="AD755" s="54"/>
      <c r="AE755" s="54"/>
      <c r="AF755" s="54"/>
      <c r="AG755" s="54"/>
      <c r="AH755" s="54"/>
      <c r="AI755" s="54"/>
      <c r="AJ755" s="54"/>
      <c r="AK755" s="54"/>
      <c r="AL755" s="54"/>
      <c r="AM755" s="54"/>
      <c r="AN755" s="54"/>
      <c r="AO755" s="54"/>
      <c r="AP755" s="54"/>
      <c r="AQ755" s="54"/>
      <c r="AR755" s="54"/>
      <c r="AS755" s="54"/>
      <c r="AT755" s="54"/>
      <c r="AU755" s="54"/>
      <c r="AV755" s="54"/>
      <c r="AW755" s="54"/>
      <c r="AX755" s="54"/>
      <c r="AY755" s="54"/>
      <c r="AZ755" s="54"/>
      <c r="BA755" s="54"/>
      <c r="BB755" s="54"/>
      <c r="BC755" s="54"/>
      <c r="BD755" s="54"/>
      <c r="BE755" s="54"/>
      <c r="BF755" s="54"/>
      <c r="BG755" s="54"/>
      <c r="BH755" s="54"/>
      <c r="BI755" s="54"/>
      <c r="BJ755" s="54"/>
      <c r="BK755" s="54"/>
      <c r="BL755" s="54"/>
    </row>
    <row r="756" spans="1:64" ht="11.25" customHeight="1" x14ac:dyDescent="0.3">
      <c r="A756" s="54"/>
      <c r="B756" s="54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  <c r="AA756" s="54"/>
      <c r="AB756" s="54"/>
      <c r="AC756" s="54"/>
      <c r="AD756" s="54"/>
      <c r="AE756" s="54"/>
      <c r="AF756" s="54"/>
      <c r="AG756" s="54"/>
      <c r="AH756" s="54"/>
      <c r="AI756" s="54"/>
      <c r="AJ756" s="54"/>
      <c r="AK756" s="54"/>
      <c r="AL756" s="54"/>
      <c r="AM756" s="54"/>
      <c r="AN756" s="54"/>
      <c r="AO756" s="54"/>
      <c r="AP756" s="54"/>
      <c r="AQ756" s="54"/>
      <c r="AR756" s="54"/>
      <c r="AS756" s="54"/>
      <c r="AT756" s="54"/>
      <c r="AU756" s="54"/>
      <c r="AV756" s="54"/>
      <c r="AW756" s="54"/>
      <c r="AX756" s="54"/>
      <c r="AY756" s="54"/>
      <c r="AZ756" s="54"/>
      <c r="BA756" s="54"/>
      <c r="BB756" s="54"/>
      <c r="BC756" s="54"/>
      <c r="BD756" s="54"/>
      <c r="BE756" s="54"/>
      <c r="BF756" s="54"/>
      <c r="BG756" s="54"/>
      <c r="BH756" s="54"/>
      <c r="BI756" s="54"/>
      <c r="BJ756" s="54"/>
      <c r="BK756" s="54"/>
      <c r="BL756" s="54"/>
    </row>
    <row r="757" spans="1:64" ht="11.25" customHeight="1" x14ac:dyDescent="0.3">
      <c r="A757" s="54"/>
      <c r="B757" s="54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  <c r="AA757" s="54"/>
      <c r="AB757" s="54"/>
      <c r="AC757" s="54"/>
      <c r="AD757" s="54"/>
      <c r="AE757" s="54"/>
      <c r="AF757" s="54"/>
      <c r="AG757" s="54"/>
      <c r="AH757" s="54"/>
      <c r="AI757" s="54"/>
      <c r="AJ757" s="54"/>
      <c r="AK757" s="54"/>
      <c r="AL757" s="54"/>
      <c r="AM757" s="54"/>
      <c r="AN757" s="54"/>
      <c r="AO757" s="54"/>
      <c r="AP757" s="54"/>
      <c r="AQ757" s="54"/>
      <c r="AR757" s="54"/>
      <c r="AS757" s="54"/>
      <c r="AT757" s="54"/>
      <c r="AU757" s="54"/>
      <c r="AV757" s="54"/>
      <c r="AW757" s="54"/>
      <c r="AX757" s="54"/>
      <c r="AY757" s="54"/>
      <c r="AZ757" s="54"/>
      <c r="BA757" s="54"/>
      <c r="BB757" s="54"/>
      <c r="BC757" s="54"/>
      <c r="BD757" s="54"/>
      <c r="BE757" s="54"/>
      <c r="BF757" s="54"/>
      <c r="BG757" s="54"/>
      <c r="BH757" s="54"/>
      <c r="BI757" s="54"/>
      <c r="BJ757" s="54"/>
      <c r="BK757" s="54"/>
      <c r="BL757" s="54"/>
    </row>
    <row r="758" spans="1:64" ht="11.25" customHeight="1" x14ac:dyDescent="0.3">
      <c r="A758" s="54"/>
      <c r="B758" s="54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  <c r="AA758" s="54"/>
      <c r="AB758" s="54"/>
      <c r="AC758" s="54"/>
      <c r="AD758" s="54"/>
      <c r="AE758" s="54"/>
      <c r="AF758" s="54"/>
      <c r="AG758" s="54"/>
      <c r="AH758" s="54"/>
      <c r="AI758" s="54"/>
      <c r="AJ758" s="54"/>
      <c r="AK758" s="54"/>
      <c r="AL758" s="54"/>
      <c r="AM758" s="54"/>
      <c r="AN758" s="54"/>
      <c r="AO758" s="54"/>
      <c r="AP758" s="54"/>
      <c r="AQ758" s="54"/>
      <c r="AR758" s="54"/>
      <c r="AS758" s="54"/>
      <c r="AT758" s="54"/>
      <c r="AU758" s="54"/>
      <c r="AV758" s="54"/>
      <c r="AW758" s="54"/>
      <c r="AX758" s="54"/>
      <c r="AY758" s="54"/>
      <c r="AZ758" s="54"/>
      <c r="BA758" s="54"/>
      <c r="BB758" s="54"/>
      <c r="BC758" s="54"/>
      <c r="BD758" s="54"/>
      <c r="BE758" s="54"/>
      <c r="BF758" s="54"/>
      <c r="BG758" s="54"/>
      <c r="BH758" s="54"/>
      <c r="BI758" s="54"/>
      <c r="BJ758" s="54"/>
      <c r="BK758" s="54"/>
      <c r="BL758" s="54"/>
    </row>
    <row r="759" spans="1:64" ht="11.25" customHeight="1" x14ac:dyDescent="0.3">
      <c r="A759" s="54"/>
      <c r="B759" s="54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  <c r="AA759" s="54"/>
      <c r="AB759" s="54"/>
      <c r="AC759" s="54"/>
      <c r="AD759" s="54"/>
      <c r="AE759" s="54"/>
      <c r="AF759" s="54"/>
      <c r="AG759" s="54"/>
      <c r="AH759" s="54"/>
      <c r="AI759" s="54"/>
      <c r="AJ759" s="54"/>
      <c r="AK759" s="54"/>
      <c r="AL759" s="54"/>
      <c r="AM759" s="54"/>
      <c r="AN759" s="54"/>
      <c r="AO759" s="54"/>
      <c r="AP759" s="54"/>
      <c r="AQ759" s="54"/>
      <c r="AR759" s="54"/>
      <c r="AS759" s="54"/>
      <c r="AT759" s="54"/>
      <c r="AU759" s="54"/>
      <c r="AV759" s="54"/>
      <c r="AW759" s="54"/>
      <c r="AX759" s="54"/>
      <c r="AY759" s="54"/>
      <c r="AZ759" s="54"/>
      <c r="BA759" s="54"/>
      <c r="BB759" s="54"/>
      <c r="BC759" s="54"/>
      <c r="BD759" s="54"/>
      <c r="BE759" s="54"/>
      <c r="BF759" s="54"/>
      <c r="BG759" s="54"/>
      <c r="BH759" s="54"/>
      <c r="BI759" s="54"/>
      <c r="BJ759" s="54"/>
      <c r="BK759" s="54"/>
      <c r="BL759" s="54"/>
    </row>
    <row r="760" spans="1:64" ht="11.25" customHeight="1" x14ac:dyDescent="0.3">
      <c r="A760" s="54"/>
      <c r="B760" s="54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  <c r="AA760" s="54"/>
      <c r="AB760" s="54"/>
      <c r="AC760" s="54"/>
      <c r="AD760" s="54"/>
      <c r="AE760" s="54"/>
      <c r="AF760" s="54"/>
      <c r="AG760" s="54"/>
      <c r="AH760" s="54"/>
      <c r="AI760" s="54"/>
      <c r="AJ760" s="54"/>
      <c r="AK760" s="54"/>
      <c r="AL760" s="54"/>
      <c r="AM760" s="54"/>
      <c r="AN760" s="54"/>
      <c r="AO760" s="54"/>
      <c r="AP760" s="54"/>
      <c r="AQ760" s="54"/>
      <c r="AR760" s="54"/>
      <c r="AS760" s="54"/>
      <c r="AT760" s="54"/>
      <c r="AU760" s="54"/>
      <c r="AV760" s="54"/>
      <c r="AW760" s="54"/>
      <c r="AX760" s="54"/>
      <c r="AY760" s="54"/>
      <c r="AZ760" s="54"/>
      <c r="BA760" s="54"/>
      <c r="BB760" s="54"/>
      <c r="BC760" s="54"/>
      <c r="BD760" s="54"/>
      <c r="BE760" s="54"/>
      <c r="BF760" s="54"/>
      <c r="BG760" s="54"/>
      <c r="BH760" s="54"/>
      <c r="BI760" s="54"/>
      <c r="BJ760" s="54"/>
      <c r="BK760" s="54"/>
      <c r="BL760" s="54"/>
    </row>
    <row r="761" spans="1:64" ht="11.25" customHeight="1" x14ac:dyDescent="0.3">
      <c r="A761" s="54"/>
      <c r="B761" s="54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  <c r="AA761" s="54"/>
      <c r="AB761" s="54"/>
      <c r="AC761" s="54"/>
      <c r="AD761" s="54"/>
      <c r="AE761" s="54"/>
      <c r="AF761" s="54"/>
      <c r="AG761" s="54"/>
      <c r="AH761" s="54"/>
      <c r="AI761" s="54"/>
      <c r="AJ761" s="54"/>
      <c r="AK761" s="54"/>
      <c r="AL761" s="54"/>
      <c r="AM761" s="54"/>
      <c r="AN761" s="54"/>
      <c r="AO761" s="54"/>
      <c r="AP761" s="54"/>
      <c r="AQ761" s="54"/>
      <c r="AR761" s="54"/>
      <c r="AS761" s="54"/>
      <c r="AT761" s="54"/>
      <c r="AU761" s="54"/>
      <c r="AV761" s="54"/>
      <c r="AW761" s="54"/>
      <c r="AX761" s="54"/>
      <c r="AY761" s="54"/>
      <c r="AZ761" s="54"/>
      <c r="BA761" s="54"/>
      <c r="BB761" s="54"/>
      <c r="BC761" s="54"/>
      <c r="BD761" s="54"/>
      <c r="BE761" s="54"/>
      <c r="BF761" s="54"/>
      <c r="BG761" s="54"/>
      <c r="BH761" s="54"/>
      <c r="BI761" s="54"/>
      <c r="BJ761" s="54"/>
      <c r="BK761" s="54"/>
      <c r="BL761" s="54"/>
    </row>
    <row r="762" spans="1:64" ht="11.25" customHeight="1" x14ac:dyDescent="0.3">
      <c r="A762" s="54"/>
      <c r="B762" s="54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  <c r="AA762" s="54"/>
      <c r="AB762" s="54"/>
      <c r="AC762" s="54"/>
      <c r="AD762" s="54"/>
      <c r="AE762" s="54"/>
      <c r="AF762" s="54"/>
      <c r="AG762" s="54"/>
      <c r="AH762" s="54"/>
      <c r="AI762" s="54"/>
      <c r="AJ762" s="54"/>
      <c r="AK762" s="54"/>
      <c r="AL762" s="54"/>
      <c r="AM762" s="54"/>
      <c r="AN762" s="54"/>
      <c r="AO762" s="54"/>
      <c r="AP762" s="54"/>
      <c r="AQ762" s="54"/>
      <c r="AR762" s="54"/>
      <c r="AS762" s="54"/>
      <c r="AT762" s="54"/>
      <c r="AU762" s="54"/>
      <c r="AV762" s="54"/>
      <c r="AW762" s="54"/>
      <c r="AX762" s="54"/>
      <c r="AY762" s="54"/>
      <c r="AZ762" s="54"/>
      <c r="BA762" s="54"/>
      <c r="BB762" s="54"/>
      <c r="BC762" s="54"/>
      <c r="BD762" s="54"/>
      <c r="BE762" s="54"/>
      <c r="BF762" s="54"/>
      <c r="BG762" s="54"/>
      <c r="BH762" s="54"/>
      <c r="BI762" s="54"/>
      <c r="BJ762" s="54"/>
      <c r="BK762" s="54"/>
      <c r="BL762" s="54"/>
    </row>
    <row r="763" spans="1:64" ht="11.25" customHeight="1" x14ac:dyDescent="0.3">
      <c r="A763" s="54"/>
      <c r="B763" s="54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  <c r="AA763" s="54"/>
      <c r="AB763" s="54"/>
      <c r="AC763" s="54"/>
      <c r="AD763" s="54"/>
      <c r="AE763" s="54"/>
      <c r="AF763" s="54"/>
      <c r="AG763" s="54"/>
      <c r="AH763" s="54"/>
      <c r="AI763" s="54"/>
      <c r="AJ763" s="54"/>
      <c r="AK763" s="54"/>
      <c r="AL763" s="54"/>
      <c r="AM763" s="54"/>
      <c r="AN763" s="54"/>
      <c r="AO763" s="54"/>
      <c r="AP763" s="54"/>
      <c r="AQ763" s="54"/>
      <c r="AR763" s="54"/>
      <c r="AS763" s="54"/>
      <c r="AT763" s="54"/>
      <c r="AU763" s="54"/>
      <c r="AV763" s="54"/>
      <c r="AW763" s="54"/>
      <c r="AX763" s="54"/>
      <c r="AY763" s="54"/>
      <c r="AZ763" s="54"/>
      <c r="BA763" s="54"/>
      <c r="BB763" s="54"/>
      <c r="BC763" s="54"/>
      <c r="BD763" s="54"/>
      <c r="BE763" s="54"/>
      <c r="BF763" s="54"/>
      <c r="BG763" s="54"/>
      <c r="BH763" s="54"/>
      <c r="BI763" s="54"/>
      <c r="BJ763" s="54"/>
      <c r="BK763" s="54"/>
      <c r="BL763" s="54"/>
    </row>
    <row r="764" spans="1:64" ht="11.25" customHeight="1" x14ac:dyDescent="0.3">
      <c r="A764" s="54"/>
      <c r="B764" s="54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  <c r="AA764" s="54"/>
      <c r="AB764" s="54"/>
      <c r="AC764" s="54"/>
      <c r="AD764" s="54"/>
      <c r="AE764" s="54"/>
      <c r="AF764" s="54"/>
      <c r="AG764" s="54"/>
      <c r="AH764" s="54"/>
      <c r="AI764" s="54"/>
      <c r="AJ764" s="54"/>
      <c r="AK764" s="54"/>
      <c r="AL764" s="54"/>
      <c r="AM764" s="54"/>
      <c r="AN764" s="54"/>
      <c r="AO764" s="54"/>
      <c r="AP764" s="54"/>
      <c r="AQ764" s="54"/>
      <c r="AR764" s="54"/>
      <c r="AS764" s="54"/>
      <c r="AT764" s="54"/>
      <c r="AU764" s="54"/>
      <c r="AV764" s="54"/>
      <c r="AW764" s="54"/>
      <c r="AX764" s="54"/>
      <c r="AY764" s="54"/>
      <c r="AZ764" s="54"/>
      <c r="BA764" s="54"/>
      <c r="BB764" s="54"/>
      <c r="BC764" s="54"/>
      <c r="BD764" s="54"/>
      <c r="BE764" s="54"/>
      <c r="BF764" s="54"/>
      <c r="BG764" s="54"/>
      <c r="BH764" s="54"/>
      <c r="BI764" s="54"/>
      <c r="BJ764" s="54"/>
      <c r="BK764" s="54"/>
      <c r="BL764" s="54"/>
    </row>
    <row r="765" spans="1:64" ht="11.25" customHeight="1" x14ac:dyDescent="0.3">
      <c r="A765" s="54"/>
      <c r="B765" s="54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  <c r="AA765" s="54"/>
      <c r="AB765" s="54"/>
      <c r="AC765" s="54"/>
      <c r="AD765" s="54"/>
      <c r="AE765" s="54"/>
      <c r="AF765" s="54"/>
      <c r="AG765" s="54"/>
      <c r="AH765" s="54"/>
      <c r="AI765" s="54"/>
      <c r="AJ765" s="54"/>
      <c r="AK765" s="54"/>
      <c r="AL765" s="54"/>
      <c r="AM765" s="54"/>
      <c r="AN765" s="54"/>
      <c r="AO765" s="54"/>
      <c r="AP765" s="54"/>
      <c r="AQ765" s="54"/>
      <c r="AR765" s="54"/>
      <c r="AS765" s="54"/>
      <c r="AT765" s="54"/>
      <c r="AU765" s="54"/>
      <c r="AV765" s="54"/>
      <c r="AW765" s="54"/>
      <c r="AX765" s="54"/>
      <c r="AY765" s="54"/>
      <c r="AZ765" s="54"/>
      <c r="BA765" s="54"/>
      <c r="BB765" s="54"/>
      <c r="BC765" s="54"/>
      <c r="BD765" s="54"/>
      <c r="BE765" s="54"/>
      <c r="BF765" s="54"/>
      <c r="BG765" s="54"/>
      <c r="BH765" s="54"/>
      <c r="BI765" s="54"/>
      <c r="BJ765" s="54"/>
      <c r="BK765" s="54"/>
      <c r="BL765" s="54"/>
    </row>
    <row r="766" spans="1:64" ht="11.25" customHeight="1" x14ac:dyDescent="0.3">
      <c r="A766" s="54"/>
      <c r="B766" s="54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  <c r="AA766" s="54"/>
      <c r="AB766" s="54"/>
      <c r="AC766" s="54"/>
      <c r="AD766" s="54"/>
      <c r="AE766" s="54"/>
      <c r="AF766" s="54"/>
      <c r="AG766" s="54"/>
      <c r="AH766" s="54"/>
      <c r="AI766" s="54"/>
      <c r="AJ766" s="54"/>
      <c r="AK766" s="54"/>
      <c r="AL766" s="54"/>
      <c r="AM766" s="54"/>
      <c r="AN766" s="54"/>
      <c r="AO766" s="54"/>
      <c r="AP766" s="54"/>
      <c r="AQ766" s="54"/>
      <c r="AR766" s="54"/>
      <c r="AS766" s="54"/>
      <c r="AT766" s="54"/>
      <c r="AU766" s="54"/>
      <c r="AV766" s="54"/>
      <c r="AW766" s="54"/>
      <c r="AX766" s="54"/>
      <c r="AY766" s="54"/>
      <c r="AZ766" s="54"/>
      <c r="BA766" s="54"/>
      <c r="BB766" s="54"/>
      <c r="BC766" s="54"/>
      <c r="BD766" s="54"/>
      <c r="BE766" s="54"/>
      <c r="BF766" s="54"/>
      <c r="BG766" s="54"/>
      <c r="BH766" s="54"/>
      <c r="BI766" s="54"/>
      <c r="BJ766" s="54"/>
      <c r="BK766" s="54"/>
      <c r="BL766" s="54"/>
    </row>
    <row r="767" spans="1:64" ht="11.25" customHeight="1" x14ac:dyDescent="0.3">
      <c r="A767" s="54"/>
      <c r="B767" s="54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  <c r="AA767" s="54"/>
      <c r="AB767" s="54"/>
      <c r="AC767" s="54"/>
      <c r="AD767" s="54"/>
      <c r="AE767" s="54"/>
      <c r="AF767" s="54"/>
      <c r="AG767" s="54"/>
      <c r="AH767" s="54"/>
      <c r="AI767" s="54"/>
      <c r="AJ767" s="54"/>
      <c r="AK767" s="54"/>
      <c r="AL767" s="54"/>
      <c r="AM767" s="54"/>
      <c r="AN767" s="54"/>
      <c r="AO767" s="54"/>
      <c r="AP767" s="54"/>
      <c r="AQ767" s="54"/>
      <c r="AR767" s="54"/>
      <c r="AS767" s="54"/>
      <c r="AT767" s="54"/>
      <c r="AU767" s="54"/>
      <c r="AV767" s="54"/>
      <c r="AW767" s="54"/>
      <c r="AX767" s="54"/>
      <c r="AY767" s="54"/>
      <c r="AZ767" s="54"/>
      <c r="BA767" s="54"/>
      <c r="BB767" s="54"/>
      <c r="BC767" s="54"/>
      <c r="BD767" s="54"/>
      <c r="BE767" s="54"/>
      <c r="BF767" s="54"/>
      <c r="BG767" s="54"/>
      <c r="BH767" s="54"/>
      <c r="BI767" s="54"/>
      <c r="BJ767" s="54"/>
      <c r="BK767" s="54"/>
      <c r="BL767" s="54"/>
    </row>
    <row r="768" spans="1:64" ht="11.25" customHeight="1" x14ac:dyDescent="0.3">
      <c r="A768" s="54"/>
      <c r="B768" s="54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  <c r="AA768" s="54"/>
      <c r="AB768" s="54"/>
      <c r="AC768" s="54"/>
      <c r="AD768" s="54"/>
      <c r="AE768" s="54"/>
      <c r="AF768" s="54"/>
      <c r="AG768" s="54"/>
      <c r="AH768" s="54"/>
      <c r="AI768" s="54"/>
      <c r="AJ768" s="54"/>
      <c r="AK768" s="54"/>
      <c r="AL768" s="54"/>
      <c r="AM768" s="54"/>
      <c r="AN768" s="54"/>
      <c r="AO768" s="54"/>
      <c r="AP768" s="54"/>
      <c r="AQ768" s="54"/>
      <c r="AR768" s="54"/>
      <c r="AS768" s="54"/>
      <c r="AT768" s="54"/>
      <c r="AU768" s="54"/>
      <c r="AV768" s="54"/>
      <c r="AW768" s="54"/>
      <c r="AX768" s="54"/>
      <c r="AY768" s="54"/>
      <c r="AZ768" s="54"/>
      <c r="BA768" s="54"/>
      <c r="BB768" s="54"/>
      <c r="BC768" s="54"/>
      <c r="BD768" s="54"/>
      <c r="BE768" s="54"/>
      <c r="BF768" s="54"/>
      <c r="BG768" s="54"/>
      <c r="BH768" s="54"/>
      <c r="BI768" s="54"/>
      <c r="BJ768" s="54"/>
      <c r="BK768" s="54"/>
      <c r="BL768" s="54"/>
    </row>
    <row r="769" spans="1:64" ht="11.25" customHeight="1" x14ac:dyDescent="0.3">
      <c r="A769" s="54"/>
      <c r="B769" s="54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  <c r="AA769" s="54"/>
      <c r="AB769" s="54"/>
      <c r="AC769" s="54"/>
      <c r="AD769" s="54"/>
      <c r="AE769" s="54"/>
      <c r="AF769" s="54"/>
      <c r="AG769" s="54"/>
      <c r="AH769" s="54"/>
      <c r="AI769" s="54"/>
      <c r="AJ769" s="54"/>
      <c r="AK769" s="54"/>
      <c r="AL769" s="54"/>
      <c r="AM769" s="54"/>
      <c r="AN769" s="54"/>
      <c r="AO769" s="54"/>
      <c r="AP769" s="54"/>
      <c r="AQ769" s="54"/>
      <c r="AR769" s="54"/>
      <c r="AS769" s="54"/>
      <c r="AT769" s="54"/>
      <c r="AU769" s="54"/>
      <c r="AV769" s="54"/>
      <c r="AW769" s="54"/>
      <c r="AX769" s="54"/>
      <c r="AY769" s="54"/>
      <c r="AZ769" s="54"/>
      <c r="BA769" s="54"/>
      <c r="BB769" s="54"/>
      <c r="BC769" s="54"/>
      <c r="BD769" s="54"/>
      <c r="BE769" s="54"/>
      <c r="BF769" s="54"/>
      <c r="BG769" s="54"/>
      <c r="BH769" s="54"/>
      <c r="BI769" s="54"/>
      <c r="BJ769" s="54"/>
      <c r="BK769" s="54"/>
      <c r="BL769" s="54"/>
    </row>
    <row r="770" spans="1:64" ht="11.25" customHeight="1" x14ac:dyDescent="0.3">
      <c r="A770" s="54"/>
      <c r="B770" s="54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  <c r="AA770" s="54"/>
      <c r="AB770" s="54"/>
      <c r="AC770" s="54"/>
      <c r="AD770" s="54"/>
      <c r="AE770" s="54"/>
      <c r="AF770" s="54"/>
      <c r="AG770" s="54"/>
      <c r="AH770" s="54"/>
      <c r="AI770" s="54"/>
      <c r="AJ770" s="54"/>
      <c r="AK770" s="54"/>
      <c r="AL770" s="54"/>
      <c r="AM770" s="54"/>
      <c r="AN770" s="54"/>
      <c r="AO770" s="54"/>
      <c r="AP770" s="54"/>
      <c r="AQ770" s="54"/>
      <c r="AR770" s="54"/>
      <c r="AS770" s="54"/>
      <c r="AT770" s="54"/>
      <c r="AU770" s="54"/>
      <c r="AV770" s="54"/>
      <c r="AW770" s="54"/>
      <c r="AX770" s="54"/>
      <c r="AY770" s="54"/>
      <c r="AZ770" s="54"/>
      <c r="BA770" s="54"/>
      <c r="BB770" s="54"/>
      <c r="BC770" s="54"/>
      <c r="BD770" s="54"/>
      <c r="BE770" s="54"/>
      <c r="BF770" s="54"/>
      <c r="BG770" s="54"/>
      <c r="BH770" s="54"/>
      <c r="BI770" s="54"/>
      <c r="BJ770" s="54"/>
      <c r="BK770" s="54"/>
      <c r="BL770" s="54"/>
    </row>
    <row r="771" spans="1:64" ht="11.25" customHeight="1" x14ac:dyDescent="0.3">
      <c r="A771" s="54"/>
      <c r="B771" s="54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  <c r="AA771" s="54"/>
      <c r="AB771" s="54"/>
      <c r="AC771" s="54"/>
      <c r="AD771" s="54"/>
      <c r="AE771" s="54"/>
      <c r="AF771" s="54"/>
      <c r="AG771" s="54"/>
      <c r="AH771" s="54"/>
      <c r="AI771" s="54"/>
      <c r="AJ771" s="54"/>
      <c r="AK771" s="54"/>
      <c r="AL771" s="54"/>
      <c r="AM771" s="54"/>
      <c r="AN771" s="54"/>
      <c r="AO771" s="54"/>
      <c r="AP771" s="54"/>
      <c r="AQ771" s="54"/>
      <c r="AR771" s="54"/>
      <c r="AS771" s="54"/>
      <c r="AT771" s="54"/>
      <c r="AU771" s="54"/>
      <c r="AV771" s="54"/>
      <c r="AW771" s="54"/>
      <c r="AX771" s="54"/>
      <c r="AY771" s="54"/>
      <c r="AZ771" s="54"/>
      <c r="BA771" s="54"/>
      <c r="BB771" s="54"/>
      <c r="BC771" s="54"/>
      <c r="BD771" s="54"/>
      <c r="BE771" s="54"/>
      <c r="BF771" s="54"/>
      <c r="BG771" s="54"/>
      <c r="BH771" s="54"/>
      <c r="BI771" s="54"/>
      <c r="BJ771" s="54"/>
      <c r="BK771" s="54"/>
      <c r="BL771" s="54"/>
    </row>
    <row r="772" spans="1:64" ht="11.25" customHeight="1" x14ac:dyDescent="0.3">
      <c r="A772" s="54"/>
      <c r="B772" s="54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  <c r="AA772" s="54"/>
      <c r="AB772" s="54"/>
      <c r="AC772" s="54"/>
      <c r="AD772" s="54"/>
      <c r="AE772" s="54"/>
      <c r="AF772" s="54"/>
      <c r="AG772" s="54"/>
      <c r="AH772" s="54"/>
      <c r="AI772" s="54"/>
      <c r="AJ772" s="54"/>
      <c r="AK772" s="54"/>
      <c r="AL772" s="54"/>
      <c r="AM772" s="54"/>
      <c r="AN772" s="54"/>
      <c r="AO772" s="54"/>
      <c r="AP772" s="54"/>
      <c r="AQ772" s="54"/>
      <c r="AR772" s="54"/>
      <c r="AS772" s="54"/>
      <c r="AT772" s="54"/>
      <c r="AU772" s="54"/>
      <c r="AV772" s="54"/>
      <c r="AW772" s="54"/>
      <c r="AX772" s="54"/>
      <c r="AY772" s="54"/>
      <c r="AZ772" s="54"/>
      <c r="BA772" s="54"/>
      <c r="BB772" s="54"/>
      <c r="BC772" s="54"/>
      <c r="BD772" s="54"/>
      <c r="BE772" s="54"/>
      <c r="BF772" s="54"/>
      <c r="BG772" s="54"/>
      <c r="BH772" s="54"/>
      <c r="BI772" s="54"/>
      <c r="BJ772" s="54"/>
      <c r="BK772" s="54"/>
      <c r="BL772" s="54"/>
    </row>
    <row r="773" spans="1:64" ht="11.25" customHeight="1" x14ac:dyDescent="0.3">
      <c r="A773" s="54"/>
      <c r="B773" s="54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  <c r="AA773" s="54"/>
      <c r="AB773" s="54"/>
      <c r="AC773" s="54"/>
      <c r="AD773" s="54"/>
      <c r="AE773" s="54"/>
      <c r="AF773" s="54"/>
      <c r="AG773" s="54"/>
      <c r="AH773" s="54"/>
      <c r="AI773" s="54"/>
      <c r="AJ773" s="54"/>
      <c r="AK773" s="54"/>
      <c r="AL773" s="54"/>
      <c r="AM773" s="54"/>
      <c r="AN773" s="54"/>
      <c r="AO773" s="54"/>
      <c r="AP773" s="54"/>
      <c r="AQ773" s="54"/>
      <c r="AR773" s="54"/>
      <c r="AS773" s="54"/>
      <c r="AT773" s="54"/>
      <c r="AU773" s="54"/>
      <c r="AV773" s="54"/>
      <c r="AW773" s="54"/>
      <c r="AX773" s="54"/>
      <c r="AY773" s="54"/>
      <c r="AZ773" s="54"/>
      <c r="BA773" s="54"/>
      <c r="BB773" s="54"/>
      <c r="BC773" s="54"/>
      <c r="BD773" s="54"/>
      <c r="BE773" s="54"/>
      <c r="BF773" s="54"/>
      <c r="BG773" s="54"/>
      <c r="BH773" s="54"/>
      <c r="BI773" s="54"/>
      <c r="BJ773" s="54"/>
      <c r="BK773" s="54"/>
      <c r="BL773" s="54"/>
    </row>
    <row r="774" spans="1:64" ht="11.25" customHeight="1" x14ac:dyDescent="0.3">
      <c r="A774" s="54"/>
      <c r="B774" s="54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  <c r="AA774" s="54"/>
      <c r="AB774" s="54"/>
      <c r="AC774" s="54"/>
      <c r="AD774" s="54"/>
      <c r="AE774" s="54"/>
      <c r="AF774" s="54"/>
      <c r="AG774" s="54"/>
      <c r="AH774" s="54"/>
      <c r="AI774" s="54"/>
      <c r="AJ774" s="54"/>
      <c r="AK774" s="54"/>
      <c r="AL774" s="54"/>
      <c r="AM774" s="54"/>
      <c r="AN774" s="54"/>
      <c r="AO774" s="54"/>
      <c r="AP774" s="54"/>
      <c r="AQ774" s="54"/>
      <c r="AR774" s="54"/>
      <c r="AS774" s="54"/>
      <c r="AT774" s="54"/>
      <c r="AU774" s="54"/>
      <c r="AV774" s="54"/>
      <c r="AW774" s="54"/>
      <c r="AX774" s="54"/>
      <c r="AY774" s="54"/>
      <c r="AZ774" s="54"/>
      <c r="BA774" s="54"/>
      <c r="BB774" s="54"/>
      <c r="BC774" s="54"/>
      <c r="BD774" s="54"/>
      <c r="BE774" s="54"/>
      <c r="BF774" s="54"/>
      <c r="BG774" s="54"/>
      <c r="BH774" s="54"/>
      <c r="BI774" s="54"/>
      <c r="BJ774" s="54"/>
      <c r="BK774" s="54"/>
      <c r="BL774" s="54"/>
    </row>
    <row r="775" spans="1:64" ht="11.25" customHeight="1" x14ac:dyDescent="0.3">
      <c r="A775" s="54"/>
      <c r="B775" s="54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  <c r="AA775" s="54"/>
      <c r="AB775" s="54"/>
      <c r="AC775" s="54"/>
      <c r="AD775" s="54"/>
      <c r="AE775" s="54"/>
      <c r="AF775" s="54"/>
      <c r="AG775" s="54"/>
      <c r="AH775" s="54"/>
      <c r="AI775" s="54"/>
      <c r="AJ775" s="54"/>
      <c r="AK775" s="54"/>
      <c r="AL775" s="54"/>
      <c r="AM775" s="54"/>
      <c r="AN775" s="54"/>
      <c r="AO775" s="54"/>
      <c r="AP775" s="54"/>
      <c r="AQ775" s="54"/>
      <c r="AR775" s="54"/>
      <c r="AS775" s="54"/>
      <c r="AT775" s="54"/>
      <c r="AU775" s="54"/>
      <c r="AV775" s="54"/>
      <c r="AW775" s="54"/>
      <c r="AX775" s="54"/>
      <c r="AY775" s="54"/>
      <c r="AZ775" s="54"/>
      <c r="BA775" s="54"/>
      <c r="BB775" s="54"/>
      <c r="BC775" s="54"/>
      <c r="BD775" s="54"/>
      <c r="BE775" s="54"/>
      <c r="BF775" s="54"/>
      <c r="BG775" s="54"/>
      <c r="BH775" s="54"/>
      <c r="BI775" s="54"/>
      <c r="BJ775" s="54"/>
      <c r="BK775" s="54"/>
      <c r="BL775" s="54"/>
    </row>
    <row r="776" spans="1:64" ht="11.25" customHeight="1" x14ac:dyDescent="0.3">
      <c r="A776" s="54"/>
      <c r="B776" s="54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  <c r="AA776" s="54"/>
      <c r="AB776" s="54"/>
      <c r="AC776" s="54"/>
      <c r="AD776" s="54"/>
      <c r="AE776" s="54"/>
      <c r="AF776" s="54"/>
      <c r="AG776" s="54"/>
      <c r="AH776" s="54"/>
      <c r="AI776" s="54"/>
      <c r="AJ776" s="54"/>
      <c r="AK776" s="54"/>
      <c r="AL776" s="54"/>
      <c r="AM776" s="54"/>
      <c r="AN776" s="54"/>
      <c r="AO776" s="54"/>
      <c r="AP776" s="54"/>
      <c r="AQ776" s="54"/>
      <c r="AR776" s="54"/>
      <c r="AS776" s="54"/>
      <c r="AT776" s="54"/>
      <c r="AU776" s="54"/>
      <c r="AV776" s="54"/>
      <c r="AW776" s="54"/>
      <c r="AX776" s="54"/>
      <c r="AY776" s="54"/>
      <c r="AZ776" s="54"/>
      <c r="BA776" s="54"/>
      <c r="BB776" s="54"/>
      <c r="BC776" s="54"/>
      <c r="BD776" s="54"/>
      <c r="BE776" s="54"/>
      <c r="BF776" s="54"/>
      <c r="BG776" s="54"/>
      <c r="BH776" s="54"/>
      <c r="BI776" s="54"/>
      <c r="BJ776" s="54"/>
      <c r="BK776" s="54"/>
      <c r="BL776" s="54"/>
    </row>
    <row r="777" spans="1:64" ht="11.25" customHeight="1" x14ac:dyDescent="0.3">
      <c r="A777" s="54"/>
      <c r="B777" s="54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  <c r="AA777" s="54"/>
      <c r="AB777" s="54"/>
      <c r="AC777" s="54"/>
      <c r="AD777" s="54"/>
      <c r="AE777" s="54"/>
      <c r="AF777" s="54"/>
      <c r="AG777" s="54"/>
      <c r="AH777" s="54"/>
      <c r="AI777" s="54"/>
      <c r="AJ777" s="54"/>
      <c r="AK777" s="54"/>
      <c r="AL777" s="54"/>
      <c r="AM777" s="54"/>
      <c r="AN777" s="54"/>
      <c r="AO777" s="54"/>
      <c r="AP777" s="54"/>
      <c r="AQ777" s="54"/>
      <c r="AR777" s="54"/>
      <c r="AS777" s="54"/>
      <c r="AT777" s="54"/>
      <c r="AU777" s="54"/>
      <c r="AV777" s="54"/>
      <c r="AW777" s="54"/>
      <c r="AX777" s="54"/>
      <c r="AY777" s="54"/>
      <c r="AZ777" s="54"/>
      <c r="BA777" s="54"/>
      <c r="BB777" s="54"/>
      <c r="BC777" s="54"/>
      <c r="BD777" s="54"/>
      <c r="BE777" s="54"/>
      <c r="BF777" s="54"/>
      <c r="BG777" s="54"/>
      <c r="BH777" s="54"/>
      <c r="BI777" s="54"/>
      <c r="BJ777" s="54"/>
      <c r="BK777" s="54"/>
      <c r="BL777" s="54"/>
    </row>
    <row r="778" spans="1:64" ht="11.25" customHeight="1" x14ac:dyDescent="0.3">
      <c r="A778" s="54"/>
      <c r="B778" s="54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  <c r="AA778" s="54"/>
      <c r="AB778" s="54"/>
      <c r="AC778" s="54"/>
      <c r="AD778" s="54"/>
      <c r="AE778" s="54"/>
      <c r="AF778" s="54"/>
      <c r="AG778" s="54"/>
      <c r="AH778" s="54"/>
      <c r="AI778" s="54"/>
      <c r="AJ778" s="54"/>
      <c r="AK778" s="54"/>
      <c r="AL778" s="54"/>
      <c r="AM778" s="54"/>
      <c r="AN778" s="54"/>
      <c r="AO778" s="54"/>
      <c r="AP778" s="54"/>
      <c r="AQ778" s="54"/>
      <c r="AR778" s="54"/>
      <c r="AS778" s="54"/>
      <c r="AT778" s="54"/>
      <c r="AU778" s="54"/>
      <c r="AV778" s="54"/>
      <c r="AW778" s="54"/>
      <c r="AX778" s="54"/>
      <c r="AY778" s="54"/>
      <c r="AZ778" s="54"/>
      <c r="BA778" s="54"/>
      <c r="BB778" s="54"/>
      <c r="BC778" s="54"/>
      <c r="BD778" s="54"/>
      <c r="BE778" s="54"/>
      <c r="BF778" s="54"/>
      <c r="BG778" s="54"/>
      <c r="BH778" s="54"/>
      <c r="BI778" s="54"/>
      <c r="BJ778" s="54"/>
      <c r="BK778" s="54"/>
      <c r="BL778" s="54"/>
    </row>
    <row r="779" spans="1:64" ht="11.25" customHeight="1" x14ac:dyDescent="0.3">
      <c r="A779" s="54"/>
      <c r="B779" s="54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  <c r="AA779" s="54"/>
      <c r="AB779" s="54"/>
      <c r="AC779" s="54"/>
      <c r="AD779" s="54"/>
      <c r="AE779" s="54"/>
      <c r="AF779" s="54"/>
      <c r="AG779" s="54"/>
      <c r="AH779" s="54"/>
      <c r="AI779" s="54"/>
      <c r="AJ779" s="54"/>
      <c r="AK779" s="54"/>
      <c r="AL779" s="54"/>
      <c r="AM779" s="54"/>
      <c r="AN779" s="54"/>
      <c r="AO779" s="54"/>
      <c r="AP779" s="54"/>
      <c r="AQ779" s="54"/>
      <c r="AR779" s="54"/>
      <c r="AS779" s="54"/>
      <c r="AT779" s="54"/>
      <c r="AU779" s="54"/>
      <c r="AV779" s="54"/>
      <c r="AW779" s="54"/>
      <c r="AX779" s="54"/>
      <c r="AY779" s="54"/>
      <c r="AZ779" s="54"/>
      <c r="BA779" s="54"/>
      <c r="BB779" s="54"/>
      <c r="BC779" s="54"/>
      <c r="BD779" s="54"/>
      <c r="BE779" s="54"/>
      <c r="BF779" s="54"/>
      <c r="BG779" s="54"/>
      <c r="BH779" s="54"/>
      <c r="BI779" s="54"/>
      <c r="BJ779" s="54"/>
      <c r="BK779" s="54"/>
      <c r="BL779" s="54"/>
    </row>
    <row r="780" spans="1:64" ht="11.25" customHeight="1" x14ac:dyDescent="0.3">
      <c r="A780" s="54"/>
      <c r="B780" s="54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  <c r="AA780" s="54"/>
      <c r="AB780" s="54"/>
      <c r="AC780" s="54"/>
      <c r="AD780" s="54"/>
      <c r="AE780" s="54"/>
      <c r="AF780" s="54"/>
      <c r="AG780" s="54"/>
      <c r="AH780" s="54"/>
      <c r="AI780" s="54"/>
      <c r="AJ780" s="54"/>
      <c r="AK780" s="54"/>
      <c r="AL780" s="54"/>
      <c r="AM780" s="54"/>
      <c r="AN780" s="54"/>
      <c r="AO780" s="54"/>
      <c r="AP780" s="54"/>
      <c r="AQ780" s="54"/>
      <c r="AR780" s="54"/>
      <c r="AS780" s="54"/>
      <c r="AT780" s="54"/>
      <c r="AU780" s="54"/>
      <c r="AV780" s="54"/>
      <c r="AW780" s="54"/>
      <c r="AX780" s="54"/>
      <c r="AY780" s="54"/>
      <c r="AZ780" s="54"/>
      <c r="BA780" s="54"/>
      <c r="BB780" s="54"/>
      <c r="BC780" s="54"/>
      <c r="BD780" s="54"/>
      <c r="BE780" s="54"/>
      <c r="BF780" s="54"/>
      <c r="BG780" s="54"/>
      <c r="BH780" s="54"/>
      <c r="BI780" s="54"/>
      <c r="BJ780" s="54"/>
      <c r="BK780" s="54"/>
      <c r="BL780" s="54"/>
    </row>
    <row r="781" spans="1:64" ht="11.25" customHeight="1" x14ac:dyDescent="0.3">
      <c r="A781" s="54"/>
      <c r="B781" s="54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  <c r="AA781" s="54"/>
      <c r="AB781" s="54"/>
      <c r="AC781" s="54"/>
      <c r="AD781" s="54"/>
      <c r="AE781" s="54"/>
      <c r="AF781" s="54"/>
      <c r="AG781" s="54"/>
      <c r="AH781" s="54"/>
      <c r="AI781" s="54"/>
      <c r="AJ781" s="54"/>
      <c r="AK781" s="54"/>
      <c r="AL781" s="54"/>
      <c r="AM781" s="54"/>
      <c r="AN781" s="54"/>
      <c r="AO781" s="54"/>
      <c r="AP781" s="54"/>
      <c r="AQ781" s="54"/>
      <c r="AR781" s="54"/>
      <c r="AS781" s="54"/>
      <c r="AT781" s="54"/>
      <c r="AU781" s="54"/>
      <c r="AV781" s="54"/>
      <c r="AW781" s="54"/>
      <c r="AX781" s="54"/>
      <c r="AY781" s="54"/>
      <c r="AZ781" s="54"/>
      <c r="BA781" s="54"/>
      <c r="BB781" s="54"/>
      <c r="BC781" s="54"/>
      <c r="BD781" s="54"/>
      <c r="BE781" s="54"/>
      <c r="BF781" s="54"/>
      <c r="BG781" s="54"/>
      <c r="BH781" s="54"/>
      <c r="BI781" s="54"/>
      <c r="BJ781" s="54"/>
      <c r="BK781" s="54"/>
      <c r="BL781" s="54"/>
    </row>
    <row r="782" spans="1:64" ht="11.25" customHeight="1" x14ac:dyDescent="0.3">
      <c r="A782" s="54"/>
      <c r="B782" s="54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  <c r="AA782" s="54"/>
      <c r="AB782" s="54"/>
      <c r="AC782" s="54"/>
      <c r="AD782" s="54"/>
      <c r="AE782" s="54"/>
      <c r="AF782" s="54"/>
      <c r="AG782" s="54"/>
      <c r="AH782" s="54"/>
      <c r="AI782" s="54"/>
      <c r="AJ782" s="54"/>
      <c r="AK782" s="54"/>
      <c r="AL782" s="54"/>
      <c r="AM782" s="54"/>
      <c r="AN782" s="54"/>
      <c r="AO782" s="54"/>
      <c r="AP782" s="54"/>
      <c r="AQ782" s="54"/>
      <c r="AR782" s="54"/>
      <c r="AS782" s="54"/>
      <c r="AT782" s="54"/>
      <c r="AU782" s="54"/>
      <c r="AV782" s="54"/>
      <c r="AW782" s="54"/>
      <c r="AX782" s="54"/>
      <c r="AY782" s="54"/>
      <c r="AZ782" s="54"/>
      <c r="BA782" s="54"/>
      <c r="BB782" s="54"/>
      <c r="BC782" s="54"/>
      <c r="BD782" s="54"/>
      <c r="BE782" s="54"/>
      <c r="BF782" s="54"/>
      <c r="BG782" s="54"/>
      <c r="BH782" s="54"/>
      <c r="BI782" s="54"/>
      <c r="BJ782" s="54"/>
      <c r="BK782" s="54"/>
      <c r="BL782" s="54"/>
    </row>
    <row r="783" spans="1:64" ht="11.25" customHeight="1" x14ac:dyDescent="0.3">
      <c r="A783" s="54"/>
      <c r="B783" s="54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  <c r="AA783" s="54"/>
      <c r="AB783" s="54"/>
      <c r="AC783" s="54"/>
      <c r="AD783" s="54"/>
      <c r="AE783" s="54"/>
      <c r="AF783" s="54"/>
      <c r="AG783" s="54"/>
      <c r="AH783" s="54"/>
      <c r="AI783" s="54"/>
      <c r="AJ783" s="54"/>
      <c r="AK783" s="54"/>
      <c r="AL783" s="54"/>
      <c r="AM783" s="54"/>
      <c r="AN783" s="54"/>
      <c r="AO783" s="54"/>
      <c r="AP783" s="54"/>
      <c r="AQ783" s="54"/>
      <c r="AR783" s="54"/>
      <c r="AS783" s="54"/>
      <c r="AT783" s="54"/>
      <c r="AU783" s="54"/>
      <c r="AV783" s="54"/>
      <c r="AW783" s="54"/>
      <c r="AX783" s="54"/>
      <c r="AY783" s="54"/>
      <c r="AZ783" s="54"/>
      <c r="BA783" s="54"/>
      <c r="BB783" s="54"/>
      <c r="BC783" s="54"/>
      <c r="BD783" s="54"/>
      <c r="BE783" s="54"/>
      <c r="BF783" s="54"/>
      <c r="BG783" s="54"/>
      <c r="BH783" s="54"/>
      <c r="BI783" s="54"/>
      <c r="BJ783" s="54"/>
      <c r="BK783" s="54"/>
      <c r="BL783" s="54"/>
    </row>
    <row r="784" spans="1:64" ht="11.25" customHeight="1" x14ac:dyDescent="0.3">
      <c r="A784" s="54"/>
      <c r="B784" s="54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  <c r="AA784" s="54"/>
      <c r="AB784" s="54"/>
      <c r="AC784" s="54"/>
      <c r="AD784" s="54"/>
      <c r="AE784" s="54"/>
      <c r="AF784" s="54"/>
      <c r="AG784" s="54"/>
      <c r="AH784" s="54"/>
      <c r="AI784" s="54"/>
      <c r="AJ784" s="54"/>
      <c r="AK784" s="54"/>
      <c r="AL784" s="54"/>
      <c r="AM784" s="54"/>
      <c r="AN784" s="54"/>
      <c r="AO784" s="54"/>
      <c r="AP784" s="54"/>
      <c r="AQ784" s="54"/>
      <c r="AR784" s="54"/>
      <c r="AS784" s="54"/>
      <c r="AT784" s="54"/>
      <c r="AU784" s="54"/>
      <c r="AV784" s="54"/>
      <c r="AW784" s="54"/>
      <c r="AX784" s="54"/>
      <c r="AY784" s="54"/>
      <c r="AZ784" s="54"/>
      <c r="BA784" s="54"/>
      <c r="BB784" s="54"/>
      <c r="BC784" s="54"/>
      <c r="BD784" s="54"/>
      <c r="BE784" s="54"/>
      <c r="BF784" s="54"/>
      <c r="BG784" s="54"/>
      <c r="BH784" s="54"/>
      <c r="BI784" s="54"/>
      <c r="BJ784" s="54"/>
      <c r="BK784" s="54"/>
      <c r="BL784" s="54"/>
    </row>
    <row r="785" spans="1:64" ht="11.25" customHeight="1" x14ac:dyDescent="0.3">
      <c r="A785" s="54"/>
      <c r="B785" s="54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  <c r="AA785" s="54"/>
      <c r="AB785" s="54"/>
      <c r="AC785" s="54"/>
      <c r="AD785" s="54"/>
      <c r="AE785" s="54"/>
      <c r="AF785" s="54"/>
      <c r="AG785" s="54"/>
      <c r="AH785" s="54"/>
      <c r="AI785" s="54"/>
      <c r="AJ785" s="54"/>
      <c r="AK785" s="54"/>
      <c r="AL785" s="54"/>
      <c r="AM785" s="54"/>
      <c r="AN785" s="54"/>
      <c r="AO785" s="54"/>
      <c r="AP785" s="54"/>
      <c r="AQ785" s="54"/>
      <c r="AR785" s="54"/>
      <c r="AS785" s="54"/>
      <c r="AT785" s="54"/>
      <c r="AU785" s="54"/>
      <c r="AV785" s="54"/>
      <c r="AW785" s="54"/>
      <c r="AX785" s="54"/>
      <c r="AY785" s="54"/>
      <c r="AZ785" s="54"/>
      <c r="BA785" s="54"/>
      <c r="BB785" s="54"/>
      <c r="BC785" s="54"/>
      <c r="BD785" s="54"/>
      <c r="BE785" s="54"/>
      <c r="BF785" s="54"/>
      <c r="BG785" s="54"/>
      <c r="BH785" s="54"/>
      <c r="BI785" s="54"/>
      <c r="BJ785" s="54"/>
      <c r="BK785" s="54"/>
      <c r="BL785" s="54"/>
    </row>
    <row r="786" spans="1:64" ht="11.25" customHeight="1" x14ac:dyDescent="0.3">
      <c r="A786" s="54"/>
      <c r="B786" s="54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  <c r="AA786" s="54"/>
      <c r="AB786" s="54"/>
      <c r="AC786" s="54"/>
      <c r="AD786" s="54"/>
      <c r="AE786" s="54"/>
      <c r="AF786" s="54"/>
      <c r="AG786" s="54"/>
      <c r="AH786" s="54"/>
      <c r="AI786" s="54"/>
      <c r="AJ786" s="54"/>
      <c r="AK786" s="54"/>
      <c r="AL786" s="54"/>
      <c r="AM786" s="54"/>
      <c r="AN786" s="54"/>
      <c r="AO786" s="54"/>
      <c r="AP786" s="54"/>
      <c r="AQ786" s="54"/>
      <c r="AR786" s="54"/>
      <c r="AS786" s="54"/>
      <c r="AT786" s="54"/>
      <c r="AU786" s="54"/>
      <c r="AV786" s="54"/>
      <c r="AW786" s="54"/>
      <c r="AX786" s="54"/>
      <c r="AY786" s="54"/>
      <c r="AZ786" s="54"/>
      <c r="BA786" s="54"/>
      <c r="BB786" s="54"/>
      <c r="BC786" s="54"/>
      <c r="BD786" s="54"/>
      <c r="BE786" s="54"/>
      <c r="BF786" s="54"/>
      <c r="BG786" s="54"/>
      <c r="BH786" s="54"/>
      <c r="BI786" s="54"/>
      <c r="BJ786" s="54"/>
      <c r="BK786" s="54"/>
      <c r="BL786" s="54"/>
    </row>
    <row r="787" spans="1:64" ht="11.25" customHeight="1" x14ac:dyDescent="0.3">
      <c r="A787" s="54"/>
      <c r="B787" s="54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  <c r="AA787" s="54"/>
      <c r="AB787" s="54"/>
      <c r="AC787" s="54"/>
      <c r="AD787" s="54"/>
      <c r="AE787" s="54"/>
      <c r="AF787" s="54"/>
      <c r="AG787" s="54"/>
      <c r="AH787" s="54"/>
      <c r="AI787" s="54"/>
      <c r="AJ787" s="54"/>
      <c r="AK787" s="54"/>
      <c r="AL787" s="54"/>
      <c r="AM787" s="54"/>
      <c r="AN787" s="54"/>
      <c r="AO787" s="54"/>
      <c r="AP787" s="54"/>
      <c r="AQ787" s="54"/>
      <c r="AR787" s="54"/>
      <c r="AS787" s="54"/>
      <c r="AT787" s="54"/>
      <c r="AU787" s="54"/>
      <c r="AV787" s="54"/>
      <c r="AW787" s="54"/>
      <c r="AX787" s="54"/>
      <c r="AY787" s="54"/>
      <c r="AZ787" s="54"/>
      <c r="BA787" s="54"/>
      <c r="BB787" s="54"/>
      <c r="BC787" s="54"/>
      <c r="BD787" s="54"/>
      <c r="BE787" s="54"/>
      <c r="BF787" s="54"/>
      <c r="BG787" s="54"/>
      <c r="BH787" s="54"/>
      <c r="BI787" s="54"/>
      <c r="BJ787" s="54"/>
      <c r="BK787" s="54"/>
      <c r="BL787" s="54"/>
    </row>
    <row r="788" spans="1:64" ht="11.25" customHeight="1" x14ac:dyDescent="0.3">
      <c r="A788" s="54"/>
      <c r="B788" s="54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  <c r="AA788" s="54"/>
      <c r="AB788" s="54"/>
      <c r="AC788" s="54"/>
      <c r="AD788" s="54"/>
      <c r="AE788" s="54"/>
      <c r="AF788" s="54"/>
      <c r="AG788" s="54"/>
      <c r="AH788" s="54"/>
      <c r="AI788" s="54"/>
      <c r="AJ788" s="54"/>
      <c r="AK788" s="54"/>
      <c r="AL788" s="54"/>
      <c r="AM788" s="54"/>
      <c r="AN788" s="54"/>
      <c r="AO788" s="54"/>
      <c r="AP788" s="54"/>
      <c r="AQ788" s="54"/>
      <c r="AR788" s="54"/>
      <c r="AS788" s="54"/>
      <c r="AT788" s="54"/>
      <c r="AU788" s="54"/>
      <c r="AV788" s="54"/>
      <c r="AW788" s="54"/>
      <c r="AX788" s="54"/>
      <c r="AY788" s="54"/>
      <c r="AZ788" s="54"/>
      <c r="BA788" s="54"/>
      <c r="BB788" s="54"/>
      <c r="BC788" s="54"/>
      <c r="BD788" s="54"/>
      <c r="BE788" s="54"/>
      <c r="BF788" s="54"/>
      <c r="BG788" s="54"/>
      <c r="BH788" s="54"/>
      <c r="BI788" s="54"/>
      <c r="BJ788" s="54"/>
      <c r="BK788" s="54"/>
      <c r="BL788" s="54"/>
    </row>
    <row r="789" spans="1:64" ht="11.25" customHeight="1" x14ac:dyDescent="0.3">
      <c r="A789" s="54"/>
      <c r="B789" s="54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  <c r="AA789" s="54"/>
      <c r="AB789" s="54"/>
      <c r="AC789" s="54"/>
      <c r="AD789" s="54"/>
      <c r="AE789" s="54"/>
      <c r="AF789" s="54"/>
      <c r="AG789" s="54"/>
      <c r="AH789" s="54"/>
      <c r="AI789" s="54"/>
      <c r="AJ789" s="54"/>
      <c r="AK789" s="54"/>
      <c r="AL789" s="54"/>
      <c r="AM789" s="54"/>
      <c r="AN789" s="54"/>
      <c r="AO789" s="54"/>
      <c r="AP789" s="54"/>
      <c r="AQ789" s="54"/>
      <c r="AR789" s="54"/>
      <c r="AS789" s="54"/>
      <c r="AT789" s="54"/>
      <c r="AU789" s="54"/>
      <c r="AV789" s="54"/>
      <c r="AW789" s="54"/>
      <c r="AX789" s="54"/>
      <c r="AY789" s="54"/>
      <c r="AZ789" s="54"/>
      <c r="BA789" s="54"/>
      <c r="BB789" s="54"/>
      <c r="BC789" s="54"/>
      <c r="BD789" s="54"/>
      <c r="BE789" s="54"/>
      <c r="BF789" s="54"/>
      <c r="BG789" s="54"/>
      <c r="BH789" s="54"/>
      <c r="BI789" s="54"/>
      <c r="BJ789" s="54"/>
      <c r="BK789" s="54"/>
      <c r="BL789" s="54"/>
    </row>
    <row r="790" spans="1:64" ht="11.25" customHeight="1" x14ac:dyDescent="0.3">
      <c r="A790" s="54"/>
      <c r="B790" s="54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  <c r="AA790" s="54"/>
      <c r="AB790" s="54"/>
      <c r="AC790" s="54"/>
      <c r="AD790" s="54"/>
      <c r="AE790" s="54"/>
      <c r="AF790" s="54"/>
      <c r="AG790" s="54"/>
      <c r="AH790" s="54"/>
      <c r="AI790" s="54"/>
      <c r="AJ790" s="54"/>
      <c r="AK790" s="54"/>
      <c r="AL790" s="54"/>
      <c r="AM790" s="54"/>
      <c r="AN790" s="54"/>
      <c r="AO790" s="54"/>
      <c r="AP790" s="54"/>
      <c r="AQ790" s="54"/>
      <c r="AR790" s="54"/>
      <c r="AS790" s="54"/>
      <c r="AT790" s="54"/>
      <c r="AU790" s="54"/>
      <c r="AV790" s="54"/>
      <c r="AW790" s="54"/>
      <c r="AX790" s="54"/>
      <c r="AY790" s="54"/>
      <c r="AZ790" s="54"/>
      <c r="BA790" s="54"/>
      <c r="BB790" s="54"/>
      <c r="BC790" s="54"/>
      <c r="BD790" s="54"/>
      <c r="BE790" s="54"/>
      <c r="BF790" s="54"/>
      <c r="BG790" s="54"/>
      <c r="BH790" s="54"/>
      <c r="BI790" s="54"/>
      <c r="BJ790" s="54"/>
      <c r="BK790" s="54"/>
      <c r="BL790" s="54"/>
    </row>
    <row r="791" spans="1:64" ht="11.25" customHeight="1" x14ac:dyDescent="0.3">
      <c r="A791" s="54"/>
      <c r="B791" s="54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  <c r="AA791" s="54"/>
      <c r="AB791" s="54"/>
      <c r="AC791" s="54"/>
      <c r="AD791" s="54"/>
      <c r="AE791" s="54"/>
      <c r="AF791" s="54"/>
      <c r="AG791" s="54"/>
      <c r="AH791" s="54"/>
      <c r="AI791" s="54"/>
      <c r="AJ791" s="54"/>
      <c r="AK791" s="54"/>
      <c r="AL791" s="54"/>
      <c r="AM791" s="54"/>
      <c r="AN791" s="54"/>
      <c r="AO791" s="54"/>
      <c r="AP791" s="54"/>
      <c r="AQ791" s="54"/>
      <c r="AR791" s="54"/>
      <c r="AS791" s="54"/>
      <c r="AT791" s="54"/>
      <c r="AU791" s="54"/>
      <c r="AV791" s="54"/>
      <c r="AW791" s="54"/>
      <c r="AX791" s="54"/>
      <c r="AY791" s="54"/>
      <c r="AZ791" s="54"/>
      <c r="BA791" s="54"/>
      <c r="BB791" s="54"/>
      <c r="BC791" s="54"/>
      <c r="BD791" s="54"/>
      <c r="BE791" s="54"/>
      <c r="BF791" s="54"/>
      <c r="BG791" s="54"/>
      <c r="BH791" s="54"/>
      <c r="BI791" s="54"/>
      <c r="BJ791" s="54"/>
      <c r="BK791" s="54"/>
      <c r="BL791" s="54"/>
    </row>
    <row r="792" spans="1:64" ht="11.25" customHeight="1" x14ac:dyDescent="0.3">
      <c r="A792" s="54"/>
      <c r="B792" s="54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  <c r="AA792" s="54"/>
      <c r="AB792" s="54"/>
      <c r="AC792" s="54"/>
      <c r="AD792" s="54"/>
      <c r="AE792" s="54"/>
      <c r="AF792" s="54"/>
      <c r="AG792" s="54"/>
      <c r="AH792" s="54"/>
      <c r="AI792" s="54"/>
      <c r="AJ792" s="54"/>
      <c r="AK792" s="54"/>
      <c r="AL792" s="54"/>
      <c r="AM792" s="54"/>
      <c r="AN792" s="54"/>
      <c r="AO792" s="54"/>
      <c r="AP792" s="54"/>
      <c r="AQ792" s="54"/>
      <c r="AR792" s="54"/>
      <c r="AS792" s="54"/>
      <c r="AT792" s="54"/>
      <c r="AU792" s="54"/>
      <c r="AV792" s="54"/>
      <c r="AW792" s="54"/>
      <c r="AX792" s="54"/>
      <c r="AY792" s="54"/>
      <c r="AZ792" s="54"/>
      <c r="BA792" s="54"/>
      <c r="BB792" s="54"/>
      <c r="BC792" s="54"/>
      <c r="BD792" s="54"/>
      <c r="BE792" s="54"/>
      <c r="BF792" s="54"/>
      <c r="BG792" s="54"/>
      <c r="BH792" s="54"/>
      <c r="BI792" s="54"/>
      <c r="BJ792" s="54"/>
      <c r="BK792" s="54"/>
      <c r="BL792" s="54"/>
    </row>
    <row r="793" spans="1:64" ht="11.25" customHeight="1" x14ac:dyDescent="0.3">
      <c r="A793" s="54"/>
      <c r="B793" s="54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  <c r="AA793" s="54"/>
      <c r="AB793" s="54"/>
      <c r="AC793" s="54"/>
      <c r="AD793" s="54"/>
      <c r="AE793" s="54"/>
      <c r="AF793" s="54"/>
      <c r="AG793" s="54"/>
      <c r="AH793" s="54"/>
      <c r="AI793" s="54"/>
      <c r="AJ793" s="54"/>
      <c r="AK793" s="54"/>
      <c r="AL793" s="54"/>
      <c r="AM793" s="54"/>
      <c r="AN793" s="54"/>
      <c r="AO793" s="54"/>
      <c r="AP793" s="54"/>
      <c r="AQ793" s="54"/>
      <c r="AR793" s="54"/>
      <c r="AS793" s="54"/>
      <c r="AT793" s="54"/>
      <c r="AU793" s="54"/>
      <c r="AV793" s="54"/>
      <c r="AW793" s="54"/>
      <c r="AX793" s="54"/>
      <c r="AY793" s="54"/>
      <c r="AZ793" s="54"/>
      <c r="BA793" s="54"/>
      <c r="BB793" s="54"/>
      <c r="BC793" s="54"/>
      <c r="BD793" s="54"/>
      <c r="BE793" s="54"/>
      <c r="BF793" s="54"/>
      <c r="BG793" s="54"/>
      <c r="BH793" s="54"/>
      <c r="BI793" s="54"/>
      <c r="BJ793" s="54"/>
      <c r="BK793" s="54"/>
      <c r="BL793" s="54"/>
    </row>
    <row r="794" spans="1:64" ht="11.25" customHeight="1" x14ac:dyDescent="0.3">
      <c r="A794" s="54"/>
      <c r="B794" s="54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  <c r="AA794" s="54"/>
      <c r="AB794" s="54"/>
      <c r="AC794" s="54"/>
      <c r="AD794" s="54"/>
      <c r="AE794" s="54"/>
      <c r="AF794" s="54"/>
      <c r="AG794" s="54"/>
      <c r="AH794" s="54"/>
      <c r="AI794" s="54"/>
      <c r="AJ794" s="54"/>
      <c r="AK794" s="54"/>
      <c r="AL794" s="54"/>
      <c r="AM794" s="54"/>
      <c r="AN794" s="54"/>
      <c r="AO794" s="54"/>
      <c r="AP794" s="54"/>
      <c r="AQ794" s="54"/>
      <c r="AR794" s="54"/>
      <c r="AS794" s="54"/>
      <c r="AT794" s="54"/>
      <c r="AU794" s="54"/>
      <c r="AV794" s="54"/>
      <c r="AW794" s="54"/>
      <c r="AX794" s="54"/>
      <c r="AY794" s="54"/>
      <c r="AZ794" s="54"/>
      <c r="BA794" s="54"/>
      <c r="BB794" s="54"/>
      <c r="BC794" s="54"/>
      <c r="BD794" s="54"/>
      <c r="BE794" s="54"/>
      <c r="BF794" s="54"/>
      <c r="BG794" s="54"/>
      <c r="BH794" s="54"/>
      <c r="BI794" s="54"/>
      <c r="BJ794" s="54"/>
      <c r="BK794" s="54"/>
      <c r="BL794" s="54"/>
    </row>
    <row r="795" spans="1:64" ht="11.25" customHeight="1" x14ac:dyDescent="0.3">
      <c r="A795" s="54"/>
      <c r="B795" s="54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  <c r="AA795" s="54"/>
      <c r="AB795" s="54"/>
      <c r="AC795" s="54"/>
      <c r="AD795" s="54"/>
      <c r="AE795" s="54"/>
      <c r="AF795" s="54"/>
      <c r="AG795" s="54"/>
      <c r="AH795" s="54"/>
      <c r="AI795" s="54"/>
      <c r="AJ795" s="54"/>
      <c r="AK795" s="54"/>
      <c r="AL795" s="54"/>
      <c r="AM795" s="54"/>
      <c r="AN795" s="54"/>
      <c r="AO795" s="54"/>
      <c r="AP795" s="54"/>
      <c r="AQ795" s="54"/>
      <c r="AR795" s="54"/>
      <c r="AS795" s="54"/>
      <c r="AT795" s="54"/>
      <c r="AU795" s="54"/>
      <c r="AV795" s="54"/>
      <c r="AW795" s="54"/>
      <c r="AX795" s="54"/>
      <c r="AY795" s="54"/>
      <c r="AZ795" s="54"/>
      <c r="BA795" s="54"/>
      <c r="BB795" s="54"/>
      <c r="BC795" s="54"/>
      <c r="BD795" s="54"/>
      <c r="BE795" s="54"/>
      <c r="BF795" s="54"/>
      <c r="BG795" s="54"/>
      <c r="BH795" s="54"/>
      <c r="BI795" s="54"/>
      <c r="BJ795" s="54"/>
      <c r="BK795" s="54"/>
      <c r="BL795" s="54"/>
    </row>
    <row r="796" spans="1:64" ht="11.25" customHeight="1" x14ac:dyDescent="0.3">
      <c r="A796" s="54"/>
      <c r="B796" s="54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  <c r="AA796" s="54"/>
      <c r="AB796" s="54"/>
      <c r="AC796" s="54"/>
      <c r="AD796" s="54"/>
      <c r="AE796" s="54"/>
      <c r="AF796" s="54"/>
      <c r="AG796" s="54"/>
      <c r="AH796" s="54"/>
      <c r="AI796" s="54"/>
      <c r="AJ796" s="54"/>
      <c r="AK796" s="54"/>
      <c r="AL796" s="54"/>
      <c r="AM796" s="54"/>
      <c r="AN796" s="54"/>
      <c r="AO796" s="54"/>
      <c r="AP796" s="54"/>
      <c r="AQ796" s="54"/>
      <c r="AR796" s="54"/>
      <c r="AS796" s="54"/>
      <c r="AT796" s="54"/>
      <c r="AU796" s="54"/>
      <c r="AV796" s="54"/>
      <c r="AW796" s="54"/>
      <c r="AX796" s="54"/>
      <c r="AY796" s="54"/>
      <c r="AZ796" s="54"/>
      <c r="BA796" s="54"/>
      <c r="BB796" s="54"/>
      <c r="BC796" s="54"/>
      <c r="BD796" s="54"/>
      <c r="BE796" s="54"/>
      <c r="BF796" s="54"/>
      <c r="BG796" s="54"/>
      <c r="BH796" s="54"/>
      <c r="BI796" s="54"/>
      <c r="BJ796" s="54"/>
      <c r="BK796" s="54"/>
      <c r="BL796" s="54"/>
    </row>
    <row r="797" spans="1:64" ht="11.25" customHeight="1" x14ac:dyDescent="0.3">
      <c r="A797" s="54"/>
      <c r="B797" s="54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  <c r="AA797" s="54"/>
      <c r="AB797" s="54"/>
      <c r="AC797" s="54"/>
      <c r="AD797" s="54"/>
      <c r="AE797" s="54"/>
      <c r="AF797" s="54"/>
      <c r="AG797" s="54"/>
      <c r="AH797" s="54"/>
      <c r="AI797" s="54"/>
      <c r="AJ797" s="54"/>
      <c r="AK797" s="54"/>
      <c r="AL797" s="54"/>
      <c r="AM797" s="54"/>
      <c r="AN797" s="54"/>
      <c r="AO797" s="54"/>
      <c r="AP797" s="54"/>
      <c r="AQ797" s="54"/>
      <c r="AR797" s="54"/>
      <c r="AS797" s="54"/>
      <c r="AT797" s="54"/>
      <c r="AU797" s="54"/>
      <c r="AV797" s="54"/>
      <c r="AW797" s="54"/>
      <c r="AX797" s="54"/>
      <c r="AY797" s="54"/>
      <c r="AZ797" s="54"/>
      <c r="BA797" s="54"/>
      <c r="BB797" s="54"/>
      <c r="BC797" s="54"/>
      <c r="BD797" s="54"/>
      <c r="BE797" s="54"/>
      <c r="BF797" s="54"/>
      <c r="BG797" s="54"/>
      <c r="BH797" s="54"/>
      <c r="BI797" s="54"/>
      <c r="BJ797" s="54"/>
      <c r="BK797" s="54"/>
      <c r="BL797" s="54"/>
    </row>
    <row r="798" spans="1:64" ht="11.25" customHeight="1" x14ac:dyDescent="0.3">
      <c r="A798" s="54"/>
      <c r="B798" s="54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  <c r="AA798" s="54"/>
      <c r="AB798" s="54"/>
      <c r="AC798" s="54"/>
      <c r="AD798" s="54"/>
      <c r="AE798" s="54"/>
      <c r="AF798" s="54"/>
      <c r="AG798" s="54"/>
      <c r="AH798" s="54"/>
      <c r="AI798" s="54"/>
      <c r="AJ798" s="54"/>
      <c r="AK798" s="54"/>
      <c r="AL798" s="54"/>
      <c r="AM798" s="54"/>
      <c r="AN798" s="54"/>
      <c r="AO798" s="54"/>
      <c r="AP798" s="54"/>
      <c r="AQ798" s="54"/>
      <c r="AR798" s="54"/>
      <c r="AS798" s="54"/>
      <c r="AT798" s="54"/>
      <c r="AU798" s="54"/>
      <c r="AV798" s="54"/>
      <c r="AW798" s="54"/>
      <c r="AX798" s="54"/>
      <c r="AY798" s="54"/>
      <c r="AZ798" s="54"/>
      <c r="BA798" s="54"/>
      <c r="BB798" s="54"/>
      <c r="BC798" s="54"/>
      <c r="BD798" s="54"/>
      <c r="BE798" s="54"/>
      <c r="BF798" s="54"/>
      <c r="BG798" s="54"/>
      <c r="BH798" s="54"/>
      <c r="BI798" s="54"/>
      <c r="BJ798" s="54"/>
      <c r="BK798" s="54"/>
      <c r="BL798" s="54"/>
    </row>
    <row r="799" spans="1:64" ht="11.25" customHeight="1" x14ac:dyDescent="0.3">
      <c r="A799" s="54"/>
      <c r="B799" s="54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  <c r="AA799" s="54"/>
      <c r="AB799" s="54"/>
      <c r="AC799" s="54"/>
      <c r="AD799" s="54"/>
      <c r="AE799" s="54"/>
      <c r="AF799" s="54"/>
      <c r="AG799" s="54"/>
      <c r="AH799" s="54"/>
      <c r="AI799" s="54"/>
      <c r="AJ799" s="54"/>
      <c r="AK799" s="54"/>
      <c r="AL799" s="54"/>
      <c r="AM799" s="54"/>
      <c r="AN799" s="54"/>
      <c r="AO799" s="54"/>
      <c r="AP799" s="54"/>
      <c r="AQ799" s="54"/>
      <c r="AR799" s="54"/>
      <c r="AS799" s="54"/>
      <c r="AT799" s="54"/>
      <c r="AU799" s="54"/>
      <c r="AV799" s="54"/>
      <c r="AW799" s="54"/>
      <c r="AX799" s="54"/>
      <c r="AY799" s="54"/>
      <c r="AZ799" s="54"/>
      <c r="BA799" s="54"/>
      <c r="BB799" s="54"/>
      <c r="BC799" s="54"/>
      <c r="BD799" s="54"/>
      <c r="BE799" s="54"/>
      <c r="BF799" s="54"/>
      <c r="BG799" s="54"/>
      <c r="BH799" s="54"/>
      <c r="BI799" s="54"/>
      <c r="BJ799" s="54"/>
      <c r="BK799" s="54"/>
      <c r="BL799" s="54"/>
    </row>
    <row r="800" spans="1:64" ht="11.25" customHeight="1" x14ac:dyDescent="0.3">
      <c r="A800" s="54"/>
      <c r="B800" s="54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  <c r="AA800" s="54"/>
      <c r="AB800" s="54"/>
      <c r="AC800" s="54"/>
      <c r="AD800" s="54"/>
      <c r="AE800" s="54"/>
      <c r="AF800" s="54"/>
      <c r="AG800" s="54"/>
      <c r="AH800" s="54"/>
      <c r="AI800" s="54"/>
      <c r="AJ800" s="54"/>
      <c r="AK800" s="54"/>
      <c r="AL800" s="54"/>
      <c r="AM800" s="54"/>
      <c r="AN800" s="54"/>
      <c r="AO800" s="54"/>
      <c r="AP800" s="54"/>
      <c r="AQ800" s="54"/>
      <c r="AR800" s="54"/>
      <c r="AS800" s="54"/>
      <c r="AT800" s="54"/>
      <c r="AU800" s="54"/>
      <c r="AV800" s="54"/>
      <c r="AW800" s="54"/>
      <c r="AX800" s="54"/>
      <c r="AY800" s="54"/>
      <c r="AZ800" s="54"/>
      <c r="BA800" s="54"/>
      <c r="BB800" s="54"/>
      <c r="BC800" s="54"/>
      <c r="BD800" s="54"/>
      <c r="BE800" s="54"/>
      <c r="BF800" s="54"/>
      <c r="BG800" s="54"/>
      <c r="BH800" s="54"/>
      <c r="BI800" s="54"/>
      <c r="BJ800" s="54"/>
      <c r="BK800" s="54"/>
      <c r="BL800" s="54"/>
    </row>
    <row r="801" spans="1:64" ht="11.25" customHeight="1" x14ac:dyDescent="0.3">
      <c r="A801" s="54"/>
      <c r="B801" s="54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  <c r="AA801" s="54"/>
      <c r="AB801" s="54"/>
      <c r="AC801" s="54"/>
      <c r="AD801" s="54"/>
      <c r="AE801" s="54"/>
      <c r="AF801" s="54"/>
      <c r="AG801" s="54"/>
      <c r="AH801" s="54"/>
      <c r="AI801" s="54"/>
      <c r="AJ801" s="54"/>
      <c r="AK801" s="54"/>
      <c r="AL801" s="54"/>
      <c r="AM801" s="54"/>
      <c r="AN801" s="54"/>
      <c r="AO801" s="54"/>
      <c r="AP801" s="54"/>
      <c r="AQ801" s="54"/>
      <c r="AR801" s="54"/>
      <c r="AS801" s="54"/>
      <c r="AT801" s="54"/>
      <c r="AU801" s="54"/>
      <c r="AV801" s="54"/>
      <c r="AW801" s="54"/>
      <c r="AX801" s="54"/>
      <c r="AY801" s="54"/>
      <c r="AZ801" s="54"/>
      <c r="BA801" s="54"/>
      <c r="BB801" s="54"/>
      <c r="BC801" s="54"/>
      <c r="BD801" s="54"/>
      <c r="BE801" s="54"/>
      <c r="BF801" s="54"/>
      <c r="BG801" s="54"/>
      <c r="BH801" s="54"/>
      <c r="BI801" s="54"/>
      <c r="BJ801" s="54"/>
      <c r="BK801" s="54"/>
      <c r="BL801" s="54"/>
    </row>
    <row r="802" spans="1:64" ht="11.25" customHeight="1" x14ac:dyDescent="0.3">
      <c r="A802" s="54"/>
      <c r="B802" s="54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  <c r="AA802" s="54"/>
      <c r="AB802" s="54"/>
      <c r="AC802" s="54"/>
      <c r="AD802" s="54"/>
      <c r="AE802" s="54"/>
      <c r="AF802" s="54"/>
      <c r="AG802" s="54"/>
      <c r="AH802" s="54"/>
      <c r="AI802" s="54"/>
      <c r="AJ802" s="54"/>
      <c r="AK802" s="54"/>
      <c r="AL802" s="54"/>
      <c r="AM802" s="54"/>
      <c r="AN802" s="54"/>
      <c r="AO802" s="54"/>
      <c r="AP802" s="54"/>
      <c r="AQ802" s="54"/>
      <c r="AR802" s="54"/>
      <c r="AS802" s="54"/>
      <c r="AT802" s="54"/>
      <c r="AU802" s="54"/>
      <c r="AV802" s="54"/>
      <c r="AW802" s="54"/>
      <c r="AX802" s="54"/>
      <c r="AY802" s="54"/>
      <c r="AZ802" s="54"/>
      <c r="BA802" s="54"/>
      <c r="BB802" s="54"/>
      <c r="BC802" s="54"/>
      <c r="BD802" s="54"/>
      <c r="BE802" s="54"/>
      <c r="BF802" s="54"/>
      <c r="BG802" s="54"/>
      <c r="BH802" s="54"/>
      <c r="BI802" s="54"/>
      <c r="BJ802" s="54"/>
      <c r="BK802" s="54"/>
      <c r="BL802" s="54"/>
    </row>
    <row r="803" spans="1:64" ht="11.25" customHeight="1" x14ac:dyDescent="0.3">
      <c r="A803" s="54"/>
      <c r="B803" s="54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  <c r="AA803" s="54"/>
      <c r="AB803" s="54"/>
      <c r="AC803" s="54"/>
      <c r="AD803" s="54"/>
      <c r="AE803" s="54"/>
      <c r="AF803" s="54"/>
      <c r="AG803" s="54"/>
      <c r="AH803" s="54"/>
      <c r="AI803" s="54"/>
      <c r="AJ803" s="54"/>
      <c r="AK803" s="54"/>
      <c r="AL803" s="54"/>
      <c r="AM803" s="54"/>
      <c r="AN803" s="54"/>
      <c r="AO803" s="54"/>
      <c r="AP803" s="54"/>
      <c r="AQ803" s="54"/>
      <c r="AR803" s="54"/>
      <c r="AS803" s="54"/>
      <c r="AT803" s="54"/>
      <c r="AU803" s="54"/>
      <c r="AV803" s="54"/>
      <c r="AW803" s="54"/>
      <c r="AX803" s="54"/>
      <c r="AY803" s="54"/>
      <c r="AZ803" s="54"/>
      <c r="BA803" s="54"/>
      <c r="BB803" s="54"/>
      <c r="BC803" s="54"/>
      <c r="BD803" s="54"/>
      <c r="BE803" s="54"/>
      <c r="BF803" s="54"/>
      <c r="BG803" s="54"/>
      <c r="BH803" s="54"/>
      <c r="BI803" s="54"/>
      <c r="BJ803" s="54"/>
      <c r="BK803" s="54"/>
      <c r="BL803" s="54"/>
    </row>
    <row r="804" spans="1:64" ht="11.25" customHeight="1" x14ac:dyDescent="0.3">
      <c r="A804" s="54"/>
      <c r="B804" s="54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  <c r="AA804" s="54"/>
      <c r="AB804" s="54"/>
      <c r="AC804" s="54"/>
      <c r="AD804" s="54"/>
      <c r="AE804" s="54"/>
      <c r="AF804" s="54"/>
      <c r="AG804" s="54"/>
      <c r="AH804" s="54"/>
      <c r="AI804" s="54"/>
      <c r="AJ804" s="54"/>
      <c r="AK804" s="54"/>
      <c r="AL804" s="54"/>
      <c r="AM804" s="54"/>
      <c r="AN804" s="54"/>
      <c r="AO804" s="54"/>
      <c r="AP804" s="54"/>
      <c r="AQ804" s="54"/>
      <c r="AR804" s="54"/>
      <c r="AS804" s="54"/>
      <c r="AT804" s="54"/>
      <c r="AU804" s="54"/>
      <c r="AV804" s="54"/>
      <c r="AW804" s="54"/>
      <c r="AX804" s="54"/>
      <c r="AY804" s="54"/>
      <c r="AZ804" s="54"/>
      <c r="BA804" s="54"/>
      <c r="BB804" s="54"/>
      <c r="BC804" s="54"/>
      <c r="BD804" s="54"/>
      <c r="BE804" s="54"/>
      <c r="BF804" s="54"/>
      <c r="BG804" s="54"/>
      <c r="BH804" s="54"/>
      <c r="BI804" s="54"/>
      <c r="BJ804" s="54"/>
      <c r="BK804" s="54"/>
      <c r="BL804" s="54"/>
    </row>
    <row r="805" spans="1:64" ht="11.25" customHeight="1" x14ac:dyDescent="0.3">
      <c r="A805" s="54"/>
      <c r="B805" s="54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  <c r="AA805" s="54"/>
      <c r="AB805" s="54"/>
      <c r="AC805" s="54"/>
      <c r="AD805" s="54"/>
      <c r="AE805" s="54"/>
      <c r="AF805" s="54"/>
      <c r="AG805" s="54"/>
      <c r="AH805" s="54"/>
      <c r="AI805" s="54"/>
      <c r="AJ805" s="54"/>
      <c r="AK805" s="54"/>
      <c r="AL805" s="54"/>
      <c r="AM805" s="54"/>
      <c r="AN805" s="54"/>
      <c r="AO805" s="54"/>
      <c r="AP805" s="54"/>
      <c r="AQ805" s="54"/>
      <c r="AR805" s="54"/>
      <c r="AS805" s="54"/>
      <c r="AT805" s="54"/>
      <c r="AU805" s="54"/>
      <c r="AV805" s="54"/>
      <c r="AW805" s="54"/>
      <c r="AX805" s="54"/>
      <c r="AY805" s="54"/>
      <c r="AZ805" s="54"/>
      <c r="BA805" s="54"/>
      <c r="BB805" s="54"/>
      <c r="BC805" s="54"/>
      <c r="BD805" s="54"/>
      <c r="BE805" s="54"/>
      <c r="BF805" s="54"/>
      <c r="BG805" s="54"/>
      <c r="BH805" s="54"/>
      <c r="BI805" s="54"/>
      <c r="BJ805" s="54"/>
      <c r="BK805" s="54"/>
      <c r="BL805" s="54"/>
    </row>
    <row r="806" spans="1:64" ht="11.25" customHeight="1" x14ac:dyDescent="0.3">
      <c r="A806" s="54"/>
      <c r="B806" s="54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  <c r="AA806" s="54"/>
      <c r="AB806" s="54"/>
      <c r="AC806" s="54"/>
      <c r="AD806" s="54"/>
      <c r="AE806" s="54"/>
      <c r="AF806" s="54"/>
      <c r="AG806" s="54"/>
      <c r="AH806" s="54"/>
      <c r="AI806" s="54"/>
      <c r="AJ806" s="54"/>
      <c r="AK806" s="54"/>
      <c r="AL806" s="54"/>
      <c r="AM806" s="54"/>
      <c r="AN806" s="54"/>
      <c r="AO806" s="54"/>
      <c r="AP806" s="54"/>
      <c r="AQ806" s="54"/>
      <c r="AR806" s="54"/>
      <c r="AS806" s="54"/>
      <c r="AT806" s="54"/>
      <c r="AU806" s="54"/>
      <c r="AV806" s="54"/>
      <c r="AW806" s="54"/>
      <c r="AX806" s="54"/>
      <c r="AY806" s="54"/>
      <c r="AZ806" s="54"/>
      <c r="BA806" s="54"/>
      <c r="BB806" s="54"/>
      <c r="BC806" s="54"/>
      <c r="BD806" s="54"/>
      <c r="BE806" s="54"/>
      <c r="BF806" s="54"/>
      <c r="BG806" s="54"/>
      <c r="BH806" s="54"/>
      <c r="BI806" s="54"/>
      <c r="BJ806" s="54"/>
      <c r="BK806" s="54"/>
      <c r="BL806" s="54"/>
    </row>
    <row r="807" spans="1:64" ht="11.25" customHeight="1" x14ac:dyDescent="0.3">
      <c r="A807" s="54"/>
      <c r="B807" s="54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  <c r="AA807" s="54"/>
      <c r="AB807" s="54"/>
      <c r="AC807" s="54"/>
      <c r="AD807" s="54"/>
      <c r="AE807" s="54"/>
      <c r="AF807" s="54"/>
      <c r="AG807" s="54"/>
      <c r="AH807" s="54"/>
      <c r="AI807" s="54"/>
      <c r="AJ807" s="54"/>
      <c r="AK807" s="54"/>
      <c r="AL807" s="54"/>
      <c r="AM807" s="54"/>
      <c r="AN807" s="54"/>
      <c r="AO807" s="54"/>
      <c r="AP807" s="54"/>
      <c r="AQ807" s="54"/>
      <c r="AR807" s="54"/>
      <c r="AS807" s="54"/>
      <c r="AT807" s="54"/>
      <c r="AU807" s="54"/>
      <c r="AV807" s="54"/>
      <c r="AW807" s="54"/>
      <c r="AX807" s="54"/>
      <c r="AY807" s="54"/>
      <c r="AZ807" s="54"/>
      <c r="BA807" s="54"/>
      <c r="BB807" s="54"/>
      <c r="BC807" s="54"/>
      <c r="BD807" s="54"/>
      <c r="BE807" s="54"/>
      <c r="BF807" s="54"/>
      <c r="BG807" s="54"/>
      <c r="BH807" s="54"/>
      <c r="BI807" s="54"/>
      <c r="BJ807" s="54"/>
      <c r="BK807" s="54"/>
      <c r="BL807" s="54"/>
    </row>
    <row r="808" spans="1:64" ht="11.25" customHeight="1" x14ac:dyDescent="0.3">
      <c r="A808" s="54"/>
      <c r="B808" s="54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  <c r="AA808" s="54"/>
      <c r="AB808" s="54"/>
      <c r="AC808" s="54"/>
      <c r="AD808" s="54"/>
      <c r="AE808" s="54"/>
      <c r="AF808" s="54"/>
      <c r="AG808" s="54"/>
      <c r="AH808" s="54"/>
      <c r="AI808" s="54"/>
      <c r="AJ808" s="54"/>
      <c r="AK808" s="54"/>
      <c r="AL808" s="54"/>
      <c r="AM808" s="54"/>
      <c r="AN808" s="54"/>
      <c r="AO808" s="54"/>
      <c r="AP808" s="54"/>
      <c r="AQ808" s="54"/>
      <c r="AR808" s="54"/>
      <c r="AS808" s="54"/>
      <c r="AT808" s="54"/>
      <c r="AU808" s="54"/>
      <c r="AV808" s="54"/>
      <c r="AW808" s="54"/>
      <c r="AX808" s="54"/>
      <c r="AY808" s="54"/>
      <c r="AZ808" s="54"/>
      <c r="BA808" s="54"/>
      <c r="BB808" s="54"/>
      <c r="BC808" s="54"/>
      <c r="BD808" s="54"/>
      <c r="BE808" s="54"/>
      <c r="BF808" s="54"/>
      <c r="BG808" s="54"/>
      <c r="BH808" s="54"/>
      <c r="BI808" s="54"/>
      <c r="BJ808" s="54"/>
      <c r="BK808" s="54"/>
      <c r="BL808" s="54"/>
    </row>
    <row r="809" spans="1:64" ht="11.25" customHeight="1" x14ac:dyDescent="0.3">
      <c r="A809" s="54"/>
      <c r="B809" s="54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  <c r="AA809" s="54"/>
      <c r="AB809" s="54"/>
      <c r="AC809" s="54"/>
      <c r="AD809" s="54"/>
      <c r="AE809" s="54"/>
      <c r="AF809" s="54"/>
      <c r="AG809" s="54"/>
      <c r="AH809" s="54"/>
      <c r="AI809" s="54"/>
      <c r="AJ809" s="54"/>
      <c r="AK809" s="54"/>
      <c r="AL809" s="54"/>
      <c r="AM809" s="54"/>
      <c r="AN809" s="54"/>
      <c r="AO809" s="54"/>
      <c r="AP809" s="54"/>
      <c r="AQ809" s="54"/>
      <c r="AR809" s="54"/>
      <c r="AS809" s="54"/>
      <c r="AT809" s="54"/>
      <c r="AU809" s="54"/>
      <c r="AV809" s="54"/>
      <c r="AW809" s="54"/>
      <c r="AX809" s="54"/>
      <c r="AY809" s="54"/>
      <c r="AZ809" s="54"/>
      <c r="BA809" s="54"/>
      <c r="BB809" s="54"/>
      <c r="BC809" s="54"/>
      <c r="BD809" s="54"/>
      <c r="BE809" s="54"/>
      <c r="BF809" s="54"/>
      <c r="BG809" s="54"/>
      <c r="BH809" s="54"/>
      <c r="BI809" s="54"/>
      <c r="BJ809" s="54"/>
      <c r="BK809" s="54"/>
      <c r="BL809" s="54"/>
    </row>
    <row r="810" spans="1:64" ht="11.25" customHeight="1" x14ac:dyDescent="0.3">
      <c r="A810" s="54"/>
      <c r="B810" s="54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  <c r="AA810" s="54"/>
      <c r="AB810" s="54"/>
      <c r="AC810" s="54"/>
      <c r="AD810" s="54"/>
      <c r="AE810" s="54"/>
      <c r="AF810" s="54"/>
      <c r="AG810" s="54"/>
      <c r="AH810" s="54"/>
      <c r="AI810" s="54"/>
      <c r="AJ810" s="54"/>
      <c r="AK810" s="54"/>
      <c r="AL810" s="54"/>
      <c r="AM810" s="54"/>
      <c r="AN810" s="54"/>
      <c r="AO810" s="54"/>
      <c r="AP810" s="54"/>
      <c r="AQ810" s="54"/>
      <c r="AR810" s="54"/>
      <c r="AS810" s="54"/>
      <c r="AT810" s="54"/>
      <c r="AU810" s="54"/>
      <c r="AV810" s="54"/>
      <c r="AW810" s="54"/>
      <c r="AX810" s="54"/>
      <c r="AY810" s="54"/>
      <c r="AZ810" s="54"/>
      <c r="BA810" s="54"/>
      <c r="BB810" s="54"/>
      <c r="BC810" s="54"/>
      <c r="BD810" s="54"/>
      <c r="BE810" s="54"/>
      <c r="BF810" s="54"/>
      <c r="BG810" s="54"/>
      <c r="BH810" s="54"/>
      <c r="BI810" s="54"/>
      <c r="BJ810" s="54"/>
      <c r="BK810" s="54"/>
      <c r="BL810" s="54"/>
    </row>
    <row r="811" spans="1:64" ht="11.25" customHeight="1" x14ac:dyDescent="0.3">
      <c r="A811" s="54"/>
      <c r="B811" s="54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  <c r="AA811" s="54"/>
      <c r="AB811" s="54"/>
      <c r="AC811" s="54"/>
      <c r="AD811" s="54"/>
      <c r="AE811" s="54"/>
      <c r="AF811" s="54"/>
      <c r="AG811" s="54"/>
      <c r="AH811" s="54"/>
      <c r="AI811" s="54"/>
      <c r="AJ811" s="54"/>
      <c r="AK811" s="54"/>
      <c r="AL811" s="54"/>
      <c r="AM811" s="54"/>
      <c r="AN811" s="54"/>
      <c r="AO811" s="54"/>
      <c r="AP811" s="54"/>
      <c r="AQ811" s="54"/>
      <c r="AR811" s="54"/>
      <c r="AS811" s="54"/>
      <c r="AT811" s="54"/>
      <c r="AU811" s="54"/>
      <c r="AV811" s="54"/>
      <c r="AW811" s="54"/>
      <c r="AX811" s="54"/>
      <c r="AY811" s="54"/>
      <c r="AZ811" s="54"/>
      <c r="BA811" s="54"/>
      <c r="BB811" s="54"/>
      <c r="BC811" s="54"/>
      <c r="BD811" s="54"/>
      <c r="BE811" s="54"/>
      <c r="BF811" s="54"/>
      <c r="BG811" s="54"/>
      <c r="BH811" s="54"/>
      <c r="BI811" s="54"/>
      <c r="BJ811" s="54"/>
      <c r="BK811" s="54"/>
      <c r="BL811" s="54"/>
    </row>
    <row r="812" spans="1:64" ht="11.25" customHeight="1" x14ac:dyDescent="0.3">
      <c r="A812" s="54"/>
      <c r="B812" s="54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  <c r="AA812" s="54"/>
      <c r="AB812" s="54"/>
      <c r="AC812" s="54"/>
      <c r="AD812" s="54"/>
      <c r="AE812" s="54"/>
      <c r="AF812" s="54"/>
      <c r="AG812" s="54"/>
      <c r="AH812" s="54"/>
      <c r="AI812" s="54"/>
      <c r="AJ812" s="54"/>
      <c r="AK812" s="54"/>
      <c r="AL812" s="54"/>
      <c r="AM812" s="54"/>
      <c r="AN812" s="54"/>
      <c r="AO812" s="54"/>
      <c r="AP812" s="54"/>
      <c r="AQ812" s="54"/>
      <c r="AR812" s="54"/>
      <c r="AS812" s="54"/>
      <c r="AT812" s="54"/>
      <c r="AU812" s="54"/>
      <c r="AV812" s="54"/>
      <c r="AW812" s="54"/>
      <c r="AX812" s="54"/>
      <c r="AY812" s="54"/>
      <c r="AZ812" s="54"/>
      <c r="BA812" s="54"/>
      <c r="BB812" s="54"/>
      <c r="BC812" s="54"/>
      <c r="BD812" s="54"/>
      <c r="BE812" s="54"/>
      <c r="BF812" s="54"/>
      <c r="BG812" s="54"/>
      <c r="BH812" s="54"/>
      <c r="BI812" s="54"/>
      <c r="BJ812" s="54"/>
      <c r="BK812" s="54"/>
      <c r="BL812" s="54"/>
    </row>
    <row r="813" spans="1:64" ht="11.25" customHeight="1" x14ac:dyDescent="0.3">
      <c r="A813" s="54"/>
      <c r="B813" s="54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  <c r="AA813" s="54"/>
      <c r="AB813" s="54"/>
      <c r="AC813" s="54"/>
      <c r="AD813" s="54"/>
      <c r="AE813" s="54"/>
      <c r="AF813" s="54"/>
      <c r="AG813" s="54"/>
      <c r="AH813" s="54"/>
      <c r="AI813" s="54"/>
      <c r="AJ813" s="54"/>
      <c r="AK813" s="54"/>
      <c r="AL813" s="54"/>
      <c r="AM813" s="54"/>
      <c r="AN813" s="54"/>
      <c r="AO813" s="54"/>
      <c r="AP813" s="54"/>
      <c r="AQ813" s="54"/>
      <c r="AR813" s="54"/>
      <c r="AS813" s="54"/>
      <c r="AT813" s="54"/>
      <c r="AU813" s="54"/>
      <c r="AV813" s="54"/>
      <c r="AW813" s="54"/>
      <c r="AX813" s="54"/>
      <c r="AY813" s="54"/>
      <c r="AZ813" s="54"/>
      <c r="BA813" s="54"/>
      <c r="BB813" s="54"/>
      <c r="BC813" s="54"/>
      <c r="BD813" s="54"/>
      <c r="BE813" s="54"/>
      <c r="BF813" s="54"/>
      <c r="BG813" s="54"/>
      <c r="BH813" s="54"/>
      <c r="BI813" s="54"/>
      <c r="BJ813" s="54"/>
      <c r="BK813" s="54"/>
      <c r="BL813" s="54"/>
    </row>
    <row r="814" spans="1:64" ht="11.25" customHeight="1" x14ac:dyDescent="0.3">
      <c r="A814" s="54"/>
      <c r="B814" s="54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  <c r="AA814" s="54"/>
      <c r="AB814" s="54"/>
      <c r="AC814" s="54"/>
      <c r="AD814" s="54"/>
      <c r="AE814" s="54"/>
      <c r="AF814" s="54"/>
      <c r="AG814" s="54"/>
      <c r="AH814" s="54"/>
      <c r="AI814" s="54"/>
      <c r="AJ814" s="54"/>
      <c r="AK814" s="54"/>
      <c r="AL814" s="54"/>
      <c r="AM814" s="54"/>
      <c r="AN814" s="54"/>
      <c r="AO814" s="54"/>
      <c r="AP814" s="54"/>
      <c r="AQ814" s="54"/>
      <c r="AR814" s="54"/>
      <c r="AS814" s="54"/>
      <c r="AT814" s="54"/>
      <c r="AU814" s="54"/>
      <c r="AV814" s="54"/>
      <c r="AW814" s="54"/>
      <c r="AX814" s="54"/>
      <c r="AY814" s="54"/>
      <c r="AZ814" s="54"/>
      <c r="BA814" s="54"/>
      <c r="BB814" s="54"/>
      <c r="BC814" s="54"/>
      <c r="BD814" s="54"/>
      <c r="BE814" s="54"/>
      <c r="BF814" s="54"/>
      <c r="BG814" s="54"/>
      <c r="BH814" s="54"/>
      <c r="BI814" s="54"/>
      <c r="BJ814" s="54"/>
      <c r="BK814" s="54"/>
      <c r="BL814" s="54"/>
    </row>
    <row r="815" spans="1:64" ht="11.25" customHeight="1" x14ac:dyDescent="0.3">
      <c r="A815" s="54"/>
      <c r="B815" s="54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  <c r="AA815" s="54"/>
      <c r="AB815" s="54"/>
      <c r="AC815" s="54"/>
      <c r="AD815" s="54"/>
      <c r="AE815" s="54"/>
      <c r="AF815" s="54"/>
      <c r="AG815" s="54"/>
      <c r="AH815" s="54"/>
      <c r="AI815" s="54"/>
      <c r="AJ815" s="54"/>
      <c r="AK815" s="54"/>
      <c r="AL815" s="54"/>
      <c r="AM815" s="54"/>
      <c r="AN815" s="54"/>
      <c r="AO815" s="54"/>
      <c r="AP815" s="54"/>
      <c r="AQ815" s="54"/>
      <c r="AR815" s="54"/>
      <c r="AS815" s="54"/>
      <c r="AT815" s="54"/>
      <c r="AU815" s="54"/>
      <c r="AV815" s="54"/>
      <c r="AW815" s="54"/>
      <c r="AX815" s="54"/>
      <c r="AY815" s="54"/>
      <c r="AZ815" s="54"/>
      <c r="BA815" s="54"/>
      <c r="BB815" s="54"/>
      <c r="BC815" s="54"/>
      <c r="BD815" s="54"/>
      <c r="BE815" s="54"/>
      <c r="BF815" s="54"/>
      <c r="BG815" s="54"/>
      <c r="BH815" s="54"/>
      <c r="BI815" s="54"/>
      <c r="BJ815" s="54"/>
      <c r="BK815" s="54"/>
      <c r="BL815" s="54"/>
    </row>
    <row r="816" spans="1:64" ht="11.25" customHeight="1" x14ac:dyDescent="0.3">
      <c r="A816" s="54"/>
      <c r="B816" s="54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  <c r="AA816" s="54"/>
      <c r="AB816" s="54"/>
      <c r="AC816" s="54"/>
      <c r="AD816" s="54"/>
      <c r="AE816" s="54"/>
      <c r="AF816" s="54"/>
      <c r="AG816" s="54"/>
      <c r="AH816" s="54"/>
      <c r="AI816" s="54"/>
      <c r="AJ816" s="54"/>
      <c r="AK816" s="54"/>
      <c r="AL816" s="54"/>
      <c r="AM816" s="54"/>
      <c r="AN816" s="54"/>
      <c r="AO816" s="54"/>
      <c r="AP816" s="54"/>
      <c r="AQ816" s="54"/>
      <c r="AR816" s="54"/>
      <c r="AS816" s="54"/>
      <c r="AT816" s="54"/>
      <c r="AU816" s="54"/>
      <c r="AV816" s="54"/>
      <c r="AW816" s="54"/>
      <c r="AX816" s="54"/>
      <c r="AY816" s="54"/>
      <c r="AZ816" s="54"/>
      <c r="BA816" s="54"/>
      <c r="BB816" s="54"/>
      <c r="BC816" s="54"/>
      <c r="BD816" s="54"/>
      <c r="BE816" s="54"/>
      <c r="BF816" s="54"/>
      <c r="BG816" s="54"/>
      <c r="BH816" s="54"/>
      <c r="BI816" s="54"/>
      <c r="BJ816" s="54"/>
      <c r="BK816" s="54"/>
      <c r="BL816" s="54"/>
    </row>
    <row r="817" spans="1:64" ht="11.25" customHeight="1" x14ac:dyDescent="0.3">
      <c r="A817" s="54"/>
      <c r="B817" s="54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  <c r="AA817" s="54"/>
      <c r="AB817" s="54"/>
      <c r="AC817" s="54"/>
      <c r="AD817" s="54"/>
      <c r="AE817" s="54"/>
      <c r="AF817" s="54"/>
      <c r="AG817" s="54"/>
      <c r="AH817" s="54"/>
      <c r="AI817" s="54"/>
      <c r="AJ817" s="54"/>
      <c r="AK817" s="54"/>
      <c r="AL817" s="54"/>
      <c r="AM817" s="54"/>
      <c r="AN817" s="54"/>
      <c r="AO817" s="54"/>
      <c r="AP817" s="54"/>
      <c r="AQ817" s="54"/>
      <c r="AR817" s="54"/>
      <c r="AS817" s="54"/>
      <c r="AT817" s="54"/>
      <c r="AU817" s="54"/>
      <c r="AV817" s="54"/>
      <c r="AW817" s="54"/>
      <c r="AX817" s="54"/>
      <c r="AY817" s="54"/>
      <c r="AZ817" s="54"/>
      <c r="BA817" s="54"/>
      <c r="BB817" s="54"/>
      <c r="BC817" s="54"/>
      <c r="BD817" s="54"/>
      <c r="BE817" s="54"/>
      <c r="BF817" s="54"/>
      <c r="BG817" s="54"/>
      <c r="BH817" s="54"/>
      <c r="BI817" s="54"/>
      <c r="BJ817" s="54"/>
      <c r="BK817" s="54"/>
      <c r="BL817" s="54"/>
    </row>
    <row r="818" spans="1:64" ht="11.25" customHeight="1" x14ac:dyDescent="0.3">
      <c r="A818" s="54"/>
      <c r="B818" s="54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  <c r="AA818" s="54"/>
      <c r="AB818" s="54"/>
      <c r="AC818" s="54"/>
      <c r="AD818" s="54"/>
      <c r="AE818" s="54"/>
      <c r="AF818" s="54"/>
      <c r="AG818" s="54"/>
      <c r="AH818" s="54"/>
      <c r="AI818" s="54"/>
      <c r="AJ818" s="54"/>
      <c r="AK818" s="54"/>
      <c r="AL818" s="54"/>
      <c r="AM818" s="54"/>
      <c r="AN818" s="54"/>
      <c r="AO818" s="54"/>
      <c r="AP818" s="54"/>
      <c r="AQ818" s="54"/>
      <c r="AR818" s="54"/>
      <c r="AS818" s="54"/>
      <c r="AT818" s="54"/>
      <c r="AU818" s="54"/>
      <c r="AV818" s="54"/>
      <c r="AW818" s="54"/>
      <c r="AX818" s="54"/>
      <c r="AY818" s="54"/>
      <c r="AZ818" s="54"/>
      <c r="BA818" s="54"/>
      <c r="BB818" s="54"/>
      <c r="BC818" s="54"/>
      <c r="BD818" s="54"/>
      <c r="BE818" s="54"/>
      <c r="BF818" s="54"/>
      <c r="BG818" s="54"/>
      <c r="BH818" s="54"/>
      <c r="BI818" s="54"/>
      <c r="BJ818" s="54"/>
      <c r="BK818" s="54"/>
      <c r="BL818" s="54"/>
    </row>
    <row r="819" spans="1:64" ht="11.25" customHeight="1" x14ac:dyDescent="0.3">
      <c r="A819" s="54"/>
      <c r="B819" s="54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  <c r="AA819" s="54"/>
      <c r="AB819" s="54"/>
      <c r="AC819" s="54"/>
      <c r="AD819" s="54"/>
      <c r="AE819" s="54"/>
      <c r="AF819" s="54"/>
      <c r="AG819" s="54"/>
      <c r="AH819" s="54"/>
      <c r="AI819" s="54"/>
      <c r="AJ819" s="54"/>
      <c r="AK819" s="54"/>
      <c r="AL819" s="54"/>
      <c r="AM819" s="54"/>
      <c r="AN819" s="54"/>
      <c r="AO819" s="54"/>
      <c r="AP819" s="54"/>
      <c r="AQ819" s="54"/>
      <c r="AR819" s="54"/>
      <c r="AS819" s="54"/>
      <c r="AT819" s="54"/>
      <c r="AU819" s="54"/>
      <c r="AV819" s="54"/>
      <c r="AW819" s="54"/>
      <c r="AX819" s="54"/>
      <c r="AY819" s="54"/>
      <c r="AZ819" s="54"/>
      <c r="BA819" s="54"/>
      <c r="BB819" s="54"/>
      <c r="BC819" s="54"/>
      <c r="BD819" s="54"/>
      <c r="BE819" s="54"/>
      <c r="BF819" s="54"/>
      <c r="BG819" s="54"/>
      <c r="BH819" s="54"/>
      <c r="BI819" s="54"/>
      <c r="BJ819" s="54"/>
      <c r="BK819" s="54"/>
      <c r="BL819" s="54"/>
    </row>
    <row r="820" spans="1:64" ht="11.25" customHeight="1" x14ac:dyDescent="0.3">
      <c r="A820" s="54"/>
      <c r="B820" s="54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  <c r="AA820" s="54"/>
      <c r="AB820" s="54"/>
      <c r="AC820" s="54"/>
      <c r="AD820" s="54"/>
      <c r="AE820" s="54"/>
      <c r="AF820" s="54"/>
      <c r="AG820" s="54"/>
      <c r="AH820" s="54"/>
      <c r="AI820" s="54"/>
      <c r="AJ820" s="54"/>
      <c r="AK820" s="54"/>
      <c r="AL820" s="54"/>
      <c r="AM820" s="54"/>
      <c r="AN820" s="54"/>
      <c r="AO820" s="54"/>
      <c r="AP820" s="54"/>
      <c r="AQ820" s="54"/>
      <c r="AR820" s="54"/>
      <c r="AS820" s="54"/>
      <c r="AT820" s="54"/>
      <c r="AU820" s="54"/>
      <c r="AV820" s="54"/>
      <c r="AW820" s="54"/>
      <c r="AX820" s="54"/>
      <c r="AY820" s="54"/>
      <c r="AZ820" s="54"/>
      <c r="BA820" s="54"/>
      <c r="BB820" s="54"/>
      <c r="BC820" s="54"/>
      <c r="BD820" s="54"/>
      <c r="BE820" s="54"/>
      <c r="BF820" s="54"/>
      <c r="BG820" s="54"/>
      <c r="BH820" s="54"/>
      <c r="BI820" s="54"/>
      <c r="BJ820" s="54"/>
      <c r="BK820" s="54"/>
      <c r="BL820" s="54"/>
    </row>
    <row r="821" spans="1:64" ht="11.25" customHeight="1" x14ac:dyDescent="0.3">
      <c r="A821" s="54"/>
      <c r="B821" s="54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  <c r="AA821" s="54"/>
      <c r="AB821" s="54"/>
      <c r="AC821" s="54"/>
      <c r="AD821" s="54"/>
      <c r="AE821" s="54"/>
      <c r="AF821" s="54"/>
      <c r="AG821" s="54"/>
      <c r="AH821" s="54"/>
      <c r="AI821" s="54"/>
      <c r="AJ821" s="54"/>
      <c r="AK821" s="54"/>
      <c r="AL821" s="54"/>
      <c r="AM821" s="54"/>
      <c r="AN821" s="54"/>
      <c r="AO821" s="54"/>
      <c r="AP821" s="54"/>
      <c r="AQ821" s="54"/>
      <c r="AR821" s="54"/>
      <c r="AS821" s="54"/>
      <c r="AT821" s="54"/>
      <c r="AU821" s="54"/>
      <c r="AV821" s="54"/>
      <c r="AW821" s="54"/>
      <c r="AX821" s="54"/>
      <c r="AY821" s="54"/>
      <c r="AZ821" s="54"/>
      <c r="BA821" s="54"/>
      <c r="BB821" s="54"/>
      <c r="BC821" s="54"/>
      <c r="BD821" s="54"/>
      <c r="BE821" s="54"/>
      <c r="BF821" s="54"/>
      <c r="BG821" s="54"/>
      <c r="BH821" s="54"/>
      <c r="BI821" s="54"/>
      <c r="BJ821" s="54"/>
      <c r="BK821" s="54"/>
      <c r="BL821" s="54"/>
    </row>
    <row r="822" spans="1:64" ht="11.25" customHeight="1" x14ac:dyDescent="0.3">
      <c r="A822" s="54"/>
      <c r="B822" s="54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  <c r="AA822" s="54"/>
      <c r="AB822" s="54"/>
      <c r="AC822" s="54"/>
      <c r="AD822" s="54"/>
      <c r="AE822" s="54"/>
      <c r="AF822" s="54"/>
      <c r="AG822" s="54"/>
      <c r="AH822" s="54"/>
      <c r="AI822" s="54"/>
      <c r="AJ822" s="54"/>
      <c r="AK822" s="54"/>
      <c r="AL822" s="54"/>
      <c r="AM822" s="54"/>
      <c r="AN822" s="54"/>
      <c r="AO822" s="54"/>
      <c r="AP822" s="54"/>
      <c r="AQ822" s="54"/>
      <c r="AR822" s="54"/>
      <c r="AS822" s="54"/>
      <c r="AT822" s="54"/>
      <c r="AU822" s="54"/>
      <c r="AV822" s="54"/>
      <c r="AW822" s="54"/>
      <c r="AX822" s="54"/>
      <c r="AY822" s="54"/>
      <c r="AZ822" s="54"/>
      <c r="BA822" s="54"/>
      <c r="BB822" s="54"/>
      <c r="BC822" s="54"/>
      <c r="BD822" s="54"/>
      <c r="BE822" s="54"/>
      <c r="BF822" s="54"/>
      <c r="BG822" s="54"/>
      <c r="BH822" s="54"/>
      <c r="BI822" s="54"/>
      <c r="BJ822" s="54"/>
      <c r="BK822" s="54"/>
      <c r="BL822" s="54"/>
    </row>
    <row r="823" spans="1:64" ht="11.25" customHeight="1" x14ac:dyDescent="0.3">
      <c r="A823" s="54"/>
      <c r="B823" s="54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  <c r="AA823" s="54"/>
      <c r="AB823" s="54"/>
      <c r="AC823" s="54"/>
      <c r="AD823" s="54"/>
      <c r="AE823" s="54"/>
      <c r="AF823" s="54"/>
      <c r="AG823" s="54"/>
      <c r="AH823" s="54"/>
      <c r="AI823" s="54"/>
      <c r="AJ823" s="54"/>
      <c r="AK823" s="54"/>
      <c r="AL823" s="54"/>
      <c r="AM823" s="54"/>
      <c r="AN823" s="54"/>
      <c r="AO823" s="54"/>
      <c r="AP823" s="54"/>
      <c r="AQ823" s="54"/>
      <c r="AR823" s="54"/>
      <c r="AS823" s="54"/>
      <c r="AT823" s="54"/>
      <c r="AU823" s="54"/>
      <c r="AV823" s="54"/>
      <c r="AW823" s="54"/>
      <c r="AX823" s="54"/>
      <c r="AY823" s="54"/>
      <c r="AZ823" s="54"/>
      <c r="BA823" s="54"/>
      <c r="BB823" s="54"/>
      <c r="BC823" s="54"/>
      <c r="BD823" s="54"/>
      <c r="BE823" s="54"/>
      <c r="BF823" s="54"/>
      <c r="BG823" s="54"/>
      <c r="BH823" s="54"/>
      <c r="BI823" s="54"/>
      <c r="BJ823" s="54"/>
      <c r="BK823" s="54"/>
      <c r="BL823" s="54"/>
    </row>
    <row r="824" spans="1:64" ht="11.25" customHeight="1" x14ac:dyDescent="0.3">
      <c r="A824" s="54"/>
      <c r="B824" s="54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  <c r="AA824" s="54"/>
      <c r="AB824" s="54"/>
      <c r="AC824" s="54"/>
      <c r="AD824" s="54"/>
      <c r="AE824" s="54"/>
      <c r="AF824" s="54"/>
      <c r="AG824" s="54"/>
      <c r="AH824" s="54"/>
      <c r="AI824" s="54"/>
      <c r="AJ824" s="54"/>
      <c r="AK824" s="54"/>
      <c r="AL824" s="54"/>
      <c r="AM824" s="54"/>
      <c r="AN824" s="54"/>
      <c r="AO824" s="54"/>
      <c r="AP824" s="54"/>
      <c r="AQ824" s="54"/>
      <c r="AR824" s="54"/>
      <c r="AS824" s="54"/>
      <c r="AT824" s="54"/>
      <c r="AU824" s="54"/>
      <c r="AV824" s="54"/>
      <c r="AW824" s="54"/>
      <c r="AX824" s="54"/>
      <c r="AY824" s="54"/>
      <c r="AZ824" s="54"/>
      <c r="BA824" s="54"/>
      <c r="BB824" s="54"/>
      <c r="BC824" s="54"/>
      <c r="BD824" s="54"/>
      <c r="BE824" s="54"/>
      <c r="BF824" s="54"/>
      <c r="BG824" s="54"/>
      <c r="BH824" s="54"/>
      <c r="BI824" s="54"/>
      <c r="BJ824" s="54"/>
      <c r="BK824" s="54"/>
      <c r="BL824" s="54"/>
    </row>
    <row r="825" spans="1:64" ht="11.25" customHeight="1" x14ac:dyDescent="0.3">
      <c r="A825" s="54"/>
      <c r="B825" s="54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  <c r="AA825" s="54"/>
      <c r="AB825" s="54"/>
      <c r="AC825" s="54"/>
      <c r="AD825" s="54"/>
      <c r="AE825" s="54"/>
      <c r="AF825" s="54"/>
      <c r="AG825" s="54"/>
      <c r="AH825" s="54"/>
      <c r="AI825" s="54"/>
      <c r="AJ825" s="54"/>
      <c r="AK825" s="54"/>
      <c r="AL825" s="54"/>
      <c r="AM825" s="54"/>
      <c r="AN825" s="54"/>
      <c r="AO825" s="54"/>
      <c r="AP825" s="54"/>
      <c r="AQ825" s="54"/>
      <c r="AR825" s="54"/>
      <c r="AS825" s="54"/>
      <c r="AT825" s="54"/>
      <c r="AU825" s="54"/>
      <c r="AV825" s="54"/>
      <c r="AW825" s="54"/>
      <c r="AX825" s="54"/>
      <c r="AY825" s="54"/>
      <c r="AZ825" s="54"/>
      <c r="BA825" s="54"/>
      <c r="BB825" s="54"/>
      <c r="BC825" s="54"/>
      <c r="BD825" s="54"/>
      <c r="BE825" s="54"/>
      <c r="BF825" s="54"/>
      <c r="BG825" s="54"/>
      <c r="BH825" s="54"/>
      <c r="BI825" s="54"/>
      <c r="BJ825" s="54"/>
      <c r="BK825" s="54"/>
      <c r="BL825" s="54"/>
    </row>
    <row r="826" spans="1:64" ht="11.25" customHeight="1" x14ac:dyDescent="0.3">
      <c r="A826" s="54"/>
      <c r="B826" s="54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  <c r="AA826" s="54"/>
      <c r="AB826" s="54"/>
      <c r="AC826" s="54"/>
      <c r="AD826" s="54"/>
      <c r="AE826" s="54"/>
      <c r="AF826" s="54"/>
      <c r="AG826" s="54"/>
      <c r="AH826" s="54"/>
      <c r="AI826" s="54"/>
      <c r="AJ826" s="54"/>
      <c r="AK826" s="54"/>
      <c r="AL826" s="54"/>
      <c r="AM826" s="54"/>
      <c r="AN826" s="54"/>
      <c r="AO826" s="54"/>
      <c r="AP826" s="54"/>
      <c r="AQ826" s="54"/>
      <c r="AR826" s="54"/>
      <c r="AS826" s="54"/>
      <c r="AT826" s="54"/>
      <c r="AU826" s="54"/>
      <c r="AV826" s="54"/>
      <c r="AW826" s="54"/>
      <c r="AX826" s="54"/>
      <c r="AY826" s="54"/>
      <c r="AZ826" s="54"/>
      <c r="BA826" s="54"/>
      <c r="BB826" s="54"/>
      <c r="BC826" s="54"/>
      <c r="BD826" s="54"/>
      <c r="BE826" s="54"/>
      <c r="BF826" s="54"/>
      <c r="BG826" s="54"/>
      <c r="BH826" s="54"/>
      <c r="BI826" s="54"/>
      <c r="BJ826" s="54"/>
      <c r="BK826" s="54"/>
      <c r="BL826" s="54"/>
    </row>
    <row r="827" spans="1:64" ht="11.25" customHeight="1" x14ac:dyDescent="0.3">
      <c r="A827" s="54"/>
      <c r="B827" s="54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  <c r="AA827" s="54"/>
      <c r="AB827" s="54"/>
      <c r="AC827" s="54"/>
      <c r="AD827" s="54"/>
      <c r="AE827" s="54"/>
      <c r="AF827" s="54"/>
      <c r="AG827" s="54"/>
      <c r="AH827" s="54"/>
      <c r="AI827" s="54"/>
      <c r="AJ827" s="54"/>
      <c r="AK827" s="54"/>
      <c r="AL827" s="54"/>
      <c r="AM827" s="54"/>
      <c r="AN827" s="54"/>
      <c r="AO827" s="54"/>
      <c r="AP827" s="54"/>
      <c r="AQ827" s="54"/>
      <c r="AR827" s="54"/>
      <c r="AS827" s="54"/>
      <c r="AT827" s="54"/>
      <c r="AU827" s="54"/>
      <c r="AV827" s="54"/>
      <c r="AW827" s="54"/>
      <c r="AX827" s="54"/>
      <c r="AY827" s="54"/>
      <c r="AZ827" s="54"/>
      <c r="BA827" s="54"/>
      <c r="BB827" s="54"/>
      <c r="BC827" s="54"/>
      <c r="BD827" s="54"/>
      <c r="BE827" s="54"/>
      <c r="BF827" s="54"/>
      <c r="BG827" s="54"/>
      <c r="BH827" s="54"/>
      <c r="BI827" s="54"/>
      <c r="BJ827" s="54"/>
      <c r="BK827" s="54"/>
      <c r="BL827" s="54"/>
    </row>
    <row r="828" spans="1:64" ht="11.25" customHeight="1" x14ac:dyDescent="0.3">
      <c r="A828" s="54"/>
      <c r="B828" s="54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  <c r="AA828" s="54"/>
      <c r="AB828" s="54"/>
      <c r="AC828" s="54"/>
      <c r="AD828" s="54"/>
      <c r="AE828" s="54"/>
      <c r="AF828" s="54"/>
      <c r="AG828" s="54"/>
      <c r="AH828" s="54"/>
      <c r="AI828" s="54"/>
      <c r="AJ828" s="54"/>
      <c r="AK828" s="54"/>
      <c r="AL828" s="54"/>
      <c r="AM828" s="54"/>
      <c r="AN828" s="54"/>
      <c r="AO828" s="54"/>
      <c r="AP828" s="54"/>
      <c r="AQ828" s="54"/>
      <c r="AR828" s="54"/>
      <c r="AS828" s="54"/>
      <c r="AT828" s="54"/>
      <c r="AU828" s="54"/>
      <c r="AV828" s="54"/>
      <c r="AW828" s="54"/>
      <c r="AX828" s="54"/>
      <c r="AY828" s="54"/>
      <c r="AZ828" s="54"/>
      <c r="BA828" s="54"/>
      <c r="BB828" s="54"/>
      <c r="BC828" s="54"/>
      <c r="BD828" s="54"/>
      <c r="BE828" s="54"/>
      <c r="BF828" s="54"/>
      <c r="BG828" s="54"/>
      <c r="BH828" s="54"/>
      <c r="BI828" s="54"/>
      <c r="BJ828" s="54"/>
      <c r="BK828" s="54"/>
      <c r="BL828" s="54"/>
    </row>
    <row r="829" spans="1:64" ht="11.25" customHeight="1" x14ac:dyDescent="0.3">
      <c r="A829" s="54"/>
      <c r="B829" s="54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  <c r="AA829" s="54"/>
      <c r="AB829" s="54"/>
      <c r="AC829" s="54"/>
      <c r="AD829" s="54"/>
      <c r="AE829" s="54"/>
      <c r="AF829" s="54"/>
      <c r="AG829" s="54"/>
      <c r="AH829" s="54"/>
      <c r="AI829" s="54"/>
      <c r="AJ829" s="54"/>
      <c r="AK829" s="54"/>
      <c r="AL829" s="54"/>
      <c r="AM829" s="54"/>
      <c r="AN829" s="54"/>
      <c r="AO829" s="54"/>
      <c r="AP829" s="54"/>
      <c r="AQ829" s="54"/>
      <c r="AR829" s="54"/>
      <c r="AS829" s="54"/>
      <c r="AT829" s="54"/>
      <c r="AU829" s="54"/>
      <c r="AV829" s="54"/>
      <c r="AW829" s="54"/>
      <c r="AX829" s="54"/>
      <c r="AY829" s="54"/>
      <c r="AZ829" s="54"/>
      <c r="BA829" s="54"/>
      <c r="BB829" s="54"/>
      <c r="BC829" s="54"/>
      <c r="BD829" s="54"/>
      <c r="BE829" s="54"/>
      <c r="BF829" s="54"/>
      <c r="BG829" s="54"/>
      <c r="BH829" s="54"/>
      <c r="BI829" s="54"/>
      <c r="BJ829" s="54"/>
      <c r="BK829" s="54"/>
      <c r="BL829" s="54"/>
    </row>
    <row r="830" spans="1:64" ht="11.25" customHeight="1" x14ac:dyDescent="0.3">
      <c r="A830" s="54"/>
      <c r="B830" s="54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  <c r="AA830" s="54"/>
      <c r="AB830" s="54"/>
      <c r="AC830" s="54"/>
      <c r="AD830" s="54"/>
      <c r="AE830" s="54"/>
      <c r="AF830" s="54"/>
      <c r="AG830" s="54"/>
      <c r="AH830" s="54"/>
      <c r="AI830" s="54"/>
      <c r="AJ830" s="54"/>
      <c r="AK830" s="54"/>
      <c r="AL830" s="54"/>
      <c r="AM830" s="54"/>
      <c r="AN830" s="54"/>
      <c r="AO830" s="54"/>
      <c r="AP830" s="54"/>
      <c r="AQ830" s="54"/>
      <c r="AR830" s="54"/>
      <c r="AS830" s="54"/>
      <c r="AT830" s="54"/>
      <c r="AU830" s="54"/>
      <c r="AV830" s="54"/>
      <c r="AW830" s="54"/>
      <c r="AX830" s="54"/>
      <c r="AY830" s="54"/>
      <c r="AZ830" s="54"/>
      <c r="BA830" s="54"/>
      <c r="BB830" s="54"/>
      <c r="BC830" s="54"/>
      <c r="BD830" s="54"/>
      <c r="BE830" s="54"/>
      <c r="BF830" s="54"/>
      <c r="BG830" s="54"/>
      <c r="BH830" s="54"/>
      <c r="BI830" s="54"/>
      <c r="BJ830" s="54"/>
      <c r="BK830" s="54"/>
      <c r="BL830" s="54"/>
    </row>
    <row r="831" spans="1:64" ht="11.25" customHeight="1" x14ac:dyDescent="0.3">
      <c r="A831" s="54"/>
      <c r="B831" s="54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  <c r="AA831" s="54"/>
      <c r="AB831" s="54"/>
      <c r="AC831" s="54"/>
      <c r="AD831" s="54"/>
      <c r="AE831" s="54"/>
      <c r="AF831" s="54"/>
      <c r="AG831" s="54"/>
      <c r="AH831" s="54"/>
      <c r="AI831" s="54"/>
      <c r="AJ831" s="54"/>
      <c r="AK831" s="54"/>
      <c r="AL831" s="54"/>
      <c r="AM831" s="54"/>
      <c r="AN831" s="54"/>
      <c r="AO831" s="54"/>
      <c r="AP831" s="54"/>
      <c r="AQ831" s="54"/>
      <c r="AR831" s="54"/>
      <c r="AS831" s="54"/>
      <c r="AT831" s="54"/>
      <c r="AU831" s="54"/>
      <c r="AV831" s="54"/>
      <c r="AW831" s="54"/>
      <c r="AX831" s="54"/>
      <c r="AY831" s="54"/>
      <c r="AZ831" s="54"/>
      <c r="BA831" s="54"/>
      <c r="BB831" s="54"/>
      <c r="BC831" s="54"/>
      <c r="BD831" s="54"/>
      <c r="BE831" s="54"/>
      <c r="BF831" s="54"/>
      <c r="BG831" s="54"/>
      <c r="BH831" s="54"/>
      <c r="BI831" s="54"/>
      <c r="BJ831" s="54"/>
      <c r="BK831" s="54"/>
      <c r="BL831" s="54"/>
    </row>
    <row r="832" spans="1:64" ht="11.25" customHeight="1" x14ac:dyDescent="0.3">
      <c r="A832" s="54"/>
      <c r="B832" s="54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  <c r="AA832" s="54"/>
      <c r="AB832" s="54"/>
      <c r="AC832" s="54"/>
      <c r="AD832" s="54"/>
      <c r="AE832" s="54"/>
      <c r="AF832" s="54"/>
      <c r="AG832" s="54"/>
      <c r="AH832" s="54"/>
      <c r="AI832" s="54"/>
      <c r="AJ832" s="54"/>
      <c r="AK832" s="54"/>
      <c r="AL832" s="54"/>
      <c r="AM832" s="54"/>
      <c r="AN832" s="54"/>
      <c r="AO832" s="54"/>
      <c r="AP832" s="54"/>
      <c r="AQ832" s="54"/>
      <c r="AR832" s="54"/>
      <c r="AS832" s="54"/>
      <c r="AT832" s="54"/>
      <c r="AU832" s="54"/>
      <c r="AV832" s="54"/>
      <c r="AW832" s="54"/>
      <c r="AX832" s="54"/>
      <c r="AY832" s="54"/>
      <c r="AZ832" s="54"/>
      <c r="BA832" s="54"/>
      <c r="BB832" s="54"/>
      <c r="BC832" s="54"/>
      <c r="BD832" s="54"/>
      <c r="BE832" s="54"/>
      <c r="BF832" s="54"/>
      <c r="BG832" s="54"/>
      <c r="BH832" s="54"/>
      <c r="BI832" s="54"/>
      <c r="BJ832" s="54"/>
      <c r="BK832" s="54"/>
      <c r="BL832" s="54"/>
    </row>
    <row r="833" spans="1:64" ht="11.25" customHeight="1" x14ac:dyDescent="0.3">
      <c r="A833" s="54"/>
      <c r="B833" s="54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  <c r="AA833" s="54"/>
      <c r="AB833" s="54"/>
      <c r="AC833" s="54"/>
      <c r="AD833" s="54"/>
      <c r="AE833" s="54"/>
      <c r="AF833" s="54"/>
      <c r="AG833" s="54"/>
      <c r="AH833" s="54"/>
      <c r="AI833" s="54"/>
      <c r="AJ833" s="54"/>
      <c r="AK833" s="54"/>
      <c r="AL833" s="54"/>
      <c r="AM833" s="54"/>
      <c r="AN833" s="54"/>
      <c r="AO833" s="54"/>
      <c r="AP833" s="54"/>
      <c r="AQ833" s="54"/>
      <c r="AR833" s="54"/>
      <c r="AS833" s="54"/>
      <c r="AT833" s="54"/>
      <c r="AU833" s="54"/>
      <c r="AV833" s="54"/>
      <c r="AW833" s="54"/>
      <c r="AX833" s="54"/>
      <c r="AY833" s="54"/>
      <c r="AZ833" s="54"/>
      <c r="BA833" s="54"/>
      <c r="BB833" s="54"/>
      <c r="BC833" s="54"/>
      <c r="BD833" s="54"/>
      <c r="BE833" s="54"/>
      <c r="BF833" s="54"/>
      <c r="BG833" s="54"/>
      <c r="BH833" s="54"/>
      <c r="BI833" s="54"/>
      <c r="BJ833" s="54"/>
      <c r="BK833" s="54"/>
      <c r="BL833" s="54"/>
    </row>
    <row r="834" spans="1:64" ht="11.25" customHeight="1" x14ac:dyDescent="0.3">
      <c r="A834" s="54"/>
      <c r="B834" s="54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  <c r="AA834" s="54"/>
      <c r="AB834" s="54"/>
      <c r="AC834" s="54"/>
      <c r="AD834" s="54"/>
      <c r="AE834" s="54"/>
      <c r="AF834" s="54"/>
      <c r="AG834" s="54"/>
      <c r="AH834" s="54"/>
      <c r="AI834" s="54"/>
      <c r="AJ834" s="54"/>
      <c r="AK834" s="54"/>
      <c r="AL834" s="54"/>
      <c r="AM834" s="54"/>
      <c r="AN834" s="54"/>
      <c r="AO834" s="54"/>
      <c r="AP834" s="54"/>
      <c r="AQ834" s="54"/>
      <c r="AR834" s="54"/>
      <c r="AS834" s="54"/>
      <c r="AT834" s="54"/>
      <c r="AU834" s="54"/>
      <c r="AV834" s="54"/>
      <c r="AW834" s="54"/>
      <c r="AX834" s="54"/>
      <c r="AY834" s="54"/>
      <c r="AZ834" s="54"/>
      <c r="BA834" s="54"/>
      <c r="BB834" s="54"/>
      <c r="BC834" s="54"/>
      <c r="BD834" s="54"/>
      <c r="BE834" s="54"/>
      <c r="BF834" s="54"/>
      <c r="BG834" s="54"/>
      <c r="BH834" s="54"/>
      <c r="BI834" s="54"/>
      <c r="BJ834" s="54"/>
      <c r="BK834" s="54"/>
      <c r="BL834" s="54"/>
    </row>
    <row r="835" spans="1:64" ht="11.25" customHeight="1" x14ac:dyDescent="0.3">
      <c r="A835" s="54"/>
      <c r="B835" s="54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  <c r="AA835" s="54"/>
      <c r="AB835" s="54"/>
      <c r="AC835" s="54"/>
      <c r="AD835" s="54"/>
      <c r="AE835" s="54"/>
      <c r="AF835" s="54"/>
      <c r="AG835" s="54"/>
      <c r="AH835" s="54"/>
      <c r="AI835" s="54"/>
      <c r="AJ835" s="54"/>
      <c r="AK835" s="54"/>
      <c r="AL835" s="54"/>
      <c r="AM835" s="54"/>
      <c r="AN835" s="54"/>
      <c r="AO835" s="54"/>
      <c r="AP835" s="54"/>
      <c r="AQ835" s="54"/>
      <c r="AR835" s="54"/>
      <c r="AS835" s="54"/>
      <c r="AT835" s="54"/>
      <c r="AU835" s="54"/>
      <c r="AV835" s="54"/>
      <c r="AW835" s="54"/>
      <c r="AX835" s="54"/>
      <c r="AY835" s="54"/>
      <c r="AZ835" s="54"/>
      <c r="BA835" s="54"/>
      <c r="BB835" s="54"/>
      <c r="BC835" s="54"/>
      <c r="BD835" s="54"/>
      <c r="BE835" s="54"/>
      <c r="BF835" s="54"/>
      <c r="BG835" s="54"/>
      <c r="BH835" s="54"/>
      <c r="BI835" s="54"/>
      <c r="BJ835" s="54"/>
      <c r="BK835" s="54"/>
      <c r="BL835" s="54"/>
    </row>
    <row r="836" spans="1:64" ht="11.25" customHeight="1" x14ac:dyDescent="0.3">
      <c r="A836" s="54"/>
      <c r="B836" s="54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  <c r="AA836" s="54"/>
      <c r="AB836" s="54"/>
      <c r="AC836" s="54"/>
      <c r="AD836" s="54"/>
      <c r="AE836" s="54"/>
      <c r="AF836" s="54"/>
      <c r="AG836" s="54"/>
      <c r="AH836" s="54"/>
      <c r="AI836" s="54"/>
      <c r="AJ836" s="54"/>
      <c r="AK836" s="54"/>
      <c r="AL836" s="54"/>
      <c r="AM836" s="54"/>
      <c r="AN836" s="54"/>
      <c r="AO836" s="54"/>
      <c r="AP836" s="54"/>
      <c r="AQ836" s="54"/>
      <c r="AR836" s="54"/>
      <c r="AS836" s="54"/>
      <c r="AT836" s="54"/>
      <c r="AU836" s="54"/>
      <c r="AV836" s="54"/>
      <c r="AW836" s="54"/>
      <c r="AX836" s="54"/>
      <c r="AY836" s="54"/>
      <c r="AZ836" s="54"/>
      <c r="BA836" s="54"/>
      <c r="BB836" s="54"/>
      <c r="BC836" s="54"/>
      <c r="BD836" s="54"/>
      <c r="BE836" s="54"/>
      <c r="BF836" s="54"/>
      <c r="BG836" s="54"/>
      <c r="BH836" s="54"/>
      <c r="BI836" s="54"/>
      <c r="BJ836" s="54"/>
      <c r="BK836" s="54"/>
      <c r="BL836" s="54"/>
    </row>
    <row r="837" spans="1:64" ht="11.25" customHeight="1" x14ac:dyDescent="0.3">
      <c r="A837" s="54"/>
      <c r="B837" s="54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  <c r="AA837" s="54"/>
      <c r="AB837" s="54"/>
      <c r="AC837" s="54"/>
      <c r="AD837" s="54"/>
      <c r="AE837" s="54"/>
      <c r="AF837" s="54"/>
      <c r="AG837" s="54"/>
      <c r="AH837" s="54"/>
      <c r="AI837" s="54"/>
      <c r="AJ837" s="54"/>
      <c r="AK837" s="54"/>
      <c r="AL837" s="54"/>
      <c r="AM837" s="54"/>
      <c r="AN837" s="54"/>
      <c r="AO837" s="54"/>
      <c r="AP837" s="54"/>
      <c r="AQ837" s="54"/>
      <c r="AR837" s="54"/>
      <c r="AS837" s="54"/>
      <c r="AT837" s="54"/>
      <c r="AU837" s="54"/>
      <c r="AV837" s="54"/>
      <c r="AW837" s="54"/>
      <c r="AX837" s="54"/>
      <c r="AY837" s="54"/>
      <c r="AZ837" s="54"/>
      <c r="BA837" s="54"/>
      <c r="BB837" s="54"/>
      <c r="BC837" s="54"/>
      <c r="BD837" s="54"/>
      <c r="BE837" s="54"/>
      <c r="BF837" s="54"/>
      <c r="BG837" s="54"/>
      <c r="BH837" s="54"/>
      <c r="BI837" s="54"/>
      <c r="BJ837" s="54"/>
      <c r="BK837" s="54"/>
      <c r="BL837" s="54"/>
    </row>
    <row r="838" spans="1:64" ht="11.25" customHeight="1" x14ac:dyDescent="0.3">
      <c r="A838" s="54"/>
      <c r="B838" s="54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  <c r="AA838" s="54"/>
      <c r="AB838" s="54"/>
      <c r="AC838" s="54"/>
      <c r="AD838" s="54"/>
      <c r="AE838" s="54"/>
      <c r="AF838" s="54"/>
      <c r="AG838" s="54"/>
      <c r="AH838" s="54"/>
      <c r="AI838" s="54"/>
      <c r="AJ838" s="54"/>
      <c r="AK838" s="54"/>
      <c r="AL838" s="54"/>
      <c r="AM838" s="54"/>
      <c r="AN838" s="54"/>
      <c r="AO838" s="54"/>
      <c r="AP838" s="54"/>
      <c r="AQ838" s="54"/>
      <c r="AR838" s="54"/>
      <c r="AS838" s="54"/>
      <c r="AT838" s="54"/>
      <c r="AU838" s="54"/>
      <c r="AV838" s="54"/>
      <c r="AW838" s="54"/>
      <c r="AX838" s="54"/>
      <c r="AY838" s="54"/>
      <c r="AZ838" s="54"/>
      <c r="BA838" s="54"/>
      <c r="BB838" s="54"/>
      <c r="BC838" s="54"/>
      <c r="BD838" s="54"/>
      <c r="BE838" s="54"/>
      <c r="BF838" s="54"/>
      <c r="BG838" s="54"/>
      <c r="BH838" s="54"/>
      <c r="BI838" s="54"/>
      <c r="BJ838" s="54"/>
      <c r="BK838" s="54"/>
      <c r="BL838" s="54"/>
    </row>
    <row r="839" spans="1:64" ht="11.25" customHeight="1" x14ac:dyDescent="0.3">
      <c r="A839" s="54"/>
      <c r="B839" s="54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  <c r="AA839" s="54"/>
      <c r="AB839" s="54"/>
      <c r="AC839" s="54"/>
      <c r="AD839" s="54"/>
      <c r="AE839" s="54"/>
      <c r="AF839" s="54"/>
      <c r="AG839" s="54"/>
      <c r="AH839" s="54"/>
      <c r="AI839" s="54"/>
      <c r="AJ839" s="54"/>
      <c r="AK839" s="54"/>
      <c r="AL839" s="54"/>
      <c r="AM839" s="54"/>
      <c r="AN839" s="54"/>
      <c r="AO839" s="54"/>
      <c r="AP839" s="54"/>
      <c r="AQ839" s="54"/>
      <c r="AR839" s="54"/>
      <c r="AS839" s="54"/>
      <c r="AT839" s="54"/>
      <c r="AU839" s="54"/>
      <c r="AV839" s="54"/>
      <c r="AW839" s="54"/>
      <c r="AX839" s="54"/>
      <c r="AY839" s="54"/>
      <c r="AZ839" s="54"/>
      <c r="BA839" s="54"/>
      <c r="BB839" s="54"/>
      <c r="BC839" s="54"/>
      <c r="BD839" s="54"/>
      <c r="BE839" s="54"/>
      <c r="BF839" s="54"/>
      <c r="BG839" s="54"/>
      <c r="BH839" s="54"/>
      <c r="BI839" s="54"/>
      <c r="BJ839" s="54"/>
      <c r="BK839" s="54"/>
      <c r="BL839" s="54"/>
    </row>
    <row r="840" spans="1:64" ht="11.25" customHeight="1" x14ac:dyDescent="0.3">
      <c r="A840" s="54"/>
      <c r="B840" s="54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  <c r="AA840" s="54"/>
      <c r="AB840" s="54"/>
      <c r="AC840" s="54"/>
      <c r="AD840" s="54"/>
      <c r="AE840" s="54"/>
      <c r="AF840" s="54"/>
      <c r="AG840" s="54"/>
      <c r="AH840" s="54"/>
      <c r="AI840" s="54"/>
      <c r="AJ840" s="54"/>
      <c r="AK840" s="54"/>
      <c r="AL840" s="54"/>
      <c r="AM840" s="54"/>
      <c r="AN840" s="54"/>
      <c r="AO840" s="54"/>
      <c r="AP840" s="54"/>
      <c r="AQ840" s="54"/>
      <c r="AR840" s="54"/>
      <c r="AS840" s="54"/>
      <c r="AT840" s="54"/>
      <c r="AU840" s="54"/>
      <c r="AV840" s="54"/>
      <c r="AW840" s="54"/>
      <c r="AX840" s="54"/>
      <c r="AY840" s="54"/>
      <c r="AZ840" s="54"/>
      <c r="BA840" s="54"/>
      <c r="BB840" s="54"/>
      <c r="BC840" s="54"/>
      <c r="BD840" s="54"/>
      <c r="BE840" s="54"/>
      <c r="BF840" s="54"/>
      <c r="BG840" s="54"/>
      <c r="BH840" s="54"/>
      <c r="BI840" s="54"/>
      <c r="BJ840" s="54"/>
      <c r="BK840" s="54"/>
      <c r="BL840" s="54"/>
    </row>
    <row r="841" spans="1:64" ht="11.25" customHeight="1" x14ac:dyDescent="0.3">
      <c r="A841" s="54"/>
      <c r="B841" s="54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  <c r="AA841" s="54"/>
      <c r="AB841" s="54"/>
      <c r="AC841" s="54"/>
      <c r="AD841" s="54"/>
      <c r="AE841" s="54"/>
      <c r="AF841" s="54"/>
      <c r="AG841" s="54"/>
      <c r="AH841" s="54"/>
      <c r="AI841" s="54"/>
      <c r="AJ841" s="54"/>
      <c r="AK841" s="54"/>
      <c r="AL841" s="54"/>
      <c r="AM841" s="54"/>
      <c r="AN841" s="54"/>
      <c r="AO841" s="54"/>
      <c r="AP841" s="54"/>
      <c r="AQ841" s="54"/>
      <c r="AR841" s="54"/>
      <c r="AS841" s="54"/>
      <c r="AT841" s="54"/>
      <c r="AU841" s="54"/>
      <c r="AV841" s="54"/>
      <c r="AW841" s="54"/>
      <c r="AX841" s="54"/>
      <c r="AY841" s="54"/>
      <c r="AZ841" s="54"/>
      <c r="BA841" s="54"/>
      <c r="BB841" s="54"/>
      <c r="BC841" s="54"/>
      <c r="BD841" s="54"/>
      <c r="BE841" s="54"/>
      <c r="BF841" s="54"/>
      <c r="BG841" s="54"/>
      <c r="BH841" s="54"/>
      <c r="BI841" s="54"/>
      <c r="BJ841" s="54"/>
      <c r="BK841" s="54"/>
      <c r="BL841" s="54"/>
    </row>
    <row r="842" spans="1:64" ht="11.25" customHeight="1" x14ac:dyDescent="0.3">
      <c r="A842" s="54"/>
      <c r="B842" s="54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  <c r="AA842" s="54"/>
      <c r="AB842" s="54"/>
      <c r="AC842" s="54"/>
      <c r="AD842" s="54"/>
      <c r="AE842" s="54"/>
      <c r="AF842" s="54"/>
      <c r="AG842" s="54"/>
      <c r="AH842" s="54"/>
      <c r="AI842" s="54"/>
      <c r="AJ842" s="54"/>
      <c r="AK842" s="54"/>
      <c r="AL842" s="54"/>
      <c r="AM842" s="54"/>
      <c r="AN842" s="54"/>
      <c r="AO842" s="54"/>
      <c r="AP842" s="54"/>
      <c r="AQ842" s="54"/>
      <c r="AR842" s="54"/>
      <c r="AS842" s="54"/>
      <c r="AT842" s="54"/>
      <c r="AU842" s="54"/>
      <c r="AV842" s="54"/>
      <c r="AW842" s="54"/>
      <c r="AX842" s="54"/>
      <c r="AY842" s="54"/>
      <c r="AZ842" s="54"/>
      <c r="BA842" s="54"/>
      <c r="BB842" s="54"/>
      <c r="BC842" s="54"/>
      <c r="BD842" s="54"/>
      <c r="BE842" s="54"/>
      <c r="BF842" s="54"/>
      <c r="BG842" s="54"/>
      <c r="BH842" s="54"/>
      <c r="BI842" s="54"/>
      <c r="BJ842" s="54"/>
      <c r="BK842" s="54"/>
      <c r="BL842" s="54"/>
    </row>
    <row r="843" spans="1:64" ht="11.25" customHeight="1" x14ac:dyDescent="0.3">
      <c r="A843" s="54"/>
      <c r="B843" s="54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  <c r="AA843" s="54"/>
      <c r="AB843" s="54"/>
      <c r="AC843" s="54"/>
      <c r="AD843" s="54"/>
      <c r="AE843" s="54"/>
      <c r="AF843" s="54"/>
      <c r="AG843" s="54"/>
      <c r="AH843" s="54"/>
      <c r="AI843" s="54"/>
      <c r="AJ843" s="54"/>
      <c r="AK843" s="54"/>
      <c r="AL843" s="54"/>
      <c r="AM843" s="54"/>
      <c r="AN843" s="54"/>
      <c r="AO843" s="54"/>
      <c r="AP843" s="54"/>
      <c r="AQ843" s="54"/>
      <c r="AR843" s="54"/>
      <c r="AS843" s="54"/>
      <c r="AT843" s="54"/>
      <c r="AU843" s="54"/>
      <c r="AV843" s="54"/>
      <c r="AW843" s="54"/>
      <c r="AX843" s="54"/>
      <c r="AY843" s="54"/>
      <c r="AZ843" s="54"/>
      <c r="BA843" s="54"/>
      <c r="BB843" s="54"/>
      <c r="BC843" s="54"/>
      <c r="BD843" s="54"/>
      <c r="BE843" s="54"/>
      <c r="BF843" s="54"/>
      <c r="BG843" s="54"/>
      <c r="BH843" s="54"/>
      <c r="BI843" s="54"/>
      <c r="BJ843" s="54"/>
      <c r="BK843" s="54"/>
      <c r="BL843" s="54"/>
    </row>
    <row r="844" spans="1:64" ht="11.25" customHeight="1" x14ac:dyDescent="0.3">
      <c r="A844" s="54"/>
      <c r="B844" s="54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  <c r="AA844" s="54"/>
      <c r="AB844" s="54"/>
      <c r="AC844" s="54"/>
      <c r="AD844" s="54"/>
      <c r="AE844" s="54"/>
      <c r="AF844" s="54"/>
      <c r="AG844" s="54"/>
      <c r="AH844" s="54"/>
      <c r="AI844" s="54"/>
      <c r="AJ844" s="54"/>
      <c r="AK844" s="54"/>
      <c r="AL844" s="54"/>
      <c r="AM844" s="54"/>
      <c r="AN844" s="54"/>
      <c r="AO844" s="54"/>
      <c r="AP844" s="54"/>
      <c r="AQ844" s="54"/>
      <c r="AR844" s="54"/>
      <c r="AS844" s="54"/>
      <c r="AT844" s="54"/>
      <c r="AU844" s="54"/>
      <c r="AV844" s="54"/>
      <c r="AW844" s="54"/>
      <c r="AX844" s="54"/>
      <c r="AY844" s="54"/>
      <c r="AZ844" s="54"/>
      <c r="BA844" s="54"/>
      <c r="BB844" s="54"/>
      <c r="BC844" s="54"/>
      <c r="BD844" s="54"/>
      <c r="BE844" s="54"/>
      <c r="BF844" s="54"/>
      <c r="BG844" s="54"/>
      <c r="BH844" s="54"/>
      <c r="BI844" s="54"/>
      <c r="BJ844" s="54"/>
      <c r="BK844" s="54"/>
      <c r="BL844" s="54"/>
    </row>
    <row r="845" spans="1:64" ht="11.25" customHeight="1" x14ac:dyDescent="0.3">
      <c r="A845" s="54"/>
      <c r="B845" s="54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  <c r="AA845" s="54"/>
      <c r="AB845" s="54"/>
      <c r="AC845" s="54"/>
      <c r="AD845" s="54"/>
      <c r="AE845" s="54"/>
      <c r="AF845" s="54"/>
      <c r="AG845" s="54"/>
      <c r="AH845" s="54"/>
      <c r="AI845" s="54"/>
      <c r="AJ845" s="54"/>
      <c r="AK845" s="54"/>
      <c r="AL845" s="54"/>
      <c r="AM845" s="54"/>
      <c r="AN845" s="54"/>
      <c r="AO845" s="54"/>
      <c r="AP845" s="54"/>
      <c r="AQ845" s="54"/>
      <c r="AR845" s="54"/>
      <c r="AS845" s="54"/>
      <c r="AT845" s="54"/>
      <c r="AU845" s="54"/>
      <c r="AV845" s="54"/>
      <c r="AW845" s="54"/>
      <c r="AX845" s="54"/>
      <c r="AY845" s="54"/>
      <c r="AZ845" s="54"/>
      <c r="BA845" s="54"/>
      <c r="BB845" s="54"/>
      <c r="BC845" s="54"/>
      <c r="BD845" s="54"/>
      <c r="BE845" s="54"/>
      <c r="BF845" s="54"/>
      <c r="BG845" s="54"/>
      <c r="BH845" s="54"/>
      <c r="BI845" s="54"/>
      <c r="BJ845" s="54"/>
      <c r="BK845" s="54"/>
      <c r="BL845" s="54"/>
    </row>
    <row r="846" spans="1:64" ht="11.25" customHeight="1" x14ac:dyDescent="0.3">
      <c r="A846" s="54"/>
      <c r="B846" s="54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  <c r="AA846" s="54"/>
      <c r="AB846" s="54"/>
      <c r="AC846" s="54"/>
      <c r="AD846" s="54"/>
      <c r="AE846" s="54"/>
      <c r="AF846" s="54"/>
      <c r="AG846" s="54"/>
      <c r="AH846" s="54"/>
      <c r="AI846" s="54"/>
      <c r="AJ846" s="54"/>
      <c r="AK846" s="54"/>
      <c r="AL846" s="54"/>
      <c r="AM846" s="54"/>
      <c r="AN846" s="54"/>
      <c r="AO846" s="54"/>
      <c r="AP846" s="54"/>
      <c r="AQ846" s="54"/>
      <c r="AR846" s="54"/>
      <c r="AS846" s="54"/>
      <c r="AT846" s="54"/>
      <c r="AU846" s="54"/>
      <c r="AV846" s="54"/>
      <c r="AW846" s="54"/>
      <c r="AX846" s="54"/>
      <c r="AY846" s="54"/>
      <c r="AZ846" s="54"/>
      <c r="BA846" s="54"/>
      <c r="BB846" s="54"/>
      <c r="BC846" s="54"/>
      <c r="BD846" s="54"/>
      <c r="BE846" s="54"/>
      <c r="BF846" s="54"/>
      <c r="BG846" s="54"/>
      <c r="BH846" s="54"/>
      <c r="BI846" s="54"/>
      <c r="BJ846" s="54"/>
      <c r="BK846" s="54"/>
      <c r="BL846" s="54"/>
    </row>
    <row r="847" spans="1:64" ht="11.25" customHeight="1" x14ac:dyDescent="0.3">
      <c r="A847" s="54"/>
      <c r="B847" s="54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  <c r="AA847" s="54"/>
      <c r="AB847" s="54"/>
      <c r="AC847" s="54"/>
      <c r="AD847" s="54"/>
      <c r="AE847" s="54"/>
      <c r="AF847" s="54"/>
      <c r="AG847" s="54"/>
      <c r="AH847" s="54"/>
      <c r="AI847" s="54"/>
      <c r="AJ847" s="54"/>
      <c r="AK847" s="54"/>
      <c r="AL847" s="54"/>
      <c r="AM847" s="54"/>
      <c r="AN847" s="54"/>
      <c r="AO847" s="54"/>
      <c r="AP847" s="54"/>
      <c r="AQ847" s="54"/>
      <c r="AR847" s="54"/>
      <c r="AS847" s="54"/>
      <c r="AT847" s="54"/>
      <c r="AU847" s="54"/>
      <c r="AV847" s="54"/>
      <c r="AW847" s="54"/>
      <c r="AX847" s="54"/>
      <c r="AY847" s="54"/>
      <c r="AZ847" s="54"/>
      <c r="BA847" s="54"/>
      <c r="BB847" s="54"/>
      <c r="BC847" s="54"/>
      <c r="BD847" s="54"/>
      <c r="BE847" s="54"/>
      <c r="BF847" s="54"/>
      <c r="BG847" s="54"/>
      <c r="BH847" s="54"/>
      <c r="BI847" s="54"/>
      <c r="BJ847" s="54"/>
      <c r="BK847" s="54"/>
      <c r="BL847" s="54"/>
    </row>
    <row r="848" spans="1:64" ht="11.25" customHeight="1" x14ac:dyDescent="0.3">
      <c r="A848" s="54"/>
      <c r="B848" s="54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  <c r="AA848" s="54"/>
      <c r="AB848" s="54"/>
      <c r="AC848" s="54"/>
      <c r="AD848" s="54"/>
      <c r="AE848" s="54"/>
      <c r="AF848" s="54"/>
      <c r="AG848" s="54"/>
      <c r="AH848" s="54"/>
      <c r="AI848" s="54"/>
      <c r="AJ848" s="54"/>
      <c r="AK848" s="54"/>
      <c r="AL848" s="54"/>
      <c r="AM848" s="54"/>
      <c r="AN848" s="54"/>
      <c r="AO848" s="54"/>
      <c r="AP848" s="54"/>
      <c r="AQ848" s="54"/>
      <c r="AR848" s="54"/>
      <c r="AS848" s="54"/>
      <c r="AT848" s="54"/>
      <c r="AU848" s="54"/>
      <c r="AV848" s="54"/>
      <c r="AW848" s="54"/>
      <c r="AX848" s="54"/>
      <c r="AY848" s="54"/>
      <c r="AZ848" s="54"/>
      <c r="BA848" s="54"/>
      <c r="BB848" s="54"/>
      <c r="BC848" s="54"/>
      <c r="BD848" s="54"/>
      <c r="BE848" s="54"/>
      <c r="BF848" s="54"/>
      <c r="BG848" s="54"/>
      <c r="BH848" s="54"/>
      <c r="BI848" s="54"/>
      <c r="BJ848" s="54"/>
      <c r="BK848" s="54"/>
      <c r="BL848" s="54"/>
    </row>
    <row r="849" spans="1:64" ht="11.25" customHeight="1" x14ac:dyDescent="0.3">
      <c r="A849" s="54"/>
      <c r="B849" s="54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  <c r="AA849" s="54"/>
      <c r="AB849" s="54"/>
      <c r="AC849" s="54"/>
      <c r="AD849" s="54"/>
      <c r="AE849" s="54"/>
      <c r="AF849" s="54"/>
      <c r="AG849" s="54"/>
      <c r="AH849" s="54"/>
      <c r="AI849" s="54"/>
      <c r="AJ849" s="54"/>
      <c r="AK849" s="54"/>
      <c r="AL849" s="54"/>
      <c r="AM849" s="54"/>
      <c r="AN849" s="54"/>
      <c r="AO849" s="54"/>
      <c r="AP849" s="54"/>
      <c r="AQ849" s="54"/>
      <c r="AR849" s="54"/>
      <c r="AS849" s="54"/>
      <c r="AT849" s="54"/>
      <c r="AU849" s="54"/>
      <c r="AV849" s="54"/>
      <c r="AW849" s="54"/>
      <c r="AX849" s="54"/>
      <c r="AY849" s="54"/>
      <c r="AZ849" s="54"/>
      <c r="BA849" s="54"/>
      <c r="BB849" s="54"/>
      <c r="BC849" s="54"/>
      <c r="BD849" s="54"/>
      <c r="BE849" s="54"/>
      <c r="BF849" s="54"/>
      <c r="BG849" s="54"/>
      <c r="BH849" s="54"/>
      <c r="BI849" s="54"/>
      <c r="BJ849" s="54"/>
      <c r="BK849" s="54"/>
      <c r="BL849" s="54"/>
    </row>
    <row r="850" spans="1:64" ht="11.25" customHeight="1" x14ac:dyDescent="0.3">
      <c r="A850" s="54"/>
      <c r="B850" s="54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  <c r="AA850" s="54"/>
      <c r="AB850" s="54"/>
      <c r="AC850" s="54"/>
      <c r="AD850" s="54"/>
      <c r="AE850" s="54"/>
      <c r="AF850" s="54"/>
      <c r="AG850" s="54"/>
      <c r="AH850" s="54"/>
      <c r="AI850" s="54"/>
      <c r="AJ850" s="54"/>
      <c r="AK850" s="54"/>
      <c r="AL850" s="54"/>
      <c r="AM850" s="54"/>
      <c r="AN850" s="54"/>
      <c r="AO850" s="54"/>
      <c r="AP850" s="54"/>
      <c r="AQ850" s="54"/>
      <c r="AR850" s="54"/>
      <c r="AS850" s="54"/>
      <c r="AT850" s="54"/>
      <c r="AU850" s="54"/>
      <c r="AV850" s="54"/>
      <c r="AW850" s="54"/>
      <c r="AX850" s="54"/>
      <c r="AY850" s="54"/>
      <c r="AZ850" s="54"/>
      <c r="BA850" s="54"/>
      <c r="BB850" s="54"/>
      <c r="BC850" s="54"/>
      <c r="BD850" s="54"/>
      <c r="BE850" s="54"/>
      <c r="BF850" s="54"/>
      <c r="BG850" s="54"/>
      <c r="BH850" s="54"/>
      <c r="BI850" s="54"/>
      <c r="BJ850" s="54"/>
      <c r="BK850" s="54"/>
      <c r="BL850" s="54"/>
    </row>
    <row r="851" spans="1:64" ht="11.25" customHeight="1" x14ac:dyDescent="0.3">
      <c r="A851" s="54"/>
      <c r="B851" s="54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  <c r="AA851" s="54"/>
      <c r="AB851" s="54"/>
      <c r="AC851" s="54"/>
      <c r="AD851" s="54"/>
      <c r="AE851" s="54"/>
      <c r="AF851" s="54"/>
      <c r="AG851" s="54"/>
      <c r="AH851" s="54"/>
      <c r="AI851" s="54"/>
      <c r="AJ851" s="54"/>
      <c r="AK851" s="54"/>
      <c r="AL851" s="54"/>
      <c r="AM851" s="54"/>
      <c r="AN851" s="54"/>
      <c r="AO851" s="54"/>
      <c r="AP851" s="54"/>
      <c r="AQ851" s="54"/>
      <c r="AR851" s="54"/>
      <c r="AS851" s="54"/>
      <c r="AT851" s="54"/>
      <c r="AU851" s="54"/>
      <c r="AV851" s="54"/>
      <c r="AW851" s="54"/>
      <c r="AX851" s="54"/>
      <c r="AY851" s="54"/>
      <c r="AZ851" s="54"/>
      <c r="BA851" s="54"/>
      <c r="BB851" s="54"/>
      <c r="BC851" s="54"/>
      <c r="BD851" s="54"/>
      <c r="BE851" s="54"/>
      <c r="BF851" s="54"/>
      <c r="BG851" s="54"/>
      <c r="BH851" s="54"/>
      <c r="BI851" s="54"/>
      <c r="BJ851" s="54"/>
      <c r="BK851" s="54"/>
      <c r="BL851" s="54"/>
    </row>
    <row r="852" spans="1:64" ht="11.25" customHeight="1" x14ac:dyDescent="0.3">
      <c r="A852" s="54"/>
      <c r="B852" s="54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  <c r="AA852" s="54"/>
      <c r="AB852" s="54"/>
      <c r="AC852" s="54"/>
      <c r="AD852" s="54"/>
      <c r="AE852" s="54"/>
      <c r="AF852" s="54"/>
      <c r="AG852" s="54"/>
      <c r="AH852" s="54"/>
      <c r="AI852" s="54"/>
      <c r="AJ852" s="54"/>
      <c r="AK852" s="54"/>
      <c r="AL852" s="54"/>
      <c r="AM852" s="54"/>
      <c r="AN852" s="54"/>
      <c r="AO852" s="54"/>
      <c r="AP852" s="54"/>
      <c r="AQ852" s="54"/>
      <c r="AR852" s="54"/>
      <c r="AS852" s="54"/>
      <c r="AT852" s="54"/>
      <c r="AU852" s="54"/>
      <c r="AV852" s="54"/>
      <c r="AW852" s="54"/>
      <c r="AX852" s="54"/>
      <c r="AY852" s="54"/>
      <c r="AZ852" s="54"/>
      <c r="BA852" s="54"/>
      <c r="BB852" s="54"/>
      <c r="BC852" s="54"/>
      <c r="BD852" s="54"/>
      <c r="BE852" s="54"/>
      <c r="BF852" s="54"/>
      <c r="BG852" s="54"/>
      <c r="BH852" s="54"/>
      <c r="BI852" s="54"/>
      <c r="BJ852" s="54"/>
      <c r="BK852" s="54"/>
      <c r="BL852" s="54"/>
    </row>
    <row r="853" spans="1:64" ht="11.25" customHeight="1" x14ac:dyDescent="0.3">
      <c r="A853" s="54"/>
      <c r="B853" s="54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  <c r="AA853" s="54"/>
      <c r="AB853" s="54"/>
      <c r="AC853" s="54"/>
      <c r="AD853" s="54"/>
      <c r="AE853" s="54"/>
      <c r="AF853" s="54"/>
      <c r="AG853" s="54"/>
      <c r="AH853" s="54"/>
      <c r="AI853" s="54"/>
      <c r="AJ853" s="54"/>
      <c r="AK853" s="54"/>
      <c r="AL853" s="54"/>
      <c r="AM853" s="54"/>
      <c r="AN853" s="54"/>
      <c r="AO853" s="54"/>
      <c r="AP853" s="54"/>
      <c r="AQ853" s="54"/>
      <c r="AR853" s="54"/>
      <c r="AS853" s="54"/>
      <c r="AT853" s="54"/>
      <c r="AU853" s="54"/>
      <c r="AV853" s="54"/>
      <c r="AW853" s="54"/>
      <c r="AX853" s="54"/>
      <c r="AY853" s="54"/>
      <c r="AZ853" s="54"/>
      <c r="BA853" s="54"/>
      <c r="BB853" s="54"/>
      <c r="BC853" s="54"/>
      <c r="BD853" s="54"/>
      <c r="BE853" s="54"/>
      <c r="BF853" s="54"/>
      <c r="BG853" s="54"/>
      <c r="BH853" s="54"/>
      <c r="BI853" s="54"/>
      <c r="BJ853" s="54"/>
      <c r="BK853" s="54"/>
      <c r="BL853" s="54"/>
    </row>
    <row r="854" spans="1:64" ht="11.25" customHeight="1" x14ac:dyDescent="0.3">
      <c r="A854" s="54"/>
      <c r="B854" s="54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  <c r="AA854" s="54"/>
      <c r="AB854" s="54"/>
      <c r="AC854" s="54"/>
      <c r="AD854" s="54"/>
      <c r="AE854" s="54"/>
      <c r="AF854" s="54"/>
      <c r="AG854" s="54"/>
      <c r="AH854" s="54"/>
      <c r="AI854" s="54"/>
      <c r="AJ854" s="54"/>
      <c r="AK854" s="54"/>
      <c r="AL854" s="54"/>
      <c r="AM854" s="54"/>
      <c r="AN854" s="54"/>
      <c r="AO854" s="54"/>
      <c r="AP854" s="54"/>
      <c r="AQ854" s="54"/>
      <c r="AR854" s="54"/>
      <c r="AS854" s="54"/>
      <c r="AT854" s="54"/>
      <c r="AU854" s="54"/>
      <c r="AV854" s="54"/>
      <c r="AW854" s="54"/>
      <c r="AX854" s="54"/>
      <c r="AY854" s="54"/>
      <c r="AZ854" s="54"/>
      <c r="BA854" s="54"/>
      <c r="BB854" s="54"/>
      <c r="BC854" s="54"/>
      <c r="BD854" s="54"/>
      <c r="BE854" s="54"/>
      <c r="BF854" s="54"/>
      <c r="BG854" s="54"/>
      <c r="BH854" s="54"/>
      <c r="BI854" s="54"/>
      <c r="BJ854" s="54"/>
      <c r="BK854" s="54"/>
      <c r="BL854" s="54"/>
    </row>
    <row r="855" spans="1:64" ht="11.25" customHeight="1" x14ac:dyDescent="0.3">
      <c r="A855" s="54"/>
      <c r="B855" s="54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  <c r="AA855" s="54"/>
      <c r="AB855" s="54"/>
      <c r="AC855" s="54"/>
      <c r="AD855" s="54"/>
      <c r="AE855" s="54"/>
      <c r="AF855" s="54"/>
      <c r="AG855" s="54"/>
      <c r="AH855" s="54"/>
      <c r="AI855" s="54"/>
      <c r="AJ855" s="54"/>
      <c r="AK855" s="54"/>
      <c r="AL855" s="54"/>
      <c r="AM855" s="54"/>
      <c r="AN855" s="54"/>
      <c r="AO855" s="54"/>
      <c r="AP855" s="54"/>
      <c r="AQ855" s="54"/>
      <c r="AR855" s="54"/>
      <c r="AS855" s="54"/>
      <c r="AT855" s="54"/>
      <c r="AU855" s="54"/>
      <c r="AV855" s="54"/>
      <c r="AW855" s="54"/>
      <c r="AX855" s="54"/>
      <c r="AY855" s="54"/>
      <c r="AZ855" s="54"/>
      <c r="BA855" s="54"/>
      <c r="BB855" s="54"/>
      <c r="BC855" s="54"/>
      <c r="BD855" s="54"/>
      <c r="BE855" s="54"/>
      <c r="BF855" s="54"/>
      <c r="BG855" s="54"/>
      <c r="BH855" s="54"/>
      <c r="BI855" s="54"/>
      <c r="BJ855" s="54"/>
      <c r="BK855" s="54"/>
      <c r="BL855" s="54"/>
    </row>
    <row r="856" spans="1:64" ht="11.25" customHeight="1" x14ac:dyDescent="0.3">
      <c r="A856" s="54"/>
      <c r="B856" s="54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  <c r="AA856" s="54"/>
      <c r="AB856" s="54"/>
      <c r="AC856" s="54"/>
      <c r="AD856" s="54"/>
      <c r="AE856" s="54"/>
      <c r="AF856" s="54"/>
      <c r="AG856" s="54"/>
      <c r="AH856" s="54"/>
      <c r="AI856" s="54"/>
      <c r="AJ856" s="54"/>
      <c r="AK856" s="54"/>
      <c r="AL856" s="54"/>
      <c r="AM856" s="54"/>
      <c r="AN856" s="54"/>
      <c r="AO856" s="54"/>
      <c r="AP856" s="54"/>
      <c r="AQ856" s="54"/>
      <c r="AR856" s="54"/>
      <c r="AS856" s="54"/>
      <c r="AT856" s="54"/>
      <c r="AU856" s="54"/>
      <c r="AV856" s="54"/>
      <c r="AW856" s="54"/>
      <c r="AX856" s="54"/>
      <c r="AY856" s="54"/>
      <c r="AZ856" s="54"/>
      <c r="BA856" s="54"/>
      <c r="BB856" s="54"/>
      <c r="BC856" s="54"/>
      <c r="BD856" s="54"/>
      <c r="BE856" s="54"/>
      <c r="BF856" s="54"/>
      <c r="BG856" s="54"/>
      <c r="BH856" s="54"/>
      <c r="BI856" s="54"/>
      <c r="BJ856" s="54"/>
      <c r="BK856" s="54"/>
      <c r="BL856" s="54"/>
    </row>
    <row r="857" spans="1:64" ht="11.25" customHeight="1" x14ac:dyDescent="0.3">
      <c r="A857" s="54"/>
      <c r="B857" s="54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  <c r="AA857" s="54"/>
      <c r="AB857" s="54"/>
      <c r="AC857" s="54"/>
      <c r="AD857" s="54"/>
      <c r="AE857" s="54"/>
      <c r="AF857" s="54"/>
      <c r="AG857" s="54"/>
      <c r="AH857" s="54"/>
      <c r="AI857" s="54"/>
      <c r="AJ857" s="54"/>
      <c r="AK857" s="54"/>
      <c r="AL857" s="54"/>
      <c r="AM857" s="54"/>
      <c r="AN857" s="54"/>
      <c r="AO857" s="54"/>
      <c r="AP857" s="54"/>
      <c r="AQ857" s="54"/>
      <c r="AR857" s="54"/>
      <c r="AS857" s="54"/>
      <c r="AT857" s="54"/>
      <c r="AU857" s="54"/>
      <c r="AV857" s="54"/>
      <c r="AW857" s="54"/>
      <c r="AX857" s="54"/>
      <c r="AY857" s="54"/>
      <c r="AZ857" s="54"/>
      <c r="BA857" s="54"/>
      <c r="BB857" s="54"/>
      <c r="BC857" s="54"/>
      <c r="BD857" s="54"/>
      <c r="BE857" s="54"/>
      <c r="BF857" s="54"/>
      <c r="BG857" s="54"/>
      <c r="BH857" s="54"/>
      <c r="BI857" s="54"/>
      <c r="BJ857" s="54"/>
      <c r="BK857" s="54"/>
      <c r="BL857" s="54"/>
    </row>
    <row r="858" spans="1:64" ht="11.25" customHeight="1" x14ac:dyDescent="0.3">
      <c r="A858" s="54"/>
      <c r="B858" s="54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  <c r="AA858" s="54"/>
      <c r="AB858" s="54"/>
      <c r="AC858" s="54"/>
      <c r="AD858" s="54"/>
      <c r="AE858" s="54"/>
      <c r="AF858" s="54"/>
      <c r="AG858" s="54"/>
      <c r="AH858" s="54"/>
      <c r="AI858" s="54"/>
      <c r="AJ858" s="54"/>
      <c r="AK858" s="54"/>
      <c r="AL858" s="54"/>
      <c r="AM858" s="54"/>
      <c r="AN858" s="54"/>
      <c r="AO858" s="54"/>
      <c r="AP858" s="54"/>
      <c r="AQ858" s="54"/>
      <c r="AR858" s="54"/>
      <c r="AS858" s="54"/>
      <c r="AT858" s="54"/>
      <c r="AU858" s="54"/>
      <c r="AV858" s="54"/>
      <c r="AW858" s="54"/>
      <c r="AX858" s="54"/>
      <c r="AY858" s="54"/>
      <c r="AZ858" s="54"/>
      <c r="BA858" s="54"/>
      <c r="BB858" s="54"/>
      <c r="BC858" s="54"/>
      <c r="BD858" s="54"/>
      <c r="BE858" s="54"/>
      <c r="BF858" s="54"/>
      <c r="BG858" s="54"/>
      <c r="BH858" s="54"/>
      <c r="BI858" s="54"/>
      <c r="BJ858" s="54"/>
      <c r="BK858" s="54"/>
      <c r="BL858" s="54"/>
    </row>
    <row r="859" spans="1:64" ht="11.25" customHeight="1" x14ac:dyDescent="0.3">
      <c r="A859" s="54"/>
      <c r="B859" s="54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  <c r="AA859" s="54"/>
      <c r="AB859" s="54"/>
      <c r="AC859" s="54"/>
      <c r="AD859" s="54"/>
      <c r="AE859" s="54"/>
      <c r="AF859" s="54"/>
      <c r="AG859" s="54"/>
      <c r="AH859" s="54"/>
      <c r="AI859" s="54"/>
      <c r="AJ859" s="54"/>
      <c r="AK859" s="54"/>
      <c r="AL859" s="54"/>
      <c r="AM859" s="54"/>
      <c r="AN859" s="54"/>
      <c r="AO859" s="54"/>
      <c r="AP859" s="54"/>
      <c r="AQ859" s="54"/>
      <c r="AR859" s="54"/>
      <c r="AS859" s="54"/>
      <c r="AT859" s="54"/>
      <c r="AU859" s="54"/>
      <c r="AV859" s="54"/>
      <c r="AW859" s="54"/>
      <c r="AX859" s="54"/>
      <c r="AY859" s="54"/>
      <c r="AZ859" s="54"/>
      <c r="BA859" s="54"/>
      <c r="BB859" s="54"/>
      <c r="BC859" s="54"/>
      <c r="BD859" s="54"/>
      <c r="BE859" s="54"/>
      <c r="BF859" s="54"/>
      <c r="BG859" s="54"/>
      <c r="BH859" s="54"/>
      <c r="BI859" s="54"/>
      <c r="BJ859" s="54"/>
      <c r="BK859" s="54"/>
      <c r="BL859" s="54"/>
    </row>
    <row r="860" spans="1:64" ht="11.25" customHeight="1" x14ac:dyDescent="0.3">
      <c r="A860" s="54"/>
      <c r="B860" s="54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  <c r="AA860" s="54"/>
      <c r="AB860" s="54"/>
      <c r="AC860" s="54"/>
      <c r="AD860" s="54"/>
      <c r="AE860" s="54"/>
      <c r="AF860" s="54"/>
      <c r="AG860" s="54"/>
      <c r="AH860" s="54"/>
      <c r="AI860" s="54"/>
      <c r="AJ860" s="54"/>
      <c r="AK860" s="54"/>
      <c r="AL860" s="54"/>
      <c r="AM860" s="54"/>
      <c r="AN860" s="54"/>
      <c r="AO860" s="54"/>
      <c r="AP860" s="54"/>
      <c r="AQ860" s="54"/>
      <c r="AR860" s="54"/>
      <c r="AS860" s="54"/>
      <c r="AT860" s="54"/>
      <c r="AU860" s="54"/>
      <c r="AV860" s="54"/>
      <c r="AW860" s="54"/>
      <c r="AX860" s="54"/>
      <c r="AY860" s="54"/>
      <c r="AZ860" s="54"/>
      <c r="BA860" s="54"/>
      <c r="BB860" s="54"/>
      <c r="BC860" s="54"/>
      <c r="BD860" s="54"/>
      <c r="BE860" s="54"/>
      <c r="BF860" s="54"/>
      <c r="BG860" s="54"/>
      <c r="BH860" s="54"/>
      <c r="BI860" s="54"/>
      <c r="BJ860" s="54"/>
      <c r="BK860" s="54"/>
      <c r="BL860" s="54"/>
    </row>
    <row r="861" spans="1:64" ht="11.25" customHeight="1" x14ac:dyDescent="0.3">
      <c r="A861" s="54"/>
      <c r="B861" s="54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  <c r="AA861" s="54"/>
      <c r="AB861" s="54"/>
      <c r="AC861" s="54"/>
      <c r="AD861" s="54"/>
      <c r="AE861" s="54"/>
      <c r="AF861" s="54"/>
      <c r="AG861" s="54"/>
      <c r="AH861" s="54"/>
      <c r="AI861" s="54"/>
      <c r="AJ861" s="54"/>
      <c r="AK861" s="54"/>
      <c r="AL861" s="54"/>
      <c r="AM861" s="54"/>
      <c r="AN861" s="54"/>
      <c r="AO861" s="54"/>
      <c r="AP861" s="54"/>
      <c r="AQ861" s="54"/>
      <c r="AR861" s="54"/>
      <c r="AS861" s="54"/>
      <c r="AT861" s="54"/>
      <c r="AU861" s="54"/>
      <c r="AV861" s="54"/>
      <c r="AW861" s="54"/>
      <c r="AX861" s="54"/>
      <c r="AY861" s="54"/>
      <c r="AZ861" s="54"/>
      <c r="BA861" s="54"/>
      <c r="BB861" s="54"/>
      <c r="BC861" s="54"/>
      <c r="BD861" s="54"/>
      <c r="BE861" s="54"/>
      <c r="BF861" s="54"/>
      <c r="BG861" s="54"/>
      <c r="BH861" s="54"/>
      <c r="BI861" s="54"/>
      <c r="BJ861" s="54"/>
      <c r="BK861" s="54"/>
      <c r="BL861" s="54"/>
    </row>
    <row r="862" spans="1:64" ht="11.25" customHeight="1" x14ac:dyDescent="0.3">
      <c r="A862" s="54"/>
      <c r="B862" s="54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  <c r="AA862" s="54"/>
      <c r="AB862" s="54"/>
      <c r="AC862" s="54"/>
      <c r="AD862" s="54"/>
      <c r="AE862" s="54"/>
      <c r="AF862" s="54"/>
      <c r="AG862" s="54"/>
      <c r="AH862" s="54"/>
      <c r="AI862" s="54"/>
      <c r="AJ862" s="54"/>
      <c r="AK862" s="54"/>
      <c r="AL862" s="54"/>
      <c r="AM862" s="54"/>
      <c r="AN862" s="54"/>
      <c r="AO862" s="54"/>
      <c r="AP862" s="54"/>
      <c r="AQ862" s="54"/>
      <c r="AR862" s="54"/>
      <c r="AS862" s="54"/>
      <c r="AT862" s="54"/>
      <c r="AU862" s="54"/>
      <c r="AV862" s="54"/>
      <c r="AW862" s="54"/>
      <c r="AX862" s="54"/>
      <c r="AY862" s="54"/>
      <c r="AZ862" s="54"/>
      <c r="BA862" s="54"/>
      <c r="BB862" s="54"/>
      <c r="BC862" s="54"/>
      <c r="BD862" s="54"/>
      <c r="BE862" s="54"/>
      <c r="BF862" s="54"/>
      <c r="BG862" s="54"/>
      <c r="BH862" s="54"/>
      <c r="BI862" s="54"/>
      <c r="BJ862" s="54"/>
      <c r="BK862" s="54"/>
      <c r="BL862" s="54"/>
    </row>
    <row r="863" spans="1:64" ht="11.25" customHeight="1" x14ac:dyDescent="0.3">
      <c r="A863" s="54"/>
      <c r="B863" s="54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  <c r="AA863" s="54"/>
      <c r="AB863" s="54"/>
      <c r="AC863" s="54"/>
      <c r="AD863" s="54"/>
      <c r="AE863" s="54"/>
      <c r="AF863" s="54"/>
      <c r="AG863" s="54"/>
      <c r="AH863" s="54"/>
      <c r="AI863" s="54"/>
      <c r="AJ863" s="54"/>
      <c r="AK863" s="54"/>
      <c r="AL863" s="54"/>
      <c r="AM863" s="54"/>
      <c r="AN863" s="54"/>
      <c r="AO863" s="54"/>
      <c r="AP863" s="54"/>
      <c r="AQ863" s="54"/>
      <c r="AR863" s="54"/>
      <c r="AS863" s="54"/>
      <c r="AT863" s="54"/>
      <c r="AU863" s="54"/>
      <c r="AV863" s="54"/>
      <c r="AW863" s="54"/>
      <c r="AX863" s="54"/>
      <c r="AY863" s="54"/>
      <c r="AZ863" s="54"/>
      <c r="BA863" s="54"/>
      <c r="BB863" s="54"/>
      <c r="BC863" s="54"/>
      <c r="BD863" s="54"/>
      <c r="BE863" s="54"/>
      <c r="BF863" s="54"/>
      <c r="BG863" s="54"/>
      <c r="BH863" s="54"/>
      <c r="BI863" s="54"/>
      <c r="BJ863" s="54"/>
      <c r="BK863" s="54"/>
      <c r="BL863" s="54"/>
    </row>
    <row r="864" spans="1:64" ht="11.25" customHeight="1" x14ac:dyDescent="0.3">
      <c r="A864" s="54"/>
      <c r="B864" s="54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  <c r="AA864" s="54"/>
      <c r="AB864" s="54"/>
      <c r="AC864" s="54"/>
      <c r="AD864" s="54"/>
      <c r="AE864" s="54"/>
      <c r="AF864" s="54"/>
      <c r="AG864" s="54"/>
      <c r="AH864" s="54"/>
      <c r="AI864" s="54"/>
      <c r="AJ864" s="54"/>
      <c r="AK864" s="54"/>
      <c r="AL864" s="54"/>
      <c r="AM864" s="54"/>
      <c r="AN864" s="54"/>
      <c r="AO864" s="54"/>
      <c r="AP864" s="54"/>
      <c r="AQ864" s="54"/>
      <c r="AR864" s="54"/>
      <c r="AS864" s="54"/>
      <c r="AT864" s="54"/>
      <c r="AU864" s="54"/>
      <c r="AV864" s="54"/>
      <c r="AW864" s="54"/>
      <c r="AX864" s="54"/>
      <c r="AY864" s="54"/>
      <c r="AZ864" s="54"/>
      <c r="BA864" s="54"/>
      <c r="BB864" s="54"/>
      <c r="BC864" s="54"/>
      <c r="BD864" s="54"/>
      <c r="BE864" s="54"/>
      <c r="BF864" s="54"/>
      <c r="BG864" s="54"/>
      <c r="BH864" s="54"/>
      <c r="BI864" s="54"/>
      <c r="BJ864" s="54"/>
      <c r="BK864" s="54"/>
      <c r="BL864" s="54"/>
    </row>
    <row r="865" spans="1:64" ht="11.25" customHeight="1" x14ac:dyDescent="0.3">
      <c r="A865" s="54"/>
      <c r="B865" s="54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  <c r="AA865" s="54"/>
      <c r="AB865" s="54"/>
      <c r="AC865" s="54"/>
      <c r="AD865" s="54"/>
      <c r="AE865" s="54"/>
      <c r="AF865" s="54"/>
      <c r="AG865" s="54"/>
      <c r="AH865" s="54"/>
      <c r="AI865" s="54"/>
      <c r="AJ865" s="54"/>
      <c r="AK865" s="54"/>
      <c r="AL865" s="54"/>
      <c r="AM865" s="54"/>
      <c r="AN865" s="54"/>
      <c r="AO865" s="54"/>
      <c r="AP865" s="54"/>
      <c r="AQ865" s="54"/>
      <c r="AR865" s="54"/>
      <c r="AS865" s="54"/>
      <c r="AT865" s="54"/>
      <c r="AU865" s="54"/>
      <c r="AV865" s="54"/>
      <c r="AW865" s="54"/>
      <c r="AX865" s="54"/>
      <c r="AY865" s="54"/>
      <c r="AZ865" s="54"/>
      <c r="BA865" s="54"/>
      <c r="BB865" s="54"/>
      <c r="BC865" s="54"/>
      <c r="BD865" s="54"/>
      <c r="BE865" s="54"/>
      <c r="BF865" s="54"/>
      <c r="BG865" s="54"/>
      <c r="BH865" s="54"/>
      <c r="BI865" s="54"/>
      <c r="BJ865" s="54"/>
      <c r="BK865" s="54"/>
      <c r="BL865" s="54"/>
    </row>
    <row r="866" spans="1:64" ht="11.25" customHeight="1" x14ac:dyDescent="0.3">
      <c r="A866" s="54"/>
      <c r="B866" s="54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  <c r="AA866" s="54"/>
      <c r="AB866" s="54"/>
      <c r="AC866" s="54"/>
      <c r="AD866" s="54"/>
      <c r="AE866" s="54"/>
      <c r="AF866" s="54"/>
      <c r="AG866" s="54"/>
      <c r="AH866" s="54"/>
      <c r="AI866" s="54"/>
      <c r="AJ866" s="54"/>
      <c r="AK866" s="54"/>
      <c r="AL866" s="54"/>
      <c r="AM866" s="54"/>
      <c r="AN866" s="54"/>
      <c r="AO866" s="54"/>
      <c r="AP866" s="54"/>
      <c r="AQ866" s="54"/>
      <c r="AR866" s="54"/>
      <c r="AS866" s="54"/>
      <c r="AT866" s="54"/>
      <c r="AU866" s="54"/>
      <c r="AV866" s="54"/>
      <c r="AW866" s="54"/>
      <c r="AX866" s="54"/>
      <c r="AY866" s="54"/>
      <c r="AZ866" s="54"/>
      <c r="BA866" s="54"/>
      <c r="BB866" s="54"/>
      <c r="BC866" s="54"/>
      <c r="BD866" s="54"/>
      <c r="BE866" s="54"/>
      <c r="BF866" s="54"/>
      <c r="BG866" s="54"/>
      <c r="BH866" s="54"/>
      <c r="BI866" s="54"/>
      <c r="BJ866" s="54"/>
      <c r="BK866" s="54"/>
      <c r="BL866" s="54"/>
    </row>
    <row r="867" spans="1:64" ht="11.25" customHeight="1" x14ac:dyDescent="0.3">
      <c r="A867" s="54"/>
      <c r="B867" s="54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  <c r="AA867" s="54"/>
      <c r="AB867" s="54"/>
      <c r="AC867" s="54"/>
      <c r="AD867" s="54"/>
      <c r="AE867" s="54"/>
      <c r="AF867" s="54"/>
      <c r="AG867" s="54"/>
      <c r="AH867" s="54"/>
      <c r="AI867" s="54"/>
      <c r="AJ867" s="54"/>
      <c r="AK867" s="54"/>
      <c r="AL867" s="54"/>
      <c r="AM867" s="54"/>
      <c r="AN867" s="54"/>
      <c r="AO867" s="54"/>
      <c r="AP867" s="54"/>
      <c r="AQ867" s="54"/>
      <c r="AR867" s="54"/>
      <c r="AS867" s="54"/>
      <c r="AT867" s="54"/>
      <c r="AU867" s="54"/>
      <c r="AV867" s="54"/>
      <c r="AW867" s="54"/>
      <c r="AX867" s="54"/>
      <c r="AY867" s="54"/>
      <c r="AZ867" s="54"/>
      <c r="BA867" s="54"/>
      <c r="BB867" s="54"/>
      <c r="BC867" s="54"/>
      <c r="BD867" s="54"/>
      <c r="BE867" s="54"/>
      <c r="BF867" s="54"/>
      <c r="BG867" s="54"/>
      <c r="BH867" s="54"/>
      <c r="BI867" s="54"/>
      <c r="BJ867" s="54"/>
      <c r="BK867" s="54"/>
      <c r="BL867" s="54"/>
    </row>
    <row r="868" spans="1:64" ht="11.25" customHeight="1" x14ac:dyDescent="0.3">
      <c r="A868" s="54"/>
      <c r="B868" s="54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  <c r="AA868" s="54"/>
      <c r="AB868" s="54"/>
      <c r="AC868" s="54"/>
      <c r="AD868" s="54"/>
      <c r="AE868" s="54"/>
      <c r="AF868" s="54"/>
      <c r="AG868" s="54"/>
      <c r="AH868" s="54"/>
      <c r="AI868" s="54"/>
      <c r="AJ868" s="54"/>
      <c r="AK868" s="54"/>
      <c r="AL868" s="54"/>
      <c r="AM868" s="54"/>
      <c r="AN868" s="54"/>
      <c r="AO868" s="54"/>
      <c r="AP868" s="54"/>
      <c r="AQ868" s="54"/>
      <c r="AR868" s="54"/>
      <c r="AS868" s="54"/>
      <c r="AT868" s="54"/>
      <c r="AU868" s="54"/>
      <c r="AV868" s="54"/>
      <c r="AW868" s="54"/>
      <c r="AX868" s="54"/>
      <c r="AY868" s="54"/>
      <c r="AZ868" s="54"/>
      <c r="BA868" s="54"/>
      <c r="BB868" s="54"/>
      <c r="BC868" s="54"/>
      <c r="BD868" s="54"/>
      <c r="BE868" s="54"/>
      <c r="BF868" s="54"/>
      <c r="BG868" s="54"/>
      <c r="BH868" s="54"/>
      <c r="BI868" s="54"/>
      <c r="BJ868" s="54"/>
      <c r="BK868" s="54"/>
      <c r="BL868" s="54"/>
    </row>
    <row r="869" spans="1:64" ht="11.25" customHeight="1" x14ac:dyDescent="0.3">
      <c r="A869" s="54"/>
      <c r="B869" s="54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  <c r="AA869" s="54"/>
      <c r="AB869" s="54"/>
      <c r="AC869" s="54"/>
      <c r="AD869" s="54"/>
      <c r="AE869" s="54"/>
      <c r="AF869" s="54"/>
      <c r="AG869" s="54"/>
      <c r="AH869" s="54"/>
      <c r="AI869" s="54"/>
      <c r="AJ869" s="54"/>
      <c r="AK869" s="54"/>
      <c r="AL869" s="54"/>
      <c r="AM869" s="54"/>
      <c r="AN869" s="54"/>
      <c r="AO869" s="54"/>
      <c r="AP869" s="54"/>
      <c r="AQ869" s="54"/>
      <c r="AR869" s="54"/>
      <c r="AS869" s="54"/>
      <c r="AT869" s="54"/>
      <c r="AU869" s="54"/>
      <c r="AV869" s="54"/>
      <c r="AW869" s="54"/>
      <c r="AX869" s="54"/>
      <c r="AY869" s="54"/>
      <c r="AZ869" s="54"/>
      <c r="BA869" s="54"/>
      <c r="BB869" s="54"/>
      <c r="BC869" s="54"/>
      <c r="BD869" s="54"/>
      <c r="BE869" s="54"/>
      <c r="BF869" s="54"/>
      <c r="BG869" s="54"/>
      <c r="BH869" s="54"/>
      <c r="BI869" s="54"/>
      <c r="BJ869" s="54"/>
      <c r="BK869" s="54"/>
      <c r="BL869" s="54"/>
    </row>
    <row r="870" spans="1:64" ht="11.25" customHeight="1" x14ac:dyDescent="0.3">
      <c r="A870" s="54"/>
      <c r="B870" s="54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  <c r="AA870" s="54"/>
      <c r="AB870" s="54"/>
      <c r="AC870" s="54"/>
      <c r="AD870" s="54"/>
      <c r="AE870" s="54"/>
      <c r="AF870" s="54"/>
      <c r="AG870" s="54"/>
      <c r="AH870" s="54"/>
      <c r="AI870" s="54"/>
      <c r="AJ870" s="54"/>
      <c r="AK870" s="54"/>
      <c r="AL870" s="54"/>
      <c r="AM870" s="54"/>
      <c r="AN870" s="54"/>
      <c r="AO870" s="54"/>
      <c r="AP870" s="54"/>
      <c r="AQ870" s="54"/>
      <c r="AR870" s="54"/>
      <c r="AS870" s="54"/>
      <c r="AT870" s="54"/>
      <c r="AU870" s="54"/>
      <c r="AV870" s="54"/>
      <c r="AW870" s="54"/>
      <c r="AX870" s="54"/>
      <c r="AY870" s="54"/>
      <c r="AZ870" s="54"/>
      <c r="BA870" s="54"/>
      <c r="BB870" s="54"/>
      <c r="BC870" s="54"/>
      <c r="BD870" s="54"/>
      <c r="BE870" s="54"/>
      <c r="BF870" s="54"/>
      <c r="BG870" s="54"/>
      <c r="BH870" s="54"/>
      <c r="BI870" s="54"/>
      <c r="BJ870" s="54"/>
      <c r="BK870" s="54"/>
      <c r="BL870" s="54"/>
    </row>
    <row r="871" spans="1:64" ht="11.25" customHeight="1" x14ac:dyDescent="0.3">
      <c r="A871" s="54"/>
      <c r="B871" s="54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  <c r="AA871" s="54"/>
      <c r="AB871" s="54"/>
      <c r="AC871" s="54"/>
      <c r="AD871" s="54"/>
      <c r="AE871" s="54"/>
      <c r="AF871" s="54"/>
      <c r="AG871" s="54"/>
      <c r="AH871" s="54"/>
      <c r="AI871" s="54"/>
      <c r="AJ871" s="54"/>
      <c r="AK871" s="54"/>
      <c r="AL871" s="54"/>
      <c r="AM871" s="54"/>
      <c r="AN871" s="54"/>
      <c r="AO871" s="54"/>
      <c r="AP871" s="54"/>
      <c r="AQ871" s="54"/>
      <c r="AR871" s="54"/>
      <c r="AS871" s="54"/>
      <c r="AT871" s="54"/>
      <c r="AU871" s="54"/>
      <c r="AV871" s="54"/>
      <c r="AW871" s="54"/>
      <c r="AX871" s="54"/>
      <c r="AY871" s="54"/>
      <c r="AZ871" s="54"/>
      <c r="BA871" s="54"/>
      <c r="BB871" s="54"/>
      <c r="BC871" s="54"/>
      <c r="BD871" s="54"/>
      <c r="BE871" s="54"/>
      <c r="BF871" s="54"/>
      <c r="BG871" s="54"/>
      <c r="BH871" s="54"/>
      <c r="BI871" s="54"/>
      <c r="BJ871" s="54"/>
      <c r="BK871" s="54"/>
      <c r="BL871" s="54"/>
    </row>
    <row r="872" spans="1:64" ht="11.25" customHeight="1" x14ac:dyDescent="0.3">
      <c r="A872" s="54"/>
      <c r="B872" s="54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  <c r="AA872" s="54"/>
      <c r="AB872" s="54"/>
      <c r="AC872" s="54"/>
      <c r="AD872" s="54"/>
      <c r="AE872" s="54"/>
      <c r="AF872" s="54"/>
      <c r="AG872" s="54"/>
      <c r="AH872" s="54"/>
      <c r="AI872" s="54"/>
      <c r="AJ872" s="54"/>
      <c r="AK872" s="54"/>
      <c r="AL872" s="54"/>
      <c r="AM872" s="54"/>
      <c r="AN872" s="54"/>
      <c r="AO872" s="54"/>
      <c r="AP872" s="54"/>
      <c r="AQ872" s="54"/>
      <c r="AR872" s="54"/>
      <c r="AS872" s="54"/>
      <c r="AT872" s="54"/>
      <c r="AU872" s="54"/>
      <c r="AV872" s="54"/>
      <c r="AW872" s="54"/>
      <c r="AX872" s="54"/>
      <c r="AY872" s="54"/>
      <c r="AZ872" s="54"/>
      <c r="BA872" s="54"/>
      <c r="BB872" s="54"/>
      <c r="BC872" s="54"/>
      <c r="BD872" s="54"/>
      <c r="BE872" s="54"/>
      <c r="BF872" s="54"/>
      <c r="BG872" s="54"/>
      <c r="BH872" s="54"/>
      <c r="BI872" s="54"/>
      <c r="BJ872" s="54"/>
      <c r="BK872" s="54"/>
      <c r="BL872" s="54"/>
    </row>
    <row r="873" spans="1:64" ht="11.25" customHeight="1" x14ac:dyDescent="0.3">
      <c r="A873" s="54"/>
      <c r="B873" s="54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  <c r="AA873" s="54"/>
      <c r="AB873" s="54"/>
      <c r="AC873" s="54"/>
      <c r="AD873" s="54"/>
      <c r="AE873" s="54"/>
      <c r="AF873" s="54"/>
      <c r="AG873" s="54"/>
      <c r="AH873" s="54"/>
      <c r="AI873" s="54"/>
      <c r="AJ873" s="54"/>
      <c r="AK873" s="54"/>
      <c r="AL873" s="54"/>
      <c r="AM873" s="54"/>
      <c r="AN873" s="54"/>
      <c r="AO873" s="54"/>
      <c r="AP873" s="54"/>
      <c r="AQ873" s="54"/>
      <c r="AR873" s="54"/>
      <c r="AS873" s="54"/>
      <c r="AT873" s="54"/>
      <c r="AU873" s="54"/>
      <c r="AV873" s="54"/>
      <c r="AW873" s="54"/>
      <c r="AX873" s="54"/>
      <c r="AY873" s="54"/>
      <c r="AZ873" s="54"/>
      <c r="BA873" s="54"/>
      <c r="BB873" s="54"/>
      <c r="BC873" s="54"/>
      <c r="BD873" s="54"/>
      <c r="BE873" s="54"/>
      <c r="BF873" s="54"/>
      <c r="BG873" s="54"/>
      <c r="BH873" s="54"/>
      <c r="BI873" s="54"/>
      <c r="BJ873" s="54"/>
      <c r="BK873" s="54"/>
      <c r="BL873" s="54"/>
    </row>
    <row r="874" spans="1:64" ht="11.25" customHeight="1" x14ac:dyDescent="0.3">
      <c r="A874" s="54"/>
      <c r="B874" s="54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  <c r="AA874" s="54"/>
      <c r="AB874" s="54"/>
      <c r="AC874" s="54"/>
      <c r="AD874" s="54"/>
      <c r="AE874" s="54"/>
      <c r="AF874" s="54"/>
      <c r="AG874" s="54"/>
      <c r="AH874" s="54"/>
      <c r="AI874" s="54"/>
      <c r="AJ874" s="54"/>
      <c r="AK874" s="54"/>
      <c r="AL874" s="54"/>
      <c r="AM874" s="54"/>
      <c r="AN874" s="54"/>
      <c r="AO874" s="54"/>
      <c r="AP874" s="54"/>
      <c r="AQ874" s="54"/>
      <c r="AR874" s="54"/>
      <c r="AS874" s="54"/>
      <c r="AT874" s="54"/>
      <c r="AU874" s="54"/>
      <c r="AV874" s="54"/>
      <c r="AW874" s="54"/>
      <c r="AX874" s="54"/>
      <c r="AY874" s="54"/>
      <c r="AZ874" s="54"/>
      <c r="BA874" s="54"/>
      <c r="BB874" s="54"/>
      <c r="BC874" s="54"/>
      <c r="BD874" s="54"/>
      <c r="BE874" s="54"/>
      <c r="BF874" s="54"/>
      <c r="BG874" s="54"/>
      <c r="BH874" s="54"/>
      <c r="BI874" s="54"/>
      <c r="BJ874" s="54"/>
      <c r="BK874" s="54"/>
      <c r="BL874" s="54"/>
    </row>
    <row r="875" spans="1:64" ht="11.25" customHeight="1" x14ac:dyDescent="0.3">
      <c r="A875" s="54"/>
      <c r="B875" s="54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  <c r="AA875" s="54"/>
      <c r="AB875" s="54"/>
      <c r="AC875" s="54"/>
      <c r="AD875" s="54"/>
      <c r="AE875" s="54"/>
      <c r="AF875" s="54"/>
      <c r="AG875" s="54"/>
      <c r="AH875" s="54"/>
      <c r="AI875" s="54"/>
      <c r="AJ875" s="54"/>
      <c r="AK875" s="54"/>
      <c r="AL875" s="54"/>
      <c r="AM875" s="54"/>
      <c r="AN875" s="54"/>
      <c r="AO875" s="54"/>
      <c r="AP875" s="54"/>
      <c r="AQ875" s="54"/>
      <c r="AR875" s="54"/>
      <c r="AS875" s="54"/>
      <c r="AT875" s="54"/>
      <c r="AU875" s="54"/>
      <c r="AV875" s="54"/>
      <c r="AW875" s="54"/>
      <c r="AX875" s="54"/>
      <c r="AY875" s="54"/>
      <c r="AZ875" s="54"/>
      <c r="BA875" s="54"/>
      <c r="BB875" s="54"/>
      <c r="BC875" s="54"/>
      <c r="BD875" s="54"/>
      <c r="BE875" s="54"/>
      <c r="BF875" s="54"/>
      <c r="BG875" s="54"/>
      <c r="BH875" s="54"/>
      <c r="BI875" s="54"/>
      <c r="BJ875" s="54"/>
      <c r="BK875" s="54"/>
      <c r="BL875" s="54"/>
    </row>
    <row r="876" spans="1:64" ht="11.25" customHeight="1" x14ac:dyDescent="0.3">
      <c r="A876" s="54"/>
      <c r="B876" s="54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  <c r="AA876" s="54"/>
      <c r="AB876" s="54"/>
      <c r="AC876" s="54"/>
      <c r="AD876" s="54"/>
      <c r="AE876" s="54"/>
      <c r="AF876" s="54"/>
      <c r="AG876" s="54"/>
      <c r="AH876" s="54"/>
      <c r="AI876" s="54"/>
      <c r="AJ876" s="54"/>
      <c r="AK876" s="54"/>
      <c r="AL876" s="54"/>
      <c r="AM876" s="54"/>
      <c r="AN876" s="54"/>
      <c r="AO876" s="54"/>
      <c r="AP876" s="54"/>
      <c r="AQ876" s="54"/>
      <c r="AR876" s="54"/>
      <c r="AS876" s="54"/>
      <c r="AT876" s="54"/>
      <c r="AU876" s="54"/>
      <c r="AV876" s="54"/>
      <c r="AW876" s="54"/>
      <c r="AX876" s="54"/>
      <c r="AY876" s="54"/>
      <c r="AZ876" s="54"/>
      <c r="BA876" s="54"/>
      <c r="BB876" s="54"/>
      <c r="BC876" s="54"/>
      <c r="BD876" s="54"/>
      <c r="BE876" s="54"/>
      <c r="BF876" s="54"/>
      <c r="BG876" s="54"/>
      <c r="BH876" s="54"/>
      <c r="BI876" s="54"/>
      <c r="BJ876" s="54"/>
      <c r="BK876" s="54"/>
      <c r="BL876" s="54"/>
    </row>
    <row r="877" spans="1:64" ht="11.25" customHeight="1" x14ac:dyDescent="0.3">
      <c r="A877" s="54"/>
      <c r="B877" s="54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  <c r="AA877" s="54"/>
      <c r="AB877" s="54"/>
      <c r="AC877" s="54"/>
      <c r="AD877" s="54"/>
      <c r="AE877" s="54"/>
      <c r="AF877" s="54"/>
      <c r="AG877" s="54"/>
      <c r="AH877" s="54"/>
      <c r="AI877" s="54"/>
      <c r="AJ877" s="54"/>
      <c r="AK877" s="54"/>
      <c r="AL877" s="54"/>
      <c r="AM877" s="54"/>
      <c r="AN877" s="54"/>
      <c r="AO877" s="54"/>
      <c r="AP877" s="54"/>
      <c r="AQ877" s="54"/>
      <c r="AR877" s="54"/>
      <c r="AS877" s="54"/>
      <c r="AT877" s="54"/>
      <c r="AU877" s="54"/>
      <c r="AV877" s="54"/>
      <c r="AW877" s="54"/>
      <c r="AX877" s="54"/>
      <c r="AY877" s="54"/>
      <c r="AZ877" s="54"/>
      <c r="BA877" s="54"/>
      <c r="BB877" s="54"/>
      <c r="BC877" s="54"/>
      <c r="BD877" s="54"/>
      <c r="BE877" s="54"/>
      <c r="BF877" s="54"/>
      <c r="BG877" s="54"/>
      <c r="BH877" s="54"/>
      <c r="BI877" s="54"/>
      <c r="BJ877" s="54"/>
      <c r="BK877" s="54"/>
      <c r="BL877" s="54"/>
    </row>
    <row r="878" spans="1:64" ht="11.25" customHeight="1" x14ac:dyDescent="0.3">
      <c r="A878" s="54"/>
      <c r="B878" s="54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  <c r="AA878" s="54"/>
      <c r="AB878" s="54"/>
      <c r="AC878" s="54"/>
      <c r="AD878" s="54"/>
      <c r="AE878" s="54"/>
      <c r="AF878" s="54"/>
      <c r="AG878" s="54"/>
      <c r="AH878" s="54"/>
      <c r="AI878" s="54"/>
      <c r="AJ878" s="54"/>
      <c r="AK878" s="54"/>
      <c r="AL878" s="54"/>
      <c r="AM878" s="54"/>
      <c r="AN878" s="54"/>
      <c r="AO878" s="54"/>
      <c r="AP878" s="54"/>
      <c r="AQ878" s="54"/>
      <c r="AR878" s="54"/>
      <c r="AS878" s="54"/>
      <c r="AT878" s="54"/>
      <c r="AU878" s="54"/>
      <c r="AV878" s="54"/>
      <c r="AW878" s="54"/>
      <c r="AX878" s="54"/>
      <c r="AY878" s="54"/>
      <c r="AZ878" s="54"/>
      <c r="BA878" s="54"/>
      <c r="BB878" s="54"/>
      <c r="BC878" s="54"/>
      <c r="BD878" s="54"/>
      <c r="BE878" s="54"/>
      <c r="BF878" s="54"/>
      <c r="BG878" s="54"/>
      <c r="BH878" s="54"/>
      <c r="BI878" s="54"/>
      <c r="BJ878" s="54"/>
      <c r="BK878" s="54"/>
      <c r="BL878" s="54"/>
    </row>
    <row r="879" spans="1:64" ht="11.25" customHeight="1" x14ac:dyDescent="0.3">
      <c r="A879" s="54"/>
      <c r="B879" s="54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  <c r="AA879" s="54"/>
      <c r="AB879" s="54"/>
      <c r="AC879" s="54"/>
      <c r="AD879" s="54"/>
      <c r="AE879" s="54"/>
      <c r="AF879" s="54"/>
      <c r="AG879" s="54"/>
      <c r="AH879" s="54"/>
      <c r="AI879" s="54"/>
      <c r="AJ879" s="54"/>
      <c r="AK879" s="54"/>
      <c r="AL879" s="54"/>
      <c r="AM879" s="54"/>
      <c r="AN879" s="54"/>
      <c r="AO879" s="54"/>
      <c r="AP879" s="54"/>
      <c r="AQ879" s="54"/>
      <c r="AR879" s="54"/>
      <c r="AS879" s="54"/>
      <c r="AT879" s="54"/>
      <c r="AU879" s="54"/>
      <c r="AV879" s="54"/>
      <c r="AW879" s="54"/>
      <c r="AX879" s="54"/>
      <c r="AY879" s="54"/>
      <c r="AZ879" s="54"/>
      <c r="BA879" s="54"/>
      <c r="BB879" s="54"/>
      <c r="BC879" s="54"/>
      <c r="BD879" s="54"/>
      <c r="BE879" s="54"/>
      <c r="BF879" s="54"/>
      <c r="BG879" s="54"/>
      <c r="BH879" s="54"/>
      <c r="BI879" s="54"/>
      <c r="BJ879" s="54"/>
      <c r="BK879" s="54"/>
      <c r="BL879" s="54"/>
    </row>
    <row r="880" spans="1:64" ht="11.25" customHeight="1" x14ac:dyDescent="0.3">
      <c r="A880" s="54"/>
      <c r="B880" s="54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  <c r="AA880" s="54"/>
      <c r="AB880" s="54"/>
      <c r="AC880" s="54"/>
      <c r="AD880" s="54"/>
      <c r="AE880" s="54"/>
      <c r="AF880" s="54"/>
      <c r="AG880" s="54"/>
      <c r="AH880" s="54"/>
      <c r="AI880" s="54"/>
      <c r="AJ880" s="54"/>
      <c r="AK880" s="54"/>
      <c r="AL880" s="54"/>
      <c r="AM880" s="54"/>
      <c r="AN880" s="54"/>
      <c r="AO880" s="54"/>
      <c r="AP880" s="54"/>
      <c r="AQ880" s="54"/>
      <c r="AR880" s="54"/>
      <c r="AS880" s="54"/>
      <c r="AT880" s="54"/>
      <c r="AU880" s="54"/>
      <c r="AV880" s="54"/>
      <c r="AW880" s="54"/>
      <c r="AX880" s="54"/>
      <c r="AY880" s="54"/>
      <c r="AZ880" s="54"/>
      <c r="BA880" s="54"/>
      <c r="BB880" s="54"/>
      <c r="BC880" s="54"/>
      <c r="BD880" s="54"/>
      <c r="BE880" s="54"/>
      <c r="BF880" s="54"/>
      <c r="BG880" s="54"/>
      <c r="BH880" s="54"/>
      <c r="BI880" s="54"/>
      <c r="BJ880" s="54"/>
      <c r="BK880" s="54"/>
      <c r="BL880" s="54"/>
    </row>
    <row r="881" spans="1:64" ht="11.25" customHeight="1" x14ac:dyDescent="0.3">
      <c r="A881" s="54"/>
      <c r="B881" s="54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  <c r="AA881" s="54"/>
      <c r="AB881" s="54"/>
      <c r="AC881" s="54"/>
      <c r="AD881" s="54"/>
      <c r="AE881" s="54"/>
      <c r="AF881" s="54"/>
      <c r="AG881" s="54"/>
      <c r="AH881" s="54"/>
      <c r="AI881" s="54"/>
      <c r="AJ881" s="54"/>
      <c r="AK881" s="54"/>
      <c r="AL881" s="54"/>
      <c r="AM881" s="54"/>
      <c r="AN881" s="54"/>
      <c r="AO881" s="54"/>
      <c r="AP881" s="54"/>
      <c r="AQ881" s="54"/>
      <c r="AR881" s="54"/>
      <c r="AS881" s="54"/>
      <c r="AT881" s="54"/>
      <c r="AU881" s="54"/>
      <c r="AV881" s="54"/>
      <c r="AW881" s="54"/>
      <c r="AX881" s="54"/>
      <c r="AY881" s="54"/>
      <c r="AZ881" s="54"/>
      <c r="BA881" s="54"/>
      <c r="BB881" s="54"/>
      <c r="BC881" s="54"/>
      <c r="BD881" s="54"/>
      <c r="BE881" s="54"/>
      <c r="BF881" s="54"/>
      <c r="BG881" s="54"/>
      <c r="BH881" s="54"/>
      <c r="BI881" s="54"/>
      <c r="BJ881" s="54"/>
      <c r="BK881" s="54"/>
      <c r="BL881" s="54"/>
    </row>
    <row r="882" spans="1:64" ht="11.25" customHeight="1" x14ac:dyDescent="0.3">
      <c r="A882" s="54"/>
      <c r="B882" s="54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  <c r="AA882" s="54"/>
      <c r="AB882" s="54"/>
      <c r="AC882" s="54"/>
      <c r="AD882" s="54"/>
      <c r="AE882" s="54"/>
      <c r="AF882" s="54"/>
      <c r="AG882" s="54"/>
      <c r="AH882" s="54"/>
      <c r="AI882" s="54"/>
      <c r="AJ882" s="54"/>
      <c r="AK882" s="54"/>
      <c r="AL882" s="54"/>
      <c r="AM882" s="54"/>
      <c r="AN882" s="54"/>
      <c r="AO882" s="54"/>
      <c r="AP882" s="54"/>
      <c r="AQ882" s="54"/>
      <c r="AR882" s="54"/>
      <c r="AS882" s="54"/>
      <c r="AT882" s="54"/>
      <c r="AU882" s="54"/>
      <c r="AV882" s="54"/>
      <c r="AW882" s="54"/>
      <c r="AX882" s="54"/>
      <c r="AY882" s="54"/>
      <c r="AZ882" s="54"/>
      <c r="BA882" s="54"/>
      <c r="BB882" s="54"/>
      <c r="BC882" s="54"/>
      <c r="BD882" s="54"/>
      <c r="BE882" s="54"/>
      <c r="BF882" s="54"/>
      <c r="BG882" s="54"/>
      <c r="BH882" s="54"/>
      <c r="BI882" s="54"/>
      <c r="BJ882" s="54"/>
      <c r="BK882" s="54"/>
      <c r="BL882" s="54"/>
    </row>
    <row r="883" spans="1:64" ht="11.25" customHeight="1" x14ac:dyDescent="0.3">
      <c r="A883" s="54"/>
      <c r="B883" s="54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  <c r="AA883" s="54"/>
      <c r="AB883" s="54"/>
      <c r="AC883" s="54"/>
      <c r="AD883" s="54"/>
      <c r="AE883" s="54"/>
      <c r="AF883" s="54"/>
      <c r="AG883" s="54"/>
      <c r="AH883" s="54"/>
      <c r="AI883" s="54"/>
      <c r="AJ883" s="54"/>
      <c r="AK883" s="54"/>
      <c r="AL883" s="54"/>
      <c r="AM883" s="54"/>
      <c r="AN883" s="54"/>
      <c r="AO883" s="54"/>
      <c r="AP883" s="54"/>
      <c r="AQ883" s="54"/>
      <c r="AR883" s="54"/>
      <c r="AS883" s="54"/>
      <c r="AT883" s="54"/>
      <c r="AU883" s="54"/>
      <c r="AV883" s="54"/>
      <c r="AW883" s="54"/>
      <c r="AX883" s="54"/>
      <c r="AY883" s="54"/>
      <c r="AZ883" s="54"/>
      <c r="BA883" s="54"/>
      <c r="BB883" s="54"/>
      <c r="BC883" s="54"/>
      <c r="BD883" s="54"/>
      <c r="BE883" s="54"/>
      <c r="BF883" s="54"/>
      <c r="BG883" s="54"/>
      <c r="BH883" s="54"/>
      <c r="BI883" s="54"/>
      <c r="BJ883" s="54"/>
      <c r="BK883" s="54"/>
      <c r="BL883" s="54"/>
    </row>
    <row r="884" spans="1:64" ht="11.25" customHeight="1" x14ac:dyDescent="0.3">
      <c r="A884" s="54"/>
      <c r="B884" s="54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  <c r="AA884" s="54"/>
      <c r="AB884" s="54"/>
      <c r="AC884" s="54"/>
      <c r="AD884" s="54"/>
      <c r="AE884" s="54"/>
      <c r="AF884" s="54"/>
      <c r="AG884" s="54"/>
      <c r="AH884" s="54"/>
      <c r="AI884" s="54"/>
      <c r="AJ884" s="54"/>
      <c r="AK884" s="54"/>
      <c r="AL884" s="54"/>
      <c r="AM884" s="54"/>
      <c r="AN884" s="54"/>
      <c r="AO884" s="54"/>
      <c r="AP884" s="54"/>
      <c r="AQ884" s="54"/>
      <c r="AR884" s="54"/>
      <c r="AS884" s="54"/>
      <c r="AT884" s="54"/>
      <c r="AU884" s="54"/>
      <c r="AV884" s="54"/>
      <c r="AW884" s="54"/>
      <c r="AX884" s="54"/>
      <c r="AY884" s="54"/>
      <c r="AZ884" s="54"/>
      <c r="BA884" s="54"/>
      <c r="BB884" s="54"/>
      <c r="BC884" s="54"/>
      <c r="BD884" s="54"/>
      <c r="BE884" s="54"/>
      <c r="BF884" s="54"/>
      <c r="BG884" s="54"/>
      <c r="BH884" s="54"/>
      <c r="BI884" s="54"/>
      <c r="BJ884" s="54"/>
      <c r="BK884" s="54"/>
      <c r="BL884" s="54"/>
    </row>
    <row r="885" spans="1:64" ht="11.25" customHeight="1" x14ac:dyDescent="0.3">
      <c r="A885" s="54"/>
      <c r="B885" s="54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  <c r="AA885" s="54"/>
      <c r="AB885" s="54"/>
      <c r="AC885" s="54"/>
      <c r="AD885" s="54"/>
      <c r="AE885" s="54"/>
      <c r="AF885" s="54"/>
      <c r="AG885" s="54"/>
      <c r="AH885" s="54"/>
      <c r="AI885" s="54"/>
      <c r="AJ885" s="54"/>
      <c r="AK885" s="54"/>
      <c r="AL885" s="54"/>
      <c r="AM885" s="54"/>
      <c r="AN885" s="54"/>
      <c r="AO885" s="54"/>
      <c r="AP885" s="54"/>
      <c r="AQ885" s="54"/>
      <c r="AR885" s="54"/>
      <c r="AS885" s="54"/>
      <c r="AT885" s="54"/>
      <c r="AU885" s="54"/>
      <c r="AV885" s="54"/>
      <c r="AW885" s="54"/>
      <c r="AX885" s="54"/>
      <c r="AY885" s="54"/>
      <c r="AZ885" s="54"/>
      <c r="BA885" s="54"/>
      <c r="BB885" s="54"/>
      <c r="BC885" s="54"/>
      <c r="BD885" s="54"/>
      <c r="BE885" s="54"/>
      <c r="BF885" s="54"/>
      <c r="BG885" s="54"/>
      <c r="BH885" s="54"/>
      <c r="BI885" s="54"/>
      <c r="BJ885" s="54"/>
      <c r="BK885" s="54"/>
      <c r="BL885" s="54"/>
    </row>
    <row r="886" spans="1:64" ht="11.25" customHeight="1" x14ac:dyDescent="0.3">
      <c r="A886" s="54"/>
      <c r="B886" s="54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  <c r="AA886" s="54"/>
      <c r="AB886" s="54"/>
      <c r="AC886" s="54"/>
      <c r="AD886" s="54"/>
      <c r="AE886" s="54"/>
      <c r="AF886" s="54"/>
      <c r="AG886" s="54"/>
      <c r="AH886" s="54"/>
      <c r="AI886" s="54"/>
      <c r="AJ886" s="54"/>
      <c r="AK886" s="54"/>
      <c r="AL886" s="54"/>
      <c r="AM886" s="54"/>
      <c r="AN886" s="54"/>
      <c r="AO886" s="54"/>
      <c r="AP886" s="54"/>
      <c r="AQ886" s="54"/>
      <c r="AR886" s="54"/>
      <c r="AS886" s="54"/>
      <c r="AT886" s="54"/>
      <c r="AU886" s="54"/>
      <c r="AV886" s="54"/>
      <c r="AW886" s="54"/>
      <c r="AX886" s="54"/>
      <c r="AY886" s="54"/>
      <c r="AZ886" s="54"/>
      <c r="BA886" s="54"/>
      <c r="BB886" s="54"/>
      <c r="BC886" s="54"/>
      <c r="BD886" s="54"/>
      <c r="BE886" s="54"/>
      <c r="BF886" s="54"/>
      <c r="BG886" s="54"/>
      <c r="BH886" s="54"/>
      <c r="BI886" s="54"/>
      <c r="BJ886" s="54"/>
      <c r="BK886" s="54"/>
      <c r="BL886" s="54"/>
    </row>
    <row r="887" spans="1:64" ht="11.25" customHeight="1" x14ac:dyDescent="0.3">
      <c r="A887" s="54"/>
      <c r="B887" s="54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  <c r="AA887" s="54"/>
      <c r="AB887" s="54"/>
      <c r="AC887" s="54"/>
      <c r="AD887" s="54"/>
      <c r="AE887" s="54"/>
      <c r="AF887" s="54"/>
      <c r="AG887" s="54"/>
      <c r="AH887" s="54"/>
      <c r="AI887" s="54"/>
      <c r="AJ887" s="54"/>
      <c r="AK887" s="54"/>
      <c r="AL887" s="54"/>
      <c r="AM887" s="54"/>
      <c r="AN887" s="54"/>
      <c r="AO887" s="54"/>
      <c r="AP887" s="54"/>
      <c r="AQ887" s="54"/>
      <c r="AR887" s="54"/>
      <c r="AS887" s="54"/>
      <c r="AT887" s="54"/>
      <c r="AU887" s="54"/>
      <c r="AV887" s="54"/>
      <c r="AW887" s="54"/>
      <c r="AX887" s="54"/>
      <c r="AY887" s="54"/>
      <c r="AZ887" s="54"/>
      <c r="BA887" s="54"/>
      <c r="BB887" s="54"/>
      <c r="BC887" s="54"/>
      <c r="BD887" s="54"/>
      <c r="BE887" s="54"/>
      <c r="BF887" s="54"/>
      <c r="BG887" s="54"/>
      <c r="BH887" s="54"/>
      <c r="BI887" s="54"/>
      <c r="BJ887" s="54"/>
      <c r="BK887" s="54"/>
      <c r="BL887" s="54"/>
    </row>
    <row r="888" spans="1:64" ht="11.25" customHeight="1" x14ac:dyDescent="0.3">
      <c r="A888" s="54"/>
      <c r="B888" s="54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  <c r="AA888" s="54"/>
      <c r="AB888" s="54"/>
      <c r="AC888" s="54"/>
      <c r="AD888" s="54"/>
      <c r="AE888" s="54"/>
      <c r="AF888" s="54"/>
      <c r="AG888" s="54"/>
      <c r="AH888" s="54"/>
      <c r="AI888" s="54"/>
      <c r="AJ888" s="54"/>
      <c r="AK888" s="54"/>
      <c r="AL888" s="54"/>
      <c r="AM888" s="54"/>
      <c r="AN888" s="54"/>
      <c r="AO888" s="54"/>
      <c r="AP888" s="54"/>
      <c r="AQ888" s="54"/>
      <c r="AR888" s="54"/>
      <c r="AS888" s="54"/>
      <c r="AT888" s="54"/>
      <c r="AU888" s="54"/>
      <c r="AV888" s="54"/>
      <c r="AW888" s="54"/>
      <c r="AX888" s="54"/>
      <c r="AY888" s="54"/>
      <c r="AZ888" s="54"/>
      <c r="BA888" s="54"/>
      <c r="BB888" s="54"/>
      <c r="BC888" s="54"/>
      <c r="BD888" s="54"/>
      <c r="BE888" s="54"/>
      <c r="BF888" s="54"/>
      <c r="BG888" s="54"/>
      <c r="BH888" s="54"/>
      <c r="BI888" s="54"/>
      <c r="BJ888" s="54"/>
      <c r="BK888" s="54"/>
      <c r="BL888" s="54"/>
    </row>
    <row r="889" spans="1:64" ht="11.25" customHeight="1" x14ac:dyDescent="0.3">
      <c r="A889" s="54"/>
      <c r="B889" s="54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  <c r="AA889" s="54"/>
      <c r="AB889" s="54"/>
      <c r="AC889" s="54"/>
      <c r="AD889" s="54"/>
      <c r="AE889" s="54"/>
      <c r="AF889" s="54"/>
      <c r="AG889" s="54"/>
      <c r="AH889" s="54"/>
      <c r="AI889" s="54"/>
      <c r="AJ889" s="54"/>
      <c r="AK889" s="54"/>
      <c r="AL889" s="54"/>
      <c r="AM889" s="54"/>
      <c r="AN889" s="54"/>
      <c r="AO889" s="54"/>
      <c r="AP889" s="54"/>
      <c r="AQ889" s="54"/>
      <c r="AR889" s="54"/>
      <c r="AS889" s="54"/>
      <c r="AT889" s="54"/>
      <c r="AU889" s="54"/>
      <c r="AV889" s="54"/>
      <c r="AW889" s="54"/>
      <c r="AX889" s="54"/>
      <c r="AY889" s="54"/>
      <c r="AZ889" s="54"/>
      <c r="BA889" s="54"/>
      <c r="BB889" s="54"/>
      <c r="BC889" s="54"/>
      <c r="BD889" s="54"/>
      <c r="BE889" s="54"/>
      <c r="BF889" s="54"/>
      <c r="BG889" s="54"/>
      <c r="BH889" s="54"/>
      <c r="BI889" s="54"/>
      <c r="BJ889" s="54"/>
      <c r="BK889" s="54"/>
      <c r="BL889" s="54"/>
    </row>
    <row r="890" spans="1:64" ht="11.25" customHeight="1" x14ac:dyDescent="0.3">
      <c r="A890" s="54"/>
      <c r="B890" s="54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  <c r="AA890" s="54"/>
      <c r="AB890" s="54"/>
      <c r="AC890" s="54"/>
      <c r="AD890" s="54"/>
      <c r="AE890" s="54"/>
      <c r="AF890" s="54"/>
      <c r="AG890" s="54"/>
      <c r="AH890" s="54"/>
      <c r="AI890" s="54"/>
      <c r="AJ890" s="54"/>
      <c r="AK890" s="54"/>
      <c r="AL890" s="54"/>
      <c r="AM890" s="54"/>
      <c r="AN890" s="54"/>
      <c r="AO890" s="54"/>
      <c r="AP890" s="54"/>
      <c r="AQ890" s="54"/>
      <c r="AR890" s="54"/>
      <c r="AS890" s="54"/>
      <c r="AT890" s="54"/>
      <c r="AU890" s="54"/>
      <c r="AV890" s="54"/>
      <c r="AW890" s="54"/>
      <c r="AX890" s="54"/>
      <c r="AY890" s="54"/>
      <c r="AZ890" s="54"/>
      <c r="BA890" s="54"/>
      <c r="BB890" s="54"/>
      <c r="BC890" s="54"/>
      <c r="BD890" s="54"/>
      <c r="BE890" s="54"/>
      <c r="BF890" s="54"/>
      <c r="BG890" s="54"/>
      <c r="BH890" s="54"/>
      <c r="BI890" s="54"/>
      <c r="BJ890" s="54"/>
      <c r="BK890" s="54"/>
      <c r="BL890" s="54"/>
    </row>
    <row r="891" spans="1:64" ht="11.25" customHeight="1" x14ac:dyDescent="0.3">
      <c r="A891" s="54"/>
      <c r="B891" s="54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  <c r="AA891" s="54"/>
      <c r="AB891" s="54"/>
      <c r="AC891" s="54"/>
      <c r="AD891" s="54"/>
      <c r="AE891" s="54"/>
      <c r="AF891" s="54"/>
      <c r="AG891" s="54"/>
      <c r="AH891" s="54"/>
      <c r="AI891" s="54"/>
      <c r="AJ891" s="54"/>
      <c r="AK891" s="54"/>
      <c r="AL891" s="54"/>
      <c r="AM891" s="54"/>
      <c r="AN891" s="54"/>
      <c r="AO891" s="54"/>
      <c r="AP891" s="54"/>
      <c r="AQ891" s="54"/>
      <c r="AR891" s="54"/>
      <c r="AS891" s="54"/>
      <c r="AT891" s="54"/>
      <c r="AU891" s="54"/>
      <c r="AV891" s="54"/>
      <c r="AW891" s="54"/>
      <c r="AX891" s="54"/>
      <c r="AY891" s="54"/>
      <c r="AZ891" s="54"/>
      <c r="BA891" s="54"/>
      <c r="BB891" s="54"/>
      <c r="BC891" s="54"/>
      <c r="BD891" s="54"/>
      <c r="BE891" s="54"/>
      <c r="BF891" s="54"/>
      <c r="BG891" s="54"/>
      <c r="BH891" s="54"/>
      <c r="BI891" s="54"/>
      <c r="BJ891" s="54"/>
      <c r="BK891" s="54"/>
      <c r="BL891" s="54"/>
    </row>
    <row r="892" spans="1:64" ht="11.25" customHeight="1" x14ac:dyDescent="0.3">
      <c r="A892" s="54"/>
      <c r="B892" s="54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  <c r="AA892" s="54"/>
      <c r="AB892" s="54"/>
      <c r="AC892" s="54"/>
      <c r="AD892" s="54"/>
      <c r="AE892" s="54"/>
      <c r="AF892" s="54"/>
      <c r="AG892" s="54"/>
      <c r="AH892" s="54"/>
      <c r="AI892" s="54"/>
      <c r="AJ892" s="54"/>
      <c r="AK892" s="54"/>
      <c r="AL892" s="54"/>
      <c r="AM892" s="54"/>
      <c r="AN892" s="54"/>
      <c r="AO892" s="54"/>
      <c r="AP892" s="54"/>
      <c r="AQ892" s="54"/>
      <c r="AR892" s="54"/>
      <c r="AS892" s="54"/>
      <c r="AT892" s="54"/>
      <c r="AU892" s="54"/>
      <c r="AV892" s="54"/>
      <c r="AW892" s="54"/>
      <c r="AX892" s="54"/>
      <c r="AY892" s="54"/>
      <c r="AZ892" s="54"/>
      <c r="BA892" s="54"/>
      <c r="BB892" s="54"/>
      <c r="BC892" s="54"/>
      <c r="BD892" s="54"/>
      <c r="BE892" s="54"/>
      <c r="BF892" s="54"/>
      <c r="BG892" s="54"/>
      <c r="BH892" s="54"/>
      <c r="BI892" s="54"/>
      <c r="BJ892" s="54"/>
      <c r="BK892" s="54"/>
      <c r="BL892" s="54"/>
    </row>
    <row r="893" spans="1:64" ht="11.25" customHeight="1" x14ac:dyDescent="0.3">
      <c r="A893" s="54"/>
      <c r="B893" s="54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  <c r="AA893" s="54"/>
      <c r="AB893" s="54"/>
      <c r="AC893" s="54"/>
      <c r="AD893" s="54"/>
      <c r="AE893" s="54"/>
      <c r="AF893" s="54"/>
      <c r="AG893" s="54"/>
      <c r="AH893" s="54"/>
      <c r="AI893" s="54"/>
      <c r="AJ893" s="54"/>
      <c r="AK893" s="54"/>
      <c r="AL893" s="54"/>
      <c r="AM893" s="54"/>
      <c r="AN893" s="54"/>
      <c r="AO893" s="54"/>
      <c r="AP893" s="54"/>
      <c r="AQ893" s="54"/>
      <c r="AR893" s="54"/>
      <c r="AS893" s="54"/>
      <c r="AT893" s="54"/>
      <c r="AU893" s="54"/>
      <c r="AV893" s="54"/>
      <c r="AW893" s="54"/>
      <c r="AX893" s="54"/>
      <c r="AY893" s="54"/>
      <c r="AZ893" s="54"/>
      <c r="BA893" s="54"/>
      <c r="BB893" s="54"/>
      <c r="BC893" s="54"/>
      <c r="BD893" s="54"/>
      <c r="BE893" s="54"/>
      <c r="BF893" s="54"/>
      <c r="BG893" s="54"/>
      <c r="BH893" s="54"/>
      <c r="BI893" s="54"/>
      <c r="BJ893" s="54"/>
      <c r="BK893" s="54"/>
      <c r="BL893" s="54"/>
    </row>
    <row r="894" spans="1:64" ht="11.25" customHeight="1" x14ac:dyDescent="0.3">
      <c r="A894" s="54"/>
      <c r="B894" s="54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  <c r="AA894" s="54"/>
      <c r="AB894" s="54"/>
      <c r="AC894" s="54"/>
      <c r="AD894" s="54"/>
      <c r="AE894" s="54"/>
      <c r="AF894" s="54"/>
      <c r="AG894" s="54"/>
      <c r="AH894" s="54"/>
      <c r="AI894" s="54"/>
      <c r="AJ894" s="54"/>
      <c r="AK894" s="54"/>
      <c r="AL894" s="54"/>
      <c r="AM894" s="54"/>
      <c r="AN894" s="54"/>
      <c r="AO894" s="54"/>
      <c r="AP894" s="54"/>
      <c r="AQ894" s="54"/>
      <c r="AR894" s="54"/>
      <c r="AS894" s="54"/>
      <c r="AT894" s="54"/>
      <c r="AU894" s="54"/>
      <c r="AV894" s="54"/>
      <c r="AW894" s="54"/>
      <c r="AX894" s="54"/>
      <c r="AY894" s="54"/>
      <c r="AZ894" s="54"/>
      <c r="BA894" s="54"/>
      <c r="BB894" s="54"/>
      <c r="BC894" s="54"/>
      <c r="BD894" s="54"/>
      <c r="BE894" s="54"/>
      <c r="BF894" s="54"/>
      <c r="BG894" s="54"/>
      <c r="BH894" s="54"/>
      <c r="BI894" s="54"/>
      <c r="BJ894" s="54"/>
      <c r="BK894" s="54"/>
      <c r="BL894" s="54"/>
    </row>
    <row r="895" spans="1:64" ht="11.25" customHeight="1" x14ac:dyDescent="0.3">
      <c r="A895" s="54"/>
      <c r="B895" s="54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  <c r="AA895" s="54"/>
      <c r="AB895" s="54"/>
      <c r="AC895" s="54"/>
      <c r="AD895" s="54"/>
      <c r="AE895" s="54"/>
      <c r="AF895" s="54"/>
      <c r="AG895" s="54"/>
      <c r="AH895" s="54"/>
      <c r="AI895" s="54"/>
      <c r="AJ895" s="54"/>
      <c r="AK895" s="54"/>
      <c r="AL895" s="54"/>
      <c r="AM895" s="54"/>
      <c r="AN895" s="54"/>
      <c r="AO895" s="54"/>
      <c r="AP895" s="54"/>
      <c r="AQ895" s="54"/>
      <c r="AR895" s="54"/>
      <c r="AS895" s="54"/>
      <c r="AT895" s="54"/>
      <c r="AU895" s="54"/>
      <c r="AV895" s="54"/>
      <c r="AW895" s="54"/>
      <c r="AX895" s="54"/>
      <c r="AY895" s="54"/>
      <c r="AZ895" s="54"/>
      <c r="BA895" s="54"/>
      <c r="BB895" s="54"/>
      <c r="BC895" s="54"/>
      <c r="BD895" s="54"/>
      <c r="BE895" s="54"/>
      <c r="BF895" s="54"/>
      <c r="BG895" s="54"/>
      <c r="BH895" s="54"/>
      <c r="BI895" s="54"/>
      <c r="BJ895" s="54"/>
      <c r="BK895" s="54"/>
      <c r="BL895" s="54"/>
    </row>
    <row r="896" spans="1:64" ht="11.25" customHeight="1" x14ac:dyDescent="0.3">
      <c r="A896" s="54"/>
      <c r="B896" s="54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  <c r="AA896" s="54"/>
      <c r="AB896" s="54"/>
      <c r="AC896" s="54"/>
      <c r="AD896" s="54"/>
      <c r="AE896" s="54"/>
      <c r="AF896" s="54"/>
      <c r="AG896" s="54"/>
      <c r="AH896" s="54"/>
      <c r="AI896" s="54"/>
      <c r="AJ896" s="54"/>
      <c r="AK896" s="54"/>
      <c r="AL896" s="54"/>
      <c r="AM896" s="54"/>
      <c r="AN896" s="54"/>
      <c r="AO896" s="54"/>
      <c r="AP896" s="54"/>
      <c r="AQ896" s="54"/>
      <c r="AR896" s="54"/>
      <c r="AS896" s="54"/>
      <c r="AT896" s="54"/>
      <c r="AU896" s="54"/>
      <c r="AV896" s="54"/>
      <c r="AW896" s="54"/>
      <c r="AX896" s="54"/>
      <c r="AY896" s="54"/>
      <c r="AZ896" s="54"/>
      <c r="BA896" s="54"/>
      <c r="BB896" s="54"/>
      <c r="BC896" s="54"/>
      <c r="BD896" s="54"/>
      <c r="BE896" s="54"/>
      <c r="BF896" s="54"/>
      <c r="BG896" s="54"/>
      <c r="BH896" s="54"/>
      <c r="BI896" s="54"/>
      <c r="BJ896" s="54"/>
      <c r="BK896" s="54"/>
      <c r="BL896" s="54"/>
    </row>
    <row r="897" spans="1:64" ht="11.25" customHeight="1" x14ac:dyDescent="0.3">
      <c r="A897" s="54"/>
      <c r="B897" s="54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  <c r="AA897" s="54"/>
      <c r="AB897" s="54"/>
      <c r="AC897" s="54"/>
      <c r="AD897" s="54"/>
      <c r="AE897" s="54"/>
      <c r="AF897" s="54"/>
      <c r="AG897" s="54"/>
      <c r="AH897" s="54"/>
      <c r="AI897" s="54"/>
      <c r="AJ897" s="54"/>
      <c r="AK897" s="54"/>
      <c r="AL897" s="54"/>
      <c r="AM897" s="54"/>
      <c r="AN897" s="54"/>
      <c r="AO897" s="54"/>
      <c r="AP897" s="54"/>
      <c r="AQ897" s="54"/>
      <c r="AR897" s="54"/>
      <c r="AS897" s="54"/>
      <c r="AT897" s="54"/>
      <c r="AU897" s="54"/>
      <c r="AV897" s="54"/>
      <c r="AW897" s="54"/>
      <c r="AX897" s="54"/>
      <c r="AY897" s="54"/>
      <c r="AZ897" s="54"/>
      <c r="BA897" s="54"/>
      <c r="BB897" s="54"/>
      <c r="BC897" s="54"/>
      <c r="BD897" s="54"/>
      <c r="BE897" s="54"/>
      <c r="BF897" s="54"/>
      <c r="BG897" s="54"/>
      <c r="BH897" s="54"/>
      <c r="BI897" s="54"/>
      <c r="BJ897" s="54"/>
      <c r="BK897" s="54"/>
      <c r="BL897" s="54"/>
    </row>
    <row r="898" spans="1:64" ht="11.25" customHeight="1" x14ac:dyDescent="0.3">
      <c r="A898" s="54"/>
      <c r="B898" s="54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  <c r="AA898" s="54"/>
      <c r="AB898" s="54"/>
      <c r="AC898" s="54"/>
      <c r="AD898" s="54"/>
      <c r="AE898" s="54"/>
      <c r="AF898" s="54"/>
      <c r="AG898" s="54"/>
      <c r="AH898" s="54"/>
      <c r="AI898" s="54"/>
      <c r="AJ898" s="54"/>
      <c r="AK898" s="54"/>
      <c r="AL898" s="54"/>
      <c r="AM898" s="54"/>
      <c r="AN898" s="54"/>
      <c r="AO898" s="54"/>
      <c r="AP898" s="54"/>
      <c r="AQ898" s="54"/>
      <c r="AR898" s="54"/>
      <c r="AS898" s="54"/>
      <c r="AT898" s="54"/>
      <c r="AU898" s="54"/>
      <c r="AV898" s="54"/>
      <c r="AW898" s="54"/>
      <c r="AX898" s="54"/>
      <c r="AY898" s="54"/>
      <c r="AZ898" s="54"/>
      <c r="BA898" s="54"/>
      <c r="BB898" s="54"/>
      <c r="BC898" s="54"/>
      <c r="BD898" s="54"/>
      <c r="BE898" s="54"/>
      <c r="BF898" s="54"/>
      <c r="BG898" s="54"/>
      <c r="BH898" s="54"/>
      <c r="BI898" s="54"/>
      <c r="BJ898" s="54"/>
      <c r="BK898" s="54"/>
      <c r="BL898" s="54"/>
    </row>
    <row r="899" spans="1:64" ht="11.25" customHeight="1" x14ac:dyDescent="0.3">
      <c r="A899" s="54"/>
      <c r="B899" s="54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  <c r="AA899" s="54"/>
      <c r="AB899" s="54"/>
      <c r="AC899" s="54"/>
      <c r="AD899" s="54"/>
      <c r="AE899" s="54"/>
      <c r="AF899" s="54"/>
      <c r="AG899" s="54"/>
      <c r="AH899" s="54"/>
      <c r="AI899" s="54"/>
      <c r="AJ899" s="54"/>
      <c r="AK899" s="54"/>
      <c r="AL899" s="54"/>
      <c r="AM899" s="54"/>
      <c r="AN899" s="54"/>
      <c r="AO899" s="54"/>
      <c r="AP899" s="54"/>
      <c r="AQ899" s="54"/>
      <c r="AR899" s="54"/>
      <c r="AS899" s="54"/>
      <c r="AT899" s="54"/>
      <c r="AU899" s="54"/>
      <c r="AV899" s="54"/>
      <c r="AW899" s="54"/>
      <c r="AX899" s="54"/>
      <c r="AY899" s="54"/>
      <c r="AZ899" s="54"/>
      <c r="BA899" s="54"/>
      <c r="BB899" s="54"/>
      <c r="BC899" s="54"/>
      <c r="BD899" s="54"/>
      <c r="BE899" s="54"/>
      <c r="BF899" s="54"/>
      <c r="BG899" s="54"/>
      <c r="BH899" s="54"/>
      <c r="BI899" s="54"/>
      <c r="BJ899" s="54"/>
      <c r="BK899" s="54"/>
      <c r="BL899" s="54"/>
    </row>
    <row r="900" spans="1:64" ht="11.25" customHeight="1" x14ac:dyDescent="0.3">
      <c r="A900" s="54"/>
      <c r="B900" s="54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  <c r="AA900" s="54"/>
      <c r="AB900" s="54"/>
      <c r="AC900" s="54"/>
      <c r="AD900" s="54"/>
      <c r="AE900" s="54"/>
      <c r="AF900" s="54"/>
      <c r="AG900" s="54"/>
      <c r="AH900" s="54"/>
      <c r="AI900" s="54"/>
      <c r="AJ900" s="54"/>
      <c r="AK900" s="54"/>
      <c r="AL900" s="54"/>
      <c r="AM900" s="54"/>
      <c r="AN900" s="54"/>
      <c r="AO900" s="54"/>
      <c r="AP900" s="54"/>
      <c r="AQ900" s="54"/>
      <c r="AR900" s="54"/>
      <c r="AS900" s="54"/>
      <c r="AT900" s="54"/>
      <c r="AU900" s="54"/>
      <c r="AV900" s="54"/>
      <c r="AW900" s="54"/>
      <c r="AX900" s="54"/>
      <c r="AY900" s="54"/>
      <c r="AZ900" s="54"/>
      <c r="BA900" s="54"/>
      <c r="BB900" s="54"/>
      <c r="BC900" s="54"/>
      <c r="BD900" s="54"/>
      <c r="BE900" s="54"/>
      <c r="BF900" s="54"/>
      <c r="BG900" s="54"/>
      <c r="BH900" s="54"/>
      <c r="BI900" s="54"/>
      <c r="BJ900" s="54"/>
      <c r="BK900" s="54"/>
      <c r="BL900" s="54"/>
    </row>
    <row r="901" spans="1:64" ht="11.25" customHeight="1" x14ac:dyDescent="0.3">
      <c r="A901" s="54"/>
      <c r="B901" s="54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  <c r="AA901" s="54"/>
      <c r="AB901" s="54"/>
      <c r="AC901" s="54"/>
      <c r="AD901" s="54"/>
      <c r="AE901" s="54"/>
      <c r="AF901" s="54"/>
      <c r="AG901" s="54"/>
      <c r="AH901" s="54"/>
      <c r="AI901" s="54"/>
      <c r="AJ901" s="54"/>
      <c r="AK901" s="54"/>
      <c r="AL901" s="54"/>
      <c r="AM901" s="54"/>
      <c r="AN901" s="54"/>
      <c r="AO901" s="54"/>
      <c r="AP901" s="54"/>
      <c r="AQ901" s="54"/>
      <c r="AR901" s="54"/>
      <c r="AS901" s="54"/>
      <c r="AT901" s="54"/>
      <c r="AU901" s="54"/>
      <c r="AV901" s="54"/>
      <c r="AW901" s="54"/>
      <c r="AX901" s="54"/>
      <c r="AY901" s="54"/>
      <c r="AZ901" s="54"/>
      <c r="BA901" s="54"/>
      <c r="BB901" s="54"/>
      <c r="BC901" s="54"/>
      <c r="BD901" s="54"/>
      <c r="BE901" s="54"/>
      <c r="BF901" s="54"/>
      <c r="BG901" s="54"/>
      <c r="BH901" s="54"/>
      <c r="BI901" s="54"/>
      <c r="BJ901" s="54"/>
      <c r="BK901" s="54"/>
      <c r="BL901" s="54"/>
    </row>
    <row r="902" spans="1:64" ht="11.25" customHeight="1" x14ac:dyDescent="0.3">
      <c r="A902" s="54"/>
      <c r="B902" s="54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  <c r="AA902" s="54"/>
      <c r="AB902" s="54"/>
      <c r="AC902" s="54"/>
      <c r="AD902" s="54"/>
      <c r="AE902" s="54"/>
      <c r="AF902" s="54"/>
      <c r="AG902" s="54"/>
      <c r="AH902" s="54"/>
      <c r="AI902" s="54"/>
      <c r="AJ902" s="54"/>
      <c r="AK902" s="54"/>
      <c r="AL902" s="54"/>
      <c r="AM902" s="54"/>
      <c r="AN902" s="54"/>
      <c r="AO902" s="54"/>
      <c r="AP902" s="54"/>
      <c r="AQ902" s="54"/>
      <c r="AR902" s="54"/>
      <c r="AS902" s="54"/>
      <c r="AT902" s="54"/>
      <c r="AU902" s="54"/>
      <c r="AV902" s="54"/>
      <c r="AW902" s="54"/>
      <c r="AX902" s="54"/>
      <c r="AY902" s="54"/>
      <c r="AZ902" s="54"/>
      <c r="BA902" s="54"/>
      <c r="BB902" s="54"/>
      <c r="BC902" s="54"/>
      <c r="BD902" s="54"/>
      <c r="BE902" s="54"/>
      <c r="BF902" s="54"/>
      <c r="BG902" s="54"/>
      <c r="BH902" s="54"/>
      <c r="BI902" s="54"/>
      <c r="BJ902" s="54"/>
      <c r="BK902" s="54"/>
      <c r="BL902" s="54"/>
    </row>
    <row r="903" spans="1:64" ht="11.25" customHeight="1" x14ac:dyDescent="0.3">
      <c r="A903" s="54"/>
      <c r="B903" s="54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  <c r="AA903" s="54"/>
      <c r="AB903" s="54"/>
      <c r="AC903" s="54"/>
      <c r="AD903" s="54"/>
      <c r="AE903" s="54"/>
      <c r="AF903" s="54"/>
      <c r="AG903" s="54"/>
      <c r="AH903" s="54"/>
      <c r="AI903" s="54"/>
      <c r="AJ903" s="54"/>
      <c r="AK903" s="54"/>
      <c r="AL903" s="54"/>
      <c r="AM903" s="54"/>
      <c r="AN903" s="54"/>
      <c r="AO903" s="54"/>
      <c r="AP903" s="54"/>
      <c r="AQ903" s="54"/>
      <c r="AR903" s="54"/>
      <c r="AS903" s="54"/>
      <c r="AT903" s="54"/>
      <c r="AU903" s="54"/>
      <c r="AV903" s="54"/>
      <c r="AW903" s="54"/>
      <c r="AX903" s="54"/>
      <c r="AY903" s="54"/>
      <c r="AZ903" s="54"/>
      <c r="BA903" s="54"/>
      <c r="BB903" s="54"/>
      <c r="BC903" s="54"/>
      <c r="BD903" s="54"/>
      <c r="BE903" s="54"/>
      <c r="BF903" s="54"/>
      <c r="BG903" s="54"/>
      <c r="BH903" s="54"/>
      <c r="BI903" s="54"/>
      <c r="BJ903" s="54"/>
      <c r="BK903" s="54"/>
      <c r="BL903" s="54"/>
    </row>
    <row r="904" spans="1:64" ht="11.25" customHeight="1" x14ac:dyDescent="0.3">
      <c r="A904" s="54"/>
      <c r="B904" s="54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  <c r="AA904" s="54"/>
      <c r="AB904" s="54"/>
      <c r="AC904" s="54"/>
      <c r="AD904" s="54"/>
      <c r="AE904" s="54"/>
      <c r="AF904" s="54"/>
      <c r="AG904" s="54"/>
      <c r="AH904" s="54"/>
      <c r="AI904" s="54"/>
      <c r="AJ904" s="54"/>
      <c r="AK904" s="54"/>
      <c r="AL904" s="54"/>
      <c r="AM904" s="54"/>
      <c r="AN904" s="54"/>
      <c r="AO904" s="54"/>
      <c r="AP904" s="54"/>
      <c r="AQ904" s="54"/>
      <c r="AR904" s="54"/>
      <c r="AS904" s="54"/>
      <c r="AT904" s="54"/>
      <c r="AU904" s="54"/>
      <c r="AV904" s="54"/>
      <c r="AW904" s="54"/>
      <c r="AX904" s="54"/>
      <c r="AY904" s="54"/>
      <c r="AZ904" s="54"/>
      <c r="BA904" s="54"/>
      <c r="BB904" s="54"/>
      <c r="BC904" s="54"/>
      <c r="BD904" s="54"/>
      <c r="BE904" s="54"/>
      <c r="BF904" s="54"/>
      <c r="BG904" s="54"/>
      <c r="BH904" s="54"/>
      <c r="BI904" s="54"/>
      <c r="BJ904" s="54"/>
      <c r="BK904" s="54"/>
      <c r="BL904" s="54"/>
    </row>
    <row r="905" spans="1:64" ht="11.25" customHeight="1" x14ac:dyDescent="0.3">
      <c r="A905" s="54"/>
      <c r="B905" s="54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  <c r="AA905" s="54"/>
      <c r="AB905" s="54"/>
      <c r="AC905" s="54"/>
      <c r="AD905" s="54"/>
      <c r="AE905" s="54"/>
      <c r="AF905" s="54"/>
      <c r="AG905" s="54"/>
      <c r="AH905" s="54"/>
      <c r="AI905" s="54"/>
      <c r="AJ905" s="54"/>
      <c r="AK905" s="54"/>
      <c r="AL905" s="54"/>
      <c r="AM905" s="54"/>
      <c r="AN905" s="54"/>
      <c r="AO905" s="54"/>
      <c r="AP905" s="54"/>
      <c r="AQ905" s="54"/>
      <c r="AR905" s="54"/>
      <c r="AS905" s="54"/>
      <c r="AT905" s="54"/>
      <c r="AU905" s="54"/>
      <c r="AV905" s="54"/>
      <c r="AW905" s="54"/>
      <c r="AX905" s="54"/>
      <c r="AY905" s="54"/>
      <c r="AZ905" s="54"/>
      <c r="BA905" s="54"/>
      <c r="BB905" s="54"/>
      <c r="BC905" s="54"/>
      <c r="BD905" s="54"/>
      <c r="BE905" s="54"/>
      <c r="BF905" s="54"/>
      <c r="BG905" s="54"/>
      <c r="BH905" s="54"/>
      <c r="BI905" s="54"/>
      <c r="BJ905" s="54"/>
      <c r="BK905" s="54"/>
      <c r="BL905" s="54"/>
    </row>
    <row r="906" spans="1:64" ht="11.25" customHeight="1" x14ac:dyDescent="0.3">
      <c r="A906" s="54"/>
      <c r="B906" s="54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  <c r="AA906" s="54"/>
      <c r="AB906" s="54"/>
      <c r="AC906" s="54"/>
      <c r="AD906" s="54"/>
      <c r="AE906" s="54"/>
      <c r="AF906" s="54"/>
      <c r="AG906" s="54"/>
      <c r="AH906" s="54"/>
      <c r="AI906" s="54"/>
      <c r="AJ906" s="54"/>
      <c r="AK906" s="54"/>
      <c r="AL906" s="54"/>
      <c r="AM906" s="54"/>
      <c r="AN906" s="54"/>
      <c r="AO906" s="54"/>
      <c r="AP906" s="54"/>
      <c r="AQ906" s="54"/>
      <c r="AR906" s="54"/>
      <c r="AS906" s="54"/>
      <c r="AT906" s="54"/>
      <c r="AU906" s="54"/>
      <c r="AV906" s="54"/>
      <c r="AW906" s="54"/>
      <c r="AX906" s="54"/>
      <c r="AY906" s="54"/>
      <c r="AZ906" s="54"/>
      <c r="BA906" s="54"/>
      <c r="BB906" s="54"/>
      <c r="BC906" s="54"/>
      <c r="BD906" s="54"/>
      <c r="BE906" s="54"/>
      <c r="BF906" s="54"/>
      <c r="BG906" s="54"/>
      <c r="BH906" s="54"/>
      <c r="BI906" s="54"/>
      <c r="BJ906" s="54"/>
      <c r="BK906" s="54"/>
      <c r="BL906" s="54"/>
    </row>
    <row r="907" spans="1:64" ht="11.25" customHeight="1" x14ac:dyDescent="0.3">
      <c r="A907" s="54"/>
      <c r="B907" s="54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  <c r="AA907" s="54"/>
      <c r="AB907" s="54"/>
      <c r="AC907" s="54"/>
      <c r="AD907" s="54"/>
      <c r="AE907" s="54"/>
      <c r="AF907" s="54"/>
      <c r="AG907" s="54"/>
      <c r="AH907" s="54"/>
      <c r="AI907" s="54"/>
      <c r="AJ907" s="54"/>
      <c r="AK907" s="54"/>
      <c r="AL907" s="54"/>
      <c r="AM907" s="54"/>
      <c r="AN907" s="54"/>
      <c r="AO907" s="54"/>
      <c r="AP907" s="54"/>
      <c r="AQ907" s="54"/>
      <c r="AR907" s="54"/>
      <c r="AS907" s="54"/>
      <c r="AT907" s="54"/>
      <c r="AU907" s="54"/>
      <c r="AV907" s="54"/>
      <c r="AW907" s="54"/>
      <c r="AX907" s="54"/>
      <c r="AY907" s="54"/>
      <c r="AZ907" s="54"/>
      <c r="BA907" s="54"/>
      <c r="BB907" s="54"/>
      <c r="BC907" s="54"/>
      <c r="BD907" s="54"/>
      <c r="BE907" s="54"/>
      <c r="BF907" s="54"/>
      <c r="BG907" s="54"/>
      <c r="BH907" s="54"/>
      <c r="BI907" s="54"/>
      <c r="BJ907" s="54"/>
      <c r="BK907" s="54"/>
      <c r="BL907" s="54"/>
    </row>
    <row r="908" spans="1:64" ht="11.25" customHeight="1" x14ac:dyDescent="0.3">
      <c r="A908" s="54"/>
      <c r="B908" s="54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  <c r="AA908" s="54"/>
      <c r="AB908" s="54"/>
      <c r="AC908" s="54"/>
      <c r="AD908" s="54"/>
      <c r="AE908" s="54"/>
      <c r="AF908" s="54"/>
      <c r="AG908" s="54"/>
      <c r="AH908" s="54"/>
      <c r="AI908" s="54"/>
      <c r="AJ908" s="54"/>
      <c r="AK908" s="54"/>
      <c r="AL908" s="54"/>
      <c r="AM908" s="54"/>
      <c r="AN908" s="54"/>
      <c r="AO908" s="54"/>
      <c r="AP908" s="54"/>
      <c r="AQ908" s="54"/>
      <c r="AR908" s="54"/>
      <c r="AS908" s="54"/>
      <c r="AT908" s="54"/>
      <c r="AU908" s="54"/>
      <c r="AV908" s="54"/>
      <c r="AW908" s="54"/>
      <c r="AX908" s="54"/>
      <c r="AY908" s="54"/>
      <c r="AZ908" s="54"/>
      <c r="BA908" s="54"/>
      <c r="BB908" s="54"/>
      <c r="BC908" s="54"/>
      <c r="BD908" s="54"/>
      <c r="BE908" s="54"/>
      <c r="BF908" s="54"/>
      <c r="BG908" s="54"/>
      <c r="BH908" s="54"/>
      <c r="BI908" s="54"/>
      <c r="BJ908" s="54"/>
      <c r="BK908" s="54"/>
      <c r="BL908" s="54"/>
    </row>
    <row r="909" spans="1:64" ht="11.25" customHeight="1" x14ac:dyDescent="0.3">
      <c r="A909" s="54"/>
      <c r="B909" s="54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  <c r="AA909" s="54"/>
      <c r="AB909" s="54"/>
      <c r="AC909" s="54"/>
      <c r="AD909" s="54"/>
      <c r="AE909" s="54"/>
      <c r="AF909" s="54"/>
      <c r="AG909" s="54"/>
      <c r="AH909" s="54"/>
      <c r="AI909" s="54"/>
      <c r="AJ909" s="54"/>
      <c r="AK909" s="54"/>
      <c r="AL909" s="54"/>
      <c r="AM909" s="54"/>
      <c r="AN909" s="54"/>
      <c r="AO909" s="54"/>
      <c r="AP909" s="54"/>
      <c r="AQ909" s="54"/>
      <c r="AR909" s="54"/>
      <c r="AS909" s="54"/>
      <c r="AT909" s="54"/>
      <c r="AU909" s="54"/>
      <c r="AV909" s="54"/>
      <c r="AW909" s="54"/>
      <c r="AX909" s="54"/>
      <c r="AY909" s="54"/>
      <c r="AZ909" s="54"/>
      <c r="BA909" s="54"/>
      <c r="BB909" s="54"/>
      <c r="BC909" s="54"/>
      <c r="BD909" s="54"/>
      <c r="BE909" s="54"/>
      <c r="BF909" s="54"/>
      <c r="BG909" s="54"/>
      <c r="BH909" s="54"/>
      <c r="BI909" s="54"/>
      <c r="BJ909" s="54"/>
      <c r="BK909" s="54"/>
      <c r="BL909" s="54"/>
    </row>
    <row r="910" spans="1:64" ht="11.25" customHeight="1" x14ac:dyDescent="0.3">
      <c r="A910" s="54"/>
      <c r="B910" s="54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  <c r="AA910" s="54"/>
      <c r="AB910" s="54"/>
      <c r="AC910" s="54"/>
      <c r="AD910" s="54"/>
      <c r="AE910" s="54"/>
      <c r="AF910" s="54"/>
      <c r="AG910" s="54"/>
      <c r="AH910" s="54"/>
      <c r="AI910" s="54"/>
      <c r="AJ910" s="54"/>
      <c r="AK910" s="54"/>
      <c r="AL910" s="54"/>
      <c r="AM910" s="54"/>
      <c r="AN910" s="54"/>
      <c r="AO910" s="54"/>
      <c r="AP910" s="54"/>
      <c r="AQ910" s="54"/>
      <c r="AR910" s="54"/>
      <c r="AS910" s="54"/>
      <c r="AT910" s="54"/>
      <c r="AU910" s="54"/>
      <c r="AV910" s="54"/>
      <c r="AW910" s="54"/>
      <c r="AX910" s="54"/>
      <c r="AY910" s="54"/>
      <c r="AZ910" s="54"/>
      <c r="BA910" s="54"/>
      <c r="BB910" s="54"/>
      <c r="BC910" s="54"/>
      <c r="BD910" s="54"/>
      <c r="BE910" s="54"/>
      <c r="BF910" s="54"/>
      <c r="BG910" s="54"/>
      <c r="BH910" s="54"/>
      <c r="BI910" s="54"/>
      <c r="BJ910" s="54"/>
      <c r="BK910" s="54"/>
      <c r="BL910" s="54"/>
    </row>
    <row r="911" spans="1:64" ht="11.25" customHeight="1" x14ac:dyDescent="0.3">
      <c r="A911" s="54"/>
      <c r="B911" s="54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  <c r="AA911" s="54"/>
      <c r="AB911" s="54"/>
      <c r="AC911" s="54"/>
      <c r="AD911" s="54"/>
      <c r="AE911" s="54"/>
      <c r="AF911" s="54"/>
      <c r="AG911" s="54"/>
      <c r="AH911" s="54"/>
      <c r="AI911" s="54"/>
      <c r="AJ911" s="54"/>
      <c r="AK911" s="54"/>
      <c r="AL911" s="54"/>
      <c r="AM911" s="54"/>
      <c r="AN911" s="54"/>
      <c r="AO911" s="54"/>
      <c r="AP911" s="54"/>
      <c r="AQ911" s="54"/>
      <c r="AR911" s="54"/>
      <c r="AS911" s="54"/>
      <c r="AT911" s="54"/>
      <c r="AU911" s="54"/>
      <c r="AV911" s="54"/>
      <c r="AW911" s="54"/>
      <c r="AX911" s="54"/>
      <c r="AY911" s="54"/>
      <c r="AZ911" s="54"/>
      <c r="BA911" s="54"/>
      <c r="BB911" s="54"/>
      <c r="BC911" s="54"/>
      <c r="BD911" s="54"/>
      <c r="BE911" s="54"/>
      <c r="BF911" s="54"/>
      <c r="BG911" s="54"/>
      <c r="BH911" s="54"/>
      <c r="BI911" s="54"/>
      <c r="BJ911" s="54"/>
      <c r="BK911" s="54"/>
      <c r="BL911" s="54"/>
    </row>
    <row r="912" spans="1:64" ht="11.25" customHeight="1" x14ac:dyDescent="0.3">
      <c r="A912" s="54"/>
      <c r="B912" s="54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  <c r="AA912" s="54"/>
      <c r="AB912" s="54"/>
      <c r="AC912" s="54"/>
      <c r="AD912" s="54"/>
      <c r="AE912" s="54"/>
      <c r="AF912" s="54"/>
      <c r="AG912" s="54"/>
      <c r="AH912" s="54"/>
      <c r="AI912" s="54"/>
      <c r="AJ912" s="54"/>
      <c r="AK912" s="54"/>
      <c r="AL912" s="54"/>
      <c r="AM912" s="54"/>
      <c r="AN912" s="54"/>
      <c r="AO912" s="54"/>
      <c r="AP912" s="54"/>
      <c r="AQ912" s="54"/>
      <c r="AR912" s="54"/>
      <c r="AS912" s="54"/>
      <c r="AT912" s="54"/>
      <c r="AU912" s="54"/>
      <c r="AV912" s="54"/>
      <c r="AW912" s="54"/>
      <c r="AX912" s="54"/>
      <c r="AY912" s="54"/>
      <c r="AZ912" s="54"/>
      <c r="BA912" s="54"/>
      <c r="BB912" s="54"/>
      <c r="BC912" s="54"/>
      <c r="BD912" s="54"/>
      <c r="BE912" s="54"/>
      <c r="BF912" s="54"/>
      <c r="BG912" s="54"/>
      <c r="BH912" s="54"/>
      <c r="BI912" s="54"/>
      <c r="BJ912" s="54"/>
      <c r="BK912" s="54"/>
      <c r="BL912" s="54"/>
    </row>
    <row r="913" spans="1:64" ht="11.25" customHeight="1" x14ac:dyDescent="0.3">
      <c r="A913" s="54"/>
      <c r="B913" s="54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  <c r="AA913" s="54"/>
      <c r="AB913" s="54"/>
      <c r="AC913" s="54"/>
      <c r="AD913" s="54"/>
      <c r="AE913" s="54"/>
      <c r="AF913" s="54"/>
      <c r="AG913" s="54"/>
      <c r="AH913" s="54"/>
      <c r="AI913" s="54"/>
      <c r="AJ913" s="54"/>
      <c r="AK913" s="54"/>
      <c r="AL913" s="54"/>
      <c r="AM913" s="54"/>
      <c r="AN913" s="54"/>
      <c r="AO913" s="54"/>
      <c r="AP913" s="54"/>
      <c r="AQ913" s="54"/>
      <c r="AR913" s="54"/>
      <c r="AS913" s="54"/>
      <c r="AT913" s="54"/>
      <c r="AU913" s="54"/>
      <c r="AV913" s="54"/>
      <c r="AW913" s="54"/>
      <c r="AX913" s="54"/>
      <c r="AY913" s="54"/>
      <c r="AZ913" s="54"/>
      <c r="BA913" s="54"/>
      <c r="BB913" s="54"/>
      <c r="BC913" s="54"/>
      <c r="BD913" s="54"/>
      <c r="BE913" s="54"/>
      <c r="BF913" s="54"/>
      <c r="BG913" s="54"/>
      <c r="BH913" s="54"/>
      <c r="BI913" s="54"/>
      <c r="BJ913" s="54"/>
      <c r="BK913" s="54"/>
      <c r="BL913" s="54"/>
    </row>
    <row r="914" spans="1:64" ht="11.25" customHeight="1" x14ac:dyDescent="0.3">
      <c r="A914" s="54"/>
      <c r="B914" s="54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  <c r="AA914" s="54"/>
      <c r="AB914" s="54"/>
      <c r="AC914" s="54"/>
      <c r="AD914" s="54"/>
      <c r="AE914" s="54"/>
      <c r="AF914" s="54"/>
      <c r="AG914" s="54"/>
      <c r="AH914" s="54"/>
      <c r="AI914" s="54"/>
      <c r="AJ914" s="54"/>
      <c r="AK914" s="54"/>
      <c r="AL914" s="54"/>
      <c r="AM914" s="54"/>
      <c r="AN914" s="54"/>
      <c r="AO914" s="54"/>
      <c r="AP914" s="54"/>
      <c r="AQ914" s="54"/>
      <c r="AR914" s="54"/>
      <c r="AS914" s="54"/>
      <c r="AT914" s="54"/>
      <c r="AU914" s="54"/>
      <c r="AV914" s="54"/>
      <c r="AW914" s="54"/>
      <c r="AX914" s="54"/>
      <c r="AY914" s="54"/>
      <c r="AZ914" s="54"/>
      <c r="BA914" s="54"/>
      <c r="BB914" s="54"/>
      <c r="BC914" s="54"/>
      <c r="BD914" s="54"/>
      <c r="BE914" s="54"/>
      <c r="BF914" s="54"/>
      <c r="BG914" s="54"/>
      <c r="BH914" s="54"/>
      <c r="BI914" s="54"/>
      <c r="BJ914" s="54"/>
      <c r="BK914" s="54"/>
      <c r="BL914" s="54"/>
    </row>
    <row r="915" spans="1:64" ht="11.25" customHeight="1" x14ac:dyDescent="0.3">
      <c r="A915" s="54"/>
      <c r="B915" s="54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  <c r="AA915" s="54"/>
      <c r="AB915" s="54"/>
      <c r="AC915" s="54"/>
      <c r="AD915" s="54"/>
      <c r="AE915" s="54"/>
      <c r="AF915" s="54"/>
      <c r="AG915" s="54"/>
      <c r="AH915" s="54"/>
      <c r="AI915" s="54"/>
      <c r="AJ915" s="54"/>
      <c r="AK915" s="54"/>
      <c r="AL915" s="54"/>
      <c r="AM915" s="54"/>
      <c r="AN915" s="54"/>
      <c r="AO915" s="54"/>
      <c r="AP915" s="54"/>
      <c r="AQ915" s="54"/>
      <c r="AR915" s="54"/>
      <c r="AS915" s="54"/>
      <c r="AT915" s="54"/>
      <c r="AU915" s="54"/>
      <c r="AV915" s="54"/>
      <c r="AW915" s="54"/>
      <c r="AX915" s="54"/>
      <c r="AY915" s="54"/>
      <c r="AZ915" s="54"/>
      <c r="BA915" s="54"/>
      <c r="BB915" s="54"/>
      <c r="BC915" s="54"/>
      <c r="BD915" s="54"/>
      <c r="BE915" s="54"/>
      <c r="BF915" s="54"/>
      <c r="BG915" s="54"/>
      <c r="BH915" s="54"/>
      <c r="BI915" s="54"/>
      <c r="BJ915" s="54"/>
      <c r="BK915" s="54"/>
      <c r="BL915" s="54"/>
    </row>
    <row r="916" spans="1:64" ht="11.25" customHeight="1" x14ac:dyDescent="0.3">
      <c r="A916" s="54"/>
      <c r="B916" s="54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  <c r="AA916" s="54"/>
      <c r="AB916" s="54"/>
      <c r="AC916" s="54"/>
      <c r="AD916" s="54"/>
      <c r="AE916" s="54"/>
      <c r="AF916" s="54"/>
      <c r="AG916" s="54"/>
      <c r="AH916" s="54"/>
      <c r="AI916" s="54"/>
      <c r="AJ916" s="54"/>
      <c r="AK916" s="54"/>
      <c r="AL916" s="54"/>
      <c r="AM916" s="54"/>
      <c r="AN916" s="54"/>
      <c r="AO916" s="54"/>
      <c r="AP916" s="54"/>
      <c r="AQ916" s="54"/>
      <c r="AR916" s="54"/>
      <c r="AS916" s="54"/>
      <c r="AT916" s="54"/>
      <c r="AU916" s="54"/>
      <c r="AV916" s="54"/>
      <c r="AW916" s="54"/>
      <c r="AX916" s="54"/>
      <c r="AY916" s="54"/>
      <c r="AZ916" s="54"/>
      <c r="BA916" s="54"/>
      <c r="BB916" s="54"/>
      <c r="BC916" s="54"/>
      <c r="BD916" s="54"/>
      <c r="BE916" s="54"/>
      <c r="BF916" s="54"/>
      <c r="BG916" s="54"/>
      <c r="BH916" s="54"/>
      <c r="BI916" s="54"/>
      <c r="BJ916" s="54"/>
      <c r="BK916" s="54"/>
      <c r="BL916" s="54"/>
    </row>
    <row r="917" spans="1:64" ht="11.25" customHeight="1" x14ac:dyDescent="0.3">
      <c r="A917" s="54"/>
      <c r="B917" s="54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  <c r="AA917" s="54"/>
      <c r="AB917" s="54"/>
      <c r="AC917" s="54"/>
      <c r="AD917" s="54"/>
      <c r="AE917" s="54"/>
      <c r="AF917" s="54"/>
      <c r="AG917" s="54"/>
      <c r="AH917" s="54"/>
      <c r="AI917" s="54"/>
      <c r="AJ917" s="54"/>
      <c r="AK917" s="54"/>
      <c r="AL917" s="54"/>
      <c r="AM917" s="54"/>
      <c r="AN917" s="54"/>
      <c r="AO917" s="54"/>
      <c r="AP917" s="54"/>
      <c r="AQ917" s="54"/>
      <c r="AR917" s="54"/>
      <c r="AS917" s="54"/>
      <c r="AT917" s="54"/>
      <c r="AU917" s="54"/>
      <c r="AV917" s="54"/>
      <c r="AW917" s="54"/>
      <c r="AX917" s="54"/>
      <c r="AY917" s="54"/>
      <c r="AZ917" s="54"/>
      <c r="BA917" s="54"/>
      <c r="BB917" s="54"/>
      <c r="BC917" s="54"/>
      <c r="BD917" s="54"/>
      <c r="BE917" s="54"/>
      <c r="BF917" s="54"/>
      <c r="BG917" s="54"/>
      <c r="BH917" s="54"/>
      <c r="BI917" s="54"/>
      <c r="BJ917" s="54"/>
      <c r="BK917" s="54"/>
      <c r="BL917" s="54"/>
    </row>
    <row r="918" spans="1:64" ht="11.25" customHeight="1" x14ac:dyDescent="0.3">
      <c r="A918" s="54"/>
      <c r="B918" s="54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  <c r="AA918" s="54"/>
      <c r="AB918" s="54"/>
      <c r="AC918" s="54"/>
      <c r="AD918" s="54"/>
      <c r="AE918" s="54"/>
      <c r="AF918" s="54"/>
      <c r="AG918" s="54"/>
      <c r="AH918" s="54"/>
      <c r="AI918" s="54"/>
      <c r="AJ918" s="54"/>
      <c r="AK918" s="54"/>
      <c r="AL918" s="54"/>
      <c r="AM918" s="54"/>
      <c r="AN918" s="54"/>
      <c r="AO918" s="54"/>
      <c r="AP918" s="54"/>
      <c r="AQ918" s="54"/>
      <c r="AR918" s="54"/>
      <c r="AS918" s="54"/>
      <c r="AT918" s="54"/>
      <c r="AU918" s="54"/>
      <c r="AV918" s="54"/>
      <c r="AW918" s="54"/>
      <c r="AX918" s="54"/>
      <c r="AY918" s="54"/>
      <c r="AZ918" s="54"/>
      <c r="BA918" s="54"/>
      <c r="BB918" s="54"/>
      <c r="BC918" s="54"/>
      <c r="BD918" s="54"/>
      <c r="BE918" s="54"/>
      <c r="BF918" s="54"/>
      <c r="BG918" s="54"/>
      <c r="BH918" s="54"/>
      <c r="BI918" s="54"/>
      <c r="BJ918" s="54"/>
      <c r="BK918" s="54"/>
      <c r="BL918" s="54"/>
    </row>
    <row r="919" spans="1:64" ht="11.25" customHeight="1" x14ac:dyDescent="0.3">
      <c r="A919" s="54"/>
      <c r="B919" s="54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  <c r="AA919" s="54"/>
      <c r="AB919" s="54"/>
      <c r="AC919" s="54"/>
      <c r="AD919" s="54"/>
      <c r="AE919" s="54"/>
      <c r="AF919" s="54"/>
      <c r="AG919" s="54"/>
      <c r="AH919" s="54"/>
      <c r="AI919" s="54"/>
      <c r="AJ919" s="54"/>
      <c r="AK919" s="54"/>
      <c r="AL919" s="54"/>
      <c r="AM919" s="54"/>
      <c r="AN919" s="54"/>
      <c r="AO919" s="54"/>
      <c r="AP919" s="54"/>
      <c r="AQ919" s="54"/>
      <c r="AR919" s="54"/>
      <c r="AS919" s="54"/>
      <c r="AT919" s="54"/>
      <c r="AU919" s="54"/>
      <c r="AV919" s="54"/>
      <c r="AW919" s="54"/>
      <c r="AX919" s="54"/>
      <c r="AY919" s="54"/>
      <c r="AZ919" s="54"/>
      <c r="BA919" s="54"/>
      <c r="BB919" s="54"/>
      <c r="BC919" s="54"/>
      <c r="BD919" s="54"/>
      <c r="BE919" s="54"/>
      <c r="BF919" s="54"/>
      <c r="BG919" s="54"/>
      <c r="BH919" s="54"/>
      <c r="BI919" s="54"/>
      <c r="BJ919" s="54"/>
      <c r="BK919" s="54"/>
      <c r="BL919" s="54"/>
    </row>
    <row r="920" spans="1:64" ht="11.25" customHeight="1" x14ac:dyDescent="0.3">
      <c r="A920" s="54"/>
      <c r="B920" s="54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  <c r="AA920" s="54"/>
      <c r="AB920" s="54"/>
      <c r="AC920" s="54"/>
      <c r="AD920" s="54"/>
      <c r="AE920" s="54"/>
      <c r="AF920" s="54"/>
      <c r="AG920" s="54"/>
      <c r="AH920" s="54"/>
      <c r="AI920" s="54"/>
      <c r="AJ920" s="54"/>
      <c r="AK920" s="54"/>
      <c r="AL920" s="54"/>
      <c r="AM920" s="54"/>
      <c r="AN920" s="54"/>
      <c r="AO920" s="54"/>
      <c r="AP920" s="54"/>
      <c r="AQ920" s="54"/>
      <c r="AR920" s="54"/>
      <c r="AS920" s="54"/>
      <c r="AT920" s="54"/>
      <c r="AU920" s="54"/>
      <c r="AV920" s="54"/>
      <c r="AW920" s="54"/>
      <c r="AX920" s="54"/>
      <c r="AY920" s="54"/>
      <c r="AZ920" s="54"/>
      <c r="BA920" s="54"/>
      <c r="BB920" s="54"/>
      <c r="BC920" s="54"/>
      <c r="BD920" s="54"/>
      <c r="BE920" s="54"/>
      <c r="BF920" s="54"/>
      <c r="BG920" s="54"/>
      <c r="BH920" s="54"/>
      <c r="BI920" s="54"/>
      <c r="BJ920" s="54"/>
      <c r="BK920" s="54"/>
      <c r="BL920" s="54"/>
    </row>
    <row r="921" spans="1:64" ht="11.25" customHeight="1" x14ac:dyDescent="0.3">
      <c r="A921" s="54"/>
      <c r="B921" s="54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  <c r="AA921" s="54"/>
      <c r="AB921" s="54"/>
      <c r="AC921" s="54"/>
      <c r="AD921" s="54"/>
      <c r="AE921" s="54"/>
      <c r="AF921" s="54"/>
      <c r="AG921" s="54"/>
      <c r="AH921" s="54"/>
      <c r="AI921" s="54"/>
      <c r="AJ921" s="54"/>
      <c r="AK921" s="54"/>
      <c r="AL921" s="54"/>
      <c r="AM921" s="54"/>
      <c r="AN921" s="54"/>
      <c r="AO921" s="54"/>
      <c r="AP921" s="54"/>
      <c r="AQ921" s="54"/>
      <c r="AR921" s="54"/>
      <c r="AS921" s="54"/>
      <c r="AT921" s="54"/>
      <c r="AU921" s="54"/>
      <c r="AV921" s="54"/>
      <c r="AW921" s="54"/>
      <c r="AX921" s="54"/>
      <c r="AY921" s="54"/>
      <c r="AZ921" s="54"/>
      <c r="BA921" s="54"/>
      <c r="BB921" s="54"/>
      <c r="BC921" s="54"/>
      <c r="BD921" s="54"/>
      <c r="BE921" s="54"/>
      <c r="BF921" s="54"/>
      <c r="BG921" s="54"/>
      <c r="BH921" s="54"/>
      <c r="BI921" s="54"/>
      <c r="BJ921" s="54"/>
      <c r="BK921" s="54"/>
      <c r="BL921" s="54"/>
    </row>
    <row r="922" spans="1:64" ht="11.25" customHeight="1" x14ac:dyDescent="0.3">
      <c r="A922" s="54"/>
      <c r="B922" s="54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  <c r="AA922" s="54"/>
      <c r="AB922" s="54"/>
      <c r="AC922" s="54"/>
      <c r="AD922" s="54"/>
      <c r="AE922" s="54"/>
      <c r="AF922" s="54"/>
      <c r="AG922" s="54"/>
      <c r="AH922" s="54"/>
      <c r="AI922" s="54"/>
      <c r="AJ922" s="54"/>
      <c r="AK922" s="54"/>
      <c r="AL922" s="54"/>
      <c r="AM922" s="54"/>
      <c r="AN922" s="54"/>
      <c r="AO922" s="54"/>
      <c r="AP922" s="54"/>
      <c r="AQ922" s="54"/>
      <c r="AR922" s="54"/>
      <c r="AS922" s="54"/>
      <c r="AT922" s="54"/>
      <c r="AU922" s="54"/>
      <c r="AV922" s="54"/>
      <c r="AW922" s="54"/>
      <c r="AX922" s="54"/>
      <c r="AY922" s="54"/>
      <c r="AZ922" s="54"/>
      <c r="BA922" s="54"/>
      <c r="BB922" s="54"/>
      <c r="BC922" s="54"/>
      <c r="BD922" s="54"/>
      <c r="BE922" s="54"/>
      <c r="BF922" s="54"/>
      <c r="BG922" s="54"/>
      <c r="BH922" s="54"/>
      <c r="BI922" s="54"/>
      <c r="BJ922" s="54"/>
      <c r="BK922" s="54"/>
      <c r="BL922" s="54"/>
    </row>
    <row r="923" spans="1:64" ht="11.25" customHeight="1" x14ac:dyDescent="0.3">
      <c r="A923" s="54"/>
      <c r="B923" s="54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  <c r="AA923" s="54"/>
      <c r="AB923" s="54"/>
      <c r="AC923" s="54"/>
      <c r="AD923" s="54"/>
      <c r="AE923" s="54"/>
      <c r="AF923" s="54"/>
      <c r="AG923" s="54"/>
      <c r="AH923" s="54"/>
      <c r="AI923" s="54"/>
      <c r="AJ923" s="54"/>
      <c r="AK923" s="54"/>
      <c r="AL923" s="54"/>
      <c r="AM923" s="54"/>
      <c r="AN923" s="54"/>
      <c r="AO923" s="54"/>
      <c r="AP923" s="54"/>
      <c r="AQ923" s="54"/>
      <c r="AR923" s="54"/>
      <c r="AS923" s="54"/>
      <c r="AT923" s="54"/>
      <c r="AU923" s="54"/>
      <c r="AV923" s="54"/>
      <c r="AW923" s="54"/>
      <c r="AX923" s="54"/>
      <c r="AY923" s="54"/>
      <c r="AZ923" s="54"/>
      <c r="BA923" s="54"/>
      <c r="BB923" s="54"/>
      <c r="BC923" s="54"/>
      <c r="BD923" s="54"/>
      <c r="BE923" s="54"/>
      <c r="BF923" s="54"/>
      <c r="BG923" s="54"/>
      <c r="BH923" s="54"/>
      <c r="BI923" s="54"/>
      <c r="BJ923" s="54"/>
      <c r="BK923" s="54"/>
      <c r="BL923" s="54"/>
    </row>
    <row r="924" spans="1:64" ht="11.25" customHeight="1" x14ac:dyDescent="0.3">
      <c r="A924" s="54"/>
      <c r="B924" s="54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  <c r="AA924" s="54"/>
      <c r="AB924" s="54"/>
      <c r="AC924" s="54"/>
      <c r="AD924" s="54"/>
      <c r="AE924" s="54"/>
      <c r="AF924" s="54"/>
      <c r="AG924" s="54"/>
      <c r="AH924" s="54"/>
      <c r="AI924" s="54"/>
      <c r="AJ924" s="54"/>
      <c r="AK924" s="54"/>
      <c r="AL924" s="54"/>
      <c r="AM924" s="54"/>
      <c r="AN924" s="54"/>
      <c r="AO924" s="54"/>
      <c r="AP924" s="54"/>
      <c r="AQ924" s="54"/>
      <c r="AR924" s="54"/>
      <c r="AS924" s="54"/>
      <c r="AT924" s="54"/>
      <c r="AU924" s="54"/>
      <c r="AV924" s="54"/>
      <c r="AW924" s="54"/>
      <c r="AX924" s="54"/>
      <c r="AY924" s="54"/>
      <c r="AZ924" s="54"/>
      <c r="BA924" s="54"/>
      <c r="BB924" s="54"/>
      <c r="BC924" s="54"/>
      <c r="BD924" s="54"/>
      <c r="BE924" s="54"/>
      <c r="BF924" s="54"/>
      <c r="BG924" s="54"/>
      <c r="BH924" s="54"/>
      <c r="BI924" s="54"/>
      <c r="BJ924" s="54"/>
      <c r="BK924" s="54"/>
      <c r="BL924" s="54"/>
    </row>
    <row r="925" spans="1:64" ht="11.25" customHeight="1" x14ac:dyDescent="0.3">
      <c r="A925" s="54"/>
      <c r="B925" s="54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  <c r="AA925" s="54"/>
      <c r="AB925" s="54"/>
      <c r="AC925" s="54"/>
      <c r="AD925" s="54"/>
      <c r="AE925" s="54"/>
      <c r="AF925" s="54"/>
      <c r="AG925" s="54"/>
      <c r="AH925" s="54"/>
      <c r="AI925" s="54"/>
      <c r="AJ925" s="54"/>
      <c r="AK925" s="54"/>
      <c r="AL925" s="54"/>
      <c r="AM925" s="54"/>
      <c r="AN925" s="54"/>
      <c r="AO925" s="54"/>
      <c r="AP925" s="54"/>
      <c r="AQ925" s="54"/>
      <c r="AR925" s="54"/>
      <c r="AS925" s="54"/>
      <c r="AT925" s="54"/>
      <c r="AU925" s="54"/>
      <c r="AV925" s="54"/>
      <c r="AW925" s="54"/>
      <c r="AX925" s="54"/>
      <c r="AY925" s="54"/>
      <c r="AZ925" s="54"/>
      <c r="BA925" s="54"/>
      <c r="BB925" s="54"/>
      <c r="BC925" s="54"/>
      <c r="BD925" s="54"/>
      <c r="BE925" s="54"/>
      <c r="BF925" s="54"/>
      <c r="BG925" s="54"/>
      <c r="BH925" s="54"/>
      <c r="BI925" s="54"/>
      <c r="BJ925" s="54"/>
      <c r="BK925" s="54"/>
      <c r="BL925" s="54"/>
    </row>
    <row r="926" spans="1:64" ht="11.25" customHeight="1" x14ac:dyDescent="0.3">
      <c r="A926" s="54"/>
      <c r="B926" s="54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  <c r="AA926" s="54"/>
      <c r="AB926" s="54"/>
      <c r="AC926" s="54"/>
      <c r="AD926" s="54"/>
      <c r="AE926" s="54"/>
      <c r="AF926" s="54"/>
      <c r="AG926" s="54"/>
      <c r="AH926" s="54"/>
      <c r="AI926" s="54"/>
      <c r="AJ926" s="54"/>
      <c r="AK926" s="54"/>
      <c r="AL926" s="54"/>
      <c r="AM926" s="54"/>
      <c r="AN926" s="54"/>
      <c r="AO926" s="54"/>
      <c r="AP926" s="54"/>
      <c r="AQ926" s="54"/>
      <c r="AR926" s="54"/>
      <c r="AS926" s="54"/>
      <c r="AT926" s="54"/>
      <c r="AU926" s="54"/>
      <c r="AV926" s="54"/>
      <c r="AW926" s="54"/>
      <c r="AX926" s="54"/>
      <c r="AY926" s="54"/>
      <c r="AZ926" s="54"/>
      <c r="BA926" s="54"/>
      <c r="BB926" s="54"/>
      <c r="BC926" s="54"/>
      <c r="BD926" s="54"/>
      <c r="BE926" s="54"/>
      <c r="BF926" s="54"/>
      <c r="BG926" s="54"/>
      <c r="BH926" s="54"/>
      <c r="BI926" s="54"/>
      <c r="BJ926" s="54"/>
      <c r="BK926" s="54"/>
      <c r="BL926" s="54"/>
    </row>
    <row r="927" spans="1:64" ht="11.25" customHeight="1" x14ac:dyDescent="0.3">
      <c r="A927" s="54"/>
      <c r="B927" s="54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  <c r="AA927" s="54"/>
      <c r="AB927" s="54"/>
      <c r="AC927" s="54"/>
      <c r="AD927" s="54"/>
      <c r="AE927" s="54"/>
      <c r="AF927" s="54"/>
      <c r="AG927" s="54"/>
      <c r="AH927" s="54"/>
      <c r="AI927" s="54"/>
      <c r="AJ927" s="54"/>
      <c r="AK927" s="54"/>
      <c r="AL927" s="54"/>
      <c r="AM927" s="54"/>
      <c r="AN927" s="54"/>
      <c r="AO927" s="54"/>
      <c r="AP927" s="54"/>
      <c r="AQ927" s="54"/>
      <c r="AR927" s="54"/>
      <c r="AS927" s="54"/>
      <c r="AT927" s="54"/>
      <c r="AU927" s="54"/>
      <c r="AV927" s="54"/>
      <c r="AW927" s="54"/>
      <c r="AX927" s="54"/>
      <c r="AY927" s="54"/>
      <c r="AZ927" s="54"/>
      <c r="BA927" s="54"/>
      <c r="BB927" s="54"/>
      <c r="BC927" s="54"/>
      <c r="BD927" s="54"/>
      <c r="BE927" s="54"/>
      <c r="BF927" s="54"/>
      <c r="BG927" s="54"/>
      <c r="BH927" s="54"/>
      <c r="BI927" s="54"/>
      <c r="BJ927" s="54"/>
      <c r="BK927" s="54"/>
      <c r="BL927" s="54"/>
    </row>
    <row r="928" spans="1:64" ht="11.25" customHeight="1" x14ac:dyDescent="0.3">
      <c r="A928" s="54"/>
      <c r="B928" s="54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  <c r="AA928" s="54"/>
      <c r="AB928" s="54"/>
      <c r="AC928" s="54"/>
      <c r="AD928" s="54"/>
      <c r="AE928" s="54"/>
      <c r="AF928" s="54"/>
      <c r="AG928" s="54"/>
      <c r="AH928" s="54"/>
      <c r="AI928" s="54"/>
      <c r="AJ928" s="54"/>
      <c r="AK928" s="54"/>
      <c r="AL928" s="54"/>
      <c r="AM928" s="54"/>
      <c r="AN928" s="54"/>
      <c r="AO928" s="54"/>
      <c r="AP928" s="54"/>
      <c r="AQ928" s="54"/>
      <c r="AR928" s="54"/>
      <c r="AS928" s="54"/>
      <c r="AT928" s="54"/>
      <c r="AU928" s="54"/>
      <c r="AV928" s="54"/>
      <c r="AW928" s="54"/>
      <c r="AX928" s="54"/>
      <c r="AY928" s="54"/>
      <c r="AZ928" s="54"/>
      <c r="BA928" s="54"/>
      <c r="BB928" s="54"/>
      <c r="BC928" s="54"/>
      <c r="BD928" s="54"/>
      <c r="BE928" s="54"/>
      <c r="BF928" s="54"/>
      <c r="BG928" s="54"/>
      <c r="BH928" s="54"/>
      <c r="BI928" s="54"/>
      <c r="BJ928" s="54"/>
      <c r="BK928" s="54"/>
      <c r="BL928" s="54"/>
    </row>
    <row r="929" spans="1:64" ht="11.25" customHeight="1" x14ac:dyDescent="0.3">
      <c r="A929" s="54"/>
      <c r="B929" s="54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  <c r="AA929" s="54"/>
      <c r="AB929" s="54"/>
      <c r="AC929" s="54"/>
      <c r="AD929" s="54"/>
      <c r="AE929" s="54"/>
      <c r="AF929" s="54"/>
      <c r="AG929" s="54"/>
      <c r="AH929" s="54"/>
      <c r="AI929" s="54"/>
      <c r="AJ929" s="54"/>
      <c r="AK929" s="54"/>
      <c r="AL929" s="54"/>
      <c r="AM929" s="54"/>
      <c r="AN929" s="54"/>
      <c r="AO929" s="54"/>
      <c r="AP929" s="54"/>
      <c r="AQ929" s="54"/>
      <c r="AR929" s="54"/>
      <c r="AS929" s="54"/>
      <c r="AT929" s="54"/>
      <c r="AU929" s="54"/>
      <c r="AV929" s="54"/>
      <c r="AW929" s="54"/>
      <c r="AX929" s="54"/>
      <c r="AY929" s="54"/>
      <c r="AZ929" s="54"/>
      <c r="BA929" s="54"/>
      <c r="BB929" s="54"/>
      <c r="BC929" s="54"/>
      <c r="BD929" s="54"/>
      <c r="BE929" s="54"/>
      <c r="BF929" s="54"/>
      <c r="BG929" s="54"/>
      <c r="BH929" s="54"/>
      <c r="BI929" s="54"/>
      <c r="BJ929" s="54"/>
      <c r="BK929" s="54"/>
      <c r="BL929" s="54"/>
    </row>
    <row r="930" spans="1:64" ht="11.25" customHeight="1" x14ac:dyDescent="0.3">
      <c r="A930" s="54"/>
      <c r="B930" s="54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  <c r="AA930" s="54"/>
      <c r="AB930" s="54"/>
      <c r="AC930" s="54"/>
      <c r="AD930" s="54"/>
      <c r="AE930" s="54"/>
      <c r="AF930" s="54"/>
      <c r="AG930" s="54"/>
      <c r="AH930" s="54"/>
      <c r="AI930" s="54"/>
      <c r="AJ930" s="54"/>
      <c r="AK930" s="54"/>
      <c r="AL930" s="54"/>
      <c r="AM930" s="54"/>
      <c r="AN930" s="54"/>
      <c r="AO930" s="54"/>
      <c r="AP930" s="54"/>
      <c r="AQ930" s="54"/>
      <c r="AR930" s="54"/>
      <c r="AS930" s="54"/>
      <c r="AT930" s="54"/>
      <c r="AU930" s="54"/>
      <c r="AV930" s="54"/>
      <c r="AW930" s="54"/>
      <c r="AX930" s="54"/>
      <c r="AY930" s="54"/>
      <c r="AZ930" s="54"/>
      <c r="BA930" s="54"/>
      <c r="BB930" s="54"/>
      <c r="BC930" s="54"/>
      <c r="BD930" s="54"/>
      <c r="BE930" s="54"/>
      <c r="BF930" s="54"/>
      <c r="BG930" s="54"/>
      <c r="BH930" s="54"/>
      <c r="BI930" s="54"/>
      <c r="BJ930" s="54"/>
      <c r="BK930" s="54"/>
      <c r="BL930" s="54"/>
    </row>
    <row r="931" spans="1:64" ht="11.25" customHeight="1" x14ac:dyDescent="0.3">
      <c r="A931" s="54"/>
      <c r="B931" s="54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  <c r="AA931" s="54"/>
      <c r="AB931" s="54"/>
      <c r="AC931" s="54"/>
      <c r="AD931" s="54"/>
      <c r="AE931" s="54"/>
      <c r="AF931" s="54"/>
      <c r="AG931" s="54"/>
      <c r="AH931" s="54"/>
      <c r="AI931" s="54"/>
      <c r="AJ931" s="54"/>
      <c r="AK931" s="54"/>
      <c r="AL931" s="54"/>
      <c r="AM931" s="54"/>
      <c r="AN931" s="54"/>
      <c r="AO931" s="54"/>
      <c r="AP931" s="54"/>
      <c r="AQ931" s="54"/>
      <c r="AR931" s="54"/>
      <c r="AS931" s="54"/>
      <c r="AT931" s="54"/>
      <c r="AU931" s="54"/>
      <c r="AV931" s="54"/>
      <c r="AW931" s="54"/>
      <c r="AX931" s="54"/>
      <c r="AY931" s="54"/>
      <c r="AZ931" s="54"/>
      <c r="BA931" s="54"/>
      <c r="BB931" s="54"/>
      <c r="BC931" s="54"/>
      <c r="BD931" s="54"/>
      <c r="BE931" s="54"/>
      <c r="BF931" s="54"/>
      <c r="BG931" s="54"/>
      <c r="BH931" s="54"/>
      <c r="BI931" s="54"/>
      <c r="BJ931" s="54"/>
      <c r="BK931" s="54"/>
      <c r="BL931" s="54"/>
    </row>
    <row r="932" spans="1:64" ht="11.25" customHeight="1" x14ac:dyDescent="0.3">
      <c r="A932" s="54"/>
      <c r="B932" s="54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  <c r="AA932" s="54"/>
      <c r="AB932" s="54"/>
      <c r="AC932" s="54"/>
      <c r="AD932" s="54"/>
      <c r="AE932" s="54"/>
      <c r="AF932" s="54"/>
      <c r="AG932" s="54"/>
      <c r="AH932" s="54"/>
      <c r="AI932" s="54"/>
      <c r="AJ932" s="54"/>
      <c r="AK932" s="54"/>
      <c r="AL932" s="54"/>
      <c r="AM932" s="54"/>
      <c r="AN932" s="54"/>
      <c r="AO932" s="54"/>
      <c r="AP932" s="54"/>
      <c r="AQ932" s="54"/>
      <c r="AR932" s="54"/>
      <c r="AS932" s="54"/>
      <c r="AT932" s="54"/>
      <c r="AU932" s="54"/>
      <c r="AV932" s="54"/>
      <c r="AW932" s="54"/>
      <c r="AX932" s="54"/>
      <c r="AY932" s="54"/>
      <c r="AZ932" s="54"/>
      <c r="BA932" s="54"/>
      <c r="BB932" s="54"/>
      <c r="BC932" s="54"/>
      <c r="BD932" s="54"/>
      <c r="BE932" s="54"/>
      <c r="BF932" s="54"/>
      <c r="BG932" s="54"/>
      <c r="BH932" s="54"/>
      <c r="BI932" s="54"/>
      <c r="BJ932" s="54"/>
      <c r="BK932" s="54"/>
      <c r="BL932" s="54"/>
    </row>
    <row r="933" spans="1:64" ht="11.25" customHeight="1" x14ac:dyDescent="0.3">
      <c r="A933" s="54"/>
      <c r="B933" s="54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  <c r="AA933" s="54"/>
      <c r="AB933" s="54"/>
      <c r="AC933" s="54"/>
      <c r="AD933" s="54"/>
      <c r="AE933" s="54"/>
      <c r="AF933" s="54"/>
      <c r="AG933" s="54"/>
      <c r="AH933" s="54"/>
      <c r="AI933" s="54"/>
      <c r="AJ933" s="54"/>
      <c r="AK933" s="54"/>
      <c r="AL933" s="54"/>
      <c r="AM933" s="54"/>
      <c r="AN933" s="54"/>
      <c r="AO933" s="54"/>
      <c r="AP933" s="54"/>
      <c r="AQ933" s="54"/>
      <c r="AR933" s="54"/>
      <c r="AS933" s="54"/>
      <c r="AT933" s="54"/>
      <c r="AU933" s="54"/>
      <c r="AV933" s="54"/>
      <c r="AW933" s="54"/>
      <c r="AX933" s="54"/>
      <c r="AY933" s="54"/>
      <c r="AZ933" s="54"/>
      <c r="BA933" s="54"/>
      <c r="BB933" s="54"/>
      <c r="BC933" s="54"/>
      <c r="BD933" s="54"/>
      <c r="BE933" s="54"/>
      <c r="BF933" s="54"/>
      <c r="BG933" s="54"/>
      <c r="BH933" s="54"/>
      <c r="BI933" s="54"/>
      <c r="BJ933" s="54"/>
      <c r="BK933" s="54"/>
      <c r="BL933" s="54"/>
    </row>
    <row r="934" spans="1:64" ht="11.25" customHeight="1" x14ac:dyDescent="0.3">
      <c r="A934" s="54"/>
      <c r="B934" s="54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  <c r="AA934" s="54"/>
      <c r="AB934" s="54"/>
      <c r="AC934" s="54"/>
      <c r="AD934" s="54"/>
      <c r="AE934" s="54"/>
      <c r="AF934" s="54"/>
      <c r="AG934" s="54"/>
      <c r="AH934" s="54"/>
      <c r="AI934" s="54"/>
      <c r="AJ934" s="54"/>
      <c r="AK934" s="54"/>
      <c r="AL934" s="54"/>
      <c r="AM934" s="54"/>
      <c r="AN934" s="54"/>
      <c r="AO934" s="54"/>
      <c r="AP934" s="54"/>
      <c r="AQ934" s="54"/>
      <c r="AR934" s="54"/>
      <c r="AS934" s="54"/>
      <c r="AT934" s="54"/>
      <c r="AU934" s="54"/>
      <c r="AV934" s="54"/>
      <c r="AW934" s="54"/>
      <c r="AX934" s="54"/>
      <c r="AY934" s="54"/>
      <c r="AZ934" s="54"/>
      <c r="BA934" s="54"/>
      <c r="BB934" s="54"/>
      <c r="BC934" s="54"/>
      <c r="BD934" s="54"/>
      <c r="BE934" s="54"/>
      <c r="BF934" s="54"/>
      <c r="BG934" s="54"/>
      <c r="BH934" s="54"/>
      <c r="BI934" s="54"/>
      <c r="BJ934" s="54"/>
      <c r="BK934" s="54"/>
      <c r="BL934" s="54"/>
    </row>
    <row r="935" spans="1:64" ht="11.25" customHeight="1" x14ac:dyDescent="0.3">
      <c r="A935" s="54"/>
      <c r="B935" s="54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  <c r="AA935" s="54"/>
      <c r="AB935" s="54"/>
      <c r="AC935" s="54"/>
      <c r="AD935" s="54"/>
      <c r="AE935" s="54"/>
      <c r="AF935" s="54"/>
      <c r="AG935" s="54"/>
      <c r="AH935" s="54"/>
      <c r="AI935" s="54"/>
      <c r="AJ935" s="54"/>
      <c r="AK935" s="54"/>
      <c r="AL935" s="54"/>
      <c r="AM935" s="54"/>
      <c r="AN935" s="54"/>
      <c r="AO935" s="54"/>
      <c r="AP935" s="54"/>
      <c r="AQ935" s="54"/>
      <c r="AR935" s="54"/>
      <c r="AS935" s="54"/>
      <c r="AT935" s="54"/>
      <c r="AU935" s="54"/>
      <c r="AV935" s="54"/>
      <c r="AW935" s="54"/>
      <c r="AX935" s="54"/>
      <c r="AY935" s="54"/>
      <c r="AZ935" s="54"/>
      <c r="BA935" s="54"/>
      <c r="BB935" s="54"/>
      <c r="BC935" s="54"/>
      <c r="BD935" s="54"/>
      <c r="BE935" s="54"/>
      <c r="BF935" s="54"/>
      <c r="BG935" s="54"/>
      <c r="BH935" s="54"/>
      <c r="BI935" s="54"/>
      <c r="BJ935" s="54"/>
      <c r="BK935" s="54"/>
      <c r="BL935" s="54"/>
    </row>
    <row r="936" spans="1:64" ht="11.25" customHeight="1" x14ac:dyDescent="0.3">
      <c r="A936" s="54"/>
      <c r="B936" s="54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  <c r="AA936" s="54"/>
      <c r="AB936" s="54"/>
      <c r="AC936" s="54"/>
      <c r="AD936" s="54"/>
      <c r="AE936" s="54"/>
      <c r="AF936" s="54"/>
      <c r="AG936" s="54"/>
      <c r="AH936" s="54"/>
      <c r="AI936" s="54"/>
      <c r="AJ936" s="54"/>
      <c r="AK936" s="54"/>
      <c r="AL936" s="54"/>
      <c r="AM936" s="54"/>
      <c r="AN936" s="54"/>
      <c r="AO936" s="54"/>
      <c r="AP936" s="54"/>
      <c r="AQ936" s="54"/>
      <c r="AR936" s="54"/>
      <c r="AS936" s="54"/>
      <c r="AT936" s="54"/>
      <c r="AU936" s="54"/>
      <c r="AV936" s="54"/>
      <c r="AW936" s="54"/>
      <c r="AX936" s="54"/>
      <c r="AY936" s="54"/>
      <c r="AZ936" s="54"/>
      <c r="BA936" s="54"/>
      <c r="BB936" s="54"/>
      <c r="BC936" s="54"/>
      <c r="BD936" s="54"/>
      <c r="BE936" s="54"/>
      <c r="BF936" s="54"/>
      <c r="BG936" s="54"/>
      <c r="BH936" s="54"/>
      <c r="BI936" s="54"/>
      <c r="BJ936" s="54"/>
      <c r="BK936" s="54"/>
      <c r="BL936" s="54"/>
    </row>
    <row r="937" spans="1:64" ht="11.25" customHeight="1" x14ac:dyDescent="0.3">
      <c r="A937" s="54"/>
      <c r="B937" s="54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  <c r="AA937" s="54"/>
      <c r="AB937" s="54"/>
      <c r="AC937" s="54"/>
      <c r="AD937" s="54"/>
      <c r="AE937" s="54"/>
      <c r="AF937" s="54"/>
      <c r="AG937" s="54"/>
      <c r="AH937" s="54"/>
      <c r="AI937" s="54"/>
      <c r="AJ937" s="54"/>
      <c r="AK937" s="54"/>
      <c r="AL937" s="54"/>
      <c r="AM937" s="54"/>
      <c r="AN937" s="54"/>
      <c r="AO937" s="54"/>
      <c r="AP937" s="54"/>
      <c r="AQ937" s="54"/>
      <c r="AR937" s="54"/>
      <c r="AS937" s="54"/>
      <c r="AT937" s="54"/>
      <c r="AU937" s="54"/>
      <c r="AV937" s="54"/>
      <c r="AW937" s="54"/>
      <c r="AX937" s="54"/>
      <c r="AY937" s="54"/>
      <c r="AZ937" s="54"/>
      <c r="BA937" s="54"/>
      <c r="BB937" s="54"/>
      <c r="BC937" s="54"/>
      <c r="BD937" s="54"/>
      <c r="BE937" s="54"/>
      <c r="BF937" s="54"/>
      <c r="BG937" s="54"/>
      <c r="BH937" s="54"/>
      <c r="BI937" s="54"/>
      <c r="BJ937" s="54"/>
      <c r="BK937" s="54"/>
      <c r="BL937" s="54"/>
    </row>
    <row r="938" spans="1:64" ht="11.25" customHeight="1" x14ac:dyDescent="0.3">
      <c r="A938" s="54"/>
      <c r="B938" s="54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  <c r="AA938" s="54"/>
      <c r="AB938" s="54"/>
      <c r="AC938" s="54"/>
      <c r="AD938" s="54"/>
      <c r="AE938" s="54"/>
      <c r="AF938" s="54"/>
      <c r="AG938" s="54"/>
      <c r="AH938" s="54"/>
      <c r="AI938" s="54"/>
      <c r="AJ938" s="54"/>
      <c r="AK938" s="54"/>
      <c r="AL938" s="54"/>
      <c r="AM938" s="54"/>
      <c r="AN938" s="54"/>
      <c r="AO938" s="54"/>
      <c r="AP938" s="54"/>
      <c r="AQ938" s="54"/>
      <c r="AR938" s="54"/>
      <c r="AS938" s="54"/>
      <c r="AT938" s="54"/>
      <c r="AU938" s="54"/>
      <c r="AV938" s="54"/>
      <c r="AW938" s="54"/>
      <c r="AX938" s="54"/>
      <c r="AY938" s="54"/>
      <c r="AZ938" s="54"/>
      <c r="BA938" s="54"/>
      <c r="BB938" s="54"/>
      <c r="BC938" s="54"/>
      <c r="BD938" s="54"/>
      <c r="BE938" s="54"/>
      <c r="BF938" s="54"/>
      <c r="BG938" s="54"/>
      <c r="BH938" s="54"/>
      <c r="BI938" s="54"/>
      <c r="BJ938" s="54"/>
      <c r="BK938" s="54"/>
      <c r="BL938" s="54"/>
    </row>
    <row r="939" spans="1:64" ht="11.25" customHeight="1" x14ac:dyDescent="0.3">
      <c r="A939" s="54"/>
      <c r="B939" s="54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  <c r="AA939" s="54"/>
      <c r="AB939" s="54"/>
      <c r="AC939" s="54"/>
      <c r="AD939" s="54"/>
      <c r="AE939" s="54"/>
      <c r="AF939" s="54"/>
      <c r="AG939" s="54"/>
      <c r="AH939" s="54"/>
      <c r="AI939" s="54"/>
      <c r="AJ939" s="54"/>
      <c r="AK939" s="54"/>
      <c r="AL939" s="54"/>
      <c r="AM939" s="54"/>
      <c r="AN939" s="54"/>
      <c r="AO939" s="54"/>
      <c r="AP939" s="54"/>
      <c r="AQ939" s="54"/>
      <c r="AR939" s="54"/>
      <c r="AS939" s="54"/>
      <c r="AT939" s="54"/>
      <c r="AU939" s="54"/>
      <c r="AV939" s="54"/>
      <c r="AW939" s="54"/>
      <c r="AX939" s="54"/>
      <c r="AY939" s="54"/>
      <c r="AZ939" s="54"/>
      <c r="BA939" s="54"/>
      <c r="BB939" s="54"/>
      <c r="BC939" s="54"/>
      <c r="BD939" s="54"/>
      <c r="BE939" s="54"/>
      <c r="BF939" s="54"/>
      <c r="BG939" s="54"/>
      <c r="BH939" s="54"/>
      <c r="BI939" s="54"/>
      <c r="BJ939" s="54"/>
      <c r="BK939" s="54"/>
      <c r="BL939" s="54"/>
    </row>
    <row r="940" spans="1:64" ht="11.25" customHeight="1" x14ac:dyDescent="0.3">
      <c r="A940" s="54"/>
      <c r="B940" s="54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  <c r="AA940" s="54"/>
      <c r="AB940" s="54"/>
      <c r="AC940" s="54"/>
      <c r="AD940" s="54"/>
      <c r="AE940" s="54"/>
      <c r="AF940" s="54"/>
      <c r="AG940" s="54"/>
      <c r="AH940" s="54"/>
      <c r="AI940" s="54"/>
      <c r="AJ940" s="54"/>
      <c r="AK940" s="54"/>
      <c r="AL940" s="54"/>
      <c r="AM940" s="54"/>
      <c r="AN940" s="54"/>
      <c r="AO940" s="54"/>
      <c r="AP940" s="54"/>
      <c r="AQ940" s="54"/>
      <c r="AR940" s="54"/>
      <c r="AS940" s="54"/>
      <c r="AT940" s="54"/>
      <c r="AU940" s="54"/>
      <c r="AV940" s="54"/>
      <c r="AW940" s="54"/>
      <c r="AX940" s="54"/>
      <c r="AY940" s="54"/>
      <c r="AZ940" s="54"/>
      <c r="BA940" s="54"/>
      <c r="BB940" s="54"/>
      <c r="BC940" s="54"/>
      <c r="BD940" s="54"/>
      <c r="BE940" s="54"/>
      <c r="BF940" s="54"/>
      <c r="BG940" s="54"/>
      <c r="BH940" s="54"/>
      <c r="BI940" s="54"/>
      <c r="BJ940" s="54"/>
      <c r="BK940" s="54"/>
      <c r="BL940" s="54"/>
    </row>
    <row r="941" spans="1:64" ht="11.25" customHeight="1" x14ac:dyDescent="0.3">
      <c r="A941" s="54"/>
      <c r="B941" s="54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  <c r="AA941" s="54"/>
      <c r="AB941" s="54"/>
      <c r="AC941" s="54"/>
      <c r="AD941" s="54"/>
      <c r="AE941" s="54"/>
      <c r="AF941" s="54"/>
      <c r="AG941" s="54"/>
      <c r="AH941" s="54"/>
      <c r="AI941" s="54"/>
      <c r="AJ941" s="54"/>
      <c r="AK941" s="54"/>
      <c r="AL941" s="54"/>
      <c r="AM941" s="54"/>
      <c r="AN941" s="54"/>
      <c r="AO941" s="54"/>
      <c r="AP941" s="54"/>
      <c r="AQ941" s="54"/>
      <c r="AR941" s="54"/>
      <c r="AS941" s="54"/>
      <c r="AT941" s="54"/>
      <c r="AU941" s="54"/>
      <c r="AV941" s="54"/>
      <c r="AW941" s="54"/>
      <c r="AX941" s="54"/>
      <c r="AY941" s="54"/>
      <c r="AZ941" s="54"/>
      <c r="BA941" s="54"/>
      <c r="BB941" s="54"/>
      <c r="BC941" s="54"/>
      <c r="BD941" s="54"/>
      <c r="BE941" s="54"/>
      <c r="BF941" s="54"/>
      <c r="BG941" s="54"/>
      <c r="BH941" s="54"/>
      <c r="BI941" s="54"/>
      <c r="BJ941" s="54"/>
      <c r="BK941" s="54"/>
      <c r="BL941" s="54"/>
    </row>
    <row r="942" spans="1:64" ht="11.25" customHeight="1" x14ac:dyDescent="0.3">
      <c r="A942" s="54"/>
      <c r="B942" s="54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  <c r="AA942" s="54"/>
      <c r="AB942" s="54"/>
      <c r="AC942" s="54"/>
      <c r="AD942" s="54"/>
      <c r="AE942" s="54"/>
      <c r="AF942" s="54"/>
      <c r="AG942" s="54"/>
      <c r="AH942" s="54"/>
      <c r="AI942" s="54"/>
      <c r="AJ942" s="54"/>
      <c r="AK942" s="54"/>
      <c r="AL942" s="54"/>
      <c r="AM942" s="54"/>
      <c r="AN942" s="54"/>
      <c r="AO942" s="54"/>
      <c r="AP942" s="54"/>
      <c r="AQ942" s="54"/>
      <c r="AR942" s="54"/>
      <c r="AS942" s="54"/>
      <c r="AT942" s="54"/>
      <c r="AU942" s="54"/>
      <c r="AV942" s="54"/>
      <c r="AW942" s="54"/>
      <c r="AX942" s="54"/>
      <c r="AY942" s="54"/>
      <c r="AZ942" s="54"/>
      <c r="BA942" s="54"/>
      <c r="BB942" s="54"/>
      <c r="BC942" s="54"/>
      <c r="BD942" s="54"/>
      <c r="BE942" s="54"/>
      <c r="BF942" s="54"/>
      <c r="BG942" s="54"/>
      <c r="BH942" s="54"/>
      <c r="BI942" s="54"/>
      <c r="BJ942" s="54"/>
      <c r="BK942" s="54"/>
      <c r="BL942" s="54"/>
    </row>
    <row r="943" spans="1:64" ht="11.25" customHeight="1" x14ac:dyDescent="0.3">
      <c r="A943" s="54"/>
      <c r="B943" s="54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  <c r="AA943" s="54"/>
      <c r="AB943" s="54"/>
      <c r="AC943" s="54"/>
      <c r="AD943" s="54"/>
      <c r="AE943" s="54"/>
      <c r="AF943" s="54"/>
      <c r="AG943" s="54"/>
      <c r="AH943" s="54"/>
      <c r="AI943" s="54"/>
      <c r="AJ943" s="54"/>
      <c r="AK943" s="54"/>
      <c r="AL943" s="54"/>
      <c r="AM943" s="54"/>
      <c r="AN943" s="54"/>
      <c r="AO943" s="54"/>
      <c r="AP943" s="54"/>
      <c r="AQ943" s="54"/>
      <c r="AR943" s="54"/>
      <c r="AS943" s="54"/>
      <c r="AT943" s="54"/>
      <c r="AU943" s="54"/>
      <c r="AV943" s="54"/>
      <c r="AW943" s="54"/>
      <c r="AX943" s="54"/>
      <c r="AY943" s="54"/>
      <c r="AZ943" s="54"/>
      <c r="BA943" s="54"/>
      <c r="BB943" s="54"/>
      <c r="BC943" s="54"/>
      <c r="BD943" s="54"/>
      <c r="BE943" s="54"/>
      <c r="BF943" s="54"/>
      <c r="BG943" s="54"/>
      <c r="BH943" s="54"/>
      <c r="BI943" s="54"/>
      <c r="BJ943" s="54"/>
      <c r="BK943" s="54"/>
      <c r="BL943" s="54"/>
    </row>
    <row r="944" spans="1:64" ht="11.25" customHeight="1" x14ac:dyDescent="0.3">
      <c r="A944" s="54"/>
      <c r="B944" s="54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  <c r="AA944" s="54"/>
      <c r="AB944" s="54"/>
      <c r="AC944" s="54"/>
      <c r="AD944" s="54"/>
      <c r="AE944" s="54"/>
      <c r="AF944" s="54"/>
      <c r="AG944" s="54"/>
      <c r="AH944" s="54"/>
      <c r="AI944" s="54"/>
      <c r="AJ944" s="54"/>
      <c r="AK944" s="54"/>
      <c r="AL944" s="54"/>
      <c r="AM944" s="54"/>
      <c r="AN944" s="54"/>
      <c r="AO944" s="54"/>
      <c r="AP944" s="54"/>
      <c r="AQ944" s="54"/>
      <c r="AR944" s="54"/>
      <c r="AS944" s="54"/>
      <c r="AT944" s="54"/>
      <c r="AU944" s="54"/>
      <c r="AV944" s="54"/>
      <c r="AW944" s="54"/>
      <c r="AX944" s="54"/>
      <c r="AY944" s="54"/>
      <c r="AZ944" s="54"/>
      <c r="BA944" s="54"/>
      <c r="BB944" s="54"/>
      <c r="BC944" s="54"/>
      <c r="BD944" s="54"/>
      <c r="BE944" s="54"/>
      <c r="BF944" s="54"/>
      <c r="BG944" s="54"/>
      <c r="BH944" s="54"/>
      <c r="BI944" s="54"/>
      <c r="BJ944" s="54"/>
      <c r="BK944" s="54"/>
      <c r="BL944" s="54"/>
    </row>
    <row r="945" spans="1:64" ht="11.25" customHeight="1" x14ac:dyDescent="0.3">
      <c r="A945" s="54"/>
      <c r="B945" s="54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  <c r="AA945" s="54"/>
      <c r="AB945" s="54"/>
      <c r="AC945" s="54"/>
      <c r="AD945" s="54"/>
      <c r="AE945" s="54"/>
      <c r="AF945" s="54"/>
      <c r="AG945" s="54"/>
      <c r="AH945" s="54"/>
      <c r="AI945" s="54"/>
      <c r="AJ945" s="54"/>
      <c r="AK945" s="54"/>
      <c r="AL945" s="54"/>
      <c r="AM945" s="54"/>
      <c r="AN945" s="54"/>
      <c r="AO945" s="54"/>
      <c r="AP945" s="54"/>
      <c r="AQ945" s="54"/>
      <c r="AR945" s="54"/>
      <c r="AS945" s="54"/>
      <c r="AT945" s="54"/>
      <c r="AU945" s="54"/>
      <c r="AV945" s="54"/>
      <c r="AW945" s="54"/>
      <c r="AX945" s="54"/>
      <c r="AY945" s="54"/>
      <c r="AZ945" s="54"/>
      <c r="BA945" s="54"/>
      <c r="BB945" s="54"/>
      <c r="BC945" s="54"/>
      <c r="BD945" s="54"/>
      <c r="BE945" s="54"/>
      <c r="BF945" s="54"/>
      <c r="BG945" s="54"/>
      <c r="BH945" s="54"/>
      <c r="BI945" s="54"/>
      <c r="BJ945" s="54"/>
      <c r="BK945" s="54"/>
      <c r="BL945" s="54"/>
    </row>
    <row r="946" spans="1:64" ht="11.25" customHeight="1" x14ac:dyDescent="0.3">
      <c r="A946" s="54"/>
      <c r="B946" s="54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  <c r="AA946" s="54"/>
      <c r="AB946" s="54"/>
      <c r="AC946" s="54"/>
      <c r="AD946" s="54"/>
      <c r="AE946" s="54"/>
      <c r="AF946" s="54"/>
      <c r="AG946" s="54"/>
      <c r="AH946" s="54"/>
      <c r="AI946" s="54"/>
      <c r="AJ946" s="54"/>
      <c r="AK946" s="54"/>
      <c r="AL946" s="54"/>
      <c r="AM946" s="54"/>
      <c r="AN946" s="54"/>
      <c r="AO946" s="54"/>
      <c r="AP946" s="54"/>
      <c r="AQ946" s="54"/>
      <c r="AR946" s="54"/>
      <c r="AS946" s="54"/>
      <c r="AT946" s="54"/>
      <c r="AU946" s="54"/>
      <c r="AV946" s="54"/>
      <c r="AW946" s="54"/>
      <c r="AX946" s="54"/>
      <c r="AY946" s="54"/>
      <c r="AZ946" s="54"/>
      <c r="BA946" s="54"/>
      <c r="BB946" s="54"/>
      <c r="BC946" s="54"/>
      <c r="BD946" s="54"/>
      <c r="BE946" s="54"/>
      <c r="BF946" s="54"/>
      <c r="BG946" s="54"/>
      <c r="BH946" s="54"/>
      <c r="BI946" s="54"/>
      <c r="BJ946" s="54"/>
      <c r="BK946" s="54"/>
      <c r="BL946" s="54"/>
    </row>
    <row r="947" spans="1:64" ht="11.25" customHeight="1" x14ac:dyDescent="0.3">
      <c r="A947" s="54"/>
      <c r="B947" s="54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  <c r="AA947" s="54"/>
      <c r="AB947" s="54"/>
      <c r="AC947" s="54"/>
      <c r="AD947" s="54"/>
      <c r="AE947" s="54"/>
      <c r="AF947" s="54"/>
      <c r="AG947" s="54"/>
      <c r="AH947" s="54"/>
      <c r="AI947" s="54"/>
      <c r="AJ947" s="54"/>
      <c r="AK947" s="54"/>
      <c r="AL947" s="54"/>
      <c r="AM947" s="54"/>
      <c r="AN947" s="54"/>
      <c r="AO947" s="54"/>
      <c r="AP947" s="54"/>
      <c r="AQ947" s="54"/>
      <c r="AR947" s="54"/>
      <c r="AS947" s="54"/>
      <c r="AT947" s="54"/>
      <c r="AU947" s="54"/>
      <c r="AV947" s="54"/>
      <c r="AW947" s="54"/>
      <c r="AX947" s="54"/>
      <c r="AY947" s="54"/>
      <c r="AZ947" s="54"/>
      <c r="BA947" s="54"/>
      <c r="BB947" s="54"/>
      <c r="BC947" s="54"/>
      <c r="BD947" s="54"/>
      <c r="BE947" s="54"/>
      <c r="BF947" s="54"/>
      <c r="BG947" s="54"/>
      <c r="BH947" s="54"/>
      <c r="BI947" s="54"/>
      <c r="BJ947" s="54"/>
      <c r="BK947" s="54"/>
      <c r="BL947" s="54"/>
    </row>
    <row r="948" spans="1:64" ht="11.25" customHeight="1" x14ac:dyDescent="0.3">
      <c r="A948" s="54"/>
      <c r="B948" s="54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  <c r="AA948" s="54"/>
      <c r="AB948" s="54"/>
      <c r="AC948" s="54"/>
      <c r="AD948" s="54"/>
      <c r="AE948" s="54"/>
      <c r="AF948" s="54"/>
      <c r="AG948" s="54"/>
      <c r="AH948" s="54"/>
      <c r="AI948" s="54"/>
      <c r="AJ948" s="54"/>
      <c r="AK948" s="54"/>
      <c r="AL948" s="54"/>
      <c r="AM948" s="54"/>
      <c r="AN948" s="54"/>
      <c r="AO948" s="54"/>
      <c r="AP948" s="54"/>
      <c r="AQ948" s="54"/>
      <c r="AR948" s="54"/>
      <c r="AS948" s="54"/>
      <c r="AT948" s="54"/>
      <c r="AU948" s="54"/>
      <c r="AV948" s="54"/>
      <c r="AW948" s="54"/>
      <c r="AX948" s="54"/>
      <c r="AY948" s="54"/>
      <c r="AZ948" s="54"/>
      <c r="BA948" s="54"/>
      <c r="BB948" s="54"/>
      <c r="BC948" s="54"/>
      <c r="BD948" s="54"/>
      <c r="BE948" s="54"/>
      <c r="BF948" s="54"/>
      <c r="BG948" s="54"/>
      <c r="BH948" s="54"/>
      <c r="BI948" s="54"/>
      <c r="BJ948" s="54"/>
      <c r="BK948" s="54"/>
      <c r="BL948" s="54"/>
    </row>
    <row r="949" spans="1:64" ht="11.25" customHeight="1" x14ac:dyDescent="0.3">
      <c r="A949" s="54"/>
      <c r="B949" s="54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  <c r="AA949" s="54"/>
      <c r="AB949" s="54"/>
      <c r="AC949" s="54"/>
      <c r="AD949" s="54"/>
      <c r="AE949" s="54"/>
      <c r="AF949" s="54"/>
      <c r="AG949" s="54"/>
      <c r="AH949" s="54"/>
      <c r="AI949" s="54"/>
      <c r="AJ949" s="54"/>
      <c r="AK949" s="54"/>
      <c r="AL949" s="54"/>
      <c r="AM949" s="54"/>
      <c r="AN949" s="54"/>
      <c r="AO949" s="54"/>
      <c r="AP949" s="54"/>
      <c r="AQ949" s="54"/>
      <c r="AR949" s="54"/>
      <c r="AS949" s="54"/>
      <c r="AT949" s="54"/>
      <c r="AU949" s="54"/>
      <c r="AV949" s="54"/>
      <c r="AW949" s="54"/>
      <c r="AX949" s="54"/>
      <c r="AY949" s="54"/>
      <c r="AZ949" s="54"/>
      <c r="BA949" s="54"/>
      <c r="BB949" s="54"/>
      <c r="BC949" s="54"/>
      <c r="BD949" s="54"/>
      <c r="BE949" s="54"/>
      <c r="BF949" s="54"/>
      <c r="BG949" s="54"/>
      <c r="BH949" s="54"/>
      <c r="BI949" s="54"/>
      <c r="BJ949" s="54"/>
      <c r="BK949" s="54"/>
      <c r="BL949" s="54"/>
    </row>
    <row r="950" spans="1:64" ht="11.25" customHeight="1" x14ac:dyDescent="0.3">
      <c r="A950" s="54"/>
      <c r="B950" s="54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  <c r="AA950" s="54"/>
      <c r="AB950" s="54"/>
      <c r="AC950" s="54"/>
      <c r="AD950" s="54"/>
      <c r="AE950" s="54"/>
      <c r="AF950" s="54"/>
      <c r="AG950" s="54"/>
      <c r="AH950" s="54"/>
      <c r="AI950" s="54"/>
      <c r="AJ950" s="54"/>
      <c r="AK950" s="54"/>
      <c r="AL950" s="54"/>
      <c r="AM950" s="54"/>
      <c r="AN950" s="54"/>
      <c r="AO950" s="54"/>
      <c r="AP950" s="54"/>
      <c r="AQ950" s="54"/>
      <c r="AR950" s="54"/>
      <c r="AS950" s="54"/>
      <c r="AT950" s="54"/>
      <c r="AU950" s="54"/>
      <c r="AV950" s="54"/>
      <c r="AW950" s="54"/>
      <c r="AX950" s="54"/>
      <c r="AY950" s="54"/>
      <c r="AZ950" s="54"/>
      <c r="BA950" s="54"/>
      <c r="BB950" s="54"/>
      <c r="BC950" s="54"/>
      <c r="BD950" s="54"/>
      <c r="BE950" s="54"/>
      <c r="BF950" s="54"/>
      <c r="BG950" s="54"/>
      <c r="BH950" s="54"/>
      <c r="BI950" s="54"/>
      <c r="BJ950" s="54"/>
      <c r="BK950" s="54"/>
      <c r="BL950" s="54"/>
    </row>
    <row r="951" spans="1:64" ht="11.25" customHeight="1" x14ac:dyDescent="0.3">
      <c r="A951" s="54"/>
      <c r="B951" s="54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  <c r="AA951" s="54"/>
      <c r="AB951" s="54"/>
      <c r="AC951" s="54"/>
      <c r="AD951" s="54"/>
      <c r="AE951" s="54"/>
      <c r="AF951" s="54"/>
      <c r="AG951" s="54"/>
      <c r="AH951" s="54"/>
      <c r="AI951" s="54"/>
      <c r="AJ951" s="54"/>
      <c r="AK951" s="54"/>
      <c r="AL951" s="54"/>
      <c r="AM951" s="54"/>
      <c r="AN951" s="54"/>
      <c r="AO951" s="54"/>
      <c r="AP951" s="54"/>
      <c r="AQ951" s="54"/>
      <c r="AR951" s="54"/>
      <c r="AS951" s="54"/>
      <c r="AT951" s="54"/>
      <c r="AU951" s="54"/>
      <c r="AV951" s="54"/>
      <c r="AW951" s="54"/>
      <c r="AX951" s="54"/>
      <c r="AY951" s="54"/>
      <c r="AZ951" s="54"/>
      <c r="BA951" s="54"/>
      <c r="BB951" s="54"/>
      <c r="BC951" s="54"/>
      <c r="BD951" s="54"/>
      <c r="BE951" s="54"/>
      <c r="BF951" s="54"/>
      <c r="BG951" s="54"/>
      <c r="BH951" s="54"/>
      <c r="BI951" s="54"/>
      <c r="BJ951" s="54"/>
      <c r="BK951" s="54"/>
      <c r="BL951" s="54"/>
    </row>
    <row r="952" spans="1:64" ht="11.25" customHeight="1" x14ac:dyDescent="0.3">
      <c r="A952" s="54"/>
      <c r="B952" s="54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  <c r="AA952" s="54"/>
      <c r="AB952" s="54"/>
      <c r="AC952" s="54"/>
      <c r="AD952" s="54"/>
      <c r="AE952" s="54"/>
      <c r="AF952" s="54"/>
      <c r="AG952" s="54"/>
      <c r="AH952" s="54"/>
      <c r="AI952" s="54"/>
      <c r="AJ952" s="54"/>
      <c r="AK952" s="54"/>
      <c r="AL952" s="54"/>
      <c r="AM952" s="54"/>
      <c r="AN952" s="54"/>
      <c r="AO952" s="54"/>
      <c r="AP952" s="54"/>
      <c r="AQ952" s="54"/>
      <c r="AR952" s="54"/>
      <c r="AS952" s="54"/>
      <c r="AT952" s="54"/>
      <c r="AU952" s="54"/>
      <c r="AV952" s="54"/>
      <c r="AW952" s="54"/>
      <c r="AX952" s="54"/>
      <c r="AY952" s="54"/>
      <c r="AZ952" s="54"/>
      <c r="BA952" s="54"/>
      <c r="BB952" s="54"/>
      <c r="BC952" s="54"/>
      <c r="BD952" s="54"/>
      <c r="BE952" s="54"/>
      <c r="BF952" s="54"/>
      <c r="BG952" s="54"/>
      <c r="BH952" s="54"/>
      <c r="BI952" s="54"/>
      <c r="BJ952" s="54"/>
      <c r="BK952" s="54"/>
      <c r="BL952" s="54"/>
    </row>
    <row r="953" spans="1:64" ht="11.25" customHeight="1" x14ac:dyDescent="0.3">
      <c r="A953" s="54"/>
      <c r="B953" s="54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  <c r="AA953" s="54"/>
      <c r="AB953" s="54"/>
      <c r="AC953" s="54"/>
      <c r="AD953" s="54"/>
      <c r="AE953" s="54"/>
      <c r="AF953" s="54"/>
      <c r="AG953" s="54"/>
      <c r="AH953" s="54"/>
      <c r="AI953" s="54"/>
      <c r="AJ953" s="54"/>
      <c r="AK953" s="54"/>
      <c r="AL953" s="54"/>
      <c r="AM953" s="54"/>
      <c r="AN953" s="54"/>
      <c r="AO953" s="54"/>
      <c r="AP953" s="54"/>
      <c r="AQ953" s="54"/>
      <c r="AR953" s="54"/>
      <c r="AS953" s="54"/>
      <c r="AT953" s="54"/>
      <c r="AU953" s="54"/>
      <c r="AV953" s="54"/>
      <c r="AW953" s="54"/>
      <c r="AX953" s="54"/>
      <c r="AY953" s="54"/>
      <c r="AZ953" s="54"/>
      <c r="BA953" s="54"/>
      <c r="BB953" s="54"/>
      <c r="BC953" s="54"/>
      <c r="BD953" s="54"/>
      <c r="BE953" s="54"/>
      <c r="BF953" s="54"/>
      <c r="BG953" s="54"/>
      <c r="BH953" s="54"/>
      <c r="BI953" s="54"/>
      <c r="BJ953" s="54"/>
      <c r="BK953" s="54"/>
      <c r="BL953" s="54"/>
    </row>
    <row r="954" spans="1:64" ht="11.25" customHeight="1" x14ac:dyDescent="0.3">
      <c r="A954" s="54"/>
      <c r="B954" s="54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  <c r="AA954" s="54"/>
      <c r="AB954" s="54"/>
      <c r="AC954" s="54"/>
      <c r="AD954" s="54"/>
      <c r="AE954" s="54"/>
      <c r="AF954" s="54"/>
      <c r="AG954" s="54"/>
      <c r="AH954" s="54"/>
      <c r="AI954" s="54"/>
      <c r="AJ954" s="54"/>
      <c r="AK954" s="54"/>
      <c r="AL954" s="54"/>
      <c r="AM954" s="54"/>
      <c r="AN954" s="54"/>
      <c r="AO954" s="54"/>
      <c r="AP954" s="54"/>
      <c r="AQ954" s="54"/>
      <c r="AR954" s="54"/>
      <c r="AS954" s="54"/>
      <c r="AT954" s="54"/>
      <c r="AU954" s="54"/>
      <c r="AV954" s="54"/>
      <c r="AW954" s="54"/>
      <c r="AX954" s="54"/>
      <c r="AY954" s="54"/>
      <c r="AZ954" s="54"/>
      <c r="BA954" s="54"/>
      <c r="BB954" s="54"/>
      <c r="BC954" s="54"/>
      <c r="BD954" s="54"/>
      <c r="BE954" s="54"/>
      <c r="BF954" s="54"/>
      <c r="BG954" s="54"/>
      <c r="BH954" s="54"/>
      <c r="BI954" s="54"/>
      <c r="BJ954" s="54"/>
      <c r="BK954" s="54"/>
      <c r="BL954" s="54"/>
    </row>
    <row r="955" spans="1:64" ht="11.25" customHeight="1" x14ac:dyDescent="0.3">
      <c r="A955" s="54"/>
      <c r="B955" s="54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  <c r="AA955" s="54"/>
      <c r="AB955" s="54"/>
      <c r="AC955" s="54"/>
      <c r="AD955" s="54"/>
      <c r="AE955" s="54"/>
      <c r="AF955" s="54"/>
      <c r="AG955" s="54"/>
      <c r="AH955" s="54"/>
      <c r="AI955" s="54"/>
      <c r="AJ955" s="54"/>
      <c r="AK955" s="54"/>
      <c r="AL955" s="54"/>
      <c r="AM955" s="54"/>
      <c r="AN955" s="54"/>
      <c r="AO955" s="54"/>
      <c r="AP955" s="54"/>
      <c r="AQ955" s="54"/>
      <c r="AR955" s="54"/>
      <c r="AS955" s="54"/>
      <c r="AT955" s="54"/>
      <c r="AU955" s="54"/>
      <c r="AV955" s="54"/>
      <c r="AW955" s="54"/>
      <c r="AX955" s="54"/>
      <c r="AY955" s="54"/>
      <c r="AZ955" s="54"/>
      <c r="BA955" s="54"/>
      <c r="BB955" s="54"/>
      <c r="BC955" s="54"/>
      <c r="BD955" s="54"/>
      <c r="BE955" s="54"/>
      <c r="BF955" s="54"/>
      <c r="BG955" s="54"/>
      <c r="BH955" s="54"/>
      <c r="BI955" s="54"/>
      <c r="BJ955" s="54"/>
      <c r="BK955" s="54"/>
      <c r="BL955" s="54"/>
    </row>
    <row r="956" spans="1:64" ht="11.25" customHeight="1" x14ac:dyDescent="0.3">
      <c r="A956" s="54"/>
      <c r="B956" s="54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  <c r="AA956" s="54"/>
      <c r="AB956" s="54"/>
      <c r="AC956" s="54"/>
      <c r="AD956" s="54"/>
      <c r="AE956" s="54"/>
      <c r="AF956" s="54"/>
      <c r="AG956" s="54"/>
      <c r="AH956" s="54"/>
      <c r="AI956" s="54"/>
      <c r="AJ956" s="54"/>
      <c r="AK956" s="54"/>
      <c r="AL956" s="54"/>
      <c r="AM956" s="54"/>
      <c r="AN956" s="54"/>
      <c r="AO956" s="54"/>
      <c r="AP956" s="54"/>
      <c r="AQ956" s="54"/>
      <c r="AR956" s="54"/>
      <c r="AS956" s="54"/>
      <c r="AT956" s="54"/>
      <c r="AU956" s="54"/>
      <c r="AV956" s="54"/>
      <c r="AW956" s="54"/>
      <c r="AX956" s="54"/>
      <c r="AY956" s="54"/>
      <c r="AZ956" s="54"/>
      <c r="BA956" s="54"/>
      <c r="BB956" s="54"/>
      <c r="BC956" s="54"/>
      <c r="BD956" s="54"/>
      <c r="BE956" s="54"/>
      <c r="BF956" s="54"/>
      <c r="BG956" s="54"/>
      <c r="BH956" s="54"/>
      <c r="BI956" s="54"/>
      <c r="BJ956" s="54"/>
      <c r="BK956" s="54"/>
      <c r="BL956" s="54"/>
    </row>
    <row r="957" spans="1:64" ht="11.25" customHeight="1" x14ac:dyDescent="0.3">
      <c r="A957" s="54"/>
      <c r="B957" s="54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  <c r="AA957" s="54"/>
      <c r="AB957" s="54"/>
      <c r="AC957" s="54"/>
      <c r="AD957" s="54"/>
      <c r="AE957" s="54"/>
      <c r="AF957" s="54"/>
      <c r="AG957" s="54"/>
      <c r="AH957" s="54"/>
      <c r="AI957" s="54"/>
      <c r="AJ957" s="54"/>
      <c r="AK957" s="54"/>
      <c r="AL957" s="54"/>
      <c r="AM957" s="54"/>
      <c r="AN957" s="54"/>
      <c r="AO957" s="54"/>
      <c r="AP957" s="54"/>
      <c r="AQ957" s="54"/>
      <c r="AR957" s="54"/>
      <c r="AS957" s="54"/>
      <c r="AT957" s="54"/>
      <c r="AU957" s="54"/>
      <c r="AV957" s="54"/>
      <c r="AW957" s="54"/>
      <c r="AX957" s="54"/>
      <c r="AY957" s="54"/>
      <c r="AZ957" s="54"/>
      <c r="BA957" s="54"/>
      <c r="BB957" s="54"/>
      <c r="BC957" s="54"/>
      <c r="BD957" s="54"/>
      <c r="BE957" s="54"/>
      <c r="BF957" s="54"/>
      <c r="BG957" s="54"/>
      <c r="BH957" s="54"/>
      <c r="BI957" s="54"/>
      <c r="BJ957" s="54"/>
      <c r="BK957" s="54"/>
      <c r="BL957" s="54"/>
    </row>
    <row r="958" spans="1:64" ht="11.25" customHeight="1" x14ac:dyDescent="0.3">
      <c r="A958" s="54"/>
      <c r="B958" s="54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  <c r="AA958" s="54"/>
      <c r="AB958" s="54"/>
      <c r="AC958" s="54"/>
      <c r="AD958" s="54"/>
      <c r="AE958" s="54"/>
      <c r="AF958" s="54"/>
      <c r="AG958" s="54"/>
      <c r="AH958" s="54"/>
      <c r="AI958" s="54"/>
      <c r="AJ958" s="54"/>
      <c r="AK958" s="54"/>
      <c r="AL958" s="54"/>
      <c r="AM958" s="54"/>
      <c r="AN958" s="54"/>
      <c r="AO958" s="54"/>
      <c r="AP958" s="54"/>
      <c r="AQ958" s="54"/>
      <c r="AR958" s="54"/>
      <c r="AS958" s="54"/>
      <c r="AT958" s="54"/>
      <c r="AU958" s="54"/>
      <c r="AV958" s="54"/>
      <c r="AW958" s="54"/>
      <c r="AX958" s="54"/>
      <c r="AY958" s="54"/>
      <c r="AZ958" s="54"/>
      <c r="BA958" s="54"/>
      <c r="BB958" s="54"/>
      <c r="BC958" s="54"/>
      <c r="BD958" s="54"/>
      <c r="BE958" s="54"/>
      <c r="BF958" s="54"/>
      <c r="BG958" s="54"/>
      <c r="BH958" s="54"/>
      <c r="BI958" s="54"/>
      <c r="BJ958" s="54"/>
      <c r="BK958" s="54"/>
      <c r="BL958" s="54"/>
    </row>
    <row r="959" spans="1:64" ht="11.25" customHeight="1" x14ac:dyDescent="0.3">
      <c r="A959" s="54"/>
      <c r="B959" s="54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  <c r="AA959" s="54"/>
      <c r="AB959" s="54"/>
      <c r="AC959" s="54"/>
      <c r="AD959" s="54"/>
      <c r="AE959" s="54"/>
      <c r="AF959" s="54"/>
      <c r="AG959" s="54"/>
      <c r="AH959" s="54"/>
      <c r="AI959" s="54"/>
      <c r="AJ959" s="54"/>
      <c r="AK959" s="54"/>
      <c r="AL959" s="54"/>
      <c r="AM959" s="54"/>
      <c r="AN959" s="54"/>
      <c r="AO959" s="54"/>
      <c r="AP959" s="54"/>
      <c r="AQ959" s="54"/>
      <c r="AR959" s="54"/>
      <c r="AS959" s="54"/>
      <c r="AT959" s="54"/>
      <c r="AU959" s="54"/>
      <c r="AV959" s="54"/>
      <c r="AW959" s="54"/>
      <c r="AX959" s="54"/>
      <c r="AY959" s="54"/>
      <c r="AZ959" s="54"/>
      <c r="BA959" s="54"/>
      <c r="BB959" s="54"/>
      <c r="BC959" s="54"/>
      <c r="BD959" s="54"/>
      <c r="BE959" s="54"/>
      <c r="BF959" s="54"/>
      <c r="BG959" s="54"/>
      <c r="BH959" s="54"/>
      <c r="BI959" s="54"/>
      <c r="BJ959" s="54"/>
      <c r="BK959" s="54"/>
      <c r="BL959" s="54"/>
    </row>
    <row r="960" spans="1:64" ht="11.25" customHeight="1" x14ac:dyDescent="0.3">
      <c r="A960" s="54"/>
      <c r="B960" s="54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  <c r="AA960" s="54"/>
      <c r="AB960" s="54"/>
      <c r="AC960" s="54"/>
      <c r="AD960" s="54"/>
      <c r="AE960" s="54"/>
      <c r="AF960" s="54"/>
      <c r="AG960" s="54"/>
      <c r="AH960" s="54"/>
      <c r="AI960" s="54"/>
      <c r="AJ960" s="54"/>
      <c r="AK960" s="54"/>
      <c r="AL960" s="54"/>
      <c r="AM960" s="54"/>
      <c r="AN960" s="54"/>
      <c r="AO960" s="54"/>
      <c r="AP960" s="54"/>
      <c r="AQ960" s="54"/>
      <c r="AR960" s="54"/>
      <c r="AS960" s="54"/>
      <c r="AT960" s="54"/>
      <c r="AU960" s="54"/>
      <c r="AV960" s="54"/>
      <c r="AW960" s="54"/>
      <c r="AX960" s="54"/>
      <c r="AY960" s="54"/>
      <c r="AZ960" s="54"/>
      <c r="BA960" s="54"/>
      <c r="BB960" s="54"/>
      <c r="BC960" s="54"/>
      <c r="BD960" s="54"/>
      <c r="BE960" s="54"/>
      <c r="BF960" s="54"/>
      <c r="BG960" s="54"/>
      <c r="BH960" s="54"/>
      <c r="BI960" s="54"/>
      <c r="BJ960" s="54"/>
      <c r="BK960" s="54"/>
      <c r="BL960" s="54"/>
    </row>
    <row r="961" spans="1:64" ht="11.25" customHeight="1" x14ac:dyDescent="0.3">
      <c r="A961" s="54"/>
      <c r="B961" s="54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  <c r="AA961" s="54"/>
      <c r="AB961" s="54"/>
      <c r="AC961" s="54"/>
      <c r="AD961" s="54"/>
      <c r="AE961" s="54"/>
      <c r="AF961" s="54"/>
      <c r="AG961" s="54"/>
      <c r="AH961" s="54"/>
      <c r="AI961" s="54"/>
      <c r="AJ961" s="54"/>
      <c r="AK961" s="54"/>
      <c r="AL961" s="54"/>
      <c r="AM961" s="54"/>
      <c r="AN961" s="54"/>
      <c r="AO961" s="54"/>
      <c r="AP961" s="54"/>
      <c r="AQ961" s="54"/>
      <c r="AR961" s="54"/>
      <c r="AS961" s="54"/>
      <c r="AT961" s="54"/>
      <c r="AU961" s="54"/>
      <c r="AV961" s="54"/>
      <c r="AW961" s="54"/>
      <c r="AX961" s="54"/>
      <c r="AY961" s="54"/>
      <c r="AZ961" s="54"/>
      <c r="BA961" s="54"/>
      <c r="BB961" s="54"/>
      <c r="BC961" s="54"/>
      <c r="BD961" s="54"/>
      <c r="BE961" s="54"/>
      <c r="BF961" s="54"/>
      <c r="BG961" s="54"/>
      <c r="BH961" s="54"/>
      <c r="BI961" s="54"/>
      <c r="BJ961" s="54"/>
      <c r="BK961" s="54"/>
      <c r="BL961" s="54"/>
    </row>
    <row r="962" spans="1:64" ht="11.25" customHeight="1" x14ac:dyDescent="0.3">
      <c r="A962" s="54"/>
      <c r="B962" s="54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  <c r="AA962" s="54"/>
      <c r="AB962" s="54"/>
      <c r="AC962" s="54"/>
      <c r="AD962" s="54"/>
      <c r="AE962" s="54"/>
      <c r="AF962" s="54"/>
      <c r="AG962" s="54"/>
      <c r="AH962" s="54"/>
      <c r="AI962" s="54"/>
      <c r="AJ962" s="54"/>
      <c r="AK962" s="54"/>
      <c r="AL962" s="54"/>
      <c r="AM962" s="54"/>
      <c r="AN962" s="54"/>
      <c r="AO962" s="54"/>
      <c r="AP962" s="54"/>
      <c r="AQ962" s="54"/>
      <c r="AR962" s="54"/>
      <c r="AS962" s="54"/>
      <c r="AT962" s="54"/>
      <c r="AU962" s="54"/>
      <c r="AV962" s="54"/>
      <c r="AW962" s="54"/>
      <c r="AX962" s="54"/>
      <c r="AY962" s="54"/>
      <c r="AZ962" s="54"/>
      <c r="BA962" s="54"/>
      <c r="BB962" s="54"/>
      <c r="BC962" s="54"/>
      <c r="BD962" s="54"/>
      <c r="BE962" s="54"/>
      <c r="BF962" s="54"/>
      <c r="BG962" s="54"/>
      <c r="BH962" s="54"/>
      <c r="BI962" s="54"/>
      <c r="BJ962" s="54"/>
      <c r="BK962" s="54"/>
      <c r="BL962" s="54"/>
    </row>
    <row r="963" spans="1:64" ht="11.25" customHeight="1" x14ac:dyDescent="0.3">
      <c r="A963" s="54"/>
      <c r="B963" s="54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  <c r="AA963" s="54"/>
      <c r="AB963" s="54"/>
      <c r="AC963" s="54"/>
      <c r="AD963" s="54"/>
      <c r="AE963" s="54"/>
      <c r="AF963" s="54"/>
      <c r="AG963" s="54"/>
      <c r="AH963" s="54"/>
      <c r="AI963" s="54"/>
      <c r="AJ963" s="54"/>
      <c r="AK963" s="54"/>
      <c r="AL963" s="54"/>
      <c r="AM963" s="54"/>
      <c r="AN963" s="54"/>
      <c r="AO963" s="54"/>
      <c r="AP963" s="54"/>
      <c r="AQ963" s="54"/>
      <c r="AR963" s="54"/>
      <c r="AS963" s="54"/>
      <c r="AT963" s="54"/>
      <c r="AU963" s="54"/>
      <c r="AV963" s="54"/>
      <c r="AW963" s="54"/>
      <c r="AX963" s="54"/>
      <c r="AY963" s="54"/>
      <c r="AZ963" s="54"/>
      <c r="BA963" s="54"/>
      <c r="BB963" s="54"/>
      <c r="BC963" s="54"/>
      <c r="BD963" s="54"/>
      <c r="BE963" s="54"/>
      <c r="BF963" s="54"/>
      <c r="BG963" s="54"/>
      <c r="BH963" s="54"/>
      <c r="BI963" s="54"/>
      <c r="BJ963" s="54"/>
      <c r="BK963" s="54"/>
      <c r="BL963" s="54"/>
    </row>
    <row r="964" spans="1:64" ht="11.25" customHeight="1" x14ac:dyDescent="0.3">
      <c r="A964" s="54"/>
      <c r="B964" s="54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  <c r="AA964" s="54"/>
      <c r="AB964" s="54"/>
      <c r="AC964" s="54"/>
      <c r="AD964" s="54"/>
      <c r="AE964" s="54"/>
      <c r="AF964" s="54"/>
      <c r="AG964" s="54"/>
      <c r="AH964" s="54"/>
      <c r="AI964" s="54"/>
      <c r="AJ964" s="54"/>
      <c r="AK964" s="54"/>
      <c r="AL964" s="54"/>
      <c r="AM964" s="54"/>
      <c r="AN964" s="54"/>
      <c r="AO964" s="54"/>
      <c r="AP964" s="54"/>
      <c r="AQ964" s="54"/>
      <c r="AR964" s="54"/>
      <c r="AS964" s="54"/>
      <c r="AT964" s="54"/>
      <c r="AU964" s="54"/>
      <c r="AV964" s="54"/>
      <c r="AW964" s="54"/>
      <c r="AX964" s="54"/>
      <c r="AY964" s="54"/>
      <c r="AZ964" s="54"/>
      <c r="BA964" s="54"/>
      <c r="BB964" s="54"/>
      <c r="BC964" s="54"/>
      <c r="BD964" s="54"/>
      <c r="BE964" s="54"/>
      <c r="BF964" s="54"/>
      <c r="BG964" s="54"/>
      <c r="BH964" s="54"/>
      <c r="BI964" s="54"/>
      <c r="BJ964" s="54"/>
      <c r="BK964" s="54"/>
      <c r="BL964" s="54"/>
    </row>
    <row r="965" spans="1:64" ht="11.25" customHeight="1" x14ac:dyDescent="0.3">
      <c r="A965" s="54"/>
      <c r="B965" s="54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  <c r="AA965" s="54"/>
      <c r="AB965" s="54"/>
      <c r="AC965" s="54"/>
      <c r="AD965" s="54"/>
      <c r="AE965" s="54"/>
      <c r="AF965" s="54"/>
      <c r="AG965" s="54"/>
      <c r="AH965" s="54"/>
      <c r="AI965" s="54"/>
      <c r="AJ965" s="54"/>
      <c r="AK965" s="54"/>
      <c r="AL965" s="54"/>
      <c r="AM965" s="54"/>
      <c r="AN965" s="54"/>
      <c r="AO965" s="54"/>
      <c r="AP965" s="54"/>
      <c r="AQ965" s="54"/>
      <c r="AR965" s="54"/>
      <c r="AS965" s="54"/>
      <c r="AT965" s="54"/>
      <c r="AU965" s="54"/>
      <c r="AV965" s="54"/>
      <c r="AW965" s="54"/>
      <c r="AX965" s="54"/>
      <c r="AY965" s="54"/>
      <c r="AZ965" s="54"/>
      <c r="BA965" s="54"/>
      <c r="BB965" s="54"/>
      <c r="BC965" s="54"/>
      <c r="BD965" s="54"/>
      <c r="BE965" s="54"/>
      <c r="BF965" s="54"/>
      <c r="BG965" s="54"/>
      <c r="BH965" s="54"/>
      <c r="BI965" s="54"/>
      <c r="BJ965" s="54"/>
      <c r="BK965" s="54"/>
      <c r="BL965" s="54"/>
    </row>
    <row r="966" spans="1:64" ht="11.25" customHeight="1" x14ac:dyDescent="0.3">
      <c r="A966" s="54"/>
      <c r="B966" s="54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  <c r="AA966" s="54"/>
      <c r="AB966" s="54"/>
      <c r="AC966" s="54"/>
      <c r="AD966" s="54"/>
      <c r="AE966" s="54"/>
      <c r="AF966" s="54"/>
      <c r="AG966" s="54"/>
      <c r="AH966" s="54"/>
      <c r="AI966" s="54"/>
      <c r="AJ966" s="54"/>
      <c r="AK966" s="54"/>
      <c r="AL966" s="54"/>
      <c r="AM966" s="54"/>
      <c r="AN966" s="54"/>
      <c r="AO966" s="54"/>
      <c r="AP966" s="54"/>
      <c r="AQ966" s="54"/>
      <c r="AR966" s="54"/>
      <c r="AS966" s="54"/>
      <c r="AT966" s="54"/>
      <c r="AU966" s="54"/>
      <c r="AV966" s="54"/>
      <c r="AW966" s="54"/>
      <c r="AX966" s="54"/>
      <c r="AY966" s="54"/>
      <c r="AZ966" s="54"/>
      <c r="BA966" s="54"/>
      <c r="BB966" s="54"/>
      <c r="BC966" s="54"/>
      <c r="BD966" s="54"/>
      <c r="BE966" s="54"/>
      <c r="BF966" s="54"/>
      <c r="BG966" s="54"/>
      <c r="BH966" s="54"/>
      <c r="BI966" s="54"/>
      <c r="BJ966" s="54"/>
      <c r="BK966" s="54"/>
      <c r="BL966" s="54"/>
    </row>
    <row r="967" spans="1:64" ht="11.25" customHeight="1" x14ac:dyDescent="0.3">
      <c r="A967" s="54"/>
      <c r="B967" s="54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  <c r="AA967" s="54"/>
      <c r="AB967" s="54"/>
      <c r="AC967" s="54"/>
      <c r="AD967" s="54"/>
      <c r="AE967" s="54"/>
      <c r="AF967" s="54"/>
      <c r="AG967" s="54"/>
      <c r="AH967" s="54"/>
      <c r="AI967" s="54"/>
      <c r="AJ967" s="54"/>
      <c r="AK967" s="54"/>
      <c r="AL967" s="54"/>
      <c r="AM967" s="54"/>
      <c r="AN967" s="54"/>
      <c r="AO967" s="54"/>
      <c r="AP967" s="54"/>
      <c r="AQ967" s="54"/>
      <c r="AR967" s="54"/>
      <c r="AS967" s="54"/>
      <c r="AT967" s="54"/>
      <c r="AU967" s="54"/>
      <c r="AV967" s="54"/>
      <c r="AW967" s="54"/>
      <c r="AX967" s="54"/>
      <c r="AY967" s="54"/>
      <c r="AZ967" s="54"/>
      <c r="BA967" s="54"/>
      <c r="BB967" s="54"/>
      <c r="BC967" s="54"/>
      <c r="BD967" s="54"/>
      <c r="BE967" s="54"/>
      <c r="BF967" s="54"/>
      <c r="BG967" s="54"/>
      <c r="BH967" s="54"/>
      <c r="BI967" s="54"/>
      <c r="BJ967" s="54"/>
      <c r="BK967" s="54"/>
      <c r="BL967" s="54"/>
    </row>
    <row r="968" spans="1:64" ht="11.25" customHeight="1" x14ac:dyDescent="0.3">
      <c r="A968" s="54"/>
      <c r="B968" s="54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  <c r="AA968" s="54"/>
      <c r="AB968" s="54"/>
      <c r="AC968" s="54"/>
      <c r="AD968" s="54"/>
      <c r="AE968" s="54"/>
      <c r="AF968" s="54"/>
      <c r="AG968" s="54"/>
      <c r="AH968" s="54"/>
      <c r="AI968" s="54"/>
      <c r="AJ968" s="54"/>
      <c r="AK968" s="54"/>
      <c r="AL968" s="54"/>
      <c r="AM968" s="54"/>
      <c r="AN968" s="54"/>
      <c r="AO968" s="54"/>
      <c r="AP968" s="54"/>
      <c r="AQ968" s="54"/>
      <c r="AR968" s="54"/>
      <c r="AS968" s="54"/>
      <c r="AT968" s="54"/>
      <c r="AU968" s="54"/>
      <c r="AV968" s="54"/>
      <c r="AW968" s="54"/>
      <c r="AX968" s="54"/>
      <c r="AY968" s="54"/>
      <c r="AZ968" s="54"/>
      <c r="BA968" s="54"/>
      <c r="BB968" s="54"/>
      <c r="BC968" s="54"/>
      <c r="BD968" s="54"/>
      <c r="BE968" s="54"/>
      <c r="BF968" s="54"/>
      <c r="BG968" s="54"/>
      <c r="BH968" s="54"/>
      <c r="BI968" s="54"/>
      <c r="BJ968" s="54"/>
      <c r="BK968" s="54"/>
      <c r="BL968" s="54"/>
    </row>
    <row r="969" spans="1:64" ht="11.25" customHeight="1" x14ac:dyDescent="0.3">
      <c r="A969" s="54"/>
      <c r="B969" s="54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  <c r="AA969" s="54"/>
      <c r="AB969" s="54"/>
      <c r="AC969" s="54"/>
      <c r="AD969" s="54"/>
      <c r="AE969" s="54"/>
      <c r="AF969" s="54"/>
      <c r="AG969" s="54"/>
      <c r="AH969" s="54"/>
      <c r="AI969" s="54"/>
      <c r="AJ969" s="54"/>
      <c r="AK969" s="54"/>
      <c r="AL969" s="54"/>
      <c r="AM969" s="54"/>
      <c r="AN969" s="54"/>
      <c r="AO969" s="54"/>
      <c r="AP969" s="54"/>
      <c r="AQ969" s="54"/>
      <c r="AR969" s="54"/>
      <c r="AS969" s="54"/>
      <c r="AT969" s="54"/>
      <c r="AU969" s="54"/>
      <c r="AV969" s="54"/>
      <c r="AW969" s="54"/>
      <c r="AX969" s="54"/>
      <c r="AY969" s="54"/>
      <c r="AZ969" s="54"/>
      <c r="BA969" s="54"/>
      <c r="BB969" s="54"/>
      <c r="BC969" s="54"/>
      <c r="BD969" s="54"/>
      <c r="BE969" s="54"/>
      <c r="BF969" s="54"/>
      <c r="BG969" s="54"/>
      <c r="BH969" s="54"/>
      <c r="BI969" s="54"/>
      <c r="BJ969" s="54"/>
      <c r="BK969" s="54"/>
      <c r="BL969" s="54"/>
    </row>
    <row r="970" spans="1:64" ht="11.25" customHeight="1" x14ac:dyDescent="0.3">
      <c r="A970" s="54"/>
      <c r="B970" s="54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  <c r="AA970" s="54"/>
      <c r="AB970" s="54"/>
      <c r="AC970" s="54"/>
      <c r="AD970" s="54"/>
      <c r="AE970" s="54"/>
      <c r="AF970" s="54"/>
      <c r="AG970" s="54"/>
      <c r="AH970" s="54"/>
      <c r="AI970" s="54"/>
      <c r="AJ970" s="54"/>
      <c r="AK970" s="54"/>
      <c r="AL970" s="54"/>
      <c r="AM970" s="54"/>
      <c r="AN970" s="54"/>
      <c r="AO970" s="54"/>
      <c r="AP970" s="54"/>
      <c r="AQ970" s="54"/>
      <c r="AR970" s="54"/>
      <c r="AS970" s="54"/>
      <c r="AT970" s="54"/>
      <c r="AU970" s="54"/>
      <c r="AV970" s="54"/>
      <c r="AW970" s="54"/>
      <c r="AX970" s="54"/>
      <c r="AY970" s="54"/>
      <c r="AZ970" s="54"/>
      <c r="BA970" s="54"/>
      <c r="BB970" s="54"/>
      <c r="BC970" s="54"/>
      <c r="BD970" s="54"/>
      <c r="BE970" s="54"/>
      <c r="BF970" s="54"/>
      <c r="BG970" s="54"/>
      <c r="BH970" s="54"/>
      <c r="BI970" s="54"/>
      <c r="BJ970" s="54"/>
      <c r="BK970" s="54"/>
      <c r="BL970" s="54"/>
    </row>
    <row r="971" spans="1:64" ht="11.25" customHeight="1" x14ac:dyDescent="0.3">
      <c r="A971" s="54"/>
      <c r="B971" s="54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  <c r="AA971" s="54"/>
      <c r="AB971" s="54"/>
      <c r="AC971" s="54"/>
      <c r="AD971" s="54"/>
      <c r="AE971" s="54"/>
      <c r="AF971" s="54"/>
      <c r="AG971" s="54"/>
      <c r="AH971" s="54"/>
      <c r="AI971" s="54"/>
      <c r="AJ971" s="54"/>
      <c r="AK971" s="54"/>
      <c r="AL971" s="54"/>
      <c r="AM971" s="54"/>
      <c r="AN971" s="54"/>
      <c r="AO971" s="54"/>
      <c r="AP971" s="54"/>
      <c r="AQ971" s="54"/>
      <c r="AR971" s="54"/>
      <c r="AS971" s="54"/>
      <c r="AT971" s="54"/>
      <c r="AU971" s="54"/>
      <c r="AV971" s="54"/>
      <c r="AW971" s="54"/>
      <c r="AX971" s="54"/>
      <c r="AY971" s="54"/>
      <c r="AZ971" s="54"/>
      <c r="BA971" s="54"/>
      <c r="BB971" s="54"/>
      <c r="BC971" s="54"/>
      <c r="BD971" s="54"/>
      <c r="BE971" s="54"/>
      <c r="BF971" s="54"/>
      <c r="BG971" s="54"/>
      <c r="BH971" s="54"/>
      <c r="BI971" s="54"/>
      <c r="BJ971" s="54"/>
      <c r="BK971" s="54"/>
      <c r="BL971" s="54"/>
    </row>
    <row r="972" spans="1:64" ht="11.25" customHeight="1" x14ac:dyDescent="0.3">
      <c r="A972" s="54"/>
      <c r="B972" s="54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  <c r="AA972" s="54"/>
      <c r="AB972" s="54"/>
      <c r="AC972" s="54"/>
      <c r="AD972" s="54"/>
      <c r="AE972" s="54"/>
      <c r="AF972" s="54"/>
      <c r="AG972" s="54"/>
      <c r="AH972" s="54"/>
      <c r="AI972" s="54"/>
      <c r="AJ972" s="54"/>
      <c r="AK972" s="54"/>
      <c r="AL972" s="54"/>
      <c r="AM972" s="54"/>
      <c r="AN972" s="54"/>
      <c r="AO972" s="54"/>
      <c r="AP972" s="54"/>
      <c r="AQ972" s="54"/>
      <c r="AR972" s="54"/>
      <c r="AS972" s="54"/>
      <c r="AT972" s="54"/>
      <c r="AU972" s="54"/>
      <c r="AV972" s="54"/>
      <c r="AW972" s="54"/>
      <c r="AX972" s="54"/>
      <c r="AY972" s="54"/>
      <c r="AZ972" s="54"/>
      <c r="BA972" s="54"/>
      <c r="BB972" s="54"/>
      <c r="BC972" s="54"/>
      <c r="BD972" s="54"/>
      <c r="BE972" s="54"/>
      <c r="BF972" s="54"/>
      <c r="BG972" s="54"/>
      <c r="BH972" s="54"/>
      <c r="BI972" s="54"/>
      <c r="BJ972" s="54"/>
      <c r="BK972" s="54"/>
      <c r="BL972" s="54"/>
    </row>
    <row r="973" spans="1:64" ht="11.25" customHeight="1" x14ac:dyDescent="0.3">
      <c r="A973" s="54"/>
      <c r="B973" s="54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  <c r="AA973" s="54"/>
      <c r="AB973" s="54"/>
      <c r="AC973" s="54"/>
      <c r="AD973" s="54"/>
      <c r="AE973" s="54"/>
      <c r="AF973" s="54"/>
      <c r="AG973" s="54"/>
      <c r="AH973" s="54"/>
      <c r="AI973" s="54"/>
      <c r="AJ973" s="54"/>
      <c r="AK973" s="54"/>
      <c r="AL973" s="54"/>
      <c r="AM973" s="54"/>
      <c r="AN973" s="54"/>
      <c r="AO973" s="54"/>
      <c r="AP973" s="54"/>
      <c r="AQ973" s="54"/>
      <c r="AR973" s="54"/>
      <c r="AS973" s="54"/>
      <c r="AT973" s="54"/>
      <c r="AU973" s="54"/>
      <c r="AV973" s="54"/>
      <c r="AW973" s="54"/>
      <c r="AX973" s="54"/>
      <c r="AY973" s="54"/>
      <c r="AZ973" s="54"/>
      <c r="BA973" s="54"/>
      <c r="BB973" s="54"/>
      <c r="BC973" s="54"/>
      <c r="BD973" s="54"/>
      <c r="BE973" s="54"/>
      <c r="BF973" s="54"/>
      <c r="BG973" s="54"/>
      <c r="BH973" s="54"/>
      <c r="BI973" s="54"/>
      <c r="BJ973" s="54"/>
      <c r="BK973" s="54"/>
      <c r="BL973" s="54"/>
    </row>
    <row r="974" spans="1:64" ht="11.25" customHeight="1" x14ac:dyDescent="0.3">
      <c r="A974" s="54"/>
      <c r="B974" s="54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  <c r="AA974" s="54"/>
      <c r="AB974" s="54"/>
      <c r="AC974" s="54"/>
      <c r="AD974" s="54"/>
      <c r="AE974" s="54"/>
      <c r="AF974" s="54"/>
      <c r="AG974" s="54"/>
      <c r="AH974" s="54"/>
      <c r="AI974" s="54"/>
      <c r="AJ974" s="54"/>
      <c r="AK974" s="54"/>
      <c r="AL974" s="54"/>
      <c r="AM974" s="54"/>
      <c r="AN974" s="54"/>
      <c r="AO974" s="54"/>
      <c r="AP974" s="54"/>
      <c r="AQ974" s="54"/>
      <c r="AR974" s="54"/>
      <c r="AS974" s="54"/>
      <c r="AT974" s="54"/>
      <c r="AU974" s="54"/>
      <c r="AV974" s="54"/>
      <c r="AW974" s="54"/>
      <c r="AX974" s="54"/>
      <c r="AY974" s="54"/>
      <c r="AZ974" s="54"/>
      <c r="BA974" s="54"/>
      <c r="BB974" s="54"/>
      <c r="BC974" s="54"/>
      <c r="BD974" s="54"/>
      <c r="BE974" s="54"/>
      <c r="BF974" s="54"/>
      <c r="BG974" s="54"/>
      <c r="BH974" s="54"/>
      <c r="BI974" s="54"/>
      <c r="BJ974" s="54"/>
      <c r="BK974" s="54"/>
      <c r="BL974" s="54"/>
    </row>
    <row r="975" spans="1:64" ht="11.25" customHeight="1" x14ac:dyDescent="0.3">
      <c r="A975" s="54"/>
      <c r="B975" s="54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  <c r="AA975" s="54"/>
      <c r="AB975" s="54"/>
      <c r="AC975" s="54"/>
      <c r="AD975" s="54"/>
      <c r="AE975" s="54"/>
      <c r="AF975" s="54"/>
      <c r="AG975" s="54"/>
      <c r="AH975" s="54"/>
      <c r="AI975" s="54"/>
      <c r="AJ975" s="54"/>
      <c r="AK975" s="54"/>
      <c r="AL975" s="54"/>
      <c r="AM975" s="54"/>
      <c r="AN975" s="54"/>
      <c r="AO975" s="54"/>
      <c r="AP975" s="54"/>
      <c r="AQ975" s="54"/>
      <c r="AR975" s="54"/>
      <c r="AS975" s="54"/>
      <c r="AT975" s="54"/>
      <c r="AU975" s="54"/>
      <c r="AV975" s="54"/>
      <c r="AW975" s="54"/>
      <c r="AX975" s="54"/>
      <c r="AY975" s="54"/>
      <c r="AZ975" s="54"/>
      <c r="BA975" s="54"/>
      <c r="BB975" s="54"/>
      <c r="BC975" s="54"/>
      <c r="BD975" s="54"/>
      <c r="BE975" s="54"/>
      <c r="BF975" s="54"/>
      <c r="BG975" s="54"/>
      <c r="BH975" s="54"/>
      <c r="BI975" s="54"/>
      <c r="BJ975" s="54"/>
      <c r="BK975" s="54"/>
      <c r="BL975" s="54"/>
    </row>
    <row r="976" spans="1:64" ht="11.25" customHeight="1" x14ac:dyDescent="0.3">
      <c r="A976" s="54"/>
      <c r="B976" s="54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  <c r="AA976" s="54"/>
      <c r="AB976" s="54"/>
      <c r="AC976" s="54"/>
      <c r="AD976" s="54"/>
      <c r="AE976" s="54"/>
      <c r="AF976" s="54"/>
      <c r="AG976" s="54"/>
      <c r="AH976" s="54"/>
      <c r="AI976" s="54"/>
      <c r="AJ976" s="54"/>
      <c r="AK976" s="54"/>
      <c r="AL976" s="54"/>
      <c r="AM976" s="54"/>
      <c r="AN976" s="54"/>
      <c r="AO976" s="54"/>
      <c r="AP976" s="54"/>
      <c r="AQ976" s="54"/>
      <c r="AR976" s="54"/>
      <c r="AS976" s="54"/>
      <c r="AT976" s="54"/>
      <c r="AU976" s="54"/>
      <c r="AV976" s="54"/>
      <c r="AW976" s="54"/>
      <c r="AX976" s="54"/>
      <c r="AY976" s="54"/>
      <c r="AZ976" s="54"/>
      <c r="BA976" s="54"/>
      <c r="BB976" s="54"/>
      <c r="BC976" s="54"/>
      <c r="BD976" s="54"/>
      <c r="BE976" s="54"/>
      <c r="BF976" s="54"/>
      <c r="BG976" s="54"/>
      <c r="BH976" s="54"/>
      <c r="BI976" s="54"/>
      <c r="BJ976" s="54"/>
      <c r="BK976" s="54"/>
      <c r="BL976" s="54"/>
    </row>
    <row r="977" spans="1:64" ht="11.25" customHeight="1" x14ac:dyDescent="0.3">
      <c r="A977" s="54"/>
      <c r="B977" s="54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  <c r="AA977" s="54"/>
      <c r="AB977" s="54"/>
      <c r="AC977" s="54"/>
      <c r="AD977" s="54"/>
      <c r="AE977" s="54"/>
      <c r="AF977" s="54"/>
      <c r="AG977" s="54"/>
      <c r="AH977" s="54"/>
      <c r="AI977" s="54"/>
      <c r="AJ977" s="54"/>
      <c r="AK977" s="54"/>
      <c r="AL977" s="54"/>
      <c r="AM977" s="54"/>
      <c r="AN977" s="54"/>
      <c r="AO977" s="54"/>
      <c r="AP977" s="54"/>
      <c r="AQ977" s="54"/>
      <c r="AR977" s="54"/>
      <c r="AS977" s="54"/>
      <c r="AT977" s="54"/>
      <c r="AU977" s="54"/>
      <c r="AV977" s="54"/>
      <c r="AW977" s="54"/>
      <c r="AX977" s="54"/>
      <c r="AY977" s="54"/>
      <c r="AZ977" s="54"/>
      <c r="BA977" s="54"/>
      <c r="BB977" s="54"/>
      <c r="BC977" s="54"/>
      <c r="BD977" s="54"/>
      <c r="BE977" s="54"/>
      <c r="BF977" s="54"/>
      <c r="BG977" s="54"/>
      <c r="BH977" s="54"/>
      <c r="BI977" s="54"/>
      <c r="BJ977" s="54"/>
      <c r="BK977" s="54"/>
      <c r="BL977" s="54"/>
    </row>
    <row r="978" spans="1:64" ht="11.25" customHeight="1" x14ac:dyDescent="0.3">
      <c r="A978" s="54"/>
      <c r="B978" s="54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  <c r="AA978" s="54"/>
      <c r="AB978" s="54"/>
      <c r="AC978" s="54"/>
      <c r="AD978" s="54"/>
      <c r="AE978" s="54"/>
      <c r="AF978" s="54"/>
      <c r="AG978" s="54"/>
      <c r="AH978" s="54"/>
      <c r="AI978" s="54"/>
      <c r="AJ978" s="54"/>
      <c r="AK978" s="54"/>
      <c r="AL978" s="54"/>
      <c r="AM978" s="54"/>
      <c r="AN978" s="54"/>
      <c r="AO978" s="54"/>
      <c r="AP978" s="54"/>
      <c r="AQ978" s="54"/>
      <c r="AR978" s="54"/>
      <c r="AS978" s="54"/>
      <c r="AT978" s="54"/>
      <c r="AU978" s="54"/>
      <c r="AV978" s="54"/>
      <c r="AW978" s="54"/>
      <c r="AX978" s="54"/>
      <c r="AY978" s="54"/>
      <c r="AZ978" s="54"/>
      <c r="BA978" s="54"/>
      <c r="BB978" s="54"/>
      <c r="BC978" s="54"/>
      <c r="BD978" s="54"/>
      <c r="BE978" s="54"/>
      <c r="BF978" s="54"/>
      <c r="BG978" s="54"/>
      <c r="BH978" s="54"/>
      <c r="BI978" s="54"/>
      <c r="BJ978" s="54"/>
      <c r="BK978" s="54"/>
      <c r="BL978" s="54"/>
    </row>
    <row r="979" spans="1:64" ht="11.25" customHeight="1" x14ac:dyDescent="0.3">
      <c r="A979" s="54"/>
      <c r="B979" s="54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  <c r="AA979" s="54"/>
      <c r="AB979" s="54"/>
      <c r="AC979" s="54"/>
      <c r="AD979" s="54"/>
      <c r="AE979" s="54"/>
      <c r="AF979" s="54"/>
      <c r="AG979" s="54"/>
      <c r="AH979" s="54"/>
      <c r="AI979" s="54"/>
      <c r="AJ979" s="54"/>
      <c r="AK979" s="54"/>
      <c r="AL979" s="54"/>
      <c r="AM979" s="54"/>
      <c r="AN979" s="54"/>
      <c r="AO979" s="54"/>
      <c r="AP979" s="54"/>
      <c r="AQ979" s="54"/>
      <c r="AR979" s="54"/>
      <c r="AS979" s="54"/>
      <c r="AT979" s="54"/>
      <c r="AU979" s="54"/>
      <c r="AV979" s="54"/>
      <c r="AW979" s="54"/>
      <c r="AX979" s="54"/>
      <c r="AY979" s="54"/>
      <c r="AZ979" s="54"/>
      <c r="BA979" s="54"/>
      <c r="BB979" s="54"/>
      <c r="BC979" s="54"/>
      <c r="BD979" s="54"/>
      <c r="BE979" s="54"/>
      <c r="BF979" s="54"/>
      <c r="BG979" s="54"/>
      <c r="BH979" s="54"/>
      <c r="BI979" s="54"/>
      <c r="BJ979" s="54"/>
      <c r="BK979" s="54"/>
      <c r="BL979" s="54"/>
    </row>
    <row r="980" spans="1:64" ht="11.25" customHeight="1" x14ac:dyDescent="0.3">
      <c r="A980" s="54"/>
      <c r="B980" s="54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  <c r="AA980" s="54"/>
      <c r="AB980" s="54"/>
      <c r="AC980" s="54"/>
      <c r="AD980" s="54"/>
      <c r="AE980" s="54"/>
      <c r="AF980" s="54"/>
      <c r="AG980" s="54"/>
      <c r="AH980" s="54"/>
      <c r="AI980" s="54"/>
      <c r="AJ980" s="54"/>
      <c r="AK980" s="54"/>
      <c r="AL980" s="54"/>
      <c r="AM980" s="54"/>
      <c r="AN980" s="54"/>
      <c r="AO980" s="54"/>
      <c r="AP980" s="54"/>
      <c r="AQ980" s="54"/>
      <c r="AR980" s="54"/>
      <c r="AS980" s="54"/>
      <c r="AT980" s="54"/>
      <c r="AU980" s="54"/>
      <c r="AV980" s="54"/>
      <c r="AW980" s="54"/>
      <c r="AX980" s="54"/>
      <c r="AY980" s="54"/>
      <c r="AZ980" s="54"/>
      <c r="BA980" s="54"/>
      <c r="BB980" s="54"/>
      <c r="BC980" s="54"/>
      <c r="BD980" s="54"/>
      <c r="BE980" s="54"/>
      <c r="BF980" s="54"/>
      <c r="BG980" s="54"/>
      <c r="BH980" s="54"/>
      <c r="BI980" s="54"/>
      <c r="BJ980" s="54"/>
      <c r="BK980" s="54"/>
      <c r="BL980" s="54"/>
    </row>
    <row r="981" spans="1:64" ht="11.25" customHeight="1" x14ac:dyDescent="0.3">
      <c r="A981" s="54"/>
      <c r="B981" s="54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  <c r="AA981" s="54"/>
      <c r="AB981" s="54"/>
      <c r="AC981" s="54"/>
      <c r="AD981" s="54"/>
      <c r="AE981" s="54"/>
      <c r="AF981" s="54"/>
      <c r="AG981" s="54"/>
      <c r="AH981" s="54"/>
      <c r="AI981" s="54"/>
      <c r="AJ981" s="54"/>
      <c r="AK981" s="54"/>
      <c r="AL981" s="54"/>
      <c r="AM981" s="54"/>
      <c r="AN981" s="54"/>
      <c r="AO981" s="54"/>
      <c r="AP981" s="54"/>
      <c r="AQ981" s="54"/>
      <c r="AR981" s="54"/>
      <c r="AS981" s="54"/>
      <c r="AT981" s="54"/>
      <c r="AU981" s="54"/>
      <c r="AV981" s="54"/>
      <c r="AW981" s="54"/>
      <c r="AX981" s="54"/>
      <c r="AY981" s="54"/>
      <c r="AZ981" s="54"/>
      <c r="BA981" s="54"/>
      <c r="BB981" s="54"/>
      <c r="BC981" s="54"/>
      <c r="BD981" s="54"/>
      <c r="BE981" s="54"/>
      <c r="BF981" s="54"/>
      <c r="BG981" s="54"/>
      <c r="BH981" s="54"/>
      <c r="BI981" s="54"/>
      <c r="BJ981" s="54"/>
      <c r="BK981" s="54"/>
      <c r="BL981" s="54"/>
    </row>
    <row r="982" spans="1:64" ht="11.25" customHeight="1" x14ac:dyDescent="0.3">
      <c r="A982" s="54"/>
      <c r="B982" s="54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  <c r="AA982" s="54"/>
      <c r="AB982" s="54"/>
      <c r="AC982" s="54"/>
      <c r="AD982" s="54"/>
      <c r="AE982" s="54"/>
      <c r="AF982" s="54"/>
      <c r="AG982" s="54"/>
      <c r="AH982" s="54"/>
      <c r="AI982" s="54"/>
      <c r="AJ982" s="54"/>
      <c r="AK982" s="54"/>
      <c r="AL982" s="54"/>
      <c r="AM982" s="54"/>
      <c r="AN982" s="54"/>
      <c r="AO982" s="54"/>
      <c r="AP982" s="54"/>
      <c r="AQ982" s="54"/>
      <c r="AR982" s="54"/>
      <c r="AS982" s="54"/>
      <c r="AT982" s="54"/>
      <c r="AU982" s="54"/>
      <c r="AV982" s="54"/>
      <c r="AW982" s="54"/>
      <c r="AX982" s="54"/>
      <c r="AY982" s="54"/>
      <c r="AZ982" s="54"/>
      <c r="BA982" s="54"/>
      <c r="BB982" s="54"/>
      <c r="BC982" s="54"/>
      <c r="BD982" s="54"/>
      <c r="BE982" s="54"/>
      <c r="BF982" s="54"/>
      <c r="BG982" s="54"/>
      <c r="BH982" s="54"/>
      <c r="BI982" s="54"/>
      <c r="BJ982" s="54"/>
      <c r="BK982" s="54"/>
      <c r="BL982" s="54"/>
    </row>
    <row r="983" spans="1:64" ht="11.25" customHeight="1" x14ac:dyDescent="0.3">
      <c r="A983" s="54"/>
      <c r="B983" s="54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  <c r="AA983" s="54"/>
      <c r="AB983" s="54"/>
      <c r="AC983" s="54"/>
      <c r="AD983" s="54"/>
      <c r="AE983" s="54"/>
      <c r="AF983" s="54"/>
      <c r="AG983" s="54"/>
      <c r="AH983" s="54"/>
      <c r="AI983" s="54"/>
      <c r="AJ983" s="54"/>
      <c r="AK983" s="54"/>
      <c r="AL983" s="54"/>
      <c r="AM983" s="54"/>
      <c r="AN983" s="54"/>
      <c r="AO983" s="54"/>
      <c r="AP983" s="54"/>
      <c r="AQ983" s="54"/>
      <c r="AR983" s="54"/>
      <c r="AS983" s="54"/>
      <c r="AT983" s="54"/>
      <c r="AU983" s="54"/>
      <c r="AV983" s="54"/>
      <c r="AW983" s="54"/>
      <c r="AX983" s="54"/>
      <c r="AY983" s="54"/>
      <c r="AZ983" s="54"/>
      <c r="BA983" s="54"/>
      <c r="BB983" s="54"/>
      <c r="BC983" s="54"/>
      <c r="BD983" s="54"/>
      <c r="BE983" s="54"/>
      <c r="BF983" s="54"/>
      <c r="BG983" s="54"/>
      <c r="BH983" s="54"/>
      <c r="BI983" s="54"/>
      <c r="BJ983" s="54"/>
      <c r="BK983" s="54"/>
      <c r="BL983" s="54"/>
    </row>
    <row r="984" spans="1:64" ht="11.25" customHeight="1" x14ac:dyDescent="0.3">
      <c r="A984" s="54"/>
      <c r="B984" s="54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  <c r="AA984" s="54"/>
      <c r="AB984" s="54"/>
      <c r="AC984" s="54"/>
      <c r="AD984" s="54"/>
      <c r="AE984" s="54"/>
      <c r="AF984" s="54"/>
      <c r="AG984" s="54"/>
      <c r="AH984" s="54"/>
      <c r="AI984" s="54"/>
      <c r="AJ984" s="54"/>
      <c r="AK984" s="54"/>
      <c r="AL984" s="54"/>
      <c r="AM984" s="54"/>
      <c r="AN984" s="54"/>
      <c r="AO984" s="54"/>
      <c r="AP984" s="54"/>
      <c r="AQ984" s="54"/>
      <c r="AR984" s="54"/>
      <c r="AS984" s="54"/>
      <c r="AT984" s="54"/>
      <c r="AU984" s="54"/>
      <c r="AV984" s="54"/>
      <c r="AW984" s="54"/>
      <c r="AX984" s="54"/>
      <c r="AY984" s="54"/>
      <c r="AZ984" s="54"/>
      <c r="BA984" s="54"/>
      <c r="BB984" s="54"/>
      <c r="BC984" s="54"/>
      <c r="BD984" s="54"/>
      <c r="BE984" s="54"/>
      <c r="BF984" s="54"/>
      <c r="BG984" s="54"/>
      <c r="BH984" s="54"/>
      <c r="BI984" s="54"/>
      <c r="BJ984" s="54"/>
      <c r="BK984" s="54"/>
      <c r="BL984" s="54"/>
    </row>
    <row r="985" spans="1:64" ht="11.25" customHeight="1" x14ac:dyDescent="0.3">
      <c r="A985" s="54"/>
      <c r="B985" s="54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  <c r="AA985" s="54"/>
      <c r="AB985" s="54"/>
      <c r="AC985" s="54"/>
      <c r="AD985" s="54"/>
      <c r="AE985" s="54"/>
      <c r="AF985" s="54"/>
      <c r="AG985" s="54"/>
      <c r="AH985" s="54"/>
      <c r="AI985" s="54"/>
      <c r="AJ985" s="54"/>
      <c r="AK985" s="54"/>
      <c r="AL985" s="54"/>
      <c r="AM985" s="54"/>
      <c r="AN985" s="54"/>
      <c r="AO985" s="54"/>
      <c r="AP985" s="54"/>
      <c r="AQ985" s="54"/>
      <c r="AR985" s="54"/>
      <c r="AS985" s="54"/>
      <c r="AT985" s="54"/>
      <c r="AU985" s="54"/>
      <c r="AV985" s="54"/>
      <c r="AW985" s="54"/>
      <c r="AX985" s="54"/>
      <c r="AY985" s="54"/>
      <c r="AZ985" s="54"/>
      <c r="BA985" s="54"/>
      <c r="BB985" s="54"/>
      <c r="BC985" s="54"/>
      <c r="BD985" s="54"/>
      <c r="BE985" s="54"/>
      <c r="BF985" s="54"/>
      <c r="BG985" s="54"/>
      <c r="BH985" s="54"/>
      <c r="BI985" s="54"/>
      <c r="BJ985" s="54"/>
      <c r="BK985" s="54"/>
      <c r="BL985" s="54"/>
    </row>
    <row r="986" spans="1:64" ht="11.25" customHeight="1" x14ac:dyDescent="0.3">
      <c r="A986" s="54"/>
      <c r="B986" s="54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  <c r="AA986" s="54"/>
      <c r="AB986" s="54"/>
      <c r="AC986" s="54"/>
      <c r="AD986" s="54"/>
      <c r="AE986" s="54"/>
      <c r="AF986" s="54"/>
      <c r="AG986" s="54"/>
      <c r="AH986" s="54"/>
      <c r="AI986" s="54"/>
      <c r="AJ986" s="54"/>
      <c r="AK986" s="54"/>
      <c r="AL986" s="54"/>
      <c r="AM986" s="54"/>
      <c r="AN986" s="54"/>
      <c r="AO986" s="54"/>
      <c r="AP986" s="54"/>
      <c r="AQ986" s="54"/>
      <c r="AR986" s="54"/>
      <c r="AS986" s="54"/>
      <c r="AT986" s="54"/>
      <c r="AU986" s="54"/>
      <c r="AV986" s="54"/>
      <c r="AW986" s="54"/>
      <c r="AX986" s="54"/>
      <c r="AY986" s="54"/>
      <c r="AZ986" s="54"/>
      <c r="BA986" s="54"/>
      <c r="BB986" s="54"/>
      <c r="BC986" s="54"/>
      <c r="BD986" s="54"/>
      <c r="BE986" s="54"/>
      <c r="BF986" s="54"/>
      <c r="BG986" s="54"/>
      <c r="BH986" s="54"/>
      <c r="BI986" s="54"/>
      <c r="BJ986" s="54"/>
      <c r="BK986" s="54"/>
      <c r="BL986" s="54"/>
    </row>
    <row r="987" spans="1:64" ht="11.25" customHeight="1" x14ac:dyDescent="0.3">
      <c r="A987" s="54"/>
      <c r="B987" s="54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  <c r="AA987" s="54"/>
      <c r="AB987" s="54"/>
      <c r="AC987" s="54"/>
      <c r="AD987" s="54"/>
      <c r="AE987" s="54"/>
      <c r="AF987" s="54"/>
      <c r="AG987" s="54"/>
      <c r="AH987" s="54"/>
      <c r="AI987" s="54"/>
      <c r="AJ987" s="54"/>
      <c r="AK987" s="54"/>
      <c r="AL987" s="54"/>
      <c r="AM987" s="54"/>
      <c r="AN987" s="54"/>
      <c r="AO987" s="54"/>
      <c r="AP987" s="54"/>
      <c r="AQ987" s="54"/>
      <c r="AR987" s="54"/>
      <c r="AS987" s="54"/>
      <c r="AT987" s="54"/>
      <c r="AU987" s="54"/>
      <c r="AV987" s="54"/>
      <c r="AW987" s="54"/>
      <c r="AX987" s="54"/>
      <c r="AY987" s="54"/>
      <c r="AZ987" s="54"/>
      <c r="BA987" s="54"/>
      <c r="BB987" s="54"/>
      <c r="BC987" s="54"/>
      <c r="BD987" s="54"/>
      <c r="BE987" s="54"/>
      <c r="BF987" s="54"/>
      <c r="BG987" s="54"/>
      <c r="BH987" s="54"/>
      <c r="BI987" s="54"/>
      <c r="BJ987" s="54"/>
      <c r="BK987" s="54"/>
      <c r="BL987" s="54"/>
    </row>
    <row r="988" spans="1:64" ht="11.25" customHeight="1" x14ac:dyDescent="0.3">
      <c r="A988" s="54"/>
      <c r="B988" s="54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  <c r="AA988" s="54"/>
      <c r="AB988" s="54"/>
      <c r="AC988" s="54"/>
      <c r="AD988" s="54"/>
      <c r="AE988" s="54"/>
      <c r="AF988" s="54"/>
      <c r="AG988" s="54"/>
      <c r="AH988" s="54"/>
      <c r="AI988" s="54"/>
      <c r="AJ988" s="54"/>
      <c r="AK988" s="54"/>
      <c r="AL988" s="54"/>
      <c r="AM988" s="54"/>
      <c r="AN988" s="54"/>
      <c r="AO988" s="54"/>
      <c r="AP988" s="54"/>
      <c r="AQ988" s="54"/>
      <c r="AR988" s="54"/>
      <c r="AS988" s="54"/>
      <c r="AT988" s="54"/>
      <c r="AU988" s="54"/>
      <c r="AV988" s="54"/>
      <c r="AW988" s="54"/>
      <c r="AX988" s="54"/>
      <c r="AY988" s="54"/>
      <c r="AZ988" s="54"/>
      <c r="BA988" s="54"/>
      <c r="BB988" s="54"/>
      <c r="BC988" s="54"/>
      <c r="BD988" s="54"/>
      <c r="BE988" s="54"/>
      <c r="BF988" s="54"/>
      <c r="BG988" s="54"/>
      <c r="BH988" s="54"/>
      <c r="BI988" s="54"/>
      <c r="BJ988" s="54"/>
      <c r="BK988" s="54"/>
      <c r="BL988" s="54"/>
    </row>
    <row r="989" spans="1:64" ht="11.25" customHeight="1" x14ac:dyDescent="0.3">
      <c r="A989" s="54"/>
      <c r="B989" s="54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  <c r="AA989" s="54"/>
      <c r="AB989" s="54"/>
      <c r="AC989" s="54"/>
      <c r="AD989" s="54"/>
      <c r="AE989" s="54"/>
      <c r="AF989" s="54"/>
      <c r="AG989" s="54"/>
      <c r="AH989" s="54"/>
      <c r="AI989" s="54"/>
      <c r="AJ989" s="54"/>
      <c r="AK989" s="54"/>
      <c r="AL989" s="54"/>
      <c r="AM989" s="54"/>
      <c r="AN989" s="54"/>
      <c r="AO989" s="54"/>
      <c r="AP989" s="54"/>
      <c r="AQ989" s="54"/>
      <c r="AR989" s="54"/>
      <c r="AS989" s="54"/>
      <c r="AT989" s="54"/>
      <c r="AU989" s="54"/>
      <c r="AV989" s="54"/>
      <c r="AW989" s="54"/>
      <c r="AX989" s="54"/>
      <c r="AY989" s="54"/>
      <c r="AZ989" s="54"/>
      <c r="BA989" s="54"/>
      <c r="BB989" s="54"/>
      <c r="BC989" s="54"/>
      <c r="BD989" s="54"/>
      <c r="BE989" s="54"/>
      <c r="BF989" s="54"/>
      <c r="BG989" s="54"/>
      <c r="BH989" s="54"/>
      <c r="BI989" s="54"/>
      <c r="BJ989" s="54"/>
      <c r="BK989" s="54"/>
      <c r="BL989" s="54"/>
    </row>
    <row r="990" spans="1:64" ht="11.25" customHeight="1" x14ac:dyDescent="0.3">
      <c r="A990" s="54"/>
      <c r="B990" s="54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  <c r="AA990" s="54"/>
      <c r="AB990" s="54"/>
      <c r="AC990" s="54"/>
      <c r="AD990" s="54"/>
      <c r="AE990" s="54"/>
      <c r="AF990" s="54"/>
      <c r="AG990" s="54"/>
      <c r="AH990" s="54"/>
      <c r="AI990" s="54"/>
      <c r="AJ990" s="54"/>
      <c r="AK990" s="54"/>
      <c r="AL990" s="54"/>
      <c r="AM990" s="54"/>
      <c r="AN990" s="54"/>
      <c r="AO990" s="54"/>
      <c r="AP990" s="54"/>
      <c r="AQ990" s="54"/>
      <c r="AR990" s="54"/>
      <c r="AS990" s="54"/>
      <c r="AT990" s="54"/>
      <c r="AU990" s="54"/>
      <c r="AV990" s="54"/>
      <c r="AW990" s="54"/>
      <c r="AX990" s="54"/>
      <c r="AY990" s="54"/>
      <c r="AZ990" s="54"/>
      <c r="BA990" s="54"/>
      <c r="BB990" s="54"/>
      <c r="BC990" s="54"/>
      <c r="BD990" s="54"/>
      <c r="BE990" s="54"/>
      <c r="BF990" s="54"/>
      <c r="BG990" s="54"/>
      <c r="BH990" s="54"/>
      <c r="BI990" s="54"/>
      <c r="BJ990" s="54"/>
      <c r="BK990" s="54"/>
      <c r="BL990" s="54"/>
    </row>
    <row r="991" spans="1:64" ht="11.25" customHeight="1" x14ac:dyDescent="0.3">
      <c r="A991" s="54"/>
      <c r="B991" s="54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  <c r="AA991" s="54"/>
      <c r="AB991" s="54"/>
      <c r="AC991" s="54"/>
      <c r="AD991" s="54"/>
      <c r="AE991" s="54"/>
      <c r="AF991" s="54"/>
      <c r="AG991" s="54"/>
      <c r="AH991" s="54"/>
      <c r="AI991" s="54"/>
      <c r="AJ991" s="54"/>
      <c r="AK991" s="54"/>
      <c r="AL991" s="54"/>
      <c r="AM991" s="54"/>
      <c r="AN991" s="54"/>
      <c r="AO991" s="54"/>
      <c r="AP991" s="54"/>
      <c r="AQ991" s="54"/>
      <c r="AR991" s="54"/>
      <c r="AS991" s="54"/>
      <c r="AT991" s="54"/>
      <c r="AU991" s="54"/>
      <c r="AV991" s="54"/>
      <c r="AW991" s="54"/>
      <c r="AX991" s="54"/>
      <c r="AY991" s="54"/>
      <c r="AZ991" s="54"/>
      <c r="BA991" s="54"/>
      <c r="BB991" s="54"/>
      <c r="BC991" s="54"/>
      <c r="BD991" s="54"/>
      <c r="BE991" s="54"/>
      <c r="BF991" s="54"/>
      <c r="BG991" s="54"/>
      <c r="BH991" s="54"/>
      <c r="BI991" s="54"/>
      <c r="BJ991" s="54"/>
      <c r="BK991" s="54"/>
      <c r="BL991" s="54"/>
    </row>
    <row r="992" spans="1:64" ht="11.25" customHeight="1" x14ac:dyDescent="0.3">
      <c r="A992" s="54"/>
      <c r="B992" s="54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  <c r="AA992" s="54"/>
      <c r="AB992" s="54"/>
      <c r="AC992" s="54"/>
      <c r="AD992" s="54"/>
      <c r="AE992" s="54"/>
      <c r="AF992" s="54"/>
      <c r="AG992" s="54"/>
      <c r="AH992" s="54"/>
      <c r="AI992" s="54"/>
      <c r="AJ992" s="54"/>
      <c r="AK992" s="54"/>
      <c r="AL992" s="54"/>
      <c r="AM992" s="54"/>
      <c r="AN992" s="54"/>
      <c r="AO992" s="54"/>
      <c r="AP992" s="54"/>
      <c r="AQ992" s="54"/>
      <c r="AR992" s="54"/>
      <c r="AS992" s="54"/>
      <c r="AT992" s="54"/>
      <c r="AU992" s="54"/>
      <c r="AV992" s="54"/>
      <c r="AW992" s="54"/>
      <c r="AX992" s="54"/>
      <c r="AY992" s="54"/>
      <c r="AZ992" s="54"/>
      <c r="BA992" s="54"/>
      <c r="BB992" s="54"/>
      <c r="BC992" s="54"/>
      <c r="BD992" s="54"/>
      <c r="BE992" s="54"/>
      <c r="BF992" s="54"/>
      <c r="BG992" s="54"/>
      <c r="BH992" s="54"/>
      <c r="BI992" s="54"/>
      <c r="BJ992" s="54"/>
      <c r="BK992" s="54"/>
      <c r="BL992" s="54"/>
    </row>
    <row r="993" spans="1:64" ht="11.25" customHeight="1" x14ac:dyDescent="0.3">
      <c r="A993" s="54"/>
      <c r="B993" s="54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  <c r="AA993" s="54"/>
      <c r="AB993" s="54"/>
      <c r="AC993" s="54"/>
      <c r="AD993" s="54"/>
      <c r="AE993" s="54"/>
      <c r="AF993" s="54"/>
      <c r="AG993" s="54"/>
      <c r="AH993" s="54"/>
      <c r="AI993" s="54"/>
      <c r="AJ993" s="54"/>
      <c r="AK993" s="54"/>
      <c r="AL993" s="54"/>
      <c r="AM993" s="54"/>
      <c r="AN993" s="54"/>
      <c r="AO993" s="54"/>
      <c r="AP993" s="54"/>
      <c r="AQ993" s="54"/>
      <c r="AR993" s="54"/>
      <c r="AS993" s="54"/>
      <c r="AT993" s="54"/>
      <c r="AU993" s="54"/>
      <c r="AV993" s="54"/>
      <c r="AW993" s="54"/>
      <c r="AX993" s="54"/>
      <c r="AY993" s="54"/>
      <c r="AZ993" s="54"/>
      <c r="BA993" s="54"/>
      <c r="BB993" s="54"/>
      <c r="BC993" s="54"/>
      <c r="BD993" s="54"/>
      <c r="BE993" s="54"/>
      <c r="BF993" s="54"/>
      <c r="BG993" s="54"/>
      <c r="BH993" s="54"/>
      <c r="BI993" s="54"/>
      <c r="BJ993" s="54"/>
      <c r="BK993" s="54"/>
      <c r="BL993" s="54"/>
    </row>
    <row r="994" spans="1:64" ht="11.25" customHeight="1" x14ac:dyDescent="0.3">
      <c r="A994" s="54"/>
      <c r="B994" s="54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  <c r="AA994" s="54"/>
      <c r="AB994" s="54"/>
      <c r="AC994" s="54"/>
      <c r="AD994" s="54"/>
      <c r="AE994" s="54"/>
      <c r="AF994" s="54"/>
      <c r="AG994" s="54"/>
      <c r="AH994" s="54"/>
      <c r="AI994" s="54"/>
      <c r="AJ994" s="54"/>
      <c r="AK994" s="54"/>
      <c r="AL994" s="54"/>
      <c r="AM994" s="54"/>
      <c r="AN994" s="54"/>
      <c r="AO994" s="54"/>
      <c r="AP994" s="54"/>
      <c r="AQ994" s="54"/>
      <c r="AR994" s="54"/>
      <c r="AS994" s="54"/>
      <c r="AT994" s="54"/>
      <c r="AU994" s="54"/>
      <c r="AV994" s="54"/>
      <c r="AW994" s="54"/>
      <c r="AX994" s="54"/>
      <c r="AY994" s="54"/>
      <c r="AZ994" s="54"/>
      <c r="BA994" s="54"/>
      <c r="BB994" s="54"/>
      <c r="BC994" s="54"/>
      <c r="BD994" s="54"/>
      <c r="BE994" s="54"/>
      <c r="BF994" s="54"/>
      <c r="BG994" s="54"/>
      <c r="BH994" s="54"/>
      <c r="BI994" s="54"/>
      <c r="BJ994" s="54"/>
      <c r="BK994" s="54"/>
      <c r="BL994" s="54"/>
    </row>
    <row r="995" spans="1:64" ht="11.25" customHeight="1" x14ac:dyDescent="0.3">
      <c r="A995" s="54"/>
      <c r="B995" s="54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  <c r="AA995" s="54"/>
      <c r="AB995" s="54"/>
      <c r="AC995" s="54"/>
      <c r="AD995" s="54"/>
      <c r="AE995" s="54"/>
      <c r="AF995" s="54"/>
      <c r="AG995" s="54"/>
      <c r="AH995" s="54"/>
      <c r="AI995" s="54"/>
      <c r="AJ995" s="54"/>
      <c r="AK995" s="54"/>
      <c r="AL995" s="54"/>
      <c r="AM995" s="54"/>
      <c r="AN995" s="54"/>
      <c r="AO995" s="54"/>
      <c r="AP995" s="54"/>
      <c r="AQ995" s="54"/>
      <c r="AR995" s="54"/>
      <c r="AS995" s="54"/>
      <c r="AT995" s="54"/>
      <c r="AU995" s="54"/>
      <c r="AV995" s="54"/>
      <c r="AW995" s="54"/>
      <c r="AX995" s="54"/>
      <c r="AY995" s="54"/>
      <c r="AZ995" s="54"/>
      <c r="BA995" s="54"/>
      <c r="BB995" s="54"/>
      <c r="BC995" s="54"/>
      <c r="BD995" s="54"/>
      <c r="BE995" s="54"/>
      <c r="BF995" s="54"/>
      <c r="BG995" s="54"/>
      <c r="BH995" s="54"/>
      <c r="BI995" s="54"/>
      <c r="BJ995" s="54"/>
      <c r="BK995" s="54"/>
      <c r="BL995" s="54"/>
    </row>
    <row r="996" spans="1:64" ht="11.25" customHeight="1" x14ac:dyDescent="0.3">
      <c r="A996" s="54"/>
      <c r="B996" s="54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  <c r="AA996" s="54"/>
      <c r="AB996" s="54"/>
      <c r="AC996" s="54"/>
      <c r="AD996" s="54"/>
      <c r="AE996" s="54"/>
      <c r="AF996" s="54"/>
      <c r="AG996" s="54"/>
      <c r="AH996" s="54"/>
      <c r="AI996" s="54"/>
      <c r="AJ996" s="54"/>
      <c r="AK996" s="54"/>
      <c r="AL996" s="54"/>
      <c r="AM996" s="54"/>
      <c r="AN996" s="54"/>
      <c r="AO996" s="54"/>
      <c r="AP996" s="54"/>
      <c r="AQ996" s="54"/>
      <c r="AR996" s="54"/>
      <c r="AS996" s="54"/>
      <c r="AT996" s="54"/>
      <c r="AU996" s="54"/>
      <c r="AV996" s="54"/>
      <c r="AW996" s="54"/>
      <c r="AX996" s="54"/>
      <c r="AY996" s="54"/>
      <c r="AZ996" s="54"/>
      <c r="BA996" s="54"/>
      <c r="BB996" s="54"/>
      <c r="BC996" s="54"/>
      <c r="BD996" s="54"/>
      <c r="BE996" s="54"/>
      <c r="BF996" s="54"/>
      <c r="BG996" s="54"/>
      <c r="BH996" s="54"/>
      <c r="BI996" s="54"/>
      <c r="BJ996" s="54"/>
      <c r="BK996" s="54"/>
      <c r="BL996" s="54"/>
    </row>
    <row r="997" spans="1:64" ht="11.25" customHeight="1" x14ac:dyDescent="0.3">
      <c r="A997" s="54"/>
      <c r="B997" s="54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  <c r="AA997" s="54"/>
      <c r="AB997" s="54"/>
      <c r="AC997" s="54"/>
      <c r="AD997" s="54"/>
      <c r="AE997" s="54"/>
      <c r="AF997" s="54"/>
      <c r="AG997" s="54"/>
      <c r="AH997" s="54"/>
      <c r="AI997" s="54"/>
      <c r="AJ997" s="54"/>
      <c r="AK997" s="54"/>
      <c r="AL997" s="54"/>
      <c r="AM997" s="54"/>
      <c r="AN997" s="54"/>
      <c r="AO997" s="54"/>
      <c r="AP997" s="54"/>
      <c r="AQ997" s="54"/>
      <c r="AR997" s="54"/>
      <c r="AS997" s="54"/>
      <c r="AT997" s="54"/>
      <c r="AU997" s="54"/>
      <c r="AV997" s="54"/>
      <c r="AW997" s="54"/>
      <c r="AX997" s="54"/>
      <c r="AY997" s="54"/>
      <c r="AZ997" s="54"/>
      <c r="BA997" s="54"/>
      <c r="BB997" s="54"/>
      <c r="BC997" s="54"/>
      <c r="BD997" s="54"/>
      <c r="BE997" s="54"/>
      <c r="BF997" s="54"/>
      <c r="BG997" s="54"/>
      <c r="BH997" s="54"/>
      <c r="BI997" s="54"/>
      <c r="BJ997" s="54"/>
      <c r="BK997" s="54"/>
      <c r="BL997" s="54"/>
    </row>
    <row r="998" spans="1:64" ht="11.25" customHeight="1" x14ac:dyDescent="0.3">
      <c r="A998" s="54"/>
      <c r="B998" s="54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  <c r="AA998" s="54"/>
      <c r="AB998" s="54"/>
      <c r="AC998" s="54"/>
      <c r="AD998" s="54"/>
      <c r="AE998" s="54"/>
      <c r="AF998" s="54"/>
      <c r="AG998" s="54"/>
      <c r="AH998" s="54"/>
      <c r="AI998" s="54"/>
      <c r="AJ998" s="54"/>
      <c r="AK998" s="54"/>
      <c r="AL998" s="54"/>
      <c r="AM998" s="54"/>
      <c r="AN998" s="54"/>
      <c r="AO998" s="54"/>
      <c r="AP998" s="54"/>
      <c r="AQ998" s="54"/>
      <c r="AR998" s="54"/>
      <c r="AS998" s="54"/>
      <c r="AT998" s="54"/>
      <c r="AU998" s="54"/>
      <c r="AV998" s="54"/>
      <c r="AW998" s="54"/>
      <c r="AX998" s="54"/>
      <c r="AY998" s="54"/>
      <c r="AZ998" s="54"/>
      <c r="BA998" s="54"/>
      <c r="BB998" s="54"/>
      <c r="BC998" s="54"/>
      <c r="BD998" s="54"/>
      <c r="BE998" s="54"/>
      <c r="BF998" s="54"/>
      <c r="BG998" s="54"/>
      <c r="BH998" s="54"/>
      <c r="BI998" s="54"/>
      <c r="BJ998" s="54"/>
      <c r="BK998" s="54"/>
      <c r="BL998" s="54"/>
    </row>
    <row r="999" spans="1:64" ht="11.25" customHeight="1" x14ac:dyDescent="0.3">
      <c r="A999" s="54"/>
      <c r="B999" s="54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  <c r="AA999" s="54"/>
      <c r="AB999" s="54"/>
      <c r="AC999" s="54"/>
      <c r="AD999" s="54"/>
      <c r="AE999" s="54"/>
      <c r="AF999" s="54"/>
      <c r="AG999" s="54"/>
      <c r="AH999" s="54"/>
      <c r="AI999" s="54"/>
      <c r="AJ999" s="54"/>
      <c r="AK999" s="54"/>
      <c r="AL999" s="54"/>
      <c r="AM999" s="54"/>
      <c r="AN999" s="54"/>
      <c r="AO999" s="54"/>
      <c r="AP999" s="54"/>
      <c r="AQ999" s="54"/>
      <c r="AR999" s="54"/>
      <c r="AS999" s="54"/>
      <c r="AT999" s="54"/>
      <c r="AU999" s="54"/>
      <c r="AV999" s="54"/>
      <c r="AW999" s="54"/>
      <c r="AX999" s="54"/>
      <c r="AY999" s="54"/>
      <c r="AZ999" s="54"/>
      <c r="BA999" s="54"/>
      <c r="BB999" s="54"/>
      <c r="BC999" s="54"/>
      <c r="BD999" s="54"/>
      <c r="BE999" s="54"/>
      <c r="BF999" s="54"/>
      <c r="BG999" s="54"/>
      <c r="BH999" s="54"/>
      <c r="BI999" s="54"/>
      <c r="BJ999" s="54"/>
      <c r="BK999" s="54"/>
      <c r="BL999" s="54"/>
    </row>
    <row r="1000" spans="1:64" ht="11.25" customHeight="1" x14ac:dyDescent="0.3">
      <c r="A1000" s="54"/>
      <c r="B1000" s="54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  <c r="AA1000" s="54"/>
      <c r="AB1000" s="54"/>
      <c r="AC1000" s="54"/>
      <c r="AD1000" s="54"/>
      <c r="AE1000" s="54"/>
      <c r="AF1000" s="54"/>
      <c r="AG1000" s="54"/>
      <c r="AH1000" s="54"/>
      <c r="AI1000" s="54"/>
      <c r="AJ1000" s="54"/>
      <c r="AK1000" s="54"/>
      <c r="AL1000" s="54"/>
      <c r="AM1000" s="54"/>
      <c r="AN1000" s="54"/>
      <c r="AO1000" s="54"/>
      <c r="AP1000" s="54"/>
      <c r="AQ1000" s="54"/>
      <c r="AR1000" s="54"/>
      <c r="AS1000" s="54"/>
      <c r="AT1000" s="54"/>
      <c r="AU1000" s="54"/>
      <c r="AV1000" s="54"/>
      <c r="AW1000" s="54"/>
      <c r="AX1000" s="54"/>
      <c r="AY1000" s="54"/>
      <c r="AZ1000" s="54"/>
      <c r="BA1000" s="54"/>
      <c r="BB1000" s="54"/>
      <c r="BC1000" s="54"/>
      <c r="BD1000" s="54"/>
      <c r="BE1000" s="54"/>
      <c r="BF1000" s="54"/>
      <c r="BG1000" s="54"/>
      <c r="BH1000" s="54"/>
      <c r="BI1000" s="54"/>
      <c r="BJ1000" s="54"/>
      <c r="BK1000" s="54"/>
      <c r="BL1000" s="54"/>
    </row>
  </sheetData>
  <pageMargins left="0.511811024" right="0.511811024" top="0.78740157499999996" bottom="0.78740157499999996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58</vt:i4>
      </vt:variant>
    </vt:vector>
  </HeadingPairs>
  <TitlesOfParts>
    <vt:vector size="63" baseType="lpstr">
      <vt:lpstr>SOL_TRANSP</vt:lpstr>
      <vt:lpstr>OP_FABRICAS</vt:lpstr>
      <vt:lpstr>INSTALAÇÕES</vt:lpstr>
      <vt:lpstr>Orig_Dest</vt:lpstr>
      <vt:lpstr>Base_Dados</vt:lpstr>
      <vt:lpstr>CD</vt:lpstr>
      <vt:lpstr>Destino</vt:lpstr>
      <vt:lpstr>Fábrica</vt:lpstr>
      <vt:lpstr>Fornecedor</vt:lpstr>
      <vt:lpstr>Modal</vt:lpstr>
      <vt:lpstr>MP</vt:lpstr>
      <vt:lpstr>Origem</vt:lpstr>
      <vt:lpstr>Produto</vt:lpstr>
      <vt:lpstr>Rodada</vt:lpstr>
      <vt:lpstr>Rodada_1</vt:lpstr>
      <vt:lpstr>Rodada_10</vt:lpstr>
      <vt:lpstr>Rodada_11</vt:lpstr>
      <vt:lpstr>Rodada_12</vt:lpstr>
      <vt:lpstr>Rodada_13</vt:lpstr>
      <vt:lpstr>Rodada_14</vt:lpstr>
      <vt:lpstr>Rodada_15</vt:lpstr>
      <vt:lpstr>Rodada_16</vt:lpstr>
      <vt:lpstr>Rodada_17</vt:lpstr>
      <vt:lpstr>Rodada_18</vt:lpstr>
      <vt:lpstr>Rodada_19</vt:lpstr>
      <vt:lpstr>Rodada_2</vt:lpstr>
      <vt:lpstr>Rodada_20</vt:lpstr>
      <vt:lpstr>Rodada_21</vt:lpstr>
      <vt:lpstr>Rodada_22</vt:lpstr>
      <vt:lpstr>Rodada_23</vt:lpstr>
      <vt:lpstr>Rodada_24</vt:lpstr>
      <vt:lpstr>Rodada_25</vt:lpstr>
      <vt:lpstr>Rodada_26</vt:lpstr>
      <vt:lpstr>Rodada_27</vt:lpstr>
      <vt:lpstr>Rodada_28</vt:lpstr>
      <vt:lpstr>Rodada_29</vt:lpstr>
      <vt:lpstr>Rodada_3</vt:lpstr>
      <vt:lpstr>Rodada_30</vt:lpstr>
      <vt:lpstr>Rodada_31</vt:lpstr>
      <vt:lpstr>Rodada_32</vt:lpstr>
      <vt:lpstr>Rodada_33</vt:lpstr>
      <vt:lpstr>Rodada_34</vt:lpstr>
      <vt:lpstr>Rodada_35</vt:lpstr>
      <vt:lpstr>Rodada_36</vt:lpstr>
      <vt:lpstr>Rodada_37</vt:lpstr>
      <vt:lpstr>Rodada_38</vt:lpstr>
      <vt:lpstr>Rodada_39</vt:lpstr>
      <vt:lpstr>Rodada_4</vt:lpstr>
      <vt:lpstr>Rodada_40</vt:lpstr>
      <vt:lpstr>Rodada_41</vt:lpstr>
      <vt:lpstr>Rodada_42</vt:lpstr>
      <vt:lpstr>Rodada_43</vt:lpstr>
      <vt:lpstr>Rodada_44</vt:lpstr>
      <vt:lpstr>Rodada_45</vt:lpstr>
      <vt:lpstr>Rodada_46</vt:lpstr>
      <vt:lpstr>Rodada_47</vt:lpstr>
      <vt:lpstr>Rodada_48</vt:lpstr>
      <vt:lpstr>Rodada_5</vt:lpstr>
      <vt:lpstr>Rodada_6</vt:lpstr>
      <vt:lpstr>Rodada_7</vt:lpstr>
      <vt:lpstr>Rodada_8</vt:lpstr>
      <vt:lpstr>Rodada_9</vt:lpstr>
      <vt:lpstr>Varejista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Edgard Liberali Filho</dc:creator>
  <cp:lastModifiedBy>Edgard Liberali Filho</cp:lastModifiedBy>
  <dcterms:created xsi:type="dcterms:W3CDTF">2023-06-20T13:16:01Z</dcterms:created>
  <dcterms:modified xsi:type="dcterms:W3CDTF">2026-06-15T21:11:14Z</dcterms:modified>
</cp:coreProperties>
</file>