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a7KRtM9EhD4vqVVlgIVpSNUN2BelbQ9R\Jogo SupplyChain (Edgard)\Turma PRO3445 2026\Empresas\Jogo 2\Flamengo\"/>
    </mc:Choice>
  </mc:AlternateContent>
  <xr:revisionPtr revIDLastSave="0" documentId="13_ncr:1_{D0C404D6-A0C9-4210-8D8F-5002B3099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ALAÇÕES" sheetId="1" r:id="rId1"/>
    <sheet name="Planilha1" sheetId="2" state="hidden" r:id="rId2"/>
  </sheets>
  <definedNames>
    <definedName name="Localização">Planilha1!$A$3:$A$27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0lsesvmTN0V0tOxg093FRDc63uDT2tQNYR6Sz3hp90="/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E9" i="1"/>
  <c r="E8" i="1"/>
</calcChain>
</file>

<file path=xl/sharedStrings.xml><?xml version="1.0" encoding="utf-8"?>
<sst xmlns="http://schemas.openxmlformats.org/spreadsheetml/2006/main" count="55" uniqueCount="50">
  <si>
    <t>JOGO 2</t>
  </si>
  <si>
    <t>EMPRESA</t>
  </si>
  <si>
    <t>FLAMENGO</t>
  </si>
  <si>
    <t>a) Não é permitido ter duas instalações numa mesma cidade!
b) Quantidade máxima de máquinas por empresa: 8 máquinas
c) Se a empresa tiver duas fábricas o total de máquinas deverá ser 8 máquinas
d) Cada máquina deverá ter um único operador por turno de trabalho
e) A empresa poderá trabalhar em até 3 turnos de trabalho de 8 horas</t>
  </si>
  <si>
    <t>DECISÕES INICIAIS DE SET-UP</t>
  </si>
  <si>
    <t>CONFIGURAÇÃO DAS INSTALAÇÕES</t>
  </si>
  <si>
    <t>Fábrica</t>
  </si>
  <si>
    <t>Localização</t>
  </si>
  <si>
    <t>Qtde de Máquinas</t>
  </si>
  <si>
    <t>Turnos de Trabalho</t>
  </si>
  <si>
    <t>Quantidade
Mão-de-obra</t>
  </si>
  <si>
    <r>
      <rPr>
        <b/>
        <sz val="11"/>
        <color theme="0"/>
        <rFont val="ADLaM Display"/>
      </rPr>
      <t>Área Estoque
MP1 (m</t>
    </r>
    <r>
      <rPr>
        <b/>
        <vertAlign val="superscript"/>
        <sz val="11"/>
        <color theme="0"/>
        <rFont val="ADLaM Display"/>
      </rPr>
      <t>2</t>
    </r>
    <r>
      <rPr>
        <b/>
        <sz val="11"/>
        <color theme="0"/>
        <rFont val="ADLaM Display"/>
      </rPr>
      <t>)</t>
    </r>
  </si>
  <si>
    <r>
      <rPr>
        <b/>
        <sz val="11"/>
        <color theme="0"/>
        <rFont val="ADLaM Display"/>
      </rPr>
      <t>Área Estoque
MP2 (m</t>
    </r>
    <r>
      <rPr>
        <b/>
        <vertAlign val="superscript"/>
        <sz val="11"/>
        <color theme="0"/>
        <rFont val="ADLaM Display"/>
      </rPr>
      <t>2</t>
    </r>
    <r>
      <rPr>
        <b/>
        <sz val="11"/>
        <color theme="0"/>
        <rFont val="ADLaM Display"/>
      </rPr>
      <t>)</t>
    </r>
  </si>
  <si>
    <r>
      <rPr>
        <b/>
        <sz val="11"/>
        <color theme="0"/>
        <rFont val="ADLaM Display"/>
      </rPr>
      <t>Área Estoque
MP3 (m</t>
    </r>
    <r>
      <rPr>
        <b/>
        <vertAlign val="superscript"/>
        <sz val="11"/>
        <color theme="0"/>
        <rFont val="ADLaM Display"/>
      </rPr>
      <t>2</t>
    </r>
    <r>
      <rPr>
        <b/>
        <sz val="11"/>
        <color theme="0"/>
        <rFont val="ADLaM Display"/>
      </rPr>
      <t>)</t>
    </r>
  </si>
  <si>
    <t>F1</t>
  </si>
  <si>
    <t>Joinville</t>
  </si>
  <si>
    <t>F2</t>
  </si>
  <si>
    <t>Centro de Distribuição</t>
  </si>
  <si>
    <r>
      <rPr>
        <b/>
        <sz val="11"/>
        <color theme="0"/>
        <rFont val="ADLaM Display"/>
      </rPr>
      <t>Área PA1 (m</t>
    </r>
    <r>
      <rPr>
        <b/>
        <vertAlign val="superscript"/>
        <sz val="11"/>
        <color theme="0"/>
        <rFont val="ADLaM Display"/>
      </rPr>
      <t>2</t>
    </r>
    <r>
      <rPr>
        <b/>
        <sz val="11"/>
        <color theme="0"/>
        <rFont val="ADLaM Display"/>
      </rPr>
      <t>)</t>
    </r>
  </si>
  <si>
    <r>
      <rPr>
        <b/>
        <sz val="11"/>
        <color theme="0"/>
        <rFont val="ADLaM Display"/>
      </rPr>
      <t>Área PA2 (m</t>
    </r>
    <r>
      <rPr>
        <b/>
        <vertAlign val="superscript"/>
        <sz val="11"/>
        <color theme="0"/>
        <rFont val="ADLaM Display"/>
      </rPr>
      <t>2</t>
    </r>
    <r>
      <rPr>
        <b/>
        <sz val="11"/>
        <color theme="0"/>
        <rFont val="ADLaM Display"/>
      </rPr>
      <t>)</t>
    </r>
  </si>
  <si>
    <r>
      <rPr>
        <b/>
        <sz val="11"/>
        <color theme="0"/>
        <rFont val="ADLaM Display"/>
      </rPr>
      <t>Área PA3 (m</t>
    </r>
    <r>
      <rPr>
        <b/>
        <vertAlign val="superscript"/>
        <sz val="11"/>
        <color theme="0"/>
        <rFont val="ADLaM Display"/>
      </rPr>
      <t>2</t>
    </r>
    <r>
      <rPr>
        <b/>
        <sz val="11"/>
        <color theme="0"/>
        <rFont val="ADLaM Display"/>
      </rPr>
      <t>)</t>
    </r>
  </si>
  <si>
    <r>
      <rPr>
        <b/>
        <sz val="11"/>
        <color theme="0"/>
        <rFont val="ADLaM Display"/>
      </rPr>
      <t>Área Total do CD (m</t>
    </r>
    <r>
      <rPr>
        <b/>
        <vertAlign val="superscript"/>
        <sz val="11"/>
        <color theme="0"/>
        <rFont val="ADLaM Display"/>
      </rPr>
      <t>2</t>
    </r>
    <r>
      <rPr>
        <b/>
        <sz val="11"/>
        <color theme="0"/>
        <rFont val="ADLaM Display"/>
      </rPr>
      <t>)</t>
    </r>
  </si>
  <si>
    <t>CD1</t>
  </si>
  <si>
    <t>São Luís</t>
  </si>
  <si>
    <t>CD2</t>
  </si>
  <si>
    <t>Santos</t>
  </si>
  <si>
    <t>CD3</t>
  </si>
  <si>
    <t>CD4</t>
  </si>
  <si>
    <t>Belém</t>
  </si>
  <si>
    <t>Belo Horizonte</t>
  </si>
  <si>
    <t>Brasília</t>
  </si>
  <si>
    <t>Campinas</t>
  </si>
  <si>
    <t>Campo Grande</t>
  </si>
  <si>
    <t>Cuiabá</t>
  </si>
  <si>
    <t>Curitiba</t>
  </si>
  <si>
    <t>Fortaleza</t>
  </si>
  <si>
    <t>Goiânia</t>
  </si>
  <si>
    <t>João Pessoa</t>
  </si>
  <si>
    <t>Maceió</t>
  </si>
  <si>
    <t>Manaus</t>
  </si>
  <si>
    <t>Natal</t>
  </si>
  <si>
    <t>Porto Alegre</t>
  </si>
  <si>
    <t>Recife</t>
  </si>
  <si>
    <t>Ribeirão Preto</t>
  </si>
  <si>
    <t>Rio de Janeiro</t>
  </si>
  <si>
    <t>Salvador</t>
  </si>
  <si>
    <t>São Paulo</t>
  </si>
  <si>
    <t>Uberlândia</t>
  </si>
  <si>
    <t>Vitória</t>
  </si>
  <si>
    <t>Vitória da Conquista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</si>
</sst>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#,##0_ ;\-#,##0\ "/>
  </numFmts>
  <fonts count="12">
    <font>
      <sz val="11"/>
      <color theme="1"/>
      <name val="Calibri"/>
      <scheme val="minor"/>
    </font>
    <font>
      <sz val="16"/>
      <color theme="0"/>
      <name val="ADLaM Display"/>
    </font>
    <font>
      <sz val="11"/>
      <color theme="1"/>
      <name val="ADLaM Display"/>
    </font>
    <font>
      <sz val="11"/>
      <color theme="0"/>
      <name val="ADLaM Display"/>
    </font>
    <font>
      <sz val="11"/>
      <name val="Calibri"/>
      <family val="2"/>
    </font>
    <font>
      <b/>
      <sz val="11"/>
      <color theme="1"/>
      <name val="ADLaM Display"/>
    </font>
    <font>
      <sz val="12"/>
      <color theme="0"/>
      <name val="ADLaM Display"/>
    </font>
    <font>
      <b/>
      <sz val="12"/>
      <color theme="0"/>
      <name val="ADLaM Display"/>
    </font>
    <font>
      <b/>
      <sz val="11"/>
      <color theme="0"/>
      <name val="ADLaM Display"/>
    </font>
    <font>
      <sz val="8"/>
      <color theme="1"/>
      <name val="72"/>
    </font>
    <font>
      <b/>
      <sz val="8"/>
      <color theme="1"/>
      <name val="72"/>
    </font>
    <font>
      <b/>
      <vertAlign val="superscript"/>
      <sz val="11"/>
      <color theme="0"/>
      <name val="ADLaM Display"/>
    </font>
  </fonts>
  <fills count="3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3" fontId="3" fillId="2" borderId="16" xfId="0" applyNumberFormat="1" applyFont="1" applyFill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165" fontId="3" fillId="2" borderId="16" xfId="0" applyNumberFormat="1" applyFont="1" applyFill="1" applyBorder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10" fillId="0" borderId="17" xfId="0" applyFont="1" applyBorder="1" applyAlignment="1">
      <alignment horizontal="center" vertical="center" wrapText="1"/>
    </xf>
    <xf numFmtId="164" fontId="9" fillId="0" borderId="16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0" xfId="0"/>
    <xf numFmtId="0" fontId="4" fillId="0" borderId="6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6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28E98B3-5B95-4E40-8BAC-B101BC96EE39}">
  <we:reference id="wa104380862" version="3.0.0.0" store="pt-BR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2185910-979D-4BE3-B55D-AF5B713CD193}">
  <we:reference id="wa200000018" version="25.0.2.0" store="pt-BR" storeType="OMEX"/>
  <we:alternateReferences>
    <we:reference id="WA200000018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8F4EAD9-C595-42CA-9BA6-C4CF56042515}">
  <we:reference id="wa200003667" version="1.3.0.0" store="pt-BR" storeType="OMEX"/>
  <we:alternateReferences>
    <we:reference id="WA20000366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_xldudf_AEO_GETCELL</we:customFunctionIds>
        <we:customFunctionIds>_xldudf_AEO_ROWBULKDOWNLOAD</we:customFunctionIds>
        <we:customFunctionIds>_xldudf_AEO_ROWBULKDOWNLOADTABLE</we:customFunctionIds>
        <we:customFunctionIds>_xldudf_AEO_CELL</we:customFunctionIds>
        <we:customFunctionIds>_xldudf_AEO_SENDCELL</we:customFunctionIds>
        <we:customFunctionIds>_xldudf_AEO_SENDROW</we:customFunctionIds>
        <we:customFunctionIds>_xldudf_AEO_ROW</we:customFunctionIds>
        <we:customFunctionIds>_xldudf_AEO_GETMEMBER</we:customFunctionIds>
        <we:customFunctionIds>_xldudf_AEO_MEMBER</we:customFunctionIds>
        <we:customFunctionIds>_xldudf_AEO_GETROW</we:customFunctionIds>
        <we:customFunctionIds>_xldudf_AEO_LISTDIMENSIONMEMBERS</we:customFunctionIds>
        <we:customFunctionIds>_xldudf_AEO_FILTER</we:customFunctionIds>
        <we:customFunctionIds>_xldudf_AEO_GETUSEREMAIL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/>
  </sheetViews>
  <sheetFormatPr defaultColWidth="14.44140625" defaultRowHeight="15" customHeight="1"/>
  <cols>
    <col min="1" max="1" width="17.33203125" customWidth="1"/>
    <col min="2" max="2" width="25" customWidth="1"/>
    <col min="3" max="3" width="20.6640625" customWidth="1"/>
    <col min="4" max="5" width="16.33203125" customWidth="1"/>
    <col min="6" max="8" width="20.88671875" customWidth="1"/>
    <col min="9" max="26" width="8.664062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2"/>
      <c r="E1" s="16" t="s">
        <v>3</v>
      </c>
      <c r="F1" s="17"/>
      <c r="G1" s="17"/>
      <c r="H1" s="1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75" customHeight="1">
      <c r="A2" s="2"/>
      <c r="B2" s="2"/>
      <c r="C2" s="2"/>
      <c r="D2" s="2"/>
      <c r="E2" s="19"/>
      <c r="F2" s="20"/>
      <c r="G2" s="20"/>
      <c r="H2" s="2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customHeight="1">
      <c r="A3" s="2"/>
      <c r="B3" s="2"/>
      <c r="C3" s="2"/>
      <c r="D3" s="3"/>
      <c r="E3" s="19"/>
      <c r="F3" s="20"/>
      <c r="G3" s="20"/>
      <c r="H3" s="2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25" customHeight="1">
      <c r="A4" s="25" t="s">
        <v>4</v>
      </c>
      <c r="B4" s="26"/>
      <c r="C4" s="27"/>
      <c r="D4" s="3"/>
      <c r="E4" s="22"/>
      <c r="F4" s="23"/>
      <c r="G4" s="23"/>
      <c r="H4" s="2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2"/>
      <c r="B5" s="2"/>
      <c r="C5" s="2"/>
      <c r="D5" s="2"/>
      <c r="E5" s="2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28" t="s">
        <v>5</v>
      </c>
      <c r="B6" s="29"/>
      <c r="C6" s="29"/>
      <c r="D6" s="29"/>
      <c r="E6" s="29"/>
      <c r="F6" s="29"/>
      <c r="G6" s="29"/>
      <c r="H6" s="3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">
      <c r="A7" s="5" t="s">
        <v>6</v>
      </c>
      <c r="B7" s="5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>
      <c r="A8" s="5" t="s">
        <v>14</v>
      </c>
      <c r="B8" s="7" t="s">
        <v>15</v>
      </c>
      <c r="C8" s="8">
        <v>7</v>
      </c>
      <c r="D8" s="8">
        <v>3</v>
      </c>
      <c r="E8" s="9">
        <f t="shared" ref="E8:E9" si="0">C8*D8</f>
        <v>21</v>
      </c>
      <c r="F8" s="8">
        <v>127</v>
      </c>
      <c r="G8" s="8">
        <v>36</v>
      </c>
      <c r="H8" s="8">
        <v>42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5" t="s">
        <v>16</v>
      </c>
      <c r="B9" s="7"/>
      <c r="C9" s="8"/>
      <c r="D9" s="8"/>
      <c r="E9" s="9">
        <f t="shared" si="0"/>
        <v>0</v>
      </c>
      <c r="F9" s="8"/>
      <c r="G9" s="8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">
      <c r="A11" s="6" t="s">
        <v>17</v>
      </c>
      <c r="B11" s="5" t="s">
        <v>7</v>
      </c>
      <c r="C11" s="6" t="s">
        <v>18</v>
      </c>
      <c r="D11" s="6" t="s">
        <v>19</v>
      </c>
      <c r="E11" s="6" t="s">
        <v>20</v>
      </c>
      <c r="F11" s="6" t="s">
        <v>21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>
      <c r="A12" s="5" t="s">
        <v>22</v>
      </c>
      <c r="B12" s="7" t="s">
        <v>23</v>
      </c>
      <c r="C12" s="10">
        <v>110</v>
      </c>
      <c r="D12" s="10">
        <v>108</v>
      </c>
      <c r="E12" s="10">
        <v>873</v>
      </c>
      <c r="F12" s="11">
        <f t="shared" ref="F12:F15" si="1">SUM(C12:E12)</f>
        <v>1091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5" t="s">
        <v>24</v>
      </c>
      <c r="B13" s="7" t="s">
        <v>25</v>
      </c>
      <c r="C13" s="10">
        <v>100</v>
      </c>
      <c r="D13" s="10">
        <v>100</v>
      </c>
      <c r="E13" s="10">
        <v>800</v>
      </c>
      <c r="F13" s="11">
        <f t="shared" si="1"/>
        <v>1000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>
      <c r="A14" s="5" t="s">
        <v>26</v>
      </c>
      <c r="B14" s="7"/>
      <c r="C14" s="10"/>
      <c r="D14" s="10"/>
      <c r="E14" s="10"/>
      <c r="F14" s="11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>
      <c r="A15" s="5" t="s">
        <v>27</v>
      </c>
      <c r="B15" s="7"/>
      <c r="C15" s="10"/>
      <c r="D15" s="10"/>
      <c r="E15" s="10"/>
      <c r="F15" s="11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>
      <c r="A17" s="1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>
      <c r="A18" s="1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>
      <c r="A19" s="1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E1:H4"/>
    <mergeCell ref="A4:C4"/>
    <mergeCell ref="A6:H6"/>
  </mergeCells>
  <dataValidations count="1">
    <dataValidation type="list" allowBlank="1" showErrorMessage="1" sqref="B8:B9 B12:B15" xr:uid="{00000000-0002-0000-0000-000000000000}">
      <formula1>Localização</formula1>
    </dataValidation>
  </dataValidations>
  <pageMargins left="0.51181102362204722" right="0.51181102362204722" top="0.78740157480314965" bottom="0.7874015748031496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14.6640625" customWidth="1"/>
    <col min="2" max="26" width="8.88671875" customWidth="1"/>
  </cols>
  <sheetData>
    <row r="1" spans="1:26" ht="9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9.75" customHeight="1">
      <c r="A2" s="14" t="s">
        <v>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9.75" customHeight="1">
      <c r="A3" s="15" t="s">
        <v>28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9.75" customHeight="1">
      <c r="A4" s="15" t="s">
        <v>29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9.75" customHeight="1">
      <c r="A5" s="15" t="s">
        <v>30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9.75" customHeight="1">
      <c r="A6" s="15" t="s">
        <v>31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9.75" customHeight="1">
      <c r="A7" s="15" t="s">
        <v>32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9.75" customHeight="1">
      <c r="A8" s="15" t="s">
        <v>33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9.75" customHeight="1">
      <c r="A9" s="15" t="s">
        <v>34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9.75" customHeight="1">
      <c r="A10" s="15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9.75" customHeight="1">
      <c r="A11" s="15" t="s">
        <v>36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9.75" customHeight="1">
      <c r="A12" s="15" t="s">
        <v>37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9.75" customHeight="1">
      <c r="A13" s="15" t="s">
        <v>15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9.75" customHeight="1">
      <c r="A14" s="15" t="s">
        <v>38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9.75" customHeight="1">
      <c r="A15" s="15" t="s">
        <v>39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9.75" customHeight="1">
      <c r="A16" s="15" t="s">
        <v>40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9.75" customHeight="1">
      <c r="A17" s="15" t="s">
        <v>41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9.75" customHeight="1">
      <c r="A18" s="15" t="s">
        <v>42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9.75" customHeight="1">
      <c r="A19" s="15" t="s">
        <v>43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9.75" customHeight="1">
      <c r="A20" s="15" t="s">
        <v>44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9.75" customHeight="1">
      <c r="A21" s="15" t="s">
        <v>45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9.75" customHeight="1">
      <c r="A22" s="15" t="s">
        <v>25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9.75" customHeight="1">
      <c r="A23" s="15" t="s">
        <v>23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9.75" customHeight="1">
      <c r="A24" s="15" t="s">
        <v>46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9.75" customHeight="1">
      <c r="A25" s="15" t="s">
        <v>47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9.75" customHeight="1">
      <c r="A26" s="15" t="s">
        <v>48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9.75" customHeight="1">
      <c r="A27" s="15" t="s">
        <v>49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9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9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9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9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9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9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9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9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9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9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9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9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9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9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9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9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9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9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9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9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9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9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9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9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9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9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9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9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9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9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9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9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9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9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9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9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9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9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9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9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9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9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9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9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9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9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9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9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9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9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9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9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9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9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9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9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9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9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9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9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9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9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9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9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9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9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9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9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9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9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9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9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9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9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9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9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9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9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9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9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9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9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9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9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9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9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9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9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9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9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9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9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9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9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9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9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9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9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9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9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9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9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9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9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9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9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9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9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9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9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9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9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9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9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9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9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9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9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9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9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9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9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9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9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9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9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9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9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9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9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9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9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9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9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9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9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9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9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9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9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9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9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9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9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9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9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9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9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9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9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9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9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9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9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9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9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9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9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9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9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9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9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9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9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9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9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9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9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9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9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9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9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9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9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9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9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9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9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9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9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9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9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9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9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9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9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9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9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9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9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9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9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9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9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9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9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9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9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9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9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9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9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9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9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9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9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9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9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9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9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9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9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9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9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9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9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9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9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9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9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9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9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9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9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9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9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9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9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9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9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9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9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9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9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9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9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9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9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9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9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9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9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9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9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9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9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9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9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9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9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9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9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9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9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9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9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9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9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9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9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9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9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9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9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9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9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9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9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9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9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9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9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9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9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9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9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9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9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9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9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9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9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9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9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9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9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9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9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9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9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9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9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9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9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9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9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9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9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9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9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9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9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9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9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9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9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9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9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9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9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9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9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9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9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9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9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9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9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9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9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9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9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9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9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9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9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9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9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9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9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9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9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9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9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9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9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9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9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9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9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9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9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9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9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9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9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9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9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9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9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9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9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9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9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9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9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9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9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9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9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9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9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9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9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9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9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9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9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9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9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9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9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9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9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9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9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9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9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9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9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9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9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9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9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9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9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9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9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9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9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9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9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9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9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9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9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9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9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9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9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9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9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9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9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9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9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9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9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9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9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9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9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9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9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9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9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9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9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9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9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9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9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9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9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9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9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9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9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9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9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9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9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9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9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9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9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9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9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9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9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9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9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9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9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9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9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9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9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9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9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9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9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9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9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9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9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9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9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9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9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9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9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9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9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9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9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9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9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9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9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9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9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9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9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9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9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9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9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9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9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9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9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9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9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9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9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9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9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9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9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9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9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9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9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9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9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9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9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9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9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9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9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9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9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9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9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9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9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9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9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9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9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9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9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9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9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9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9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9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9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9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9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9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9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9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9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9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9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9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9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9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9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9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9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9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9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9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9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9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9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9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9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9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9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9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9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9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9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9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9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9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9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9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9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9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9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9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9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9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9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9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9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9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9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9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9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9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9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9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9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9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9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9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9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9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9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9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9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9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9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9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9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9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9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9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9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9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9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9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9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9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9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9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9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9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9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9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9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9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9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9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9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9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9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9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9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9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9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9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9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9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9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9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9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9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9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9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9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9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9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9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9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9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9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9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9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9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9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9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9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9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9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9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9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9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9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9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9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9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9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9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9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9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9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9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9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9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9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9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9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9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9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9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9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9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9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9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9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9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9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9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9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9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9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9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9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9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9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9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9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9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9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9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9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9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9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9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9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9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9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9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9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9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9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9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9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9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9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9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9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9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9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9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9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9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9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9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9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9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9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9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9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9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9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9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9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9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9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9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9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9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9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9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9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9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9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9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9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9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9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9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9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9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9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9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9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9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9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9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9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9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9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9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9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9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9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9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9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9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9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9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9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9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9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9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9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9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9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9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9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9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9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9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9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9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9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9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9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9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9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9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9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9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9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9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9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9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9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9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9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9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9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9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9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9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9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9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9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9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9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9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9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9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9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9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9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9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9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9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9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9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9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9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9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9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9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9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9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9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9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9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9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9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9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9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9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9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9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9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9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9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9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9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9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9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9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9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9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9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9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9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9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9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9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9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9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9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9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9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9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9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9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9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9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9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9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9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9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9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9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9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9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9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9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9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9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9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9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9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9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9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9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9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9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9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9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9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9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9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9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9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9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9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9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9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9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9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9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9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9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9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9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9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9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9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9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9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9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9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9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9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9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9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9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9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9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9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9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9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9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9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9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9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9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9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9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9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9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9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9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9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9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9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9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9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9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9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9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9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9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9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9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9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9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9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9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9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9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9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9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9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9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9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9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9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9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9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9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9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9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9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9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9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9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9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9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9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9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9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9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9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9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9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9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9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9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9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9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9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9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9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9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9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9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9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9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9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9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9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9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9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9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9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9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9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9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9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9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9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9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9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9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9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INSTALAÇÕES</vt:lpstr>
      <vt:lpstr>Planilha1</vt:lpstr>
      <vt:lpstr>Localização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Edgard Liberali Filho</cp:lastModifiedBy>
  <dcterms:created xsi:type="dcterms:W3CDTF">2023-07-05T20:43:03Z</dcterms:created>
  <dcterms:modified xsi:type="dcterms:W3CDTF">2026-05-15T18:22:16Z</dcterms:modified>
</cp:coreProperties>
</file>