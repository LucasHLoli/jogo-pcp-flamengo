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SOL_TRANSP" sheetId="1" r:id="rId5"/>
    <sheet state="visible" name="OP_FABRICAS" sheetId="2" r:id="rId6"/>
    <sheet state="hidden" name="INSTALAÇÕES" sheetId="3" r:id="rId7"/>
    <sheet state="hidden" name="Orig_Dest" sheetId="4" r:id="rId8"/>
    <sheet state="hidden" name="Base_Dados" sheetId="5" r:id="rId9"/>
  </sheets>
  <definedNames>
    <definedName name="Rodada_2">Base_Dados!$R$2:$R$6</definedName>
    <definedName name="Rodada_20">Base_Dados!$AJ$2:$AJ$6</definedName>
    <definedName name="Rodada_31">Base_Dados!$AU$2:$AU$6</definedName>
    <definedName name="Rodada_25">Base_Dados!$AO$2:$AO$6</definedName>
    <definedName name="Rodada_1">Base_Dados!$Q$2:$Q$6</definedName>
    <definedName name="Rodada_28">Base_Dados!$AR$2:$AR$6</definedName>
    <definedName name="Rodada_29">Base_Dados!$AS$2:$AS$6</definedName>
    <definedName name="Rodada_14">Base_Dados!$AD$2:$AD$6</definedName>
    <definedName name="Rodada_6">Base_Dados!$V$2:$V$6</definedName>
    <definedName name="Rodada_41">Base_Dados!$BE$2:$BE$6</definedName>
    <definedName name="Rodada_7">Base_Dados!$W$2:$W$6</definedName>
    <definedName name="Rodada">Base_Dados!$Q$1:$BL$1</definedName>
    <definedName name="Rodada_40">Base_Dados!$BD$2:$BD$6</definedName>
    <definedName name="Rodada_18">Base_Dados!$AH$2:$AH$6</definedName>
    <definedName name="Rodada_44">Base_Dados!$BH$2:$BH$6</definedName>
    <definedName name="Rodada_12">Base_Dados!$AB$2:$AB$6</definedName>
    <definedName name="Rodada_4">Base_Dados!$T$2:$T$6</definedName>
    <definedName name="Fábrica">Base_Dados!$A$2:$A$3</definedName>
    <definedName name="Rodada_26">Base_Dados!$AP$2:$AP$6</definedName>
    <definedName name="CD">Base_Dados!$B$2:$B$5</definedName>
    <definedName name="Rodada_32">Base_Dados!$AV$2:$AV$6</definedName>
    <definedName name="Rodada_21">Base_Dados!$AK$2:$AK$6</definedName>
    <definedName name="Rodada_11">Base_Dados!$AA$2:$AA$6</definedName>
    <definedName name="Rodada_42">Base_Dados!$BF$2:$BF$6</definedName>
    <definedName name="Rodada_43">Base_Dados!$BG$2:$BG$6</definedName>
    <definedName name="Rodada_23">Base_Dados!$AM$2:$AM$6</definedName>
    <definedName name="Rodada_36">Base_Dados!$AZ$2:$AZ$6</definedName>
    <definedName name="Rodada_47">Base_Dados!$BK$2:$BK$6</definedName>
    <definedName name="Rodada_15">Base_Dados!$AE$2:$AE$6</definedName>
    <definedName name="Fornecedor">Base_Dados!$E$2:$E$7</definedName>
    <definedName name="Rodada_38">Base_Dados!$BB$2:$BB$6</definedName>
    <definedName name="Rodada_19">Base_Dados!$AI$2:$AI$6</definedName>
    <definedName name="Rodada_37">Base_Dados!$BA$2:$BA$6</definedName>
    <definedName name="Rodada_45">Base_Dados!$BI$2:$BI$6</definedName>
    <definedName name="Rodada_46">Base_Dados!$BJ$2:$BJ$6</definedName>
    <definedName name="Rodada_9">Base_Dados!$Y$2:$Y$6</definedName>
    <definedName name="Rodada_13">Base_Dados!$AC$2:$AC$6</definedName>
    <definedName name="Rodada_35">Base_Dados!$AY$2:$AY$6</definedName>
    <definedName name="Varejista">Base_Dados!$G$2:$G$26</definedName>
    <definedName name="Rodada_39">Base_Dados!$BC$2:$BC$6</definedName>
    <definedName name="Produto">Base_Dados!$I$2:$I$7</definedName>
    <definedName name="Destino">Base_Dados!$D$2:$D$4</definedName>
    <definedName name="Rodada_48">Base_Dados!$BL$2:$BL$6</definedName>
    <definedName name="Rodada_8">Base_Dados!$X$2:$X$6</definedName>
    <definedName name="Rodada_27">Base_Dados!$AQ$2:$AQ$6</definedName>
    <definedName name="Rodada_33">Base_Dados!$AW$2:$AW$6</definedName>
    <definedName name="Origem">Base_Dados!$C$2:$C$4</definedName>
    <definedName name="Rodada_17">Base_Dados!$AG$2:$AG$6</definedName>
    <definedName name="MP">Base_Dados!$F$2:$F$7</definedName>
    <definedName name="Rodada_16">Base_Dados!$AF$2:$AF$6</definedName>
    <definedName name="Rodada_24">Base_Dados!$AN$2:$AN$6</definedName>
    <definedName name="Rodada_34">Base_Dados!$AX$2:$AX$6</definedName>
    <definedName name="Rodada_3">Base_Dados!$S$2:$S$6</definedName>
    <definedName name="Rodada_5">Base_Dados!$U$2:$U$6</definedName>
    <definedName name="Modal">Base_Dados!$H$2:$H$4</definedName>
    <definedName name="Rodada_22">Base_Dados!$AL$2:$AL$6</definedName>
    <definedName name="Rodada_10">Base_Dados!$Z$2:$Z$6</definedName>
    <definedName name="Rodada_30">Base_Dados!$AT$2:$AT$6</definedName>
  </definedNames>
  <calcPr/>
  <extLst>
    <ext uri="GoogleSheetsCustomDataVersion2">
      <go:sheetsCustomData xmlns:go="http://customooxmlschemas.google.com/" r:id="rId10" roundtripDataChecksum="nPNa4TCduEVmROuTLeORTsoR/ABL68eroUyPCNSVHHg="/>
    </ext>
  </extLst>
</workbook>
</file>

<file path=xl/sharedStrings.xml><?xml version="1.0" encoding="utf-8"?>
<sst xmlns="http://schemas.openxmlformats.org/spreadsheetml/2006/main" count="9371" uniqueCount="389">
  <si>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</si>
  <si>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</si>
  <si>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</si>
  <si>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</si>
  <si>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</si>
  <si>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</si>
  <si>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</si>
  <si>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</si>
  <si>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</si>
  <si>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</si>
  <si>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</si>
  <si>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</si>
  <si>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</si>
  <si>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</si>
  <si>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</si>
  <si>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</si>
  <si>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</si>
  <si>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</si>
  <si>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</si>
  <si>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</si>
  <si>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</si>
  <si>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Rodada_1</t>
  </si>
  <si>
    <t>Fornecedor</t>
  </si>
  <si>
    <t>Manaus</t>
  </si>
  <si>
    <t>Dia 1</t>
  </si>
  <si>
    <t>Caminhão</t>
  </si>
  <si>
    <t>MP1</t>
  </si>
  <si>
    <t>Fábrica</t>
  </si>
  <si>
    <t>Joinville</t>
  </si>
  <si>
    <t>Cuiabá</t>
  </si>
  <si>
    <t>MP2</t>
  </si>
  <si>
    <t>Porto Alegre</t>
  </si>
  <si>
    <t>MP3</t>
  </si>
  <si>
    <t>Dia 4</t>
  </si>
  <si>
    <t>PA1</t>
  </si>
  <si>
    <t>CD</t>
  </si>
  <si>
    <t>São Luís</t>
  </si>
  <si>
    <t>Navio</t>
  </si>
  <si>
    <t>Santos</t>
  </si>
  <si>
    <t>Dia 3</t>
  </si>
  <si>
    <t>PA2</t>
  </si>
  <si>
    <t>Dia 2</t>
  </si>
  <si>
    <t>PA3</t>
  </si>
  <si>
    <t>Rodada_2</t>
  </si>
  <si>
    <t>Dia 6</t>
  </si>
  <si>
    <t>Avião</t>
  </si>
  <si>
    <t>Produto</t>
  </si>
  <si>
    <t>Unidade</t>
  </si>
  <si>
    <t>Frascos</t>
  </si>
  <si>
    <t>Peso (ton)</t>
  </si>
  <si>
    <t>MATÉRIA-PRIMA</t>
  </si>
  <si>
    <t>Belém</t>
  </si>
  <si>
    <t>Vitória da Conquista</t>
  </si>
  <si>
    <t>Dia 7</t>
  </si>
  <si>
    <t>Dia 8</t>
  </si>
  <si>
    <t>Dia 9</t>
  </si>
  <si>
    <t>Varejista</t>
  </si>
  <si>
    <t>Belo Horizonte</t>
  </si>
  <si>
    <t>Brasília</t>
  </si>
  <si>
    <t>Campo Grande</t>
  </si>
  <si>
    <t>Fortaleza</t>
  </si>
  <si>
    <t>Goiânia</t>
  </si>
  <si>
    <t>João Pessoa</t>
  </si>
  <si>
    <t>Maceió</t>
  </si>
  <si>
    <t>Natal</t>
  </si>
  <si>
    <t>Recife</t>
  </si>
  <si>
    <t>Rio de Janeiro</t>
  </si>
  <si>
    <t>Salvador</t>
  </si>
  <si>
    <t>Uberlândia</t>
  </si>
  <si>
    <t>Vitória</t>
  </si>
  <si>
    <t>Rodada_3</t>
  </si>
  <si>
    <t>Dia 11</t>
  </si>
  <si>
    <t>Dia 12</t>
  </si>
  <si>
    <t>Dia 13</t>
  </si>
  <si>
    <t>Dia 14</t>
  </si>
  <si>
    <t>São Paulo</t>
  </si>
  <si>
    <t>Curitiba</t>
  </si>
  <si>
    <t>Campinas</t>
  </si>
  <si>
    <t>Ribeirão Preto</t>
  </si>
  <si>
    <t>Dia 15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</si>
  <si>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</si>
  <si>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</si>
  <si>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</si>
  <si>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</si>
  <si>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</si>
  <si>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</si>
  <si>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</si>
  <si>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</si>
  <si>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</si>
  <si>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</si>
  <si>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</si>
  <si>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</si>
  <si>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</si>
  <si>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</si>
  <si>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</si>
  <si>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</si>
  <si>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</si>
  <si>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</si>
  <si>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</si>
  <si>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</si>
  <si>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</si>
  <si>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</si>
  <si>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</si>
  <si>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</si>
  <si>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</si>
  <si>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</si>
  <si>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</si>
  <si>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</si>
  <si>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</si>
  <si>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</si>
  <si>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</si>
  <si>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</si>
  <si>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#VALUE!</t>
  </si>
  <si>
    <t>MP</t>
  </si>
  <si>
    <t>Dimensão</t>
  </si>
  <si>
    <t>Rodada_4</t>
  </si>
  <si>
    <t>Rodada_5</t>
  </si>
  <si>
    <t>Rodada_6</t>
  </si>
  <si>
    <t>Rodada_7</t>
  </si>
  <si>
    <t>Rodada_8</t>
  </si>
  <si>
    <t>Rodada_9</t>
  </si>
  <si>
    <t>Rodada_10</t>
  </si>
  <si>
    <t>Rodada_11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</si>
  <si>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</si>
  <si>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</si>
  <si>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</si>
  <si>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</si>
  <si>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</si>
  <si>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</si>
  <si>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</si>
  <si>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</si>
  <si>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</si>
  <si>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</si>
  <si>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</si>
  <si>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</si>
  <si>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</si>
  <si>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</si>
  <si>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</si>
  <si>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</si>
  <si>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</si>
  <si>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</si>
  <si>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</si>
  <si>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</si>
  <si>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</si>
  <si>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</si>
  <si>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</si>
  <si>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</si>
  <si>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</si>
  <si>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</si>
  <si>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</si>
  <si>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</si>
  <si>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</si>
  <si>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</si>
  <si>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</si>
  <si>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</si>
  <si>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</si>
  <si>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</si>
  <si>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</si>
  <si>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</si>
  <si>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</si>
  <si>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Dia 16</t>
  </si>
  <si>
    <t>Dia 21</t>
  </si>
  <si>
    <t>Dia 26</t>
  </si>
  <si>
    <t>Dia 31</t>
  </si>
  <si>
    <t>Dia 36</t>
  </si>
  <si>
    <t>Dia 41</t>
  </si>
  <si>
    <t>Dia 46</t>
  </si>
  <si>
    <t>Dia 51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</si>
  <si>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</si>
  <si>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</si>
  <si>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</si>
  <si>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</si>
  <si>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</si>
  <si>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</si>
  <si>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</si>
  <si>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</si>
  <si>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</si>
  <si>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</si>
  <si>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</si>
  <si>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</si>
  <si>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</si>
  <si>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</si>
  <si>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</si>
  <si>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</si>
  <si>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</si>
  <si>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</si>
  <si>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</si>
  <si>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</si>
  <si>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</si>
  <si>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</si>
  <si>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</si>
  <si>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</si>
  <si>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</si>
  <si>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</si>
  <si>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</si>
  <si>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</si>
  <si>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</si>
  <si>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</si>
  <si>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</si>
  <si>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</si>
  <si>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</si>
  <si>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</si>
  <si>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</si>
  <si>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</si>
  <si>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</si>
  <si>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17</t>
  </si>
  <si>
    <t>Dia 22</t>
  </si>
  <si>
    <t>Dia 27</t>
  </si>
  <si>
    <t>Dia 32</t>
  </si>
  <si>
    <t>Dia 37</t>
  </si>
  <si>
    <t>Dia 42</t>
  </si>
  <si>
    <t>Dia 47</t>
  </si>
  <si>
    <t>Dia 52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</si>
  <si>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</si>
  <si>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</si>
  <si>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</si>
  <si>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</si>
  <si>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</si>
  <si>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</si>
  <si>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</si>
  <si>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</si>
  <si>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</si>
  <si>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</si>
  <si>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</si>
  <si>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</si>
  <si>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</si>
  <si>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</si>
  <si>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</si>
  <si>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</si>
  <si>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</si>
  <si>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</si>
  <si>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</si>
  <si>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</si>
  <si>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</si>
  <si>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</si>
  <si>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</si>
  <si>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</si>
  <si>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</si>
  <si>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</si>
  <si>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</si>
  <si>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</si>
  <si>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</si>
  <si>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</si>
  <si>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</si>
  <si>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</si>
  <si>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</si>
  <si>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</si>
  <si>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</si>
  <si>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</si>
  <si>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</si>
  <si>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18</t>
  </si>
  <si>
    <t>Dia 23</t>
  </si>
  <si>
    <t>Dia 28</t>
  </si>
  <si>
    <t>Dia 33</t>
  </si>
  <si>
    <t>Dia 38</t>
  </si>
  <si>
    <t>Dia 43</t>
  </si>
  <si>
    <t>Dia 48</t>
  </si>
  <si>
    <t>Dia 53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</si>
  <si>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</si>
  <si>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</si>
  <si>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</si>
  <si>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</si>
  <si>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</si>
  <si>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</si>
  <si>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</si>
  <si>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</si>
  <si>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</si>
  <si>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</si>
  <si>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</si>
  <si>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</si>
  <si>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</si>
  <si>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</si>
  <si>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</si>
  <si>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</si>
  <si>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</si>
  <si>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</si>
  <si>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</si>
  <si>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</si>
  <si>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</si>
  <si>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</si>
  <si>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</si>
  <si>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</si>
  <si>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</si>
  <si>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</si>
  <si>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</si>
  <si>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</si>
  <si>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</si>
  <si>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</si>
  <si>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</si>
  <si>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</si>
  <si>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</si>
  <si>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</si>
  <si>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</si>
  <si>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</si>
  <si>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</si>
  <si>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Dia 19</t>
  </si>
  <si>
    <t>Dia 24</t>
  </si>
  <si>
    <t>Dia 29</t>
  </si>
  <si>
    <t>Dia 34</t>
  </si>
  <si>
    <t>Dia 39</t>
  </si>
  <si>
    <t>Dia 44</t>
  </si>
  <si>
    <t>Dia 49</t>
  </si>
  <si>
    <t>Dia 54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</si>
  <si>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</si>
  <si>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</si>
  <si>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</si>
  <si>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</si>
  <si>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</si>
  <si>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</si>
  <si>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</si>
  <si>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</si>
  <si>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</si>
  <si>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</si>
  <si>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</si>
  <si>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</si>
  <si>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</si>
  <si>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</si>
  <si>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</si>
  <si>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</si>
  <si>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</si>
  <si>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</si>
  <si>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</si>
  <si>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</si>
  <si>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</si>
  <si>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</si>
  <si>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</si>
  <si>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</si>
  <si>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</si>
  <si>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</si>
  <si>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</si>
  <si>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</si>
  <si>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</si>
  <si>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</si>
  <si>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</si>
  <si>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</si>
  <si>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</si>
  <si>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</si>
  <si>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</si>
  <si>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</si>
  <si>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</si>
  <si>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</si>
  <si>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</si>
  <si>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20</t>
  </si>
  <si>
    <t>Dia 25</t>
  </si>
  <si>
    <t>Dia 30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</si>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</sst>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sz val="11.0"/>
      <color theme="1"/>
      <name val="Calibri"/>
      <scheme val="minor"/>
    </font>
    <font>
      <sz val="10.0"/>
      <color theme="1"/>
      <name val="ADLaM Display"/>
    </font>
    <font>
      <b/>
      <sz val="20.0"/>
      <color theme="0"/>
      <name val="ADLaM Display"/>
    </font>
    <font>
      <b/>
      <sz val="10.0"/>
      <color theme="0"/>
      <name val="ADLaM Display"/>
    </font>
    <font>
      <sz val="10.0"/>
      <color theme="0"/>
      <name val="ADLaM Display"/>
    </font>
    <font>
      <b/>
      <sz val="16.0"/>
      <color theme="0"/>
      <name val="ADLaM Display"/>
    </font>
    <font>
      <b/>
      <sz val="10.0"/>
      <color theme="1"/>
      <name val="ADLaM Display"/>
    </font>
    <font>
      <color theme="1"/>
      <name val="ADLaM Display"/>
    </font>
    <font>
      <sz val="10.0"/>
      <color rgb="FF000000"/>
      <name val="ADLaM Display"/>
    </font>
    <font>
      <sz val="11.0"/>
      <color theme="1"/>
      <name val="Calibri"/>
    </font>
    <font>
      <sz val="11.0"/>
      <color theme="0"/>
      <name val="ADLaM Display"/>
    </font>
    <font>
      <sz val="11.0"/>
      <color theme="1"/>
      <name val="ADLaM Display"/>
    </font>
    <font>
      <sz val="16.0"/>
      <color theme="0"/>
      <name val="ADLaM Display"/>
    </font>
    <font>
      <b/>
      <sz val="11.0"/>
      <color theme="0"/>
      <name val="ADLaM Display"/>
    </font>
    <font>
      <b/>
      <sz val="11.0"/>
      <color theme="1"/>
      <name val="ADLaM Display"/>
    </font>
    <font/>
    <font>
      <sz val="11.0"/>
      <color rgb="FF000000"/>
      <name val="ADLaM Display"/>
    </font>
    <font>
      <b/>
      <i/>
      <sz val="11.0"/>
      <color theme="1"/>
      <name val="ADLaM Display"/>
    </font>
    <font>
      <b/>
      <sz val="11.0"/>
      <color theme="1"/>
      <name val="Calibri"/>
    </font>
    <font>
      <b/>
      <sz val="8.0"/>
      <color theme="0"/>
      <name val="Aptos"/>
    </font>
    <font>
      <b/>
      <sz val="8.0"/>
      <color theme="1"/>
      <name val="Aptos"/>
    </font>
    <font>
      <sz val="8.0"/>
      <color theme="1"/>
      <name val="Aptos"/>
    </font>
    <font>
      <sz val="8.0"/>
      <color theme="0"/>
      <name val="Aptos"/>
    </font>
  </fonts>
  <fills count="9">
    <fill>
      <patternFill patternType="none"/>
    </fill>
    <fill>
      <patternFill patternType="lightGray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4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8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2" numFmtId="0" xfId="0" applyAlignment="1" applyBorder="1" applyFill="1" applyFont="1">
      <alignment vertical="center"/>
    </xf>
    <xf borderId="1" fillId="2" fontId="3" numFmtId="0" xfId="0" applyAlignment="1" applyBorder="1" applyFont="1">
      <alignment vertical="center"/>
    </xf>
    <xf borderId="1" fillId="2" fontId="3" numFmtId="0" xfId="0" applyBorder="1" applyFont="1"/>
    <xf borderId="1" fillId="2" fontId="4" numFmtId="0" xfId="0" applyBorder="1" applyFont="1"/>
    <xf borderId="1" fillId="2" fontId="5" numFmtId="0" xfId="0" applyAlignment="1" applyBorder="1" applyFont="1">
      <alignment horizontal="center" vertical="center"/>
    </xf>
    <xf borderId="2" fillId="3" fontId="6" numFmtId="0" xfId="0" applyAlignment="1" applyBorder="1" applyFill="1" applyFont="1">
      <alignment horizontal="center" shrinkToFit="0" vertical="center" wrapText="1"/>
    </xf>
    <xf borderId="3" fillId="3" fontId="6" numFmtId="0" xfId="0" applyAlignment="1" applyBorder="1" applyFont="1">
      <alignment horizontal="center" shrinkToFit="0" vertical="center" wrapText="1"/>
    </xf>
    <xf borderId="0" fillId="0" fontId="6" numFmtId="0" xfId="0" applyFont="1"/>
    <xf borderId="2" fillId="0" fontId="7" numFmtId="0" xfId="0" applyAlignment="1" applyBorder="1" applyFont="1">
      <alignment horizontal="center"/>
    </xf>
    <xf borderId="4" fillId="0" fontId="7" numFmtId="0" xfId="0" applyAlignment="1" applyBorder="1" applyFont="1">
      <alignment horizontal="center"/>
    </xf>
    <xf borderId="4" fillId="0" fontId="7" numFmtId="3" xfId="0" applyAlignment="1" applyBorder="1" applyFont="1" applyNumberFormat="1">
      <alignment horizontal="center"/>
    </xf>
    <xf borderId="2" fillId="3" fontId="6" numFmtId="164" xfId="0" applyAlignment="1" applyBorder="1" applyFont="1" applyNumberFormat="1">
      <alignment horizontal="center" vertical="center"/>
    </xf>
    <xf borderId="5" fillId="3" fontId="6" numFmtId="0" xfId="0" applyAlignment="1" applyBorder="1" applyFont="1">
      <alignment horizontal="center" vertical="center"/>
    </xf>
    <xf borderId="6" fillId="3" fontId="1" numFmtId="0" xfId="0" applyAlignment="1" applyBorder="1" applyFont="1">
      <alignment horizontal="center" shrinkToFit="0" vertical="center" wrapText="1"/>
    </xf>
    <xf borderId="6" fillId="3" fontId="1" numFmtId="0" xfId="0" applyAlignment="1" applyBorder="1" applyFont="1">
      <alignment horizontal="center" vertical="center"/>
    </xf>
    <xf borderId="0" fillId="4" fontId="3" numFmtId="0" xfId="0" applyAlignment="1" applyFill="1" applyFont="1">
      <alignment horizontal="center" vertical="center"/>
    </xf>
    <xf borderId="2" fillId="0" fontId="8" numFmtId="0" xfId="0" applyAlignment="1" applyBorder="1" applyFont="1">
      <alignment horizontal="center" vertical="center"/>
    </xf>
    <xf borderId="4" fillId="0" fontId="8" numFmtId="0" xfId="0" applyAlignment="1" applyBorder="1" applyFont="1">
      <alignment horizontal="center" vertical="center"/>
    </xf>
    <xf borderId="4" fillId="0" fontId="8" numFmtId="3" xfId="0" applyAlignment="1" applyBorder="1" applyFont="1" applyNumberFormat="1">
      <alignment horizontal="center" vertical="center"/>
    </xf>
    <xf borderId="2" fillId="3" fontId="1" numFmtId="0" xfId="0" applyAlignment="1" applyBorder="1" applyFont="1">
      <alignment horizontal="center" shrinkToFit="0" vertical="center" wrapText="1"/>
    </xf>
    <xf borderId="2" fillId="3" fontId="1" numFmtId="0" xfId="0" applyAlignment="1" applyBorder="1" applyFont="1">
      <alignment horizontal="center" vertical="center"/>
    </xf>
    <xf borderId="7" fillId="4" fontId="3" numFmtId="0" xfId="0" applyAlignment="1" applyBorder="1" applyFont="1">
      <alignment horizontal="center" vertical="center"/>
    </xf>
    <xf borderId="7" fillId="5" fontId="1" numFmtId="0" xfId="0" applyAlignment="1" applyBorder="1" applyFill="1" applyFont="1">
      <alignment horizontal="center" vertical="center"/>
    </xf>
    <xf borderId="7" fillId="5" fontId="1" numFmtId="3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3" xfId="0" applyAlignment="1" applyBorder="1" applyFont="1" applyNumberFormat="1">
      <alignment horizontal="center" vertical="center"/>
    </xf>
    <xf borderId="7" fillId="6" fontId="1" numFmtId="0" xfId="0" applyAlignment="1" applyBorder="1" applyFill="1" applyFont="1">
      <alignment horizontal="center" vertical="center"/>
    </xf>
    <xf borderId="0" fillId="0" fontId="9" numFmtId="0" xfId="0" applyAlignment="1" applyFont="1">
      <alignment horizontal="left"/>
    </xf>
    <xf borderId="2" fillId="3" fontId="6" numFmtId="0" xfId="0" applyAlignment="1" applyBorder="1" applyFont="1">
      <alignment horizontal="center" vertical="center"/>
    </xf>
    <xf borderId="0" fillId="0" fontId="9" numFmtId="0" xfId="0" applyFont="1"/>
    <xf borderId="1" fillId="2" fontId="2" numFmtId="0" xfId="0" applyBorder="1" applyFont="1"/>
    <xf borderId="1" fillId="2" fontId="10" numFmtId="0" xfId="0" applyBorder="1" applyFont="1"/>
    <xf borderId="0" fillId="0" fontId="11" numFmtId="0" xfId="0" applyFont="1"/>
    <xf borderId="1" fillId="2" fontId="12" numFmtId="0" xfId="0" applyAlignment="1" applyBorder="1" applyFont="1">
      <alignment horizontal="center" vertical="center"/>
    </xf>
    <xf borderId="1" fillId="2" fontId="12" numFmtId="0" xfId="0" applyAlignment="1" applyBorder="1" applyFont="1">
      <alignment horizontal="left" vertical="center"/>
    </xf>
    <xf borderId="1" fillId="2" fontId="11" numFmtId="0" xfId="0" applyBorder="1" applyFont="1"/>
    <xf borderId="1" fillId="2" fontId="13" numFmtId="0" xfId="0" applyAlignment="1" applyBorder="1" applyFont="1">
      <alignment horizontal="center" vertical="center"/>
    </xf>
    <xf borderId="8" fillId="4" fontId="13" numFmtId="0" xfId="0" applyAlignment="1" applyBorder="1" applyFont="1">
      <alignment horizontal="center" vertical="center"/>
    </xf>
    <xf borderId="9" fillId="7" fontId="14" numFmtId="0" xfId="0" applyBorder="1" applyFill="1" applyFont="1"/>
    <xf borderId="10" fillId="7" fontId="14" numFmtId="0" xfId="0" applyAlignment="1" applyBorder="1" applyFont="1">
      <alignment horizontal="left" shrinkToFit="0" wrapText="1"/>
    </xf>
    <xf borderId="11" fillId="0" fontId="15" numFmtId="0" xfId="0" applyBorder="1" applyFont="1"/>
    <xf borderId="12" fillId="0" fontId="15" numFmtId="0" xfId="0" applyBorder="1" applyFont="1"/>
    <xf borderId="1" fillId="2" fontId="13" numFmtId="165" xfId="0" applyAlignment="1" applyBorder="1" applyFont="1" applyNumberFormat="1">
      <alignment horizontal="center" vertical="center"/>
    </xf>
    <xf borderId="1" fillId="2" fontId="13" numFmtId="164" xfId="0" applyAlignment="1" applyBorder="1" applyFont="1" applyNumberFormat="1">
      <alignment horizontal="center" vertical="center"/>
    </xf>
    <xf borderId="13" fillId="7" fontId="14" numFmtId="0" xfId="0" applyAlignment="1" applyBorder="1" applyFont="1">
      <alignment horizontal="center" vertical="center"/>
    </xf>
    <xf borderId="14" fillId="7" fontId="11" numFmtId="0" xfId="0" applyBorder="1" applyFont="1"/>
    <xf borderId="15" fillId="0" fontId="15" numFmtId="0" xfId="0" applyBorder="1" applyFont="1"/>
    <xf borderId="16" fillId="0" fontId="15" numFmtId="0" xfId="0" applyBorder="1" applyFont="1"/>
    <xf borderId="17" fillId="0" fontId="15" numFmtId="0" xfId="0" applyBorder="1" applyFont="1"/>
    <xf borderId="2" fillId="2" fontId="13" numFmtId="0" xfId="0" applyAlignment="1" applyBorder="1" applyFont="1">
      <alignment horizontal="center" vertical="center"/>
    </xf>
    <xf borderId="18" fillId="8" fontId="10" numFmtId="0" xfId="0" applyAlignment="1" applyBorder="1" applyFill="1" applyFont="1">
      <alignment horizontal="left" shrinkToFit="0" vertical="center" wrapText="1"/>
    </xf>
    <xf borderId="2" fillId="0" fontId="16" numFmtId="3" xfId="0" applyAlignment="1" applyBorder="1" applyFont="1" applyNumberFormat="1">
      <alignment horizontal="center" vertical="center"/>
    </xf>
    <xf borderId="19" fillId="0" fontId="15" numFmtId="0" xfId="0" applyBorder="1" applyFont="1"/>
    <xf borderId="20" fillId="0" fontId="15" numFmtId="0" xfId="0" applyBorder="1" applyFont="1"/>
    <xf borderId="21" fillId="0" fontId="15" numFmtId="0" xfId="0" applyBorder="1" applyFont="1"/>
    <xf borderId="0" fillId="0" fontId="17" numFmtId="0" xfId="0" applyFont="1"/>
    <xf borderId="0" fillId="0" fontId="9" numFmtId="0" xfId="0" applyAlignment="1" applyFont="1">
      <alignment horizontal="center" shrinkToFit="0" wrapText="1"/>
    </xf>
    <xf borderId="0" fillId="0" fontId="9" numFmtId="0" xfId="0" applyAlignment="1" applyFont="1">
      <alignment shrinkToFit="0" wrapText="1"/>
    </xf>
    <xf borderId="2" fillId="0" fontId="18" numFmtId="0" xfId="0" applyAlignment="1" applyBorder="1" applyFont="1">
      <alignment horizontal="center" shrinkToFit="0" vertical="center" wrapText="1"/>
    </xf>
    <xf borderId="2" fillId="0" fontId="9" numFmtId="0" xfId="0" applyBorder="1" applyFont="1"/>
    <xf borderId="2" fillId="0" fontId="9" numFmtId="0" xfId="0" applyAlignment="1" applyBorder="1" applyFont="1">
      <alignment horizontal="center" vertical="center"/>
    </xf>
    <xf borderId="2" fillId="0" fontId="9" numFmtId="165" xfId="0" applyAlignment="1" applyBorder="1" applyFont="1" applyNumberFormat="1">
      <alignment horizontal="center" vertical="center"/>
    </xf>
    <xf borderId="2" fillId="0" fontId="18" numFmtId="164" xfId="0" applyAlignment="1" applyBorder="1" applyFont="1" applyNumberFormat="1">
      <alignment horizontal="center"/>
    </xf>
    <xf borderId="2" fillId="2" fontId="19" numFmtId="0" xfId="0" applyAlignment="1" applyBorder="1" applyFont="1">
      <alignment horizontal="center" shrinkToFit="0" vertical="center" wrapText="1"/>
    </xf>
    <xf borderId="4" fillId="0" fontId="20" numFmtId="0" xfId="0" applyAlignment="1" applyBorder="1" applyFont="1">
      <alignment horizontal="center" shrinkToFit="0" vertical="center" wrapText="1"/>
    </xf>
    <xf borderId="2" fillId="0" fontId="20" numFmtId="0" xfId="0" applyAlignment="1" applyBorder="1" applyFont="1">
      <alignment horizontal="center" shrinkToFit="0" vertical="center" wrapText="1"/>
    </xf>
    <xf borderId="2" fillId="0" fontId="20" numFmtId="0" xfId="0" applyAlignment="1" applyBorder="1" applyFont="1">
      <alignment horizontal="center" vertical="center"/>
    </xf>
    <xf borderId="22" fillId="0" fontId="20" numFmtId="0" xfId="0" applyAlignment="1" applyBorder="1" applyFont="1">
      <alignment horizontal="center" shrinkToFit="0" vertical="center" wrapText="1"/>
    </xf>
    <xf borderId="0" fillId="0" fontId="21" numFmtId="0" xfId="0" applyFont="1"/>
    <xf borderId="2" fillId="0" fontId="20" numFmtId="166" xfId="0" applyAlignment="1" applyBorder="1" applyFont="1" applyNumberFormat="1">
      <alignment horizontal="center" vertical="center"/>
    </xf>
    <xf borderId="2" fillId="2" fontId="22" numFmtId="0" xfId="0" applyAlignment="1" applyBorder="1" applyFont="1">
      <alignment horizontal="center" vertical="center"/>
    </xf>
    <xf borderId="2" fillId="2" fontId="22" numFmtId="165" xfId="0" applyAlignment="1" applyBorder="1" applyFont="1" applyNumberFormat="1">
      <alignment horizontal="center" vertical="center"/>
    </xf>
    <xf borderId="4" fillId="0" fontId="21" numFmtId="0" xfId="0" applyAlignment="1" applyBorder="1" applyFont="1">
      <alignment horizontal="center" vertical="center"/>
    </xf>
    <xf borderId="2" fillId="0" fontId="21" numFmtId="0" xfId="0" applyAlignment="1" applyBorder="1" applyFont="1">
      <alignment horizontal="center" vertical="center"/>
    </xf>
    <xf borderId="22" fillId="0" fontId="21" numFmtId="0" xfId="0" applyAlignment="1" applyBorder="1" applyFont="1">
      <alignment horizontal="center" vertical="center"/>
    </xf>
    <xf borderId="23" fillId="0" fontId="21" numFmtId="0" xfId="0" applyAlignment="1" applyBorder="1" applyFont="1">
      <alignment horizontal="center" vertical="center"/>
    </xf>
    <xf borderId="2" fillId="0" fontId="21" numFmtId="165" xfId="0" applyAlignment="1" applyBorder="1" applyFont="1" applyNumberFormat="1">
      <alignment vertical="center"/>
    </xf>
    <xf borderId="2" fillId="0" fontId="21" numFmtId="0" xfId="0" applyAlignment="1" applyBorder="1" applyFont="1">
      <alignment horizontal="center"/>
    </xf>
    <xf borderId="0" fillId="0" fontId="21" numFmtId="0" xfId="0" applyAlignment="1" applyFont="1">
      <alignment horizontal="center" vertical="center"/>
    </xf>
    <xf borderId="2" fillId="0" fontId="21" numFmtId="167" xfId="0" applyAlignment="1" applyBorder="1" applyFont="1" applyNumberFormat="1">
      <alignment vertical="center"/>
    </xf>
    <xf borderId="0" fillId="0" fontId="21" numFmtId="165" xfId="0" applyFont="1" applyNumberFormat="1"/>
    <xf borderId="0" fillId="0" fontId="21" numFmtId="166" xfId="0" applyFont="1" applyNumberFormat="1"/>
  </cellXfs>
  <cellStyles count="1">
    <cellStyle xfId="0" name="Normal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/>
  </sheetPr>
  <sheetViews>
    <sheetView showGridLines="0" workbookViewId="0"/>
  </sheetViews>
  <sheetFormatPr customHeight="1" defaultColWidth="14.43" defaultRowHeight="15.0"/>
  <cols>
    <col customWidth="1" min="1" max="9" width="20.71"/>
    <col customWidth="1" min="10" max="11" width="10.43"/>
    <col customWidth="1" min="12" max="12" width="12.71"/>
    <col customWidth="1" min="13" max="13" width="16.71"/>
    <col customWidth="1" min="14" max="14" width="19.71"/>
    <col customWidth="1" min="15" max="15" width="13.0"/>
    <col customWidth="1" min="16" max="17" width="12.43"/>
    <col customWidth="1" min="18" max="18" width="3.43"/>
    <col customWidth="1" min="19" max="19" width="24.0"/>
    <col customWidth="1" min="20" max="20" width="10.29"/>
    <col customWidth="1" min="21" max="21" width="7.29"/>
    <col customWidth="1" min="22" max="22" width="11.71"/>
    <col customWidth="1" min="23" max="23" width="8.86"/>
    <col customWidth="1" min="24" max="26" width="14.71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30.75" customHeight="1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21.0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57.75" customHeight="1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ht="24.0" customHeight="1">
      <c r="A5" s="10" t="s">
        <v>21</v>
      </c>
      <c r="B5" s="10" t="s">
        <v>22</v>
      </c>
      <c r="C5" s="11" t="s">
        <v>23</v>
      </c>
      <c r="D5" s="11" t="s">
        <v>24</v>
      </c>
      <c r="E5" s="11" t="s">
        <v>25</v>
      </c>
      <c r="F5" s="11" t="s">
        <v>26</v>
      </c>
      <c r="G5" s="12">
        <v>24.0</v>
      </c>
      <c r="H5" s="11" t="s">
        <v>27</v>
      </c>
      <c r="I5" s="11" t="s">
        <v>28</v>
      </c>
      <c r="J5" s="13">
        <f>VLOOKUP(C5&amp;I5&amp;E5,Orig_Dest!$A$2:$E$1876,5,FALSE)</f>
        <v>3</v>
      </c>
      <c r="K5" s="14" t="str">
        <f t="shared" ref="K5:K413" si="1">"Dia "&amp;(IF(LEN(D5)=7,RIGHT(D5,SEARCH(" ",D5)-1)+J5,IF(LEN(D5)&lt;6,RIGHT(D5,SEARCH(" ",D5)-3),RIGHT(D5,SEARCH(" ",D5)-2))+J5))</f>
        <v>Dia 4</v>
      </c>
      <c r="L5" s="15"/>
      <c r="M5" s="16"/>
      <c r="N5" s="15"/>
      <c r="O5" s="15"/>
      <c r="P5" s="15"/>
      <c r="Q5" s="15"/>
      <c r="R5" s="1"/>
      <c r="S5" s="17"/>
      <c r="T5" s="17"/>
      <c r="U5" s="17"/>
      <c r="V5" s="17"/>
      <c r="W5" s="17"/>
      <c r="X5" s="1"/>
      <c r="Y5" s="1"/>
      <c r="Z5" s="1"/>
    </row>
    <row r="6" ht="24.0" customHeight="1">
      <c r="A6" s="10" t="s">
        <v>21</v>
      </c>
      <c r="B6" s="10" t="s">
        <v>22</v>
      </c>
      <c r="C6" s="11" t="s">
        <v>23</v>
      </c>
      <c r="D6" s="11" t="s">
        <v>24</v>
      </c>
      <c r="E6" s="11" t="s">
        <v>25</v>
      </c>
      <c r="F6" s="11" t="s">
        <v>26</v>
      </c>
      <c r="G6" s="12">
        <v>23.0</v>
      </c>
      <c r="H6" s="11" t="s">
        <v>27</v>
      </c>
      <c r="I6" s="11" t="s">
        <v>28</v>
      </c>
      <c r="J6" s="13">
        <f>VLOOKUP(C6&amp;I6&amp;E6,Orig_Dest!$A$2:$E$1876,5,FALSE)</f>
        <v>3</v>
      </c>
      <c r="K6" s="14" t="str">
        <f t="shared" si="1"/>
        <v>Dia 4</v>
      </c>
      <c r="L6" s="15"/>
      <c r="M6" s="16"/>
      <c r="N6" s="15"/>
      <c r="O6" s="15"/>
      <c r="P6" s="15"/>
      <c r="Q6" s="15"/>
      <c r="R6" s="1"/>
      <c r="S6" s="17"/>
      <c r="T6" s="17"/>
      <c r="U6" s="17"/>
      <c r="V6" s="17"/>
      <c r="W6" s="17"/>
      <c r="X6" s="1"/>
      <c r="Y6" s="1"/>
      <c r="Z6" s="1"/>
    </row>
    <row r="7" ht="24.0" customHeight="1">
      <c r="A7" s="10" t="s">
        <v>21</v>
      </c>
      <c r="B7" s="10" t="s">
        <v>22</v>
      </c>
      <c r="C7" s="11" t="s">
        <v>29</v>
      </c>
      <c r="D7" s="11" t="s">
        <v>24</v>
      </c>
      <c r="E7" s="11" t="s">
        <v>25</v>
      </c>
      <c r="F7" s="11" t="s">
        <v>30</v>
      </c>
      <c r="G7" s="12">
        <v>24.0</v>
      </c>
      <c r="H7" s="11" t="s">
        <v>27</v>
      </c>
      <c r="I7" s="11" t="s">
        <v>28</v>
      </c>
      <c r="J7" s="13">
        <f>VLOOKUP(C7&amp;I7&amp;E7,Orig_Dest!$A$2:$E$1876,5,FALSE)</f>
        <v>2</v>
      </c>
      <c r="K7" s="14" t="str">
        <f t="shared" si="1"/>
        <v>Dia 3</v>
      </c>
      <c r="L7" s="15"/>
      <c r="M7" s="16"/>
      <c r="N7" s="15"/>
      <c r="O7" s="15"/>
      <c r="P7" s="15"/>
      <c r="Q7" s="15"/>
      <c r="R7" s="1"/>
      <c r="S7" s="17"/>
      <c r="T7" s="17"/>
      <c r="U7" s="17"/>
      <c r="V7" s="17"/>
      <c r="W7" s="17"/>
      <c r="X7" s="1"/>
      <c r="Y7" s="1"/>
      <c r="Z7" s="1"/>
    </row>
    <row r="8" ht="24.0" customHeight="1">
      <c r="A8" s="10" t="s">
        <v>21</v>
      </c>
      <c r="B8" s="10" t="s">
        <v>22</v>
      </c>
      <c r="C8" s="11" t="s">
        <v>29</v>
      </c>
      <c r="D8" s="11" t="s">
        <v>24</v>
      </c>
      <c r="E8" s="11" t="s">
        <v>25</v>
      </c>
      <c r="F8" s="11" t="s">
        <v>30</v>
      </c>
      <c r="G8" s="12">
        <v>24.0</v>
      </c>
      <c r="H8" s="11" t="s">
        <v>27</v>
      </c>
      <c r="I8" s="11" t="s">
        <v>28</v>
      </c>
      <c r="J8" s="13">
        <f>VLOOKUP(C8&amp;I8&amp;E8,Orig_Dest!$A$2:$E$1876,5,FALSE)</f>
        <v>2</v>
      </c>
      <c r="K8" s="14" t="str">
        <f t="shared" si="1"/>
        <v>Dia 3</v>
      </c>
      <c r="L8" s="15"/>
      <c r="M8" s="16"/>
      <c r="N8" s="15"/>
      <c r="O8" s="15"/>
      <c r="P8" s="15"/>
      <c r="Q8" s="15"/>
      <c r="R8" s="1"/>
      <c r="S8" s="17"/>
      <c r="T8" s="17"/>
      <c r="U8" s="17"/>
      <c r="V8" s="17"/>
      <c r="W8" s="17"/>
      <c r="X8" s="1"/>
      <c r="Y8" s="1"/>
      <c r="Z8" s="1"/>
    </row>
    <row r="9" ht="24.0" customHeight="1">
      <c r="A9" s="10" t="s">
        <v>21</v>
      </c>
      <c r="B9" s="10" t="s">
        <v>22</v>
      </c>
      <c r="C9" s="11" t="s">
        <v>29</v>
      </c>
      <c r="D9" s="11" t="s">
        <v>24</v>
      </c>
      <c r="E9" s="11" t="s">
        <v>25</v>
      </c>
      <c r="F9" s="11" t="s">
        <v>30</v>
      </c>
      <c r="G9" s="12">
        <v>0.0</v>
      </c>
      <c r="H9" s="11" t="s">
        <v>27</v>
      </c>
      <c r="I9" s="11" t="s">
        <v>28</v>
      </c>
      <c r="J9" s="13">
        <f>VLOOKUP(C9&amp;I9&amp;E9,Orig_Dest!$A$2:$E$1876,5,FALSE)</f>
        <v>2</v>
      </c>
      <c r="K9" s="14" t="str">
        <f t="shared" si="1"/>
        <v>Dia 3</v>
      </c>
      <c r="L9" s="15"/>
      <c r="M9" s="16"/>
      <c r="N9" s="15"/>
      <c r="O9" s="15"/>
      <c r="P9" s="15"/>
      <c r="Q9" s="15"/>
      <c r="R9" s="1"/>
      <c r="S9" s="17"/>
      <c r="T9" s="17"/>
      <c r="U9" s="17"/>
      <c r="V9" s="17"/>
      <c r="W9" s="17"/>
      <c r="X9" s="1"/>
      <c r="Y9" s="1"/>
      <c r="Z9" s="1"/>
    </row>
    <row r="10" ht="24.0" customHeight="1">
      <c r="A10" s="10" t="s">
        <v>21</v>
      </c>
      <c r="B10" s="10" t="s">
        <v>22</v>
      </c>
      <c r="C10" s="11" t="s">
        <v>31</v>
      </c>
      <c r="D10" s="11" t="s">
        <v>24</v>
      </c>
      <c r="E10" s="11" t="s">
        <v>25</v>
      </c>
      <c r="F10" s="11" t="s">
        <v>32</v>
      </c>
      <c r="G10" s="12">
        <v>24.0</v>
      </c>
      <c r="H10" s="11" t="s">
        <v>27</v>
      </c>
      <c r="I10" s="11" t="s">
        <v>28</v>
      </c>
      <c r="J10" s="13">
        <f>VLOOKUP(C10&amp;I10&amp;E10,Orig_Dest!$A$2:$E$1876,5,FALSE)</f>
        <v>1</v>
      </c>
      <c r="K10" s="14" t="str">
        <f t="shared" si="1"/>
        <v>Dia 2</v>
      </c>
      <c r="L10" s="15"/>
      <c r="M10" s="16"/>
      <c r="N10" s="15"/>
      <c r="O10" s="15"/>
      <c r="P10" s="15"/>
      <c r="Q10" s="15"/>
      <c r="R10" s="1"/>
      <c r="S10" s="17"/>
      <c r="T10" s="17"/>
      <c r="U10" s="17"/>
      <c r="V10" s="17"/>
      <c r="W10" s="17"/>
      <c r="X10" s="1"/>
      <c r="Y10" s="1"/>
      <c r="Z10" s="1"/>
    </row>
    <row r="11" ht="24.0" customHeight="1">
      <c r="A11" s="10" t="s">
        <v>21</v>
      </c>
      <c r="B11" s="10" t="s">
        <v>22</v>
      </c>
      <c r="C11" s="11" t="s">
        <v>31</v>
      </c>
      <c r="D11" s="11" t="s">
        <v>24</v>
      </c>
      <c r="E11" s="11" t="s">
        <v>25</v>
      </c>
      <c r="F11" s="11" t="s">
        <v>32</v>
      </c>
      <c r="G11" s="12">
        <v>18.0</v>
      </c>
      <c r="H11" s="11" t="s">
        <v>27</v>
      </c>
      <c r="I11" s="11" t="s">
        <v>28</v>
      </c>
      <c r="J11" s="13">
        <f>VLOOKUP(C11&amp;I11&amp;E11,Orig_Dest!$A$2:$E$1876,5,FALSE)</f>
        <v>1</v>
      </c>
      <c r="K11" s="14" t="str">
        <f t="shared" si="1"/>
        <v>Dia 2</v>
      </c>
      <c r="L11" s="15"/>
      <c r="M11" s="16"/>
      <c r="N11" s="15"/>
      <c r="O11" s="15"/>
      <c r="P11" s="15"/>
      <c r="Q11" s="15"/>
      <c r="R11" s="1"/>
      <c r="S11" s="17"/>
      <c r="T11" s="17"/>
      <c r="U11" s="17"/>
      <c r="V11" s="17"/>
      <c r="W11" s="17"/>
      <c r="X11" s="1"/>
      <c r="Y11" s="1"/>
      <c r="Z11" s="1"/>
    </row>
    <row r="12" ht="24.0" customHeight="1">
      <c r="A12" s="10" t="s">
        <v>21</v>
      </c>
      <c r="B12" s="10" t="s">
        <v>27</v>
      </c>
      <c r="C12" s="11" t="s">
        <v>28</v>
      </c>
      <c r="D12" s="11" t="s">
        <v>33</v>
      </c>
      <c r="E12" s="11" t="s">
        <v>25</v>
      </c>
      <c r="F12" s="11" t="s">
        <v>34</v>
      </c>
      <c r="G12" s="12">
        <v>27.2</v>
      </c>
      <c r="H12" s="11" t="s">
        <v>35</v>
      </c>
      <c r="I12" s="11" t="s">
        <v>36</v>
      </c>
      <c r="J12" s="13">
        <f>VLOOKUP(C12&amp;I12&amp;E12,Orig_Dest!$A$2:$E$1876,5,FALSE)</f>
        <v>3</v>
      </c>
      <c r="K12" s="14" t="str">
        <f t="shared" si="1"/>
        <v>Dia 7</v>
      </c>
      <c r="L12" s="15"/>
      <c r="M12" s="16"/>
      <c r="N12" s="15"/>
      <c r="O12" s="15"/>
      <c r="P12" s="15"/>
      <c r="Q12" s="15"/>
      <c r="R12" s="1"/>
      <c r="S12" s="17"/>
      <c r="T12" s="17"/>
      <c r="U12" s="17"/>
      <c r="V12" s="17"/>
      <c r="W12" s="17"/>
      <c r="X12" s="1"/>
      <c r="Y12" s="1"/>
      <c r="Z12" s="1"/>
    </row>
    <row r="13" ht="24.0" customHeight="1">
      <c r="A13" s="10" t="s">
        <v>21</v>
      </c>
      <c r="B13" s="10" t="s">
        <v>27</v>
      </c>
      <c r="C13" s="11" t="s">
        <v>28</v>
      </c>
      <c r="D13" s="11" t="s">
        <v>33</v>
      </c>
      <c r="E13" s="11" t="s">
        <v>37</v>
      </c>
      <c r="F13" s="11" t="s">
        <v>34</v>
      </c>
      <c r="G13" s="12">
        <v>81.6</v>
      </c>
      <c r="H13" s="11" t="s">
        <v>35</v>
      </c>
      <c r="I13" s="11" t="s">
        <v>38</v>
      </c>
      <c r="J13" s="13">
        <f>VLOOKUP(C13&amp;I13&amp;E13,Orig_Dest!$A$2:$E$1876,5,FALSE)</f>
        <v>1</v>
      </c>
      <c r="K13" s="14" t="str">
        <f t="shared" si="1"/>
        <v>Dia 5</v>
      </c>
      <c r="L13" s="15"/>
      <c r="M13" s="16"/>
      <c r="N13" s="15"/>
      <c r="O13" s="15"/>
      <c r="P13" s="15"/>
      <c r="Q13" s="15"/>
      <c r="R13" s="1"/>
      <c r="S13" s="17"/>
      <c r="T13" s="17"/>
      <c r="U13" s="17"/>
      <c r="V13" s="17"/>
      <c r="W13" s="17"/>
      <c r="X13" s="1"/>
      <c r="Y13" s="1"/>
      <c r="Z13" s="1"/>
    </row>
    <row r="14" ht="24.0" customHeight="1">
      <c r="A14" s="10" t="s">
        <v>21</v>
      </c>
      <c r="B14" s="10" t="s">
        <v>27</v>
      </c>
      <c r="C14" s="11" t="s">
        <v>28</v>
      </c>
      <c r="D14" s="11" t="s">
        <v>39</v>
      </c>
      <c r="E14" s="11" t="s">
        <v>25</v>
      </c>
      <c r="F14" s="11" t="s">
        <v>40</v>
      </c>
      <c r="G14" s="12">
        <v>96.0</v>
      </c>
      <c r="H14" s="11" t="s">
        <v>35</v>
      </c>
      <c r="I14" s="11" t="s">
        <v>36</v>
      </c>
      <c r="J14" s="13">
        <f>VLOOKUP(C14&amp;I14&amp;E14,Orig_Dest!$A$2:$E$1876,5,FALSE)</f>
        <v>3</v>
      </c>
      <c r="K14" s="14" t="str">
        <f t="shared" si="1"/>
        <v>Dia 6</v>
      </c>
      <c r="L14" s="15"/>
      <c r="M14" s="16"/>
      <c r="N14" s="15"/>
      <c r="O14" s="15"/>
      <c r="P14" s="15"/>
      <c r="Q14" s="15"/>
      <c r="R14" s="1"/>
      <c r="S14" s="17"/>
      <c r="T14" s="17"/>
      <c r="U14" s="17"/>
      <c r="V14" s="17"/>
      <c r="W14" s="17"/>
      <c r="X14" s="1"/>
      <c r="Y14" s="1"/>
      <c r="Z14" s="1"/>
    </row>
    <row r="15" ht="24.0" customHeight="1">
      <c r="A15" s="10" t="s">
        <v>21</v>
      </c>
      <c r="B15" s="10" t="s">
        <v>27</v>
      </c>
      <c r="C15" s="11" t="s">
        <v>28</v>
      </c>
      <c r="D15" s="11" t="s">
        <v>39</v>
      </c>
      <c r="E15" s="11" t="s">
        <v>37</v>
      </c>
      <c r="F15" s="11" t="s">
        <v>40</v>
      </c>
      <c r="G15" s="12">
        <v>137.3</v>
      </c>
      <c r="H15" s="11" t="s">
        <v>35</v>
      </c>
      <c r="I15" s="11" t="s">
        <v>38</v>
      </c>
      <c r="J15" s="13">
        <f>VLOOKUP(C15&amp;I15&amp;E15,Orig_Dest!$A$2:$E$1876,5,FALSE)</f>
        <v>1</v>
      </c>
      <c r="K15" s="14" t="str">
        <f t="shared" si="1"/>
        <v>Dia 4</v>
      </c>
      <c r="L15" s="15"/>
      <c r="M15" s="16"/>
      <c r="N15" s="15"/>
      <c r="O15" s="15"/>
      <c r="P15" s="15"/>
      <c r="Q15" s="15"/>
      <c r="R15" s="1"/>
      <c r="S15" s="17"/>
      <c r="T15" s="17"/>
      <c r="U15" s="17"/>
      <c r="V15" s="17"/>
      <c r="W15" s="17"/>
      <c r="X15" s="1"/>
      <c r="Y15" s="1"/>
      <c r="Z15" s="1"/>
    </row>
    <row r="16" ht="24.0" customHeight="1">
      <c r="A16" s="10" t="s">
        <v>21</v>
      </c>
      <c r="B16" s="10" t="s">
        <v>27</v>
      </c>
      <c r="C16" s="11" t="s">
        <v>28</v>
      </c>
      <c r="D16" s="11" t="s">
        <v>41</v>
      </c>
      <c r="E16" s="11" t="s">
        <v>25</v>
      </c>
      <c r="F16" s="11" t="s">
        <v>42</v>
      </c>
      <c r="G16" s="12">
        <v>115.5</v>
      </c>
      <c r="H16" s="11" t="s">
        <v>35</v>
      </c>
      <c r="I16" s="11" t="s">
        <v>36</v>
      </c>
      <c r="J16" s="13">
        <f>VLOOKUP(C16&amp;I16&amp;E16,Orig_Dest!$A$2:$E$1876,5,FALSE)</f>
        <v>3</v>
      </c>
      <c r="K16" s="14" t="str">
        <f t="shared" si="1"/>
        <v>Dia 5</v>
      </c>
      <c r="L16" s="15"/>
      <c r="M16" s="16"/>
      <c r="N16" s="15"/>
      <c r="O16" s="15"/>
      <c r="P16" s="15"/>
      <c r="Q16" s="15"/>
      <c r="R16" s="1"/>
      <c r="S16" s="17"/>
      <c r="T16" s="17"/>
      <c r="U16" s="17"/>
      <c r="V16" s="17"/>
      <c r="W16" s="17"/>
      <c r="X16" s="1"/>
      <c r="Y16" s="1"/>
      <c r="Z16" s="1"/>
    </row>
    <row r="17" ht="24.0" customHeight="1">
      <c r="A17" s="10" t="s">
        <v>21</v>
      </c>
      <c r="B17" s="10" t="s">
        <v>27</v>
      </c>
      <c r="C17" s="11" t="s">
        <v>28</v>
      </c>
      <c r="D17" s="11" t="s">
        <v>41</v>
      </c>
      <c r="E17" s="11" t="s">
        <v>37</v>
      </c>
      <c r="F17" s="11" t="s">
        <v>42</v>
      </c>
      <c r="G17" s="12">
        <v>192.3</v>
      </c>
      <c r="H17" s="11" t="s">
        <v>35</v>
      </c>
      <c r="I17" s="11" t="s">
        <v>38</v>
      </c>
      <c r="J17" s="13">
        <f>VLOOKUP(C17&amp;I17&amp;E17,Orig_Dest!$A$2:$E$1876,5,FALSE)</f>
        <v>1</v>
      </c>
      <c r="K17" s="14" t="str">
        <f t="shared" si="1"/>
        <v>Dia 3</v>
      </c>
      <c r="L17" s="15"/>
      <c r="M17" s="16"/>
      <c r="N17" s="15"/>
      <c r="O17" s="15"/>
      <c r="P17" s="15"/>
      <c r="Q17" s="15"/>
      <c r="R17" s="1"/>
      <c r="S17" s="17"/>
      <c r="T17" s="17"/>
      <c r="U17" s="17"/>
      <c r="V17" s="17"/>
      <c r="W17" s="17"/>
      <c r="X17" s="1"/>
      <c r="Y17" s="1"/>
      <c r="Z17" s="1"/>
    </row>
    <row r="18" ht="24.0" customHeight="1">
      <c r="A18" s="18" t="s">
        <v>43</v>
      </c>
      <c r="B18" s="18" t="s">
        <v>27</v>
      </c>
      <c r="C18" s="19" t="s">
        <v>28</v>
      </c>
      <c r="D18" s="19" t="s">
        <v>44</v>
      </c>
      <c r="E18" s="19" t="s">
        <v>45</v>
      </c>
      <c r="F18" s="19" t="s">
        <v>34</v>
      </c>
      <c r="G18" s="20">
        <v>3333.0</v>
      </c>
      <c r="H18" s="19" t="s">
        <v>35</v>
      </c>
      <c r="I18" s="19" t="s">
        <v>36</v>
      </c>
      <c r="J18" s="13">
        <f>VLOOKUP(C18&amp;I18&amp;E18,Orig_Dest!$A$2:$E$1876,5,FALSE)</f>
        <v>0</v>
      </c>
      <c r="K18" s="14" t="str">
        <f t="shared" si="1"/>
        <v>Dia 6</v>
      </c>
      <c r="L18" s="21" t="str">
        <f>IF(B18="Fornecedor",IF(VLOOKUP(C18,Base_Dados!$E$1:$F$7,2,FALSE)=F18," ","Fornecedor inválido!")," ")</f>
        <v> </v>
      </c>
      <c r="M18" s="22" t="str">
        <f>IF(AND(LEFT(F18,2)="MP",H18&lt;&gt;Base_Dados!$A$1),"Impossível!!!"," ")</f>
        <v> </v>
      </c>
      <c r="N18" s="21" t="str">
        <f>IF(E18="Avião",IF($G18&lt;=VLOOKUP($F18,Base_Dados!$K$1:$O$7,3,FALSE)," ","Limite "&amp;VLOOKUP($F18,Base_Dados!$K$1:$O$11,3,FALSE)&amp;" "&amp;VLOOKUP($F18,Base_Dados!$K$1:$O$11,2,FALSE))," ")</f>
        <v> </v>
      </c>
      <c r="O18" s="21" t="str">
        <f>IF(E18="Caminhão",IF($G18&lt;=VLOOKUP($F18,Base_Dados!$K$1:$O$7,4,FALSE)," ","Limite "&amp;VLOOKUP($F18,Base_Dados!$K$1:$O$11,4,FALSE)&amp;" "&amp;VLOOKUP($F18,Base_Dados!$K$1:$O$11,2,FALSE))," ")</f>
        <v> </v>
      </c>
      <c r="P18" s="21" t="str">
        <f>IF(E18="Navio",IF($G18&lt;=VLOOKUP($F18,Base_Dados!$K$1:$O$7,5,FALSE)," ","Limite "&amp;VLOOKUP($F18,Base_Dados!$K$1:$O$11,5,FALSE)&amp;" "&amp;VLOOKUP($F18,Base_Dados!$K$1:$O$11,2,FALSE))," ")</f>
        <v> </v>
      </c>
      <c r="Q18" s="21" t="str">
        <f t="shared" ref="Q18:Q413" si="2">IF(AND(B18="Fornecedor",H18="Fábrica"),"",IF(AND(B18="Fábrica",H18="CD"),"",IF(AND(B18="CD",H18="Varejista"),"","Fluxo Impossível")))</f>
        <v/>
      </c>
      <c r="R18" s="1"/>
      <c r="S18" s="23" t="s">
        <v>46</v>
      </c>
      <c r="T18" s="23" t="s">
        <v>47</v>
      </c>
      <c r="U18" s="23" t="s">
        <v>45</v>
      </c>
      <c r="V18" s="23" t="s">
        <v>25</v>
      </c>
      <c r="W18" s="23" t="s">
        <v>37</v>
      </c>
      <c r="X18" s="1"/>
      <c r="Y18" s="1"/>
      <c r="Z18" s="1"/>
    </row>
    <row r="19" ht="24.0" customHeight="1">
      <c r="A19" s="18" t="s">
        <v>43</v>
      </c>
      <c r="B19" s="18" t="s">
        <v>27</v>
      </c>
      <c r="C19" s="19" t="s">
        <v>28</v>
      </c>
      <c r="D19" s="19" t="s">
        <v>44</v>
      </c>
      <c r="E19" s="19" t="s">
        <v>45</v>
      </c>
      <c r="F19" s="19" t="s">
        <v>34</v>
      </c>
      <c r="G19" s="20">
        <v>3333.0</v>
      </c>
      <c r="H19" s="19" t="s">
        <v>35</v>
      </c>
      <c r="I19" s="19" t="s">
        <v>36</v>
      </c>
      <c r="J19" s="13">
        <f>VLOOKUP(C19&amp;I19&amp;E19,Orig_Dest!$A$2:$E$1876,5,FALSE)</f>
        <v>0</v>
      </c>
      <c r="K19" s="14" t="str">
        <f t="shared" si="1"/>
        <v>Dia 6</v>
      </c>
      <c r="L19" s="21" t="str">
        <f>IF(B19="Fornecedor",IF(VLOOKUP(C19,Base_Dados!$E$1:$F$7,2,FALSE)=F19," ","Fornecedor inválido!")," ")</f>
        <v> </v>
      </c>
      <c r="M19" s="22" t="str">
        <f>IF(AND(LEFT(F19,2)="MP",H19&lt;&gt;Base_Dados!$A$1),"Impossível!!!"," ")</f>
        <v> </v>
      </c>
      <c r="N19" s="21" t="str">
        <f>IF(E19="Avião",IF($G19&lt;=VLOOKUP($F19,Base_Dados!$K$1:$O$7,3,FALSE)," ","Limite "&amp;VLOOKUP($F19,Base_Dados!$K$1:$O$11,3,FALSE)&amp;" "&amp;VLOOKUP($F19,Base_Dados!$K$1:$O$11,2,FALSE))," ")</f>
        <v> </v>
      </c>
      <c r="O19" s="21" t="str">
        <f>IF(E19="Caminhão",IF($G19&lt;=VLOOKUP($F19,Base_Dados!$K$1:$O$7,4,FALSE)," ","Limite "&amp;VLOOKUP($F19,Base_Dados!$K$1:$O$11,4,FALSE)&amp;" "&amp;VLOOKUP($F19,Base_Dados!$K$1:$O$11,2,FALSE))," ")</f>
        <v> </v>
      </c>
      <c r="P19" s="21" t="str">
        <f>IF(E19="Navio",IF($G19&lt;=VLOOKUP($F19,Base_Dados!$K$1:$O$7,5,FALSE)," ","Limite "&amp;VLOOKUP($F19,Base_Dados!$K$1:$O$11,5,FALSE)&amp;" "&amp;VLOOKUP($F19,Base_Dados!$K$1:$O$11,2,FALSE))," ")</f>
        <v> </v>
      </c>
      <c r="Q19" s="21" t="str">
        <f t="shared" si="2"/>
        <v/>
      </c>
      <c r="R19" s="1"/>
      <c r="S19" s="24" t="s">
        <v>34</v>
      </c>
      <c r="T19" s="24" t="s">
        <v>48</v>
      </c>
      <c r="U19" s="25">
        <v>3333.0</v>
      </c>
      <c r="V19" s="25">
        <v>80000.0</v>
      </c>
      <c r="W19" s="25">
        <v>333333.0</v>
      </c>
      <c r="X19" s="1"/>
      <c r="Y19" s="1"/>
      <c r="Z19" s="1"/>
    </row>
    <row r="20" ht="24.0" customHeight="1">
      <c r="A20" s="18" t="s">
        <v>43</v>
      </c>
      <c r="B20" s="18" t="s">
        <v>27</v>
      </c>
      <c r="C20" s="19" t="s">
        <v>28</v>
      </c>
      <c r="D20" s="19" t="s">
        <v>44</v>
      </c>
      <c r="E20" s="19" t="s">
        <v>45</v>
      </c>
      <c r="F20" s="19" t="s">
        <v>34</v>
      </c>
      <c r="G20" s="20">
        <v>3333.0</v>
      </c>
      <c r="H20" s="19" t="s">
        <v>35</v>
      </c>
      <c r="I20" s="19" t="s">
        <v>36</v>
      </c>
      <c r="J20" s="13">
        <f>VLOOKUP(C20&amp;I20&amp;E20,Orig_Dest!$A$2:$E$1876,5,FALSE)</f>
        <v>0</v>
      </c>
      <c r="K20" s="14" t="str">
        <f t="shared" si="1"/>
        <v>Dia 6</v>
      </c>
      <c r="L20" s="21" t="str">
        <f>IF(B20="Fornecedor",IF(VLOOKUP(C20,Base_Dados!$E$1:$F$7,2,FALSE)=F20," ","Fornecedor inválido!")," ")</f>
        <v> </v>
      </c>
      <c r="M20" s="22" t="str">
        <f>IF(AND(LEFT(F20,2)="MP",H20&lt;&gt;Base_Dados!$A$1),"Impossível!!!"," ")</f>
        <v> </v>
      </c>
      <c r="N20" s="21" t="str">
        <f>IF(E20="Avião",IF($G20&lt;=VLOOKUP($F20,Base_Dados!$K$1:$O$7,3,FALSE)," ","Limite "&amp;VLOOKUP($F20,Base_Dados!$K$1:$O$11,3,FALSE)&amp;" "&amp;VLOOKUP($F20,Base_Dados!$K$1:$O$11,2,FALSE))," ")</f>
        <v> </v>
      </c>
      <c r="O20" s="21" t="str">
        <f>IF(E20="Caminhão",IF($G20&lt;=VLOOKUP($F20,Base_Dados!$K$1:$O$7,4,FALSE)," ","Limite "&amp;VLOOKUP($F20,Base_Dados!$K$1:$O$11,4,FALSE)&amp;" "&amp;VLOOKUP($F20,Base_Dados!$K$1:$O$11,2,FALSE))," ")</f>
        <v> </v>
      </c>
      <c r="P20" s="21" t="str">
        <f>IF(E20="Navio",IF($G20&lt;=VLOOKUP($F20,Base_Dados!$K$1:$O$7,5,FALSE)," ","Limite "&amp;VLOOKUP($F20,Base_Dados!$K$1:$O$11,5,FALSE)&amp;" "&amp;VLOOKUP($F20,Base_Dados!$K$1:$O$11,2,FALSE))," ")</f>
        <v> </v>
      </c>
      <c r="Q20" s="21" t="str">
        <f t="shared" si="2"/>
        <v/>
      </c>
      <c r="R20" s="1"/>
      <c r="S20" s="26" t="s">
        <v>40</v>
      </c>
      <c r="T20" s="26" t="s">
        <v>48</v>
      </c>
      <c r="U20" s="27">
        <v>4000.0</v>
      </c>
      <c r="V20" s="27">
        <v>96000.0</v>
      </c>
      <c r="W20" s="27">
        <v>400000.0</v>
      </c>
      <c r="X20" s="1"/>
      <c r="Y20" s="1"/>
      <c r="Z20" s="1"/>
    </row>
    <row r="21" ht="24.0" customHeight="1">
      <c r="A21" s="18" t="s">
        <v>43</v>
      </c>
      <c r="B21" s="18" t="s">
        <v>27</v>
      </c>
      <c r="C21" s="19" t="s">
        <v>28</v>
      </c>
      <c r="D21" s="19" t="s">
        <v>44</v>
      </c>
      <c r="E21" s="19" t="s">
        <v>45</v>
      </c>
      <c r="F21" s="19" t="s">
        <v>34</v>
      </c>
      <c r="G21" s="20">
        <v>3333.0</v>
      </c>
      <c r="H21" s="19" t="s">
        <v>35</v>
      </c>
      <c r="I21" s="19" t="s">
        <v>36</v>
      </c>
      <c r="J21" s="13">
        <f>VLOOKUP(C21&amp;I21&amp;E21,Orig_Dest!$A$2:$E$1876,5,FALSE)</f>
        <v>0</v>
      </c>
      <c r="K21" s="14" t="str">
        <f t="shared" si="1"/>
        <v>Dia 6</v>
      </c>
      <c r="L21" s="21" t="str">
        <f>IF(B21="Fornecedor",IF(VLOOKUP(C21,Base_Dados!$E$1:$F$7,2,FALSE)=F21," ","Fornecedor inválido!")," ")</f>
        <v> </v>
      </c>
      <c r="M21" s="22" t="str">
        <f>IF(AND(LEFT(F21,2)="MP",H21&lt;&gt;Base_Dados!$A$1),"Impossível!!!"," ")</f>
        <v> </v>
      </c>
      <c r="N21" s="21" t="str">
        <f>IF(E21="Avião",IF($G21&lt;=VLOOKUP($F21,Base_Dados!$K$1:$O$7,3,FALSE)," ","Limite "&amp;VLOOKUP($F21,Base_Dados!$K$1:$O$11,3,FALSE)&amp;" "&amp;VLOOKUP($F21,Base_Dados!$K$1:$O$11,2,FALSE))," ")</f>
        <v> </v>
      </c>
      <c r="O21" s="21" t="str">
        <f>IF(E21="Caminhão",IF($G21&lt;=VLOOKUP($F21,Base_Dados!$K$1:$O$7,4,FALSE)," ","Limite "&amp;VLOOKUP($F21,Base_Dados!$K$1:$O$11,4,FALSE)&amp;" "&amp;VLOOKUP($F21,Base_Dados!$K$1:$O$11,2,FALSE))," ")</f>
        <v> </v>
      </c>
      <c r="P21" s="21" t="str">
        <f>IF(E21="Navio",IF($G21&lt;=VLOOKUP($F21,Base_Dados!$K$1:$O$7,5,FALSE)," ","Limite "&amp;VLOOKUP($F21,Base_Dados!$K$1:$O$11,5,FALSE)&amp;" "&amp;VLOOKUP($F21,Base_Dados!$K$1:$O$11,2,FALSE))," ")</f>
        <v> </v>
      </c>
      <c r="Q21" s="21" t="str">
        <f t="shared" si="2"/>
        <v/>
      </c>
      <c r="R21" s="1"/>
      <c r="S21" s="24" t="s">
        <v>42</v>
      </c>
      <c r="T21" s="24" t="s">
        <v>48</v>
      </c>
      <c r="U21" s="25">
        <v>6666.0</v>
      </c>
      <c r="V21" s="25">
        <v>160000.0</v>
      </c>
      <c r="W21" s="25">
        <v>666666.0</v>
      </c>
      <c r="X21" s="1"/>
      <c r="Y21" s="1"/>
      <c r="Z21" s="1"/>
    </row>
    <row r="22" ht="24.0" customHeight="1">
      <c r="A22" s="18" t="s">
        <v>43</v>
      </c>
      <c r="B22" s="18" t="s">
        <v>27</v>
      </c>
      <c r="C22" s="19" t="s">
        <v>28</v>
      </c>
      <c r="D22" s="19" t="s">
        <v>44</v>
      </c>
      <c r="E22" s="19" t="s">
        <v>45</v>
      </c>
      <c r="F22" s="19" t="s">
        <v>34</v>
      </c>
      <c r="G22" s="20">
        <v>3333.0</v>
      </c>
      <c r="H22" s="19" t="s">
        <v>35</v>
      </c>
      <c r="I22" s="19" t="s">
        <v>36</v>
      </c>
      <c r="J22" s="13">
        <f>VLOOKUP(C22&amp;I22&amp;E22,Orig_Dest!$A$2:$E$1876,5,FALSE)</f>
        <v>0</v>
      </c>
      <c r="K22" s="14" t="str">
        <f t="shared" si="1"/>
        <v>Dia 6</v>
      </c>
      <c r="L22" s="21" t="str">
        <f>IF(B22="Fornecedor",IF(VLOOKUP(C22,Base_Dados!$E$1:$F$7,2,FALSE)=F22," ","Fornecedor inválido!")," ")</f>
        <v> </v>
      </c>
      <c r="M22" s="22" t="str">
        <f>IF(AND(LEFT(F22,2)="MP",H22&lt;&gt;Base_Dados!$A$1),"Impossível!!!"," ")</f>
        <v> </v>
      </c>
      <c r="N22" s="21" t="str">
        <f>IF(E22="Avião",IF($G22&lt;=VLOOKUP($F22,Base_Dados!$K$1:$O$7,3,FALSE)," ","Limite "&amp;VLOOKUP($F22,Base_Dados!$K$1:$O$11,3,FALSE)&amp;" "&amp;VLOOKUP($F22,Base_Dados!$K$1:$O$11,2,FALSE))," ")</f>
        <v> </v>
      </c>
      <c r="O22" s="21" t="str">
        <f>IF(E22="Caminhão",IF($G22&lt;=VLOOKUP($F22,Base_Dados!$K$1:$O$7,4,FALSE)," ","Limite "&amp;VLOOKUP($F22,Base_Dados!$K$1:$O$11,4,FALSE)&amp;" "&amp;VLOOKUP($F22,Base_Dados!$K$1:$O$11,2,FALSE))," ")</f>
        <v> </v>
      </c>
      <c r="P22" s="21" t="str">
        <f>IF(E22="Navio",IF($G22&lt;=VLOOKUP($F22,Base_Dados!$K$1:$O$7,5,FALSE)," ","Limite "&amp;VLOOKUP($F22,Base_Dados!$K$1:$O$11,5,FALSE)&amp;" "&amp;VLOOKUP($F22,Base_Dados!$K$1:$O$11,2,FALSE))," ")</f>
        <v> </v>
      </c>
      <c r="Q22" s="21" t="str">
        <f t="shared" si="2"/>
        <v/>
      </c>
      <c r="R22" s="1"/>
      <c r="S22" s="26" t="s">
        <v>26</v>
      </c>
      <c r="T22" s="26" t="s">
        <v>49</v>
      </c>
      <c r="U22" s="27">
        <v>1.0</v>
      </c>
      <c r="V22" s="27">
        <v>24.0</v>
      </c>
      <c r="W22" s="27">
        <v>100.0</v>
      </c>
      <c r="X22" s="1"/>
      <c r="Y22" s="1"/>
      <c r="Z22" s="1"/>
    </row>
    <row r="23" ht="24.0" customHeight="1">
      <c r="A23" s="18" t="s">
        <v>43</v>
      </c>
      <c r="B23" s="18" t="s">
        <v>27</v>
      </c>
      <c r="C23" s="19" t="s">
        <v>28</v>
      </c>
      <c r="D23" s="19" t="s">
        <v>44</v>
      </c>
      <c r="E23" s="19" t="s">
        <v>45</v>
      </c>
      <c r="F23" s="19" t="s">
        <v>34</v>
      </c>
      <c r="G23" s="20">
        <v>3333.0</v>
      </c>
      <c r="H23" s="19" t="s">
        <v>35</v>
      </c>
      <c r="I23" s="19" t="s">
        <v>36</v>
      </c>
      <c r="J23" s="13">
        <f>VLOOKUP(C23&amp;I23&amp;E23,Orig_Dest!$A$2:$E$1876,5,FALSE)</f>
        <v>0</v>
      </c>
      <c r="K23" s="14" t="str">
        <f t="shared" si="1"/>
        <v>Dia 6</v>
      </c>
      <c r="L23" s="21" t="str">
        <f>IF(B23="Fornecedor",IF(VLOOKUP(C23,Base_Dados!$E$1:$F$7,2,FALSE)=F23," ","Fornecedor inválido!")," ")</f>
        <v> </v>
      </c>
      <c r="M23" s="22" t="str">
        <f>IF(AND(LEFT(F23,2)="MP",H23&lt;&gt;Base_Dados!$A$1),"Impossível!!!"," ")</f>
        <v> </v>
      </c>
      <c r="N23" s="21" t="str">
        <f>IF(E23="Avião",IF($G23&lt;=VLOOKUP($F23,Base_Dados!$K$1:$O$7,3,FALSE)," ","Limite "&amp;VLOOKUP($F23,Base_Dados!$K$1:$O$11,3,FALSE)&amp;" "&amp;VLOOKUP($F23,Base_Dados!$K$1:$O$11,2,FALSE))," ")</f>
        <v> </v>
      </c>
      <c r="O23" s="21" t="str">
        <f>IF(E23="Caminhão",IF($G23&lt;=VLOOKUP($F23,Base_Dados!$K$1:$O$7,4,FALSE)," ","Limite "&amp;VLOOKUP($F23,Base_Dados!$K$1:$O$11,4,FALSE)&amp;" "&amp;VLOOKUP($F23,Base_Dados!$K$1:$O$11,2,FALSE))," ")</f>
        <v> </v>
      </c>
      <c r="P23" s="21" t="str">
        <f>IF(E23="Navio",IF($G23&lt;=VLOOKUP($F23,Base_Dados!$K$1:$O$7,5,FALSE)," ","Limite "&amp;VLOOKUP($F23,Base_Dados!$K$1:$O$11,5,FALSE)&amp;" "&amp;VLOOKUP($F23,Base_Dados!$K$1:$O$11,2,FALSE))," ")</f>
        <v> </v>
      </c>
      <c r="Q23" s="21" t="str">
        <f t="shared" si="2"/>
        <v/>
      </c>
      <c r="R23" s="1"/>
      <c r="S23" s="24" t="s">
        <v>30</v>
      </c>
      <c r="T23" s="24" t="s">
        <v>49</v>
      </c>
      <c r="U23" s="25">
        <v>1.0</v>
      </c>
      <c r="V23" s="25">
        <v>24.0</v>
      </c>
      <c r="W23" s="25">
        <v>100.0</v>
      </c>
      <c r="X23" s="1"/>
      <c r="Y23" s="1"/>
      <c r="Z23" s="1"/>
    </row>
    <row r="24" ht="24.0" customHeight="1">
      <c r="A24" s="18" t="s">
        <v>43</v>
      </c>
      <c r="B24" s="18" t="s">
        <v>27</v>
      </c>
      <c r="C24" s="19" t="s">
        <v>28</v>
      </c>
      <c r="D24" s="19" t="s">
        <v>44</v>
      </c>
      <c r="E24" s="19" t="s">
        <v>45</v>
      </c>
      <c r="F24" s="19" t="s">
        <v>34</v>
      </c>
      <c r="G24" s="20">
        <v>3333.0</v>
      </c>
      <c r="H24" s="19" t="s">
        <v>35</v>
      </c>
      <c r="I24" s="19" t="s">
        <v>36</v>
      </c>
      <c r="J24" s="13">
        <f>VLOOKUP(C24&amp;I24&amp;E24,Orig_Dest!$A$2:$E$1876,5,FALSE)</f>
        <v>0</v>
      </c>
      <c r="K24" s="14" t="str">
        <f t="shared" si="1"/>
        <v>Dia 6</v>
      </c>
      <c r="L24" s="21" t="str">
        <f>IF(B24="Fornecedor",IF(VLOOKUP(C24,Base_Dados!$E$1:$F$7,2,FALSE)=F24," ","Fornecedor inválido!")," ")</f>
        <v> </v>
      </c>
      <c r="M24" s="22" t="str">
        <f>IF(AND(LEFT(F24,2)="MP",H24&lt;&gt;Base_Dados!$A$1),"Impossível!!!"," ")</f>
        <v> </v>
      </c>
      <c r="N24" s="21" t="str">
        <f>IF(E24="Avião",IF($G24&lt;=VLOOKUP($F24,Base_Dados!$K$1:$O$7,3,FALSE)," ","Limite "&amp;VLOOKUP($F24,Base_Dados!$K$1:$O$11,3,FALSE)&amp;" "&amp;VLOOKUP($F24,Base_Dados!$K$1:$O$11,2,FALSE))," ")</f>
        <v> </v>
      </c>
      <c r="O24" s="21" t="str">
        <f>IF(E24="Caminhão",IF($G24&lt;=VLOOKUP($F24,Base_Dados!$K$1:$O$7,4,FALSE)," ","Limite "&amp;VLOOKUP($F24,Base_Dados!$K$1:$O$11,4,FALSE)&amp;" "&amp;VLOOKUP($F24,Base_Dados!$K$1:$O$11,2,FALSE))," ")</f>
        <v> </v>
      </c>
      <c r="P24" s="21" t="str">
        <f>IF(E24="Navio",IF($G24&lt;=VLOOKUP($F24,Base_Dados!$K$1:$O$7,5,FALSE)," ","Limite "&amp;VLOOKUP($F24,Base_Dados!$K$1:$O$11,5,FALSE)&amp;" "&amp;VLOOKUP($F24,Base_Dados!$K$1:$O$11,2,FALSE))," ")</f>
        <v> </v>
      </c>
      <c r="Q24" s="21" t="str">
        <f t="shared" si="2"/>
        <v/>
      </c>
      <c r="R24" s="1"/>
      <c r="S24" s="26" t="s">
        <v>32</v>
      </c>
      <c r="T24" s="26" t="s">
        <v>49</v>
      </c>
      <c r="U24" s="27">
        <v>1.0</v>
      </c>
      <c r="V24" s="27">
        <v>24.0</v>
      </c>
      <c r="W24" s="27">
        <v>100.0</v>
      </c>
      <c r="X24" s="1"/>
      <c r="Y24" s="1"/>
      <c r="Z24" s="1"/>
    </row>
    <row r="25" ht="24.0" customHeight="1">
      <c r="A25" s="18" t="s">
        <v>43</v>
      </c>
      <c r="B25" s="18" t="s">
        <v>27</v>
      </c>
      <c r="C25" s="19" t="s">
        <v>28</v>
      </c>
      <c r="D25" s="19" t="s">
        <v>44</v>
      </c>
      <c r="E25" s="19" t="s">
        <v>45</v>
      </c>
      <c r="F25" s="19" t="s">
        <v>34</v>
      </c>
      <c r="G25" s="20">
        <v>3333.0</v>
      </c>
      <c r="H25" s="19" t="s">
        <v>35</v>
      </c>
      <c r="I25" s="19" t="s">
        <v>36</v>
      </c>
      <c r="J25" s="13">
        <f>VLOOKUP(C25&amp;I25&amp;E25,Orig_Dest!$A$2:$E$1876,5,FALSE)</f>
        <v>0</v>
      </c>
      <c r="K25" s="14" t="str">
        <f t="shared" si="1"/>
        <v>Dia 6</v>
      </c>
      <c r="L25" s="21" t="str">
        <f>IF(B25="Fornecedor",IF(VLOOKUP(C25,Base_Dados!$E$1:$F$7,2,FALSE)=F25," ","Fornecedor inválido!")," ")</f>
        <v> </v>
      </c>
      <c r="M25" s="22" t="str">
        <f>IF(AND(LEFT(F25,2)="MP",H25&lt;&gt;Base_Dados!$A$1),"Impossível!!!"," ")</f>
        <v> </v>
      </c>
      <c r="N25" s="21" t="str">
        <f>IF(E25="Avião",IF($G25&lt;=VLOOKUP($F25,Base_Dados!$K$1:$O$7,3,FALSE)," ","Limite "&amp;VLOOKUP($F25,Base_Dados!$K$1:$O$11,3,FALSE)&amp;" "&amp;VLOOKUP($F25,Base_Dados!$K$1:$O$11,2,FALSE))," ")</f>
        <v> </v>
      </c>
      <c r="O25" s="21" t="str">
        <f>IF(E25="Caminhão",IF($G25&lt;=VLOOKUP($F25,Base_Dados!$K$1:$O$7,4,FALSE)," ","Limite "&amp;VLOOKUP($F25,Base_Dados!$K$1:$O$11,4,FALSE)&amp;" "&amp;VLOOKUP($F25,Base_Dados!$K$1:$O$11,2,FALSE))," ")</f>
        <v> </v>
      </c>
      <c r="P25" s="21" t="str">
        <f>IF(E25="Navio",IF($G25&lt;=VLOOKUP($F25,Base_Dados!$K$1:$O$7,5,FALSE)," ","Limite "&amp;VLOOKUP($F25,Base_Dados!$K$1:$O$11,5,FALSE)&amp;" "&amp;VLOOKUP($F25,Base_Dados!$K$1:$O$11,2,FALSE))," ")</f>
        <v> </v>
      </c>
      <c r="Q25" s="21" t="str">
        <f t="shared" si="2"/>
        <v/>
      </c>
      <c r="R25" s="1"/>
      <c r="S25" s="1"/>
      <c r="T25" s="1"/>
      <c r="U25" s="1"/>
      <c r="V25" s="1"/>
      <c r="W25" s="1"/>
      <c r="X25" s="1"/>
      <c r="Y25" s="1"/>
      <c r="Z25" s="1"/>
    </row>
    <row r="26" ht="24.0" customHeight="1">
      <c r="A26" s="18" t="s">
        <v>43</v>
      </c>
      <c r="B26" s="18" t="s">
        <v>27</v>
      </c>
      <c r="C26" s="19" t="s">
        <v>28</v>
      </c>
      <c r="D26" s="19" t="s">
        <v>44</v>
      </c>
      <c r="E26" s="19" t="s">
        <v>45</v>
      </c>
      <c r="F26" s="19" t="s">
        <v>34</v>
      </c>
      <c r="G26" s="20">
        <v>3333.0</v>
      </c>
      <c r="H26" s="19" t="s">
        <v>35</v>
      </c>
      <c r="I26" s="19" t="s">
        <v>36</v>
      </c>
      <c r="J26" s="13">
        <f>VLOOKUP(C26&amp;I26&amp;E26,Orig_Dest!$A$2:$E$1876,5,FALSE)</f>
        <v>0</v>
      </c>
      <c r="K26" s="14" t="str">
        <f t="shared" si="1"/>
        <v>Dia 6</v>
      </c>
      <c r="L26" s="21" t="str">
        <f>IF(B26="Fornecedor",IF(VLOOKUP(C26,Base_Dados!$E$1:$F$7,2,FALSE)=F26," ","Fornecedor inválido!")," ")</f>
        <v> </v>
      </c>
      <c r="M26" s="22" t="str">
        <f>IF(AND(LEFT(F26,2)="MP",H26&lt;&gt;Base_Dados!$A$1),"Impossível!!!"," ")</f>
        <v> </v>
      </c>
      <c r="N26" s="21" t="str">
        <f>IF(E26="Avião",IF($G26&lt;=VLOOKUP($F26,Base_Dados!$K$1:$O$7,3,FALSE)," ","Limite "&amp;VLOOKUP($F26,Base_Dados!$K$1:$O$11,3,FALSE)&amp;" "&amp;VLOOKUP($F26,Base_Dados!$K$1:$O$11,2,FALSE))," ")</f>
        <v> </v>
      </c>
      <c r="O26" s="21" t="str">
        <f>IF(E26="Caminhão",IF($G26&lt;=VLOOKUP($F26,Base_Dados!$K$1:$O$7,4,FALSE)," ","Limite "&amp;VLOOKUP($F26,Base_Dados!$K$1:$O$11,4,FALSE)&amp;" "&amp;VLOOKUP($F26,Base_Dados!$K$1:$O$11,2,FALSE))," ")</f>
        <v> </v>
      </c>
      <c r="P26" s="21" t="str">
        <f>IF(E26="Navio",IF($G26&lt;=VLOOKUP($F26,Base_Dados!$K$1:$O$7,5,FALSE)," ","Limite "&amp;VLOOKUP($F26,Base_Dados!$K$1:$O$11,5,FALSE)&amp;" "&amp;VLOOKUP($F26,Base_Dados!$K$1:$O$11,2,FALSE))," ")</f>
        <v> </v>
      </c>
      <c r="Q26" s="21" t="str">
        <f t="shared" si="2"/>
        <v/>
      </c>
      <c r="R26" s="1"/>
      <c r="S26" s="9" t="s">
        <v>50</v>
      </c>
      <c r="T26" s="1"/>
      <c r="U26" s="1"/>
      <c r="V26" s="1"/>
      <c r="W26" s="1"/>
      <c r="X26" s="1"/>
      <c r="Y26" s="1"/>
      <c r="Z26" s="1"/>
    </row>
    <row r="27" ht="24.0" customHeight="1">
      <c r="A27" s="18" t="s">
        <v>43</v>
      </c>
      <c r="B27" s="18" t="s">
        <v>27</v>
      </c>
      <c r="C27" s="19" t="s">
        <v>28</v>
      </c>
      <c r="D27" s="19" t="s">
        <v>44</v>
      </c>
      <c r="E27" s="19" t="s">
        <v>45</v>
      </c>
      <c r="F27" s="19" t="s">
        <v>34</v>
      </c>
      <c r="G27" s="20">
        <v>3333.0</v>
      </c>
      <c r="H27" s="19" t="s">
        <v>35</v>
      </c>
      <c r="I27" s="19" t="s">
        <v>36</v>
      </c>
      <c r="J27" s="13">
        <f>VLOOKUP(C27&amp;I27&amp;E27,Orig_Dest!$A$2:$E$1876,5,FALSE)</f>
        <v>0</v>
      </c>
      <c r="K27" s="14" t="str">
        <f t="shared" si="1"/>
        <v>Dia 6</v>
      </c>
      <c r="L27" s="21" t="str">
        <f>IF(B27="Fornecedor",IF(VLOOKUP(C27,Base_Dados!$E$1:$F$7,2,FALSE)=F27," ","Fornecedor inválido!")," ")</f>
        <v> </v>
      </c>
      <c r="M27" s="22" t="str">
        <f>IF(AND(LEFT(F27,2)="MP",H27&lt;&gt;Base_Dados!$A$1),"Impossível!!!"," ")</f>
        <v> </v>
      </c>
      <c r="N27" s="21" t="str">
        <f>IF(E27="Avião",IF($G27&lt;=VLOOKUP($F27,Base_Dados!$K$1:$O$7,3,FALSE)," ","Limite "&amp;VLOOKUP($F27,Base_Dados!$K$1:$O$11,3,FALSE)&amp;" "&amp;VLOOKUP($F27,Base_Dados!$K$1:$O$11,2,FALSE))," ")</f>
        <v> </v>
      </c>
      <c r="O27" s="21" t="str">
        <f>IF(E27="Caminhão",IF($G27&lt;=VLOOKUP($F27,Base_Dados!$K$1:$O$7,4,FALSE)," ","Limite "&amp;VLOOKUP($F27,Base_Dados!$K$1:$O$11,4,FALSE)&amp;" "&amp;VLOOKUP($F27,Base_Dados!$K$1:$O$11,2,FALSE))," ")</f>
        <v> </v>
      </c>
      <c r="P27" s="21" t="str">
        <f>IF(E27="Navio",IF($G27&lt;=VLOOKUP($F27,Base_Dados!$K$1:$O$7,5,FALSE)," ","Limite "&amp;VLOOKUP($F27,Base_Dados!$K$1:$O$11,5,FALSE)&amp;" "&amp;VLOOKUP($F27,Base_Dados!$K$1:$O$11,2,FALSE))," ")</f>
        <v> </v>
      </c>
      <c r="Q27" s="21" t="str">
        <f t="shared" si="2"/>
        <v/>
      </c>
      <c r="R27" s="1"/>
      <c r="S27" s="23" t="s">
        <v>22</v>
      </c>
      <c r="T27" s="23" t="s">
        <v>46</v>
      </c>
      <c r="U27" s="1"/>
      <c r="V27" s="1"/>
      <c r="W27" s="1"/>
      <c r="X27" s="1"/>
      <c r="Y27" s="1"/>
      <c r="Z27" s="1"/>
    </row>
    <row r="28" ht="24.0" customHeight="1">
      <c r="A28" s="18" t="s">
        <v>43</v>
      </c>
      <c r="B28" s="18" t="s">
        <v>27</v>
      </c>
      <c r="C28" s="19" t="s">
        <v>28</v>
      </c>
      <c r="D28" s="19" t="s">
        <v>44</v>
      </c>
      <c r="E28" s="19" t="s">
        <v>45</v>
      </c>
      <c r="F28" s="19" t="s">
        <v>34</v>
      </c>
      <c r="G28" s="20">
        <v>3333.0</v>
      </c>
      <c r="H28" s="19" t="s">
        <v>35</v>
      </c>
      <c r="I28" s="19" t="s">
        <v>36</v>
      </c>
      <c r="J28" s="13">
        <f>VLOOKUP(C28&amp;I28&amp;E28,Orig_Dest!$A$2:$E$1876,5,FALSE)</f>
        <v>0</v>
      </c>
      <c r="K28" s="14" t="str">
        <f t="shared" si="1"/>
        <v>Dia 6</v>
      </c>
      <c r="L28" s="21" t="str">
        <f>IF(B28="Fornecedor",IF(VLOOKUP(C28,Base_Dados!$E$1:$F$7,2,FALSE)=F28," ","Fornecedor inválido!")," ")</f>
        <v> </v>
      </c>
      <c r="M28" s="22" t="str">
        <f>IF(AND(LEFT(F28,2)="MP",H28&lt;&gt;Base_Dados!$A$1),"Impossível!!!"," ")</f>
        <v> </v>
      </c>
      <c r="N28" s="21" t="str">
        <f>IF(E28="Avião",IF($G28&lt;=VLOOKUP($F28,Base_Dados!$K$1:$O$7,3,FALSE)," ","Limite "&amp;VLOOKUP($F28,Base_Dados!$K$1:$O$11,3,FALSE)&amp;" "&amp;VLOOKUP($F28,Base_Dados!$K$1:$O$11,2,FALSE))," ")</f>
        <v> </v>
      </c>
      <c r="O28" s="21" t="str">
        <f>IF(E28="Caminhão",IF($G28&lt;=VLOOKUP($F28,Base_Dados!$K$1:$O$7,4,FALSE)," ","Limite "&amp;VLOOKUP($F28,Base_Dados!$K$1:$O$11,4,FALSE)&amp;" "&amp;VLOOKUP($F28,Base_Dados!$K$1:$O$11,2,FALSE))," ")</f>
        <v> </v>
      </c>
      <c r="P28" s="21" t="str">
        <f>IF(E28="Navio",IF($G28&lt;=VLOOKUP($F28,Base_Dados!$K$1:$O$7,5,FALSE)," ","Limite "&amp;VLOOKUP($F28,Base_Dados!$K$1:$O$11,5,FALSE)&amp;" "&amp;VLOOKUP($F28,Base_Dados!$K$1:$O$11,2,FALSE))," ")</f>
        <v> </v>
      </c>
      <c r="Q28" s="21" t="str">
        <f t="shared" si="2"/>
        <v/>
      </c>
      <c r="R28" s="1"/>
      <c r="S28" s="24" t="s">
        <v>23</v>
      </c>
      <c r="T28" s="24" t="s">
        <v>26</v>
      </c>
      <c r="U28" s="1"/>
      <c r="V28" s="1"/>
      <c r="W28" s="1"/>
      <c r="X28" s="1"/>
      <c r="Y28" s="1"/>
      <c r="Z28" s="1"/>
    </row>
    <row r="29" ht="24.0" customHeight="1">
      <c r="A29" s="18" t="s">
        <v>43</v>
      </c>
      <c r="B29" s="18" t="s">
        <v>27</v>
      </c>
      <c r="C29" s="19" t="s">
        <v>28</v>
      </c>
      <c r="D29" s="19" t="s">
        <v>44</v>
      </c>
      <c r="E29" s="19" t="s">
        <v>45</v>
      </c>
      <c r="F29" s="19" t="s">
        <v>34</v>
      </c>
      <c r="G29" s="20">
        <v>3333.0</v>
      </c>
      <c r="H29" s="19" t="s">
        <v>35</v>
      </c>
      <c r="I29" s="19" t="s">
        <v>36</v>
      </c>
      <c r="J29" s="13">
        <f>VLOOKUP(C29&amp;I29&amp;E29,Orig_Dest!$A$2:$E$1876,5,FALSE)</f>
        <v>0</v>
      </c>
      <c r="K29" s="14" t="str">
        <f t="shared" si="1"/>
        <v>Dia 6</v>
      </c>
      <c r="L29" s="21" t="str">
        <f>IF(B29="Fornecedor",IF(VLOOKUP(C29,Base_Dados!$E$1:$F$7,2,FALSE)=F29," ","Fornecedor inválido!")," ")</f>
        <v> </v>
      </c>
      <c r="M29" s="22" t="str">
        <f>IF(AND(LEFT(F29,2)="MP",H29&lt;&gt;Base_Dados!$A$1),"Impossível!!!"," ")</f>
        <v> </v>
      </c>
      <c r="N29" s="21" t="str">
        <f>IF(E29="Avião",IF($G29&lt;=VLOOKUP($F29,Base_Dados!$K$1:$O$7,3,FALSE)," ","Limite "&amp;VLOOKUP($F29,Base_Dados!$K$1:$O$11,3,FALSE)&amp;" "&amp;VLOOKUP($F29,Base_Dados!$K$1:$O$11,2,FALSE))," ")</f>
        <v> </v>
      </c>
      <c r="O29" s="21" t="str">
        <f>IF(E29="Caminhão",IF($G29&lt;=VLOOKUP($F29,Base_Dados!$K$1:$O$7,4,FALSE)," ","Limite "&amp;VLOOKUP($F29,Base_Dados!$K$1:$O$11,4,FALSE)&amp;" "&amp;VLOOKUP($F29,Base_Dados!$K$1:$O$11,2,FALSE))," ")</f>
        <v> </v>
      </c>
      <c r="P29" s="21" t="str">
        <f>IF(E29="Navio",IF($G29&lt;=VLOOKUP($F29,Base_Dados!$K$1:$O$7,5,FALSE)," ","Limite "&amp;VLOOKUP($F29,Base_Dados!$K$1:$O$11,5,FALSE)&amp;" "&amp;VLOOKUP($F29,Base_Dados!$K$1:$O$11,2,FALSE))," ")</f>
        <v> </v>
      </c>
      <c r="Q29" s="21" t="str">
        <f t="shared" si="2"/>
        <v/>
      </c>
      <c r="R29" s="1"/>
      <c r="S29" s="24" t="s">
        <v>51</v>
      </c>
      <c r="T29" s="24" t="s">
        <v>26</v>
      </c>
      <c r="U29" s="1"/>
      <c r="V29" s="1"/>
      <c r="W29" s="1"/>
      <c r="X29" s="1"/>
      <c r="Y29" s="1"/>
      <c r="Z29" s="1"/>
    </row>
    <row r="30" ht="24.0" customHeight="1">
      <c r="A30" s="18" t="s">
        <v>43</v>
      </c>
      <c r="B30" s="18" t="s">
        <v>27</v>
      </c>
      <c r="C30" s="19" t="s">
        <v>28</v>
      </c>
      <c r="D30" s="19" t="s">
        <v>44</v>
      </c>
      <c r="E30" s="19" t="s">
        <v>45</v>
      </c>
      <c r="F30" s="19" t="s">
        <v>34</v>
      </c>
      <c r="G30" s="20">
        <v>3333.0</v>
      </c>
      <c r="H30" s="19" t="s">
        <v>35</v>
      </c>
      <c r="I30" s="19" t="s">
        <v>36</v>
      </c>
      <c r="J30" s="13">
        <f>VLOOKUP(C30&amp;I30&amp;E30,Orig_Dest!$A$2:$E$1876,5,FALSE)</f>
        <v>0</v>
      </c>
      <c r="K30" s="14" t="str">
        <f t="shared" si="1"/>
        <v>Dia 6</v>
      </c>
      <c r="L30" s="21" t="str">
        <f>IF(B30="Fornecedor",IF(VLOOKUP(C30,Base_Dados!$E$1:$F$7,2,FALSE)=F30," ","Fornecedor inválido!")," ")</f>
        <v> </v>
      </c>
      <c r="M30" s="22" t="str">
        <f>IF(AND(LEFT(F30,2)="MP",H30&lt;&gt;Base_Dados!$A$1),"Impossível!!!"," ")</f>
        <v> </v>
      </c>
      <c r="N30" s="21" t="str">
        <f>IF(E30="Avião",IF($G30&lt;=VLOOKUP($F30,Base_Dados!$K$1:$O$7,3,FALSE)," ","Limite "&amp;VLOOKUP($F30,Base_Dados!$K$1:$O$11,3,FALSE)&amp;" "&amp;VLOOKUP($F30,Base_Dados!$K$1:$O$11,2,FALSE))," ")</f>
        <v> </v>
      </c>
      <c r="O30" s="21" t="str">
        <f>IF(E30="Caminhão",IF($G30&lt;=VLOOKUP($F30,Base_Dados!$K$1:$O$7,4,FALSE)," ","Limite "&amp;VLOOKUP($F30,Base_Dados!$K$1:$O$11,4,FALSE)&amp;" "&amp;VLOOKUP($F30,Base_Dados!$K$1:$O$11,2,FALSE))," ")</f>
        <v> </v>
      </c>
      <c r="P30" s="21" t="str">
        <f>IF(E30="Navio",IF($G30&lt;=VLOOKUP($F30,Base_Dados!$K$1:$O$7,5,FALSE)," ","Limite "&amp;VLOOKUP($F30,Base_Dados!$K$1:$O$11,5,FALSE)&amp;" "&amp;VLOOKUP($F30,Base_Dados!$K$1:$O$11,2,FALSE))," ")</f>
        <v> </v>
      </c>
      <c r="Q30" s="21" t="str">
        <f t="shared" si="2"/>
        <v/>
      </c>
      <c r="R30" s="1"/>
      <c r="S30" s="26" t="s">
        <v>29</v>
      </c>
      <c r="T30" s="26" t="s">
        <v>30</v>
      </c>
      <c r="U30" s="1"/>
      <c r="V30" s="1"/>
      <c r="W30" s="1"/>
      <c r="X30" s="1"/>
      <c r="Y30" s="1"/>
      <c r="Z30" s="1"/>
    </row>
    <row r="31" ht="24.0" customHeight="1">
      <c r="A31" s="18" t="s">
        <v>43</v>
      </c>
      <c r="B31" s="18" t="s">
        <v>27</v>
      </c>
      <c r="C31" s="19" t="s">
        <v>28</v>
      </c>
      <c r="D31" s="19" t="s">
        <v>44</v>
      </c>
      <c r="E31" s="19" t="s">
        <v>45</v>
      </c>
      <c r="F31" s="19" t="s">
        <v>34</v>
      </c>
      <c r="G31" s="20">
        <v>3333.0</v>
      </c>
      <c r="H31" s="19" t="s">
        <v>35</v>
      </c>
      <c r="I31" s="19" t="s">
        <v>36</v>
      </c>
      <c r="J31" s="13">
        <f>VLOOKUP(C31&amp;I31&amp;E31,Orig_Dest!$A$2:$E$1876,5,FALSE)</f>
        <v>0</v>
      </c>
      <c r="K31" s="14" t="str">
        <f t="shared" si="1"/>
        <v>Dia 6</v>
      </c>
      <c r="L31" s="21" t="str">
        <f>IF(B31="Fornecedor",IF(VLOOKUP(C31,Base_Dados!$E$1:$F$7,2,FALSE)=F31," ","Fornecedor inválido!")," ")</f>
        <v> </v>
      </c>
      <c r="M31" s="22" t="str">
        <f>IF(AND(LEFT(F31,2)="MP",H31&lt;&gt;Base_Dados!$A$1),"Impossível!!!"," ")</f>
        <v> </v>
      </c>
      <c r="N31" s="21" t="str">
        <f>IF(E31="Avião",IF($G31&lt;=VLOOKUP($F31,Base_Dados!$K$1:$O$7,3,FALSE)," ","Limite "&amp;VLOOKUP($F31,Base_Dados!$K$1:$O$11,3,FALSE)&amp;" "&amp;VLOOKUP($F31,Base_Dados!$K$1:$O$11,2,FALSE))," ")</f>
        <v> </v>
      </c>
      <c r="O31" s="21" t="str">
        <f>IF(E31="Caminhão",IF($G31&lt;=VLOOKUP($F31,Base_Dados!$K$1:$O$7,4,FALSE)," ","Limite "&amp;VLOOKUP($F31,Base_Dados!$K$1:$O$11,4,FALSE)&amp;" "&amp;VLOOKUP($F31,Base_Dados!$K$1:$O$11,2,FALSE))," ")</f>
        <v> </v>
      </c>
      <c r="P31" s="21" t="str">
        <f>IF(E31="Navio",IF($G31&lt;=VLOOKUP($F31,Base_Dados!$K$1:$O$7,5,FALSE)," ","Limite "&amp;VLOOKUP($F31,Base_Dados!$K$1:$O$11,5,FALSE)&amp;" "&amp;VLOOKUP($F31,Base_Dados!$K$1:$O$11,2,FALSE))," ")</f>
        <v> </v>
      </c>
      <c r="Q31" s="21" t="str">
        <f t="shared" si="2"/>
        <v/>
      </c>
      <c r="R31" s="1"/>
      <c r="S31" s="26" t="s">
        <v>52</v>
      </c>
      <c r="T31" s="26" t="s">
        <v>30</v>
      </c>
      <c r="U31" s="1"/>
      <c r="V31" s="1"/>
      <c r="W31" s="1"/>
      <c r="X31" s="1"/>
      <c r="Y31" s="1"/>
      <c r="Z31" s="1"/>
    </row>
    <row r="32" ht="24.0" customHeight="1">
      <c r="A32" s="18" t="s">
        <v>43</v>
      </c>
      <c r="B32" s="18" t="s">
        <v>27</v>
      </c>
      <c r="C32" s="19" t="s">
        <v>28</v>
      </c>
      <c r="D32" s="19" t="s">
        <v>44</v>
      </c>
      <c r="E32" s="19" t="s">
        <v>45</v>
      </c>
      <c r="F32" s="19" t="s">
        <v>34</v>
      </c>
      <c r="G32" s="20">
        <v>3333.0</v>
      </c>
      <c r="H32" s="19" t="s">
        <v>35</v>
      </c>
      <c r="I32" s="19" t="s">
        <v>36</v>
      </c>
      <c r="J32" s="13">
        <f>VLOOKUP(C32&amp;I32&amp;E32,Orig_Dest!$A$2:$E$1876,5,FALSE)</f>
        <v>0</v>
      </c>
      <c r="K32" s="14" t="str">
        <f t="shared" si="1"/>
        <v>Dia 6</v>
      </c>
      <c r="L32" s="21" t="str">
        <f>IF(B32="Fornecedor",IF(VLOOKUP(C32,Base_Dados!$E$1:$F$7,2,FALSE)=F32," ","Fornecedor inválido!")," ")</f>
        <v> </v>
      </c>
      <c r="M32" s="22" t="str">
        <f>IF(AND(LEFT(F32,2)="MP",H32&lt;&gt;Base_Dados!$A$1),"Impossível!!!"," ")</f>
        <v> </v>
      </c>
      <c r="N32" s="21" t="str">
        <f>IF(E32="Avião",IF($G32&lt;=VLOOKUP($F32,Base_Dados!$K$1:$O$7,3,FALSE)," ","Limite "&amp;VLOOKUP($F32,Base_Dados!$K$1:$O$11,3,FALSE)&amp;" "&amp;VLOOKUP($F32,Base_Dados!$K$1:$O$11,2,FALSE))," ")</f>
        <v> </v>
      </c>
      <c r="O32" s="21" t="str">
        <f>IF(E32="Caminhão",IF($G32&lt;=VLOOKUP($F32,Base_Dados!$K$1:$O$7,4,FALSE)," ","Limite "&amp;VLOOKUP($F32,Base_Dados!$K$1:$O$11,4,FALSE)&amp;" "&amp;VLOOKUP($F32,Base_Dados!$K$1:$O$11,2,FALSE))," ")</f>
        <v> </v>
      </c>
      <c r="P32" s="21" t="str">
        <f>IF(E32="Navio",IF($G32&lt;=VLOOKUP($F32,Base_Dados!$K$1:$O$7,5,FALSE)," ","Limite "&amp;VLOOKUP($F32,Base_Dados!$K$1:$O$11,5,FALSE)&amp;" "&amp;VLOOKUP($F32,Base_Dados!$K$1:$O$11,2,FALSE))," ")</f>
        <v> </v>
      </c>
      <c r="Q32" s="21" t="str">
        <f t="shared" si="2"/>
        <v/>
      </c>
      <c r="R32" s="1"/>
      <c r="S32" s="28" t="s">
        <v>28</v>
      </c>
      <c r="T32" s="28" t="s">
        <v>32</v>
      </c>
      <c r="U32" s="1"/>
      <c r="V32" s="1"/>
      <c r="W32" s="1"/>
      <c r="X32" s="1"/>
      <c r="Y32" s="1"/>
      <c r="Z32" s="1"/>
    </row>
    <row r="33" ht="24.0" customHeight="1">
      <c r="A33" s="18" t="s">
        <v>43</v>
      </c>
      <c r="B33" s="18" t="s">
        <v>27</v>
      </c>
      <c r="C33" s="19" t="s">
        <v>28</v>
      </c>
      <c r="D33" s="19" t="s">
        <v>44</v>
      </c>
      <c r="E33" s="19" t="s">
        <v>45</v>
      </c>
      <c r="F33" s="19" t="s">
        <v>34</v>
      </c>
      <c r="G33" s="20">
        <v>3333.0</v>
      </c>
      <c r="H33" s="19" t="s">
        <v>35</v>
      </c>
      <c r="I33" s="19" t="s">
        <v>36</v>
      </c>
      <c r="J33" s="13">
        <f>VLOOKUP(C33&amp;I33&amp;E33,Orig_Dest!$A$2:$E$1876,5,FALSE)</f>
        <v>0</v>
      </c>
      <c r="K33" s="14" t="str">
        <f t="shared" si="1"/>
        <v>Dia 6</v>
      </c>
      <c r="L33" s="21" t="str">
        <f>IF(B33="Fornecedor",IF(VLOOKUP(C33,Base_Dados!$E$1:$F$7,2,FALSE)=F33," ","Fornecedor inválido!")," ")</f>
        <v> </v>
      </c>
      <c r="M33" s="22" t="str">
        <f>IF(AND(LEFT(F33,2)="MP",H33&lt;&gt;Base_Dados!$A$1),"Impossível!!!"," ")</f>
        <v> </v>
      </c>
      <c r="N33" s="21" t="str">
        <f>IF(E33="Avião",IF($G33&lt;=VLOOKUP($F33,Base_Dados!$K$1:$O$7,3,FALSE)," ","Limite "&amp;VLOOKUP($F33,Base_Dados!$K$1:$O$11,3,FALSE)&amp;" "&amp;VLOOKUP($F33,Base_Dados!$K$1:$O$11,2,FALSE))," ")</f>
        <v> </v>
      </c>
      <c r="O33" s="21" t="str">
        <f>IF(E33="Caminhão",IF($G33&lt;=VLOOKUP($F33,Base_Dados!$K$1:$O$7,4,FALSE)," ","Limite "&amp;VLOOKUP($F33,Base_Dados!$K$1:$O$11,4,FALSE)&amp;" "&amp;VLOOKUP($F33,Base_Dados!$K$1:$O$11,2,FALSE))," ")</f>
        <v> </v>
      </c>
      <c r="P33" s="21" t="str">
        <f>IF(E33="Navio",IF($G33&lt;=VLOOKUP($F33,Base_Dados!$K$1:$O$7,5,FALSE)," ","Limite "&amp;VLOOKUP($F33,Base_Dados!$K$1:$O$11,5,FALSE)&amp;" "&amp;VLOOKUP($F33,Base_Dados!$K$1:$O$11,2,FALSE))," ")</f>
        <v> </v>
      </c>
      <c r="Q33" s="21" t="str">
        <f t="shared" si="2"/>
        <v/>
      </c>
      <c r="R33" s="1"/>
      <c r="S33" s="28" t="s">
        <v>31</v>
      </c>
      <c r="T33" s="28" t="s">
        <v>32</v>
      </c>
      <c r="U33" s="1"/>
      <c r="V33" s="1"/>
      <c r="W33" s="1"/>
      <c r="X33" s="1"/>
      <c r="Y33" s="1"/>
      <c r="Z33" s="1"/>
    </row>
    <row r="34" ht="24.0" customHeight="1">
      <c r="A34" s="18" t="s">
        <v>43</v>
      </c>
      <c r="B34" s="18" t="s">
        <v>27</v>
      </c>
      <c r="C34" s="19" t="s">
        <v>28</v>
      </c>
      <c r="D34" s="19" t="s">
        <v>44</v>
      </c>
      <c r="E34" s="19" t="s">
        <v>45</v>
      </c>
      <c r="F34" s="19" t="s">
        <v>34</v>
      </c>
      <c r="G34" s="20">
        <v>3333.0</v>
      </c>
      <c r="H34" s="19" t="s">
        <v>35</v>
      </c>
      <c r="I34" s="19" t="s">
        <v>36</v>
      </c>
      <c r="J34" s="13">
        <f>VLOOKUP(C34&amp;I34&amp;E34,Orig_Dest!$A$2:$E$1876,5,FALSE)</f>
        <v>0</v>
      </c>
      <c r="K34" s="14" t="str">
        <f t="shared" si="1"/>
        <v>Dia 6</v>
      </c>
      <c r="L34" s="21" t="str">
        <f>IF(B34="Fornecedor",IF(VLOOKUP(C34,Base_Dados!$E$1:$F$7,2,FALSE)=F34," ","Fornecedor inválido!")," ")</f>
        <v> </v>
      </c>
      <c r="M34" s="22" t="str">
        <f>IF(AND(LEFT(F34,2)="MP",H34&lt;&gt;Base_Dados!$A$1),"Impossível!!!"," ")</f>
        <v> </v>
      </c>
      <c r="N34" s="21" t="str">
        <f>IF(E34="Avião",IF($G34&lt;=VLOOKUP($F34,Base_Dados!$K$1:$O$7,3,FALSE)," ","Limite "&amp;VLOOKUP($F34,Base_Dados!$K$1:$O$11,3,FALSE)&amp;" "&amp;VLOOKUP($F34,Base_Dados!$K$1:$O$11,2,FALSE))," ")</f>
        <v> </v>
      </c>
      <c r="O34" s="21" t="str">
        <f>IF(E34="Caminhão",IF($G34&lt;=VLOOKUP($F34,Base_Dados!$K$1:$O$7,4,FALSE)," ","Limite "&amp;VLOOKUP($F34,Base_Dados!$K$1:$O$11,4,FALSE)&amp;" "&amp;VLOOKUP($F34,Base_Dados!$K$1:$O$11,2,FALSE))," ")</f>
        <v> </v>
      </c>
      <c r="P34" s="21" t="str">
        <f>IF(E34="Navio",IF($G34&lt;=VLOOKUP($F34,Base_Dados!$K$1:$O$7,5,FALSE)," ","Limite "&amp;VLOOKUP($F34,Base_Dados!$K$1:$O$11,5,FALSE)&amp;" "&amp;VLOOKUP($F34,Base_Dados!$K$1:$O$11,2,FALSE))," ")</f>
        <v> </v>
      </c>
      <c r="Q34" s="21" t="str">
        <f t="shared" si="2"/>
        <v/>
      </c>
      <c r="R34" s="1"/>
      <c r="S34" s="1"/>
      <c r="T34" s="1"/>
      <c r="U34" s="1"/>
      <c r="V34" s="1"/>
      <c r="W34" s="1"/>
      <c r="X34" s="1"/>
      <c r="Y34" s="1"/>
      <c r="Z34" s="1"/>
    </row>
    <row r="35" ht="24.0" customHeight="1">
      <c r="A35" s="18" t="s">
        <v>43</v>
      </c>
      <c r="B35" s="18" t="s">
        <v>27</v>
      </c>
      <c r="C35" s="19" t="s">
        <v>28</v>
      </c>
      <c r="D35" s="19" t="s">
        <v>44</v>
      </c>
      <c r="E35" s="19" t="s">
        <v>45</v>
      </c>
      <c r="F35" s="19" t="s">
        <v>34</v>
      </c>
      <c r="G35" s="20">
        <v>3333.0</v>
      </c>
      <c r="H35" s="19" t="s">
        <v>35</v>
      </c>
      <c r="I35" s="19" t="s">
        <v>36</v>
      </c>
      <c r="J35" s="13">
        <f>VLOOKUP(C35&amp;I35&amp;E35,Orig_Dest!$A$2:$E$1876,5,FALSE)</f>
        <v>0</v>
      </c>
      <c r="K35" s="14" t="str">
        <f t="shared" si="1"/>
        <v>Dia 6</v>
      </c>
      <c r="L35" s="21" t="str">
        <f>IF(B35="Fornecedor",IF(VLOOKUP(C35,Base_Dados!$E$1:$F$7,2,FALSE)=F35," ","Fornecedor inválido!")," ")</f>
        <v> </v>
      </c>
      <c r="M35" s="22" t="str">
        <f>IF(AND(LEFT(F35,2)="MP",H35&lt;&gt;Base_Dados!$A$1),"Impossível!!!"," ")</f>
        <v> </v>
      </c>
      <c r="N35" s="21" t="str">
        <f>IF(E35="Avião",IF($G35&lt;=VLOOKUP($F35,Base_Dados!$K$1:$O$7,3,FALSE)," ","Limite "&amp;VLOOKUP($F35,Base_Dados!$K$1:$O$11,3,FALSE)&amp;" "&amp;VLOOKUP($F35,Base_Dados!$K$1:$O$11,2,FALSE))," ")</f>
        <v> </v>
      </c>
      <c r="O35" s="21" t="str">
        <f>IF(E35="Caminhão",IF($G35&lt;=VLOOKUP($F35,Base_Dados!$K$1:$O$7,4,FALSE)," ","Limite "&amp;VLOOKUP($F35,Base_Dados!$K$1:$O$11,4,FALSE)&amp;" "&amp;VLOOKUP($F35,Base_Dados!$K$1:$O$11,2,FALSE))," ")</f>
        <v> </v>
      </c>
      <c r="P35" s="21" t="str">
        <f>IF(E35="Navio",IF($G35&lt;=VLOOKUP($F35,Base_Dados!$K$1:$O$7,5,FALSE)," ","Limite "&amp;VLOOKUP($F35,Base_Dados!$K$1:$O$11,5,FALSE)&amp;" "&amp;VLOOKUP($F35,Base_Dados!$K$1:$O$11,2,FALSE))," ")</f>
        <v> </v>
      </c>
      <c r="Q35" s="21" t="str">
        <f t="shared" si="2"/>
        <v/>
      </c>
      <c r="R35" s="1"/>
      <c r="S35" s="29"/>
      <c r="T35" s="1"/>
      <c r="U35" s="1"/>
      <c r="V35" s="29"/>
      <c r="W35" s="1"/>
      <c r="X35" s="1"/>
      <c r="Y35" s="1"/>
      <c r="Z35" s="1"/>
    </row>
    <row r="36" ht="24.0" customHeight="1">
      <c r="A36" s="18" t="s">
        <v>43</v>
      </c>
      <c r="B36" s="18" t="s">
        <v>27</v>
      </c>
      <c r="C36" s="19" t="s">
        <v>28</v>
      </c>
      <c r="D36" s="19" t="s">
        <v>44</v>
      </c>
      <c r="E36" s="19" t="s">
        <v>45</v>
      </c>
      <c r="F36" s="19" t="s">
        <v>34</v>
      </c>
      <c r="G36" s="20">
        <v>3333.0</v>
      </c>
      <c r="H36" s="19" t="s">
        <v>35</v>
      </c>
      <c r="I36" s="19" t="s">
        <v>36</v>
      </c>
      <c r="J36" s="13">
        <f>VLOOKUP(C36&amp;I36&amp;E36,Orig_Dest!$A$2:$E$1876,5,FALSE)</f>
        <v>0</v>
      </c>
      <c r="K36" s="14" t="str">
        <f t="shared" si="1"/>
        <v>Dia 6</v>
      </c>
      <c r="L36" s="21" t="str">
        <f>IF(B36="Fornecedor",IF(VLOOKUP(C36,Base_Dados!$E$1:$F$7,2,FALSE)=F36," ","Fornecedor inválido!")," ")</f>
        <v> </v>
      </c>
      <c r="M36" s="22" t="str">
        <f>IF(AND(LEFT(F36,2)="MP",H36&lt;&gt;Base_Dados!$A$1),"Impossível!!!"," ")</f>
        <v> </v>
      </c>
      <c r="N36" s="21" t="str">
        <f>IF(E36="Avião",IF($G36&lt;=VLOOKUP($F36,Base_Dados!$K$1:$O$7,3,FALSE)," ","Limite "&amp;VLOOKUP($F36,Base_Dados!$K$1:$O$11,3,FALSE)&amp;" "&amp;VLOOKUP($F36,Base_Dados!$K$1:$O$11,2,FALSE))," ")</f>
        <v> </v>
      </c>
      <c r="O36" s="21" t="str">
        <f>IF(E36="Caminhão",IF($G36&lt;=VLOOKUP($F36,Base_Dados!$K$1:$O$7,4,FALSE)," ","Limite "&amp;VLOOKUP($F36,Base_Dados!$K$1:$O$11,4,FALSE)&amp;" "&amp;VLOOKUP($F36,Base_Dados!$K$1:$O$11,2,FALSE))," ")</f>
        <v> </v>
      </c>
      <c r="P36" s="21" t="str">
        <f>IF(E36="Navio",IF($G36&lt;=VLOOKUP($F36,Base_Dados!$K$1:$O$7,5,FALSE)," ","Limite "&amp;VLOOKUP($F36,Base_Dados!$K$1:$O$11,5,FALSE)&amp;" "&amp;VLOOKUP($F36,Base_Dados!$K$1:$O$11,2,FALSE))," ")</f>
        <v> </v>
      </c>
      <c r="Q36" s="21" t="str">
        <f t="shared" si="2"/>
        <v/>
      </c>
      <c r="R36" s="1"/>
      <c r="S36" s="29"/>
      <c r="T36" s="1"/>
      <c r="U36" s="1"/>
      <c r="V36" s="29"/>
      <c r="W36" s="1"/>
      <c r="X36" s="1"/>
      <c r="Y36" s="1"/>
      <c r="Z36" s="1"/>
    </row>
    <row r="37" ht="24.0" customHeight="1">
      <c r="A37" s="18" t="s">
        <v>43</v>
      </c>
      <c r="B37" s="18" t="s">
        <v>27</v>
      </c>
      <c r="C37" s="19" t="s">
        <v>28</v>
      </c>
      <c r="D37" s="19" t="s">
        <v>44</v>
      </c>
      <c r="E37" s="19" t="s">
        <v>45</v>
      </c>
      <c r="F37" s="19" t="s">
        <v>34</v>
      </c>
      <c r="G37" s="20">
        <v>3333.0</v>
      </c>
      <c r="H37" s="19" t="s">
        <v>35</v>
      </c>
      <c r="I37" s="19" t="s">
        <v>36</v>
      </c>
      <c r="J37" s="13">
        <f>VLOOKUP(C37&amp;I37&amp;E37,Orig_Dest!$A$2:$E$1876,5,FALSE)</f>
        <v>0</v>
      </c>
      <c r="K37" s="14" t="str">
        <f t="shared" si="1"/>
        <v>Dia 6</v>
      </c>
      <c r="L37" s="21" t="str">
        <f>IF(B37="Fornecedor",IF(VLOOKUP(C37,Base_Dados!$E$1:$F$7,2,FALSE)=F37," ","Fornecedor inválido!")," ")</f>
        <v> </v>
      </c>
      <c r="M37" s="22" t="str">
        <f>IF(AND(LEFT(F37,2)="MP",H37&lt;&gt;Base_Dados!$A$1),"Impossível!!!"," ")</f>
        <v> </v>
      </c>
      <c r="N37" s="21" t="str">
        <f>IF(E37="Avião",IF($G37&lt;=VLOOKUP($F37,Base_Dados!$K$1:$O$7,3,FALSE)," ","Limite "&amp;VLOOKUP($F37,Base_Dados!$K$1:$O$11,3,FALSE)&amp;" "&amp;VLOOKUP($F37,Base_Dados!$K$1:$O$11,2,FALSE))," ")</f>
        <v> </v>
      </c>
      <c r="O37" s="21" t="str">
        <f>IF(E37="Caminhão",IF($G37&lt;=VLOOKUP($F37,Base_Dados!$K$1:$O$7,4,FALSE)," ","Limite "&amp;VLOOKUP($F37,Base_Dados!$K$1:$O$11,4,FALSE)&amp;" "&amp;VLOOKUP($F37,Base_Dados!$K$1:$O$11,2,FALSE))," ")</f>
        <v> </v>
      </c>
      <c r="P37" s="21" t="str">
        <f>IF(E37="Navio",IF($G37&lt;=VLOOKUP($F37,Base_Dados!$K$1:$O$7,5,FALSE)," ","Limite "&amp;VLOOKUP($F37,Base_Dados!$K$1:$O$11,5,FALSE)&amp;" "&amp;VLOOKUP($F37,Base_Dados!$K$1:$O$11,2,FALSE))," ")</f>
        <v> </v>
      </c>
      <c r="Q37" s="21" t="str">
        <f t="shared" si="2"/>
        <v/>
      </c>
      <c r="R37" s="1"/>
      <c r="S37" s="29"/>
      <c r="T37" s="1"/>
      <c r="U37" s="1"/>
      <c r="V37" s="29"/>
      <c r="W37" s="1"/>
      <c r="X37" s="1"/>
      <c r="Y37" s="1"/>
      <c r="Z37" s="1"/>
    </row>
    <row r="38" ht="24.0" customHeight="1">
      <c r="A38" s="18" t="s">
        <v>43</v>
      </c>
      <c r="B38" s="18" t="s">
        <v>27</v>
      </c>
      <c r="C38" s="19" t="s">
        <v>28</v>
      </c>
      <c r="D38" s="19" t="s">
        <v>44</v>
      </c>
      <c r="E38" s="19" t="s">
        <v>45</v>
      </c>
      <c r="F38" s="19" t="s">
        <v>34</v>
      </c>
      <c r="G38" s="20">
        <v>3333.0</v>
      </c>
      <c r="H38" s="19" t="s">
        <v>35</v>
      </c>
      <c r="I38" s="19" t="s">
        <v>36</v>
      </c>
      <c r="J38" s="13">
        <f>VLOOKUP(C38&amp;I38&amp;E38,Orig_Dest!$A$2:$E$1876,5,FALSE)</f>
        <v>0</v>
      </c>
      <c r="K38" s="14" t="str">
        <f t="shared" si="1"/>
        <v>Dia 6</v>
      </c>
      <c r="L38" s="21" t="str">
        <f>IF(B38="Fornecedor",IF(VLOOKUP(C38,Base_Dados!$E$1:$F$7,2,FALSE)=F38," ","Fornecedor inválido!")," ")</f>
        <v> </v>
      </c>
      <c r="M38" s="22" t="str">
        <f>IF(AND(LEFT(F38,2)="MP",H38&lt;&gt;Base_Dados!$A$1),"Impossível!!!"," ")</f>
        <v> </v>
      </c>
      <c r="N38" s="21" t="str">
        <f>IF(E38="Avião",IF($G38&lt;=VLOOKUP($F38,Base_Dados!$K$1:$O$7,3,FALSE)," ","Limite "&amp;VLOOKUP($F38,Base_Dados!$K$1:$O$11,3,FALSE)&amp;" "&amp;VLOOKUP($F38,Base_Dados!$K$1:$O$11,2,FALSE))," ")</f>
        <v> </v>
      </c>
      <c r="O38" s="21" t="str">
        <f>IF(E38="Caminhão",IF($G38&lt;=VLOOKUP($F38,Base_Dados!$K$1:$O$7,4,FALSE)," ","Limite "&amp;VLOOKUP($F38,Base_Dados!$K$1:$O$11,4,FALSE)&amp;" "&amp;VLOOKUP($F38,Base_Dados!$K$1:$O$11,2,FALSE))," ")</f>
        <v> </v>
      </c>
      <c r="P38" s="21" t="str">
        <f>IF(E38="Navio",IF($G38&lt;=VLOOKUP($F38,Base_Dados!$K$1:$O$7,5,FALSE)," ","Limite "&amp;VLOOKUP($F38,Base_Dados!$K$1:$O$11,5,FALSE)&amp;" "&amp;VLOOKUP($F38,Base_Dados!$K$1:$O$11,2,FALSE))," ")</f>
        <v> </v>
      </c>
      <c r="Q38" s="21" t="str">
        <f t="shared" si="2"/>
        <v/>
      </c>
      <c r="R38" s="1"/>
      <c r="S38" s="29"/>
      <c r="T38" s="1"/>
      <c r="U38" s="1"/>
      <c r="V38" s="29"/>
      <c r="W38" s="1"/>
      <c r="X38" s="1"/>
      <c r="Y38" s="1"/>
      <c r="Z38" s="1"/>
    </row>
    <row r="39" ht="24.0" customHeight="1">
      <c r="A39" s="18" t="s">
        <v>43</v>
      </c>
      <c r="B39" s="18" t="s">
        <v>27</v>
      </c>
      <c r="C39" s="19" t="s">
        <v>28</v>
      </c>
      <c r="D39" s="19" t="s">
        <v>44</v>
      </c>
      <c r="E39" s="19" t="s">
        <v>45</v>
      </c>
      <c r="F39" s="19" t="s">
        <v>34</v>
      </c>
      <c r="G39" s="20">
        <v>3333.0</v>
      </c>
      <c r="H39" s="19" t="s">
        <v>35</v>
      </c>
      <c r="I39" s="19" t="s">
        <v>36</v>
      </c>
      <c r="J39" s="13">
        <f>VLOOKUP(C39&amp;I39&amp;E39,Orig_Dest!$A$2:$E$1876,5,FALSE)</f>
        <v>0</v>
      </c>
      <c r="K39" s="14" t="str">
        <f t="shared" si="1"/>
        <v>Dia 6</v>
      </c>
      <c r="L39" s="21" t="str">
        <f>IF(B39="Fornecedor",IF(VLOOKUP(C39,Base_Dados!$E$1:$F$7,2,FALSE)=F39," ","Fornecedor inválido!")," ")</f>
        <v> </v>
      </c>
      <c r="M39" s="22" t="str">
        <f>IF(AND(LEFT(F39,2)="MP",H39&lt;&gt;Base_Dados!$A$1),"Impossível!!!"," ")</f>
        <v> </v>
      </c>
      <c r="N39" s="21" t="str">
        <f>IF(E39="Avião",IF($G39&lt;=VLOOKUP($F39,Base_Dados!$K$1:$O$7,3,FALSE)," ","Limite "&amp;VLOOKUP($F39,Base_Dados!$K$1:$O$11,3,FALSE)&amp;" "&amp;VLOOKUP($F39,Base_Dados!$K$1:$O$11,2,FALSE))," ")</f>
        <v> </v>
      </c>
      <c r="O39" s="21" t="str">
        <f>IF(E39="Caminhão",IF($G39&lt;=VLOOKUP($F39,Base_Dados!$K$1:$O$7,4,FALSE)," ","Limite "&amp;VLOOKUP($F39,Base_Dados!$K$1:$O$11,4,FALSE)&amp;" "&amp;VLOOKUP($F39,Base_Dados!$K$1:$O$11,2,FALSE))," ")</f>
        <v> </v>
      </c>
      <c r="P39" s="21" t="str">
        <f>IF(E39="Navio",IF($G39&lt;=VLOOKUP($F39,Base_Dados!$K$1:$O$7,5,FALSE)," ","Limite "&amp;VLOOKUP($F39,Base_Dados!$K$1:$O$11,5,FALSE)&amp;" "&amp;VLOOKUP($F39,Base_Dados!$K$1:$O$11,2,FALSE))," ")</f>
        <v> </v>
      </c>
      <c r="Q39" s="21" t="str">
        <f t="shared" si="2"/>
        <v/>
      </c>
      <c r="R39" s="1"/>
      <c r="S39" s="29"/>
      <c r="T39" s="1"/>
      <c r="U39" s="1"/>
      <c r="V39" s="29"/>
      <c r="W39" s="1"/>
      <c r="X39" s="1"/>
      <c r="Y39" s="1"/>
      <c r="Z39" s="1"/>
    </row>
    <row r="40" ht="24.0" customHeight="1">
      <c r="A40" s="18" t="s">
        <v>43</v>
      </c>
      <c r="B40" s="18" t="s">
        <v>27</v>
      </c>
      <c r="C40" s="19" t="s">
        <v>28</v>
      </c>
      <c r="D40" s="19" t="s">
        <v>44</v>
      </c>
      <c r="E40" s="19" t="s">
        <v>45</v>
      </c>
      <c r="F40" s="19" t="s">
        <v>34</v>
      </c>
      <c r="G40" s="20">
        <v>3333.0</v>
      </c>
      <c r="H40" s="19" t="s">
        <v>35</v>
      </c>
      <c r="I40" s="19" t="s">
        <v>36</v>
      </c>
      <c r="J40" s="13">
        <f>VLOOKUP(C40&amp;I40&amp;E40,Orig_Dest!$A$2:$E$1876,5,FALSE)</f>
        <v>0</v>
      </c>
      <c r="K40" s="14" t="str">
        <f t="shared" si="1"/>
        <v>Dia 6</v>
      </c>
      <c r="L40" s="21" t="str">
        <f>IF(B40="Fornecedor",IF(VLOOKUP(C40,Base_Dados!$E$1:$F$7,2,FALSE)=F40," ","Fornecedor inválido!")," ")</f>
        <v> </v>
      </c>
      <c r="M40" s="22" t="str">
        <f>IF(AND(LEFT(F40,2)="MP",H40&lt;&gt;Base_Dados!$A$1),"Impossível!!!"," ")</f>
        <v> </v>
      </c>
      <c r="N40" s="21" t="str">
        <f>IF(E40="Avião",IF($G40&lt;=VLOOKUP($F40,Base_Dados!$K$1:$O$7,3,FALSE)," ","Limite "&amp;VLOOKUP($F40,Base_Dados!$K$1:$O$11,3,FALSE)&amp;" "&amp;VLOOKUP($F40,Base_Dados!$K$1:$O$11,2,FALSE))," ")</f>
        <v> </v>
      </c>
      <c r="O40" s="21" t="str">
        <f>IF(E40="Caminhão",IF($G40&lt;=VLOOKUP($F40,Base_Dados!$K$1:$O$7,4,FALSE)," ","Limite "&amp;VLOOKUP($F40,Base_Dados!$K$1:$O$11,4,FALSE)&amp;" "&amp;VLOOKUP($F40,Base_Dados!$K$1:$O$11,2,FALSE))," ")</f>
        <v> </v>
      </c>
      <c r="P40" s="21" t="str">
        <f>IF(E40="Navio",IF($G40&lt;=VLOOKUP($F40,Base_Dados!$K$1:$O$7,5,FALSE)," ","Limite "&amp;VLOOKUP($F40,Base_Dados!$K$1:$O$11,5,FALSE)&amp;" "&amp;VLOOKUP($F40,Base_Dados!$K$1:$O$11,2,FALSE))," ")</f>
        <v> </v>
      </c>
      <c r="Q40" s="21" t="str">
        <f t="shared" si="2"/>
        <v/>
      </c>
      <c r="R40" s="1"/>
      <c r="S40" s="29"/>
      <c r="T40" s="1"/>
      <c r="U40" s="1"/>
      <c r="V40" s="29"/>
      <c r="W40" s="1"/>
      <c r="X40" s="1"/>
      <c r="Y40" s="1"/>
      <c r="Z40" s="1"/>
    </row>
    <row r="41" ht="24.0" customHeight="1">
      <c r="A41" s="18" t="s">
        <v>43</v>
      </c>
      <c r="B41" s="18" t="s">
        <v>27</v>
      </c>
      <c r="C41" s="19" t="s">
        <v>28</v>
      </c>
      <c r="D41" s="19" t="s">
        <v>44</v>
      </c>
      <c r="E41" s="19" t="s">
        <v>45</v>
      </c>
      <c r="F41" s="19" t="s">
        <v>34</v>
      </c>
      <c r="G41" s="20">
        <v>3333.0</v>
      </c>
      <c r="H41" s="19" t="s">
        <v>35</v>
      </c>
      <c r="I41" s="19" t="s">
        <v>36</v>
      </c>
      <c r="J41" s="13">
        <f>VLOOKUP(C41&amp;I41&amp;E41,Orig_Dest!$A$2:$E$1876,5,FALSE)</f>
        <v>0</v>
      </c>
      <c r="K41" s="14" t="str">
        <f t="shared" si="1"/>
        <v>Dia 6</v>
      </c>
      <c r="L41" s="21" t="str">
        <f>IF(B41="Fornecedor",IF(VLOOKUP(C41,Base_Dados!$E$1:$F$7,2,FALSE)=F41," ","Fornecedor inválido!")," ")</f>
        <v> </v>
      </c>
      <c r="M41" s="22" t="str">
        <f>IF(AND(LEFT(F41,2)="MP",H41&lt;&gt;Base_Dados!$A$1),"Impossível!!!"," ")</f>
        <v> </v>
      </c>
      <c r="N41" s="21" t="str">
        <f>IF(E41="Avião",IF($G41&lt;=VLOOKUP($F41,Base_Dados!$K$1:$O$7,3,FALSE)," ","Limite "&amp;VLOOKUP($F41,Base_Dados!$K$1:$O$11,3,FALSE)&amp;" "&amp;VLOOKUP($F41,Base_Dados!$K$1:$O$11,2,FALSE))," ")</f>
        <v> </v>
      </c>
      <c r="O41" s="21" t="str">
        <f>IF(E41="Caminhão",IF($G41&lt;=VLOOKUP($F41,Base_Dados!$K$1:$O$7,4,FALSE)," ","Limite "&amp;VLOOKUP($F41,Base_Dados!$K$1:$O$11,4,FALSE)&amp;" "&amp;VLOOKUP($F41,Base_Dados!$K$1:$O$11,2,FALSE))," ")</f>
        <v> </v>
      </c>
      <c r="P41" s="21" t="str">
        <f>IF(E41="Navio",IF($G41&lt;=VLOOKUP($F41,Base_Dados!$K$1:$O$7,5,FALSE)," ","Limite "&amp;VLOOKUP($F41,Base_Dados!$K$1:$O$11,5,FALSE)&amp;" "&amp;VLOOKUP($F41,Base_Dados!$K$1:$O$11,2,FALSE))," ")</f>
        <v> </v>
      </c>
      <c r="Q41" s="21" t="str">
        <f t="shared" si="2"/>
        <v/>
      </c>
      <c r="R41" s="1"/>
      <c r="S41" s="29"/>
      <c r="T41" s="1"/>
      <c r="U41" s="1"/>
      <c r="V41" s="29"/>
      <c r="W41" s="1"/>
      <c r="X41" s="1"/>
      <c r="Y41" s="1"/>
      <c r="Z41" s="1"/>
    </row>
    <row r="42" ht="24.0" customHeight="1">
      <c r="A42" s="18" t="s">
        <v>43</v>
      </c>
      <c r="B42" s="18" t="s">
        <v>27</v>
      </c>
      <c r="C42" s="19" t="s">
        <v>28</v>
      </c>
      <c r="D42" s="19" t="s">
        <v>44</v>
      </c>
      <c r="E42" s="19" t="s">
        <v>45</v>
      </c>
      <c r="F42" s="19" t="s">
        <v>34</v>
      </c>
      <c r="G42" s="20">
        <v>3333.0</v>
      </c>
      <c r="H42" s="19" t="s">
        <v>35</v>
      </c>
      <c r="I42" s="19" t="s">
        <v>36</v>
      </c>
      <c r="J42" s="13">
        <f>VLOOKUP(C42&amp;I42&amp;E42,Orig_Dest!$A$2:$E$1876,5,FALSE)</f>
        <v>0</v>
      </c>
      <c r="K42" s="14" t="str">
        <f t="shared" si="1"/>
        <v>Dia 6</v>
      </c>
      <c r="L42" s="21" t="str">
        <f>IF(B42="Fornecedor",IF(VLOOKUP(C42,Base_Dados!$E$1:$F$7,2,FALSE)=F42," ","Fornecedor inválido!")," ")</f>
        <v> </v>
      </c>
      <c r="M42" s="22" t="str">
        <f>IF(AND(LEFT(F42,2)="MP",H42&lt;&gt;Base_Dados!$A$1),"Impossível!!!"," ")</f>
        <v> </v>
      </c>
      <c r="N42" s="21" t="str">
        <f>IF(E42="Avião",IF($G42&lt;=VLOOKUP($F42,Base_Dados!$K$1:$O$7,3,FALSE)," ","Limite "&amp;VLOOKUP($F42,Base_Dados!$K$1:$O$11,3,FALSE)&amp;" "&amp;VLOOKUP($F42,Base_Dados!$K$1:$O$11,2,FALSE))," ")</f>
        <v> </v>
      </c>
      <c r="O42" s="21" t="str">
        <f>IF(E42="Caminhão",IF($G42&lt;=VLOOKUP($F42,Base_Dados!$K$1:$O$7,4,FALSE)," ","Limite "&amp;VLOOKUP($F42,Base_Dados!$K$1:$O$11,4,FALSE)&amp;" "&amp;VLOOKUP($F42,Base_Dados!$K$1:$O$11,2,FALSE))," ")</f>
        <v> </v>
      </c>
      <c r="P42" s="21" t="str">
        <f>IF(E42="Navio",IF($G42&lt;=VLOOKUP($F42,Base_Dados!$K$1:$O$7,5,FALSE)," ","Limite "&amp;VLOOKUP($F42,Base_Dados!$K$1:$O$11,5,FALSE)&amp;" "&amp;VLOOKUP($F42,Base_Dados!$K$1:$O$11,2,FALSE))," ")</f>
        <v> </v>
      </c>
      <c r="Q42" s="21" t="str">
        <f t="shared" si="2"/>
        <v/>
      </c>
      <c r="R42" s="1"/>
      <c r="S42" s="29"/>
      <c r="T42" s="1"/>
      <c r="U42" s="1"/>
      <c r="V42" s="29"/>
      <c r="W42" s="1"/>
      <c r="X42" s="1"/>
      <c r="Y42" s="1"/>
      <c r="Z42" s="1"/>
    </row>
    <row r="43" ht="24.0" customHeight="1">
      <c r="A43" s="18" t="s">
        <v>43</v>
      </c>
      <c r="B43" s="18" t="s">
        <v>27</v>
      </c>
      <c r="C43" s="19" t="s">
        <v>28</v>
      </c>
      <c r="D43" s="19" t="s">
        <v>44</v>
      </c>
      <c r="E43" s="19" t="s">
        <v>45</v>
      </c>
      <c r="F43" s="19" t="s">
        <v>34</v>
      </c>
      <c r="G43" s="20">
        <v>3333.0</v>
      </c>
      <c r="H43" s="19" t="s">
        <v>35</v>
      </c>
      <c r="I43" s="19" t="s">
        <v>36</v>
      </c>
      <c r="J43" s="13">
        <f>VLOOKUP(C43&amp;I43&amp;E43,Orig_Dest!$A$2:$E$1876,5,FALSE)</f>
        <v>0</v>
      </c>
      <c r="K43" s="14" t="str">
        <f t="shared" si="1"/>
        <v>Dia 6</v>
      </c>
      <c r="L43" s="21" t="str">
        <f>IF(B43="Fornecedor",IF(VLOOKUP(C43,Base_Dados!$E$1:$F$7,2,FALSE)=F43," ","Fornecedor inválido!")," ")</f>
        <v> </v>
      </c>
      <c r="M43" s="22" t="str">
        <f>IF(AND(LEFT(F43,2)="MP",H43&lt;&gt;Base_Dados!$A$1),"Impossível!!!"," ")</f>
        <v> </v>
      </c>
      <c r="N43" s="21" t="str">
        <f>IF(E43="Avião",IF($G43&lt;=VLOOKUP($F43,Base_Dados!$K$1:$O$7,3,FALSE)," ","Limite "&amp;VLOOKUP($F43,Base_Dados!$K$1:$O$11,3,FALSE)&amp;" "&amp;VLOOKUP($F43,Base_Dados!$K$1:$O$11,2,FALSE))," ")</f>
        <v> </v>
      </c>
      <c r="O43" s="21" t="str">
        <f>IF(E43="Caminhão",IF($G43&lt;=VLOOKUP($F43,Base_Dados!$K$1:$O$7,4,FALSE)," ","Limite "&amp;VLOOKUP($F43,Base_Dados!$K$1:$O$11,4,FALSE)&amp;" "&amp;VLOOKUP($F43,Base_Dados!$K$1:$O$11,2,FALSE))," ")</f>
        <v> </v>
      </c>
      <c r="P43" s="21" t="str">
        <f>IF(E43="Navio",IF($G43&lt;=VLOOKUP($F43,Base_Dados!$K$1:$O$7,5,FALSE)," ","Limite "&amp;VLOOKUP($F43,Base_Dados!$K$1:$O$11,5,FALSE)&amp;" "&amp;VLOOKUP($F43,Base_Dados!$K$1:$O$11,2,FALSE))," ")</f>
        <v> </v>
      </c>
      <c r="Q43" s="21" t="str">
        <f t="shared" si="2"/>
        <v/>
      </c>
      <c r="R43" s="1"/>
      <c r="S43" s="29"/>
      <c r="T43" s="1"/>
      <c r="U43" s="1"/>
      <c r="V43" s="29"/>
      <c r="W43" s="1"/>
      <c r="X43" s="1"/>
      <c r="Y43" s="1"/>
      <c r="Z43" s="1"/>
    </row>
    <row r="44" ht="24.0" customHeight="1">
      <c r="A44" s="18" t="s">
        <v>43</v>
      </c>
      <c r="B44" s="18" t="s">
        <v>27</v>
      </c>
      <c r="C44" s="19" t="s">
        <v>28</v>
      </c>
      <c r="D44" s="19" t="s">
        <v>44</v>
      </c>
      <c r="E44" s="19" t="s">
        <v>45</v>
      </c>
      <c r="F44" s="19" t="s">
        <v>34</v>
      </c>
      <c r="G44" s="20">
        <v>3333.0</v>
      </c>
      <c r="H44" s="19" t="s">
        <v>35</v>
      </c>
      <c r="I44" s="19" t="s">
        <v>36</v>
      </c>
      <c r="J44" s="13">
        <f>VLOOKUP(C44&amp;I44&amp;E44,Orig_Dest!$A$2:$E$1876,5,FALSE)</f>
        <v>0</v>
      </c>
      <c r="K44" s="14" t="str">
        <f t="shared" si="1"/>
        <v>Dia 6</v>
      </c>
      <c r="L44" s="21" t="str">
        <f>IF(B44="Fornecedor",IF(VLOOKUP(C44,Base_Dados!$E$1:$F$7,2,FALSE)=F44," ","Fornecedor inválido!")," ")</f>
        <v> </v>
      </c>
      <c r="M44" s="22" t="str">
        <f>IF(AND(LEFT(F44,2)="MP",H44&lt;&gt;Base_Dados!$A$1),"Impossível!!!"," ")</f>
        <v> </v>
      </c>
      <c r="N44" s="21" t="str">
        <f>IF(E44="Avião",IF($G44&lt;=VLOOKUP($F44,Base_Dados!$K$1:$O$7,3,FALSE)," ","Limite "&amp;VLOOKUP($F44,Base_Dados!$K$1:$O$11,3,FALSE)&amp;" "&amp;VLOOKUP($F44,Base_Dados!$K$1:$O$11,2,FALSE))," ")</f>
        <v> </v>
      </c>
      <c r="O44" s="21" t="str">
        <f>IF(E44="Caminhão",IF($G44&lt;=VLOOKUP($F44,Base_Dados!$K$1:$O$7,4,FALSE)," ","Limite "&amp;VLOOKUP($F44,Base_Dados!$K$1:$O$11,4,FALSE)&amp;" "&amp;VLOOKUP($F44,Base_Dados!$K$1:$O$11,2,FALSE))," ")</f>
        <v> </v>
      </c>
      <c r="P44" s="21" t="str">
        <f>IF(E44="Navio",IF($G44&lt;=VLOOKUP($F44,Base_Dados!$K$1:$O$7,5,FALSE)," ","Limite "&amp;VLOOKUP($F44,Base_Dados!$K$1:$O$11,5,FALSE)&amp;" "&amp;VLOOKUP($F44,Base_Dados!$K$1:$O$11,2,FALSE))," ")</f>
        <v> </v>
      </c>
      <c r="Q44" s="21" t="str">
        <f t="shared" si="2"/>
        <v/>
      </c>
      <c r="R44" s="1"/>
      <c r="S44" s="1"/>
      <c r="T44" s="1"/>
      <c r="U44" s="1"/>
      <c r="V44" s="29"/>
      <c r="W44" s="1"/>
      <c r="X44" s="1"/>
      <c r="Y44" s="1"/>
      <c r="Z44" s="1"/>
    </row>
    <row r="45" ht="24.0" customHeight="1">
      <c r="A45" s="18" t="s">
        <v>43</v>
      </c>
      <c r="B45" s="18" t="s">
        <v>27</v>
      </c>
      <c r="C45" s="19" t="s">
        <v>28</v>
      </c>
      <c r="D45" s="19" t="s">
        <v>44</v>
      </c>
      <c r="E45" s="19" t="s">
        <v>45</v>
      </c>
      <c r="F45" s="19" t="s">
        <v>34</v>
      </c>
      <c r="G45" s="20">
        <v>3333.0</v>
      </c>
      <c r="H45" s="19" t="s">
        <v>35</v>
      </c>
      <c r="I45" s="19" t="s">
        <v>36</v>
      </c>
      <c r="J45" s="13">
        <f>VLOOKUP(C45&amp;I45&amp;E45,Orig_Dest!$A$2:$E$1876,5,FALSE)</f>
        <v>0</v>
      </c>
      <c r="K45" s="14" t="str">
        <f t="shared" si="1"/>
        <v>Dia 6</v>
      </c>
      <c r="L45" s="21" t="str">
        <f>IF(B45="Fornecedor",IF(VLOOKUP(C45,Base_Dados!$E$1:$F$7,2,FALSE)=F45," ","Fornecedor inválido!")," ")</f>
        <v> </v>
      </c>
      <c r="M45" s="22" t="str">
        <f>IF(AND(LEFT(F45,2)="MP",H45&lt;&gt;Base_Dados!$A$1),"Impossível!!!"," ")</f>
        <v> </v>
      </c>
      <c r="N45" s="21" t="str">
        <f>IF(E45="Avião",IF($G45&lt;=VLOOKUP($F45,Base_Dados!$K$1:$O$7,3,FALSE)," ","Limite "&amp;VLOOKUP($F45,Base_Dados!$K$1:$O$11,3,FALSE)&amp;" "&amp;VLOOKUP($F45,Base_Dados!$K$1:$O$11,2,FALSE))," ")</f>
        <v> </v>
      </c>
      <c r="O45" s="21" t="str">
        <f>IF(E45="Caminhão",IF($G45&lt;=VLOOKUP($F45,Base_Dados!$K$1:$O$7,4,FALSE)," ","Limite "&amp;VLOOKUP($F45,Base_Dados!$K$1:$O$11,4,FALSE)&amp;" "&amp;VLOOKUP($F45,Base_Dados!$K$1:$O$11,2,FALSE))," ")</f>
        <v> </v>
      </c>
      <c r="P45" s="21" t="str">
        <f>IF(E45="Navio",IF($G45&lt;=VLOOKUP($F45,Base_Dados!$K$1:$O$7,5,FALSE)," ","Limite "&amp;VLOOKUP($F45,Base_Dados!$K$1:$O$11,5,FALSE)&amp;" "&amp;VLOOKUP($F45,Base_Dados!$K$1:$O$11,2,FALSE))," ")</f>
        <v> </v>
      </c>
      <c r="Q45" s="21" t="str">
        <f t="shared" si="2"/>
        <v/>
      </c>
      <c r="R45" s="1"/>
      <c r="S45" s="1"/>
      <c r="T45" s="1"/>
      <c r="U45" s="1"/>
      <c r="V45" s="29"/>
      <c r="W45" s="1"/>
      <c r="X45" s="1"/>
      <c r="Y45" s="1"/>
      <c r="Z45" s="1"/>
    </row>
    <row r="46" ht="24.0" customHeight="1">
      <c r="A46" s="18" t="s">
        <v>43</v>
      </c>
      <c r="B46" s="18" t="s">
        <v>27</v>
      </c>
      <c r="C46" s="19" t="s">
        <v>28</v>
      </c>
      <c r="D46" s="19" t="s">
        <v>44</v>
      </c>
      <c r="E46" s="19" t="s">
        <v>45</v>
      </c>
      <c r="F46" s="19" t="s">
        <v>34</v>
      </c>
      <c r="G46" s="20">
        <v>3333.0</v>
      </c>
      <c r="H46" s="19" t="s">
        <v>35</v>
      </c>
      <c r="I46" s="19" t="s">
        <v>36</v>
      </c>
      <c r="J46" s="13">
        <f>VLOOKUP(C46&amp;I46&amp;E46,Orig_Dest!$A$2:$E$1876,5,FALSE)</f>
        <v>0</v>
      </c>
      <c r="K46" s="14" t="str">
        <f t="shared" si="1"/>
        <v>Dia 6</v>
      </c>
      <c r="L46" s="21" t="str">
        <f>IF(B46="Fornecedor",IF(VLOOKUP(C46,Base_Dados!$E$1:$F$7,2,FALSE)=F46," ","Fornecedor inválido!")," ")</f>
        <v> </v>
      </c>
      <c r="M46" s="22" t="str">
        <f>IF(AND(LEFT(F46,2)="MP",H46&lt;&gt;Base_Dados!$A$1),"Impossível!!!"," ")</f>
        <v> </v>
      </c>
      <c r="N46" s="21" t="str">
        <f>IF(E46="Avião",IF($G46&lt;=VLOOKUP($F46,Base_Dados!$K$1:$O$7,3,FALSE)," ","Limite "&amp;VLOOKUP($F46,Base_Dados!$K$1:$O$11,3,FALSE)&amp;" "&amp;VLOOKUP($F46,Base_Dados!$K$1:$O$11,2,FALSE))," ")</f>
        <v> </v>
      </c>
      <c r="O46" s="21" t="str">
        <f>IF(E46="Caminhão",IF($G46&lt;=VLOOKUP($F46,Base_Dados!$K$1:$O$7,4,FALSE)," ","Limite "&amp;VLOOKUP($F46,Base_Dados!$K$1:$O$11,4,FALSE)&amp;" "&amp;VLOOKUP($F46,Base_Dados!$K$1:$O$11,2,FALSE))," ")</f>
        <v> </v>
      </c>
      <c r="P46" s="21" t="str">
        <f>IF(E46="Navio",IF($G46&lt;=VLOOKUP($F46,Base_Dados!$K$1:$O$7,5,FALSE)," ","Limite "&amp;VLOOKUP($F46,Base_Dados!$K$1:$O$11,5,FALSE)&amp;" "&amp;VLOOKUP($F46,Base_Dados!$K$1:$O$11,2,FALSE))," ")</f>
        <v> </v>
      </c>
      <c r="Q46" s="21" t="str">
        <f t="shared" si="2"/>
        <v/>
      </c>
      <c r="R46" s="1"/>
      <c r="S46" s="1"/>
      <c r="T46" s="1"/>
      <c r="U46" s="1"/>
      <c r="V46" s="29"/>
      <c r="W46" s="1"/>
      <c r="X46" s="1"/>
      <c r="Y46" s="1"/>
      <c r="Z46" s="1"/>
    </row>
    <row r="47" ht="24.0" customHeight="1">
      <c r="A47" s="18" t="s">
        <v>43</v>
      </c>
      <c r="B47" s="18" t="s">
        <v>27</v>
      </c>
      <c r="C47" s="19" t="s">
        <v>28</v>
      </c>
      <c r="D47" s="19" t="s">
        <v>44</v>
      </c>
      <c r="E47" s="19" t="s">
        <v>45</v>
      </c>
      <c r="F47" s="19" t="s">
        <v>34</v>
      </c>
      <c r="G47" s="20">
        <v>3333.0</v>
      </c>
      <c r="H47" s="19" t="s">
        <v>35</v>
      </c>
      <c r="I47" s="19" t="s">
        <v>36</v>
      </c>
      <c r="J47" s="13">
        <f>VLOOKUP(C47&amp;I47&amp;E47,Orig_Dest!$A$2:$E$1876,5,FALSE)</f>
        <v>0</v>
      </c>
      <c r="K47" s="14" t="str">
        <f t="shared" si="1"/>
        <v>Dia 6</v>
      </c>
      <c r="L47" s="21" t="str">
        <f>IF(B47="Fornecedor",IF(VLOOKUP(C47,Base_Dados!$E$1:$F$7,2,FALSE)=F47," ","Fornecedor inválido!")," ")</f>
        <v> </v>
      </c>
      <c r="M47" s="22" t="str">
        <f>IF(AND(LEFT(F47,2)="MP",H47&lt;&gt;Base_Dados!$A$1),"Impossível!!!"," ")</f>
        <v> </v>
      </c>
      <c r="N47" s="21" t="str">
        <f>IF(E47="Avião",IF($G47&lt;=VLOOKUP($F47,Base_Dados!$K$1:$O$7,3,FALSE)," ","Limite "&amp;VLOOKUP($F47,Base_Dados!$K$1:$O$11,3,FALSE)&amp;" "&amp;VLOOKUP($F47,Base_Dados!$K$1:$O$11,2,FALSE))," ")</f>
        <v> </v>
      </c>
      <c r="O47" s="21" t="str">
        <f>IF(E47="Caminhão",IF($G47&lt;=VLOOKUP($F47,Base_Dados!$K$1:$O$7,4,FALSE)," ","Limite "&amp;VLOOKUP($F47,Base_Dados!$K$1:$O$11,4,FALSE)&amp;" "&amp;VLOOKUP($F47,Base_Dados!$K$1:$O$11,2,FALSE))," ")</f>
        <v> </v>
      </c>
      <c r="P47" s="21" t="str">
        <f>IF(E47="Navio",IF($G47&lt;=VLOOKUP($F47,Base_Dados!$K$1:$O$7,5,FALSE)," ","Limite "&amp;VLOOKUP($F47,Base_Dados!$K$1:$O$11,5,FALSE)&amp;" "&amp;VLOOKUP($F47,Base_Dados!$K$1:$O$11,2,FALSE))," ")</f>
        <v> </v>
      </c>
      <c r="Q47" s="21" t="str">
        <f t="shared" si="2"/>
        <v/>
      </c>
      <c r="R47" s="1"/>
      <c r="S47" s="1"/>
      <c r="T47" s="1"/>
      <c r="U47" s="1"/>
      <c r="V47" s="29"/>
      <c r="W47" s="1"/>
      <c r="X47" s="1"/>
      <c r="Y47" s="1"/>
      <c r="Z47" s="1"/>
    </row>
    <row r="48" ht="24.0" customHeight="1">
      <c r="A48" s="18" t="s">
        <v>43</v>
      </c>
      <c r="B48" s="18" t="s">
        <v>27</v>
      </c>
      <c r="C48" s="19" t="s">
        <v>28</v>
      </c>
      <c r="D48" s="19" t="s">
        <v>44</v>
      </c>
      <c r="E48" s="19" t="s">
        <v>45</v>
      </c>
      <c r="F48" s="19" t="s">
        <v>34</v>
      </c>
      <c r="G48" s="20">
        <v>3333.0</v>
      </c>
      <c r="H48" s="19" t="s">
        <v>35</v>
      </c>
      <c r="I48" s="19" t="s">
        <v>36</v>
      </c>
      <c r="J48" s="13">
        <f>VLOOKUP(C48&amp;I48&amp;E48,Orig_Dest!$A$2:$E$1876,5,FALSE)</f>
        <v>0</v>
      </c>
      <c r="K48" s="14" t="str">
        <f t="shared" si="1"/>
        <v>Dia 6</v>
      </c>
      <c r="L48" s="21" t="str">
        <f>IF(B48="Fornecedor",IF(VLOOKUP(C48,Base_Dados!$E$1:$F$7,2,FALSE)=F48," ","Fornecedor inválido!")," ")</f>
        <v> </v>
      </c>
      <c r="M48" s="22" t="str">
        <f>IF(AND(LEFT(F48,2)="MP",H48&lt;&gt;Base_Dados!$A$1),"Impossível!!!"," ")</f>
        <v> </v>
      </c>
      <c r="N48" s="21" t="str">
        <f>IF(E48="Avião",IF($G48&lt;=VLOOKUP($F48,Base_Dados!$K$1:$O$7,3,FALSE)," ","Limite "&amp;VLOOKUP($F48,Base_Dados!$K$1:$O$11,3,FALSE)&amp;" "&amp;VLOOKUP($F48,Base_Dados!$K$1:$O$11,2,FALSE))," ")</f>
        <v> </v>
      </c>
      <c r="O48" s="21" t="str">
        <f>IF(E48="Caminhão",IF($G48&lt;=VLOOKUP($F48,Base_Dados!$K$1:$O$7,4,FALSE)," ","Limite "&amp;VLOOKUP($F48,Base_Dados!$K$1:$O$11,4,FALSE)&amp;" "&amp;VLOOKUP($F48,Base_Dados!$K$1:$O$11,2,FALSE))," ")</f>
        <v> </v>
      </c>
      <c r="P48" s="21" t="str">
        <f>IF(E48="Navio",IF($G48&lt;=VLOOKUP($F48,Base_Dados!$K$1:$O$7,5,FALSE)," ","Limite "&amp;VLOOKUP($F48,Base_Dados!$K$1:$O$11,5,FALSE)&amp;" "&amp;VLOOKUP($F48,Base_Dados!$K$1:$O$11,2,FALSE))," ")</f>
        <v> </v>
      </c>
      <c r="Q48" s="21" t="str">
        <f t="shared" si="2"/>
        <v/>
      </c>
      <c r="R48" s="1"/>
      <c r="S48" s="1"/>
      <c r="T48" s="1"/>
      <c r="U48" s="1"/>
      <c r="V48" s="29"/>
      <c r="W48" s="1"/>
      <c r="X48" s="1"/>
      <c r="Y48" s="1"/>
      <c r="Z48" s="1"/>
    </row>
    <row r="49" ht="24.0" customHeight="1">
      <c r="A49" s="18" t="s">
        <v>43</v>
      </c>
      <c r="B49" s="18" t="s">
        <v>27</v>
      </c>
      <c r="C49" s="19" t="s">
        <v>28</v>
      </c>
      <c r="D49" s="19" t="s">
        <v>44</v>
      </c>
      <c r="E49" s="19" t="s">
        <v>45</v>
      </c>
      <c r="F49" s="19" t="s">
        <v>34</v>
      </c>
      <c r="G49" s="20">
        <v>3333.0</v>
      </c>
      <c r="H49" s="19" t="s">
        <v>35</v>
      </c>
      <c r="I49" s="19" t="s">
        <v>36</v>
      </c>
      <c r="J49" s="13">
        <f>VLOOKUP(C49&amp;I49&amp;E49,Orig_Dest!$A$2:$E$1876,5,FALSE)</f>
        <v>0</v>
      </c>
      <c r="K49" s="14" t="str">
        <f t="shared" si="1"/>
        <v>Dia 6</v>
      </c>
      <c r="L49" s="21" t="str">
        <f>IF(B49="Fornecedor",IF(VLOOKUP(C49,Base_Dados!$E$1:$F$7,2,FALSE)=F49," ","Fornecedor inválido!")," ")</f>
        <v> </v>
      </c>
      <c r="M49" s="22" t="str">
        <f>IF(AND(LEFT(F49,2)="MP",H49&lt;&gt;Base_Dados!$A$1),"Impossível!!!"," ")</f>
        <v> </v>
      </c>
      <c r="N49" s="21" t="str">
        <f>IF(E49="Avião",IF($G49&lt;=VLOOKUP($F49,Base_Dados!$K$1:$O$7,3,FALSE)," ","Limite "&amp;VLOOKUP($F49,Base_Dados!$K$1:$O$11,3,FALSE)&amp;" "&amp;VLOOKUP($F49,Base_Dados!$K$1:$O$11,2,FALSE))," ")</f>
        <v> </v>
      </c>
      <c r="O49" s="21" t="str">
        <f>IF(E49="Caminhão",IF($G49&lt;=VLOOKUP($F49,Base_Dados!$K$1:$O$7,4,FALSE)," ","Limite "&amp;VLOOKUP($F49,Base_Dados!$K$1:$O$11,4,FALSE)&amp;" "&amp;VLOOKUP($F49,Base_Dados!$K$1:$O$11,2,FALSE))," ")</f>
        <v> </v>
      </c>
      <c r="P49" s="21" t="str">
        <f>IF(E49="Navio",IF($G49&lt;=VLOOKUP($F49,Base_Dados!$K$1:$O$7,5,FALSE)," ","Limite "&amp;VLOOKUP($F49,Base_Dados!$K$1:$O$11,5,FALSE)&amp;" "&amp;VLOOKUP($F49,Base_Dados!$K$1:$O$11,2,FALSE))," ")</f>
        <v> </v>
      </c>
      <c r="Q49" s="21" t="str">
        <f t="shared" si="2"/>
        <v/>
      </c>
      <c r="R49" s="1"/>
      <c r="S49" s="1"/>
      <c r="T49" s="1"/>
      <c r="U49" s="1"/>
      <c r="V49" s="29"/>
      <c r="W49" s="1"/>
      <c r="X49" s="1"/>
      <c r="Y49" s="1"/>
      <c r="Z49" s="1"/>
    </row>
    <row r="50" ht="24.0" customHeight="1">
      <c r="A50" s="18" t="s">
        <v>43</v>
      </c>
      <c r="B50" s="18" t="s">
        <v>27</v>
      </c>
      <c r="C50" s="19" t="s">
        <v>28</v>
      </c>
      <c r="D50" s="19" t="s">
        <v>44</v>
      </c>
      <c r="E50" s="19" t="s">
        <v>45</v>
      </c>
      <c r="F50" s="19" t="s">
        <v>34</v>
      </c>
      <c r="G50" s="20">
        <v>3333.0</v>
      </c>
      <c r="H50" s="19" t="s">
        <v>35</v>
      </c>
      <c r="I50" s="19" t="s">
        <v>36</v>
      </c>
      <c r="J50" s="13">
        <f>VLOOKUP(C50&amp;I50&amp;E50,Orig_Dest!$A$2:$E$1876,5,FALSE)</f>
        <v>0</v>
      </c>
      <c r="K50" s="14" t="str">
        <f t="shared" si="1"/>
        <v>Dia 6</v>
      </c>
      <c r="L50" s="21" t="str">
        <f>IF(B50="Fornecedor",IF(VLOOKUP(C50,Base_Dados!$E$1:$F$7,2,FALSE)=F50," ","Fornecedor inválido!")," ")</f>
        <v> </v>
      </c>
      <c r="M50" s="22" t="str">
        <f>IF(AND(LEFT(F50,2)="MP",H50&lt;&gt;Base_Dados!$A$1),"Impossível!!!"," ")</f>
        <v> </v>
      </c>
      <c r="N50" s="21" t="str">
        <f>IF(E50="Avião",IF($G50&lt;=VLOOKUP($F50,Base_Dados!$K$1:$O$7,3,FALSE)," ","Limite "&amp;VLOOKUP($F50,Base_Dados!$K$1:$O$11,3,FALSE)&amp;" "&amp;VLOOKUP($F50,Base_Dados!$K$1:$O$11,2,FALSE))," ")</f>
        <v> </v>
      </c>
      <c r="O50" s="21" t="str">
        <f>IF(E50="Caminhão",IF($G50&lt;=VLOOKUP($F50,Base_Dados!$K$1:$O$7,4,FALSE)," ","Limite "&amp;VLOOKUP($F50,Base_Dados!$K$1:$O$11,4,FALSE)&amp;" "&amp;VLOOKUP($F50,Base_Dados!$K$1:$O$11,2,FALSE))," ")</f>
        <v> </v>
      </c>
      <c r="P50" s="21" t="str">
        <f>IF(E50="Navio",IF($G50&lt;=VLOOKUP($F50,Base_Dados!$K$1:$O$7,5,FALSE)," ","Limite "&amp;VLOOKUP($F50,Base_Dados!$K$1:$O$11,5,FALSE)&amp;" "&amp;VLOOKUP($F50,Base_Dados!$K$1:$O$11,2,FALSE))," ")</f>
        <v> </v>
      </c>
      <c r="Q50" s="21" t="str">
        <f t="shared" si="2"/>
        <v/>
      </c>
      <c r="R50" s="1"/>
      <c r="S50" s="1"/>
      <c r="T50" s="1"/>
      <c r="U50" s="1"/>
      <c r="V50" s="29"/>
      <c r="W50" s="1"/>
      <c r="X50" s="1"/>
      <c r="Y50" s="1"/>
      <c r="Z50" s="1"/>
    </row>
    <row r="51" ht="24.0" customHeight="1">
      <c r="A51" s="18" t="s">
        <v>43</v>
      </c>
      <c r="B51" s="18" t="s">
        <v>27</v>
      </c>
      <c r="C51" s="19" t="s">
        <v>28</v>
      </c>
      <c r="D51" s="19" t="s">
        <v>44</v>
      </c>
      <c r="E51" s="19" t="s">
        <v>45</v>
      </c>
      <c r="F51" s="19" t="s">
        <v>34</v>
      </c>
      <c r="G51" s="20">
        <v>3333.0</v>
      </c>
      <c r="H51" s="19" t="s">
        <v>35</v>
      </c>
      <c r="I51" s="19" t="s">
        <v>36</v>
      </c>
      <c r="J51" s="13">
        <f>VLOOKUP(C51&amp;I51&amp;E51,Orig_Dest!$A$2:$E$1876,5,FALSE)</f>
        <v>0</v>
      </c>
      <c r="K51" s="14" t="str">
        <f t="shared" si="1"/>
        <v>Dia 6</v>
      </c>
      <c r="L51" s="21" t="str">
        <f>IF(B51="Fornecedor",IF(VLOOKUP(C51,Base_Dados!$E$1:$F$7,2,FALSE)=F51," ","Fornecedor inválido!")," ")</f>
        <v> </v>
      </c>
      <c r="M51" s="22" t="str">
        <f>IF(AND(LEFT(F51,2)="MP",H51&lt;&gt;Base_Dados!$A$1),"Impossível!!!"," ")</f>
        <v> </v>
      </c>
      <c r="N51" s="21" t="str">
        <f>IF(E51="Avião",IF($G51&lt;=VLOOKUP($F51,Base_Dados!$K$1:$O$7,3,FALSE)," ","Limite "&amp;VLOOKUP($F51,Base_Dados!$K$1:$O$11,3,FALSE)&amp;" "&amp;VLOOKUP($F51,Base_Dados!$K$1:$O$11,2,FALSE))," ")</f>
        <v> </v>
      </c>
      <c r="O51" s="21" t="str">
        <f>IF(E51="Caminhão",IF($G51&lt;=VLOOKUP($F51,Base_Dados!$K$1:$O$7,4,FALSE)," ","Limite "&amp;VLOOKUP($F51,Base_Dados!$K$1:$O$11,4,FALSE)&amp;" "&amp;VLOOKUP($F51,Base_Dados!$K$1:$O$11,2,FALSE))," ")</f>
        <v> </v>
      </c>
      <c r="P51" s="21" t="str">
        <f>IF(E51="Navio",IF($G51&lt;=VLOOKUP($F51,Base_Dados!$K$1:$O$7,5,FALSE)," ","Limite "&amp;VLOOKUP($F51,Base_Dados!$K$1:$O$11,5,FALSE)&amp;" "&amp;VLOOKUP($F51,Base_Dados!$K$1:$O$11,2,FALSE))," ")</f>
        <v> </v>
      </c>
      <c r="Q51" s="21" t="str">
        <f t="shared" si="2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ht="24.0" customHeight="1">
      <c r="A52" s="18" t="s">
        <v>43</v>
      </c>
      <c r="B52" s="18" t="s">
        <v>27</v>
      </c>
      <c r="C52" s="19" t="s">
        <v>28</v>
      </c>
      <c r="D52" s="19" t="s">
        <v>44</v>
      </c>
      <c r="E52" s="19" t="s">
        <v>45</v>
      </c>
      <c r="F52" s="19" t="s">
        <v>34</v>
      </c>
      <c r="G52" s="20">
        <v>3333.0</v>
      </c>
      <c r="H52" s="19" t="s">
        <v>35</v>
      </c>
      <c r="I52" s="19" t="s">
        <v>36</v>
      </c>
      <c r="J52" s="13">
        <f>VLOOKUP(C52&amp;I52&amp;E52,Orig_Dest!$A$2:$E$1876,5,FALSE)</f>
        <v>0</v>
      </c>
      <c r="K52" s="14" t="str">
        <f t="shared" si="1"/>
        <v>Dia 6</v>
      </c>
      <c r="L52" s="21" t="str">
        <f>IF(B52="Fornecedor",IF(VLOOKUP(C52,Base_Dados!$E$1:$F$7,2,FALSE)=F52," ","Fornecedor inválido!")," ")</f>
        <v> </v>
      </c>
      <c r="M52" s="22" t="str">
        <f>IF(AND(LEFT(F52,2)="MP",H52&lt;&gt;Base_Dados!$A$1),"Impossível!!!"," ")</f>
        <v> </v>
      </c>
      <c r="N52" s="21" t="str">
        <f>IF(E52="Avião",IF($G52&lt;=VLOOKUP($F52,Base_Dados!$K$1:$O$7,3,FALSE)," ","Limite "&amp;VLOOKUP($F52,Base_Dados!$K$1:$O$11,3,FALSE)&amp;" "&amp;VLOOKUP($F52,Base_Dados!$K$1:$O$11,2,FALSE))," ")</f>
        <v> </v>
      </c>
      <c r="O52" s="21" t="str">
        <f>IF(E52="Caminhão",IF($G52&lt;=VLOOKUP($F52,Base_Dados!$K$1:$O$7,4,FALSE)," ","Limite "&amp;VLOOKUP($F52,Base_Dados!$K$1:$O$11,4,FALSE)&amp;" "&amp;VLOOKUP($F52,Base_Dados!$K$1:$O$11,2,FALSE))," ")</f>
        <v> </v>
      </c>
      <c r="P52" s="21" t="str">
        <f>IF(E52="Navio",IF($G52&lt;=VLOOKUP($F52,Base_Dados!$K$1:$O$7,5,FALSE)," ","Limite "&amp;VLOOKUP($F52,Base_Dados!$K$1:$O$11,5,FALSE)&amp;" "&amp;VLOOKUP($F52,Base_Dados!$K$1:$O$11,2,FALSE))," ")</f>
        <v> </v>
      </c>
      <c r="Q52" s="21" t="str">
        <f t="shared" si="2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ht="24.0" customHeight="1">
      <c r="A53" s="18" t="s">
        <v>43</v>
      </c>
      <c r="B53" s="18" t="s">
        <v>27</v>
      </c>
      <c r="C53" s="19" t="s">
        <v>28</v>
      </c>
      <c r="D53" s="19" t="s">
        <v>44</v>
      </c>
      <c r="E53" s="19" t="s">
        <v>45</v>
      </c>
      <c r="F53" s="19" t="s">
        <v>34</v>
      </c>
      <c r="G53" s="20">
        <v>3333.0</v>
      </c>
      <c r="H53" s="19" t="s">
        <v>35</v>
      </c>
      <c r="I53" s="19" t="s">
        <v>36</v>
      </c>
      <c r="J53" s="13">
        <f>VLOOKUP(C53&amp;I53&amp;E53,Orig_Dest!$A$2:$E$1876,5,FALSE)</f>
        <v>0</v>
      </c>
      <c r="K53" s="14" t="str">
        <f t="shared" si="1"/>
        <v>Dia 6</v>
      </c>
      <c r="L53" s="21" t="str">
        <f>IF(B53="Fornecedor",IF(VLOOKUP(C53,Base_Dados!$E$1:$F$7,2,FALSE)=F53," ","Fornecedor inválido!")," ")</f>
        <v> </v>
      </c>
      <c r="M53" s="22" t="str">
        <f>IF(AND(LEFT(F53,2)="MP",H53&lt;&gt;Base_Dados!$A$1),"Impossível!!!"," ")</f>
        <v> </v>
      </c>
      <c r="N53" s="21" t="str">
        <f>IF(E53="Avião",IF($G53&lt;=VLOOKUP($F53,Base_Dados!$K$1:$O$7,3,FALSE)," ","Limite "&amp;VLOOKUP($F53,Base_Dados!$K$1:$O$11,3,FALSE)&amp;" "&amp;VLOOKUP($F53,Base_Dados!$K$1:$O$11,2,FALSE))," ")</f>
        <v> </v>
      </c>
      <c r="O53" s="21" t="str">
        <f>IF(E53="Caminhão",IF($G53&lt;=VLOOKUP($F53,Base_Dados!$K$1:$O$7,4,FALSE)," ","Limite "&amp;VLOOKUP($F53,Base_Dados!$K$1:$O$11,4,FALSE)&amp;" "&amp;VLOOKUP($F53,Base_Dados!$K$1:$O$11,2,FALSE))," ")</f>
        <v> </v>
      </c>
      <c r="P53" s="21" t="str">
        <f>IF(E53="Navio",IF($G53&lt;=VLOOKUP($F53,Base_Dados!$K$1:$O$7,5,FALSE)," ","Limite "&amp;VLOOKUP($F53,Base_Dados!$K$1:$O$11,5,FALSE)&amp;" "&amp;VLOOKUP($F53,Base_Dados!$K$1:$O$11,2,FALSE))," ")</f>
        <v> </v>
      </c>
      <c r="Q53" s="21" t="str">
        <f t="shared" si="2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ht="24.0" customHeight="1">
      <c r="A54" s="18" t="s">
        <v>43</v>
      </c>
      <c r="B54" s="18" t="s">
        <v>27</v>
      </c>
      <c r="C54" s="19" t="s">
        <v>28</v>
      </c>
      <c r="D54" s="19" t="s">
        <v>44</v>
      </c>
      <c r="E54" s="19" t="s">
        <v>45</v>
      </c>
      <c r="F54" s="19" t="s">
        <v>34</v>
      </c>
      <c r="G54" s="20">
        <v>3333.0</v>
      </c>
      <c r="H54" s="19" t="s">
        <v>35</v>
      </c>
      <c r="I54" s="19" t="s">
        <v>36</v>
      </c>
      <c r="J54" s="13">
        <f>VLOOKUP(C54&amp;I54&amp;E54,Orig_Dest!$A$2:$E$1876,5,FALSE)</f>
        <v>0</v>
      </c>
      <c r="K54" s="14" t="str">
        <f t="shared" si="1"/>
        <v>Dia 6</v>
      </c>
      <c r="L54" s="21" t="str">
        <f>IF(B54="Fornecedor",IF(VLOOKUP(C54,Base_Dados!$E$1:$F$7,2,FALSE)=F54," ","Fornecedor inválido!")," ")</f>
        <v> </v>
      </c>
      <c r="M54" s="22" t="str">
        <f>IF(AND(LEFT(F54,2)="MP",H54&lt;&gt;Base_Dados!$A$1),"Impossível!!!"," ")</f>
        <v> </v>
      </c>
      <c r="N54" s="21" t="str">
        <f>IF(E54="Avião",IF($G54&lt;=VLOOKUP($F54,Base_Dados!$K$1:$O$7,3,FALSE)," ","Limite "&amp;VLOOKUP($F54,Base_Dados!$K$1:$O$11,3,FALSE)&amp;" "&amp;VLOOKUP($F54,Base_Dados!$K$1:$O$11,2,FALSE))," ")</f>
        <v> </v>
      </c>
      <c r="O54" s="21" t="str">
        <f>IF(E54="Caminhão",IF($G54&lt;=VLOOKUP($F54,Base_Dados!$K$1:$O$7,4,FALSE)," ","Limite "&amp;VLOOKUP($F54,Base_Dados!$K$1:$O$11,4,FALSE)&amp;" "&amp;VLOOKUP($F54,Base_Dados!$K$1:$O$11,2,FALSE))," ")</f>
        <v> </v>
      </c>
      <c r="P54" s="21" t="str">
        <f>IF(E54="Navio",IF($G54&lt;=VLOOKUP($F54,Base_Dados!$K$1:$O$7,5,FALSE)," ","Limite "&amp;VLOOKUP($F54,Base_Dados!$K$1:$O$11,5,FALSE)&amp;" "&amp;VLOOKUP($F54,Base_Dados!$K$1:$O$11,2,FALSE))," ")</f>
        <v> </v>
      </c>
      <c r="Q54" s="21" t="str">
        <f t="shared" si="2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ht="24.0" customHeight="1">
      <c r="A55" s="18" t="s">
        <v>43</v>
      </c>
      <c r="B55" s="18" t="s">
        <v>27</v>
      </c>
      <c r="C55" s="19" t="s">
        <v>28</v>
      </c>
      <c r="D55" s="19" t="s">
        <v>44</v>
      </c>
      <c r="E55" s="19" t="s">
        <v>45</v>
      </c>
      <c r="F55" s="19" t="s">
        <v>34</v>
      </c>
      <c r="G55" s="20">
        <v>3333.0</v>
      </c>
      <c r="H55" s="19" t="s">
        <v>35</v>
      </c>
      <c r="I55" s="19" t="s">
        <v>36</v>
      </c>
      <c r="J55" s="13">
        <f>VLOOKUP(C55&amp;I55&amp;E55,Orig_Dest!$A$2:$E$1876,5,FALSE)</f>
        <v>0</v>
      </c>
      <c r="K55" s="14" t="str">
        <f t="shared" si="1"/>
        <v>Dia 6</v>
      </c>
      <c r="L55" s="21" t="str">
        <f>IF(B55="Fornecedor",IF(VLOOKUP(C55,Base_Dados!$E$1:$F$7,2,FALSE)=F55," ","Fornecedor inválido!")," ")</f>
        <v> </v>
      </c>
      <c r="M55" s="22" t="str">
        <f>IF(AND(LEFT(F55,2)="MP",H55&lt;&gt;Base_Dados!$A$1),"Impossível!!!"," ")</f>
        <v> </v>
      </c>
      <c r="N55" s="21" t="str">
        <f>IF(E55="Avião",IF($G55&lt;=VLOOKUP($F55,Base_Dados!$K$1:$O$7,3,FALSE)," ","Limite "&amp;VLOOKUP($F55,Base_Dados!$K$1:$O$11,3,FALSE)&amp;" "&amp;VLOOKUP($F55,Base_Dados!$K$1:$O$11,2,FALSE))," ")</f>
        <v> </v>
      </c>
      <c r="O55" s="21" t="str">
        <f>IF(E55="Caminhão",IF($G55&lt;=VLOOKUP($F55,Base_Dados!$K$1:$O$7,4,FALSE)," ","Limite "&amp;VLOOKUP($F55,Base_Dados!$K$1:$O$11,4,FALSE)&amp;" "&amp;VLOOKUP($F55,Base_Dados!$K$1:$O$11,2,FALSE))," ")</f>
        <v> </v>
      </c>
      <c r="P55" s="21" t="str">
        <f>IF(E55="Navio",IF($G55&lt;=VLOOKUP($F55,Base_Dados!$K$1:$O$7,5,FALSE)," ","Limite "&amp;VLOOKUP($F55,Base_Dados!$K$1:$O$11,5,FALSE)&amp;" "&amp;VLOOKUP($F55,Base_Dados!$K$1:$O$11,2,FALSE))," ")</f>
        <v> </v>
      </c>
      <c r="Q55" s="21" t="str">
        <f t="shared" si="2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ht="24.0" customHeight="1">
      <c r="A56" s="18" t="s">
        <v>43</v>
      </c>
      <c r="B56" s="18" t="s">
        <v>27</v>
      </c>
      <c r="C56" s="19" t="s">
        <v>28</v>
      </c>
      <c r="D56" s="19" t="s">
        <v>44</v>
      </c>
      <c r="E56" s="19" t="s">
        <v>45</v>
      </c>
      <c r="F56" s="19" t="s">
        <v>34</v>
      </c>
      <c r="G56" s="20">
        <v>3333.0</v>
      </c>
      <c r="H56" s="19" t="s">
        <v>35</v>
      </c>
      <c r="I56" s="19" t="s">
        <v>36</v>
      </c>
      <c r="J56" s="13">
        <f>VLOOKUP(C56&amp;I56&amp;E56,Orig_Dest!$A$2:$E$1876,5,FALSE)</f>
        <v>0</v>
      </c>
      <c r="K56" s="14" t="str">
        <f t="shared" si="1"/>
        <v>Dia 6</v>
      </c>
      <c r="L56" s="21" t="str">
        <f>IF(B56="Fornecedor",IF(VLOOKUP(C56,Base_Dados!$E$1:$F$7,2,FALSE)=F56," ","Fornecedor inválido!")," ")</f>
        <v> </v>
      </c>
      <c r="M56" s="22" t="str">
        <f>IF(AND(LEFT(F56,2)="MP",H56&lt;&gt;Base_Dados!$A$1),"Impossível!!!"," ")</f>
        <v> </v>
      </c>
      <c r="N56" s="21" t="str">
        <f>IF(E56="Avião",IF($G56&lt;=VLOOKUP($F56,Base_Dados!$K$1:$O$7,3,FALSE)," ","Limite "&amp;VLOOKUP($F56,Base_Dados!$K$1:$O$11,3,FALSE)&amp;" "&amp;VLOOKUP($F56,Base_Dados!$K$1:$O$11,2,FALSE))," ")</f>
        <v> </v>
      </c>
      <c r="O56" s="21" t="str">
        <f>IF(E56="Caminhão",IF($G56&lt;=VLOOKUP($F56,Base_Dados!$K$1:$O$7,4,FALSE)," ","Limite "&amp;VLOOKUP($F56,Base_Dados!$K$1:$O$11,4,FALSE)&amp;" "&amp;VLOOKUP($F56,Base_Dados!$K$1:$O$11,2,FALSE))," ")</f>
        <v> </v>
      </c>
      <c r="P56" s="21" t="str">
        <f>IF(E56="Navio",IF($G56&lt;=VLOOKUP($F56,Base_Dados!$K$1:$O$7,5,FALSE)," ","Limite "&amp;VLOOKUP($F56,Base_Dados!$K$1:$O$11,5,FALSE)&amp;" "&amp;VLOOKUP($F56,Base_Dados!$K$1:$O$11,2,FALSE))," ")</f>
        <v> </v>
      </c>
      <c r="Q56" s="21" t="str">
        <f t="shared" si="2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ht="24.0" customHeight="1">
      <c r="A57" s="18" t="s">
        <v>43</v>
      </c>
      <c r="B57" s="18" t="s">
        <v>27</v>
      </c>
      <c r="C57" s="19" t="s">
        <v>28</v>
      </c>
      <c r="D57" s="19" t="s">
        <v>44</v>
      </c>
      <c r="E57" s="19" t="s">
        <v>45</v>
      </c>
      <c r="F57" s="19" t="s">
        <v>34</v>
      </c>
      <c r="G57" s="20">
        <v>3333.0</v>
      </c>
      <c r="H57" s="19" t="s">
        <v>35</v>
      </c>
      <c r="I57" s="19" t="s">
        <v>36</v>
      </c>
      <c r="J57" s="13">
        <f>VLOOKUP(C57&amp;I57&amp;E57,Orig_Dest!$A$2:$E$1876,5,FALSE)</f>
        <v>0</v>
      </c>
      <c r="K57" s="14" t="str">
        <f t="shared" si="1"/>
        <v>Dia 6</v>
      </c>
      <c r="L57" s="21" t="str">
        <f>IF(B57="Fornecedor",IF(VLOOKUP(C57,Base_Dados!$E$1:$F$7,2,FALSE)=F57," ","Fornecedor inválido!")," ")</f>
        <v> </v>
      </c>
      <c r="M57" s="22" t="str">
        <f>IF(AND(LEFT(F57,2)="MP",H57&lt;&gt;Base_Dados!$A$1),"Impossível!!!"," ")</f>
        <v> </v>
      </c>
      <c r="N57" s="21" t="str">
        <f>IF(E57="Avião",IF($G57&lt;=VLOOKUP($F57,Base_Dados!$K$1:$O$7,3,FALSE)," ","Limite "&amp;VLOOKUP($F57,Base_Dados!$K$1:$O$11,3,FALSE)&amp;" "&amp;VLOOKUP($F57,Base_Dados!$K$1:$O$11,2,FALSE))," ")</f>
        <v> </v>
      </c>
      <c r="O57" s="21" t="str">
        <f>IF(E57="Caminhão",IF($G57&lt;=VLOOKUP($F57,Base_Dados!$K$1:$O$7,4,FALSE)," ","Limite "&amp;VLOOKUP($F57,Base_Dados!$K$1:$O$11,4,FALSE)&amp;" "&amp;VLOOKUP($F57,Base_Dados!$K$1:$O$11,2,FALSE))," ")</f>
        <v> </v>
      </c>
      <c r="P57" s="21" t="str">
        <f>IF(E57="Navio",IF($G57&lt;=VLOOKUP($F57,Base_Dados!$K$1:$O$7,5,FALSE)," ","Limite "&amp;VLOOKUP($F57,Base_Dados!$K$1:$O$11,5,FALSE)&amp;" "&amp;VLOOKUP($F57,Base_Dados!$K$1:$O$11,2,FALSE))," ")</f>
        <v> </v>
      </c>
      <c r="Q57" s="21" t="str">
        <f t="shared" si="2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ht="24.0" customHeight="1">
      <c r="A58" s="18" t="s">
        <v>43</v>
      </c>
      <c r="B58" s="18" t="s">
        <v>27</v>
      </c>
      <c r="C58" s="19" t="s">
        <v>28</v>
      </c>
      <c r="D58" s="19" t="s">
        <v>44</v>
      </c>
      <c r="E58" s="19" t="s">
        <v>45</v>
      </c>
      <c r="F58" s="19" t="s">
        <v>34</v>
      </c>
      <c r="G58" s="20">
        <v>3333.0</v>
      </c>
      <c r="H58" s="19" t="s">
        <v>35</v>
      </c>
      <c r="I58" s="19" t="s">
        <v>36</v>
      </c>
      <c r="J58" s="13">
        <f>VLOOKUP(C58&amp;I58&amp;E58,Orig_Dest!$A$2:$E$1876,5,FALSE)</f>
        <v>0</v>
      </c>
      <c r="K58" s="14" t="str">
        <f t="shared" si="1"/>
        <v>Dia 6</v>
      </c>
      <c r="L58" s="21" t="str">
        <f>IF(B58="Fornecedor",IF(VLOOKUP(C58,Base_Dados!$E$1:$F$7,2,FALSE)=F58," ","Fornecedor inválido!")," ")</f>
        <v> </v>
      </c>
      <c r="M58" s="22" t="str">
        <f>IF(AND(LEFT(F58,2)="MP",H58&lt;&gt;Base_Dados!$A$1),"Impossível!!!"," ")</f>
        <v> </v>
      </c>
      <c r="N58" s="21" t="str">
        <f>IF(E58="Avião",IF($G58&lt;=VLOOKUP($F58,Base_Dados!$K$1:$O$7,3,FALSE)," ","Limite "&amp;VLOOKUP($F58,Base_Dados!$K$1:$O$11,3,FALSE)&amp;" "&amp;VLOOKUP($F58,Base_Dados!$K$1:$O$11,2,FALSE))," ")</f>
        <v> </v>
      </c>
      <c r="O58" s="21" t="str">
        <f>IF(E58="Caminhão",IF($G58&lt;=VLOOKUP($F58,Base_Dados!$K$1:$O$7,4,FALSE)," ","Limite "&amp;VLOOKUP($F58,Base_Dados!$K$1:$O$11,4,FALSE)&amp;" "&amp;VLOOKUP($F58,Base_Dados!$K$1:$O$11,2,FALSE))," ")</f>
        <v> </v>
      </c>
      <c r="P58" s="21" t="str">
        <f>IF(E58="Navio",IF($G58&lt;=VLOOKUP($F58,Base_Dados!$K$1:$O$7,5,FALSE)," ","Limite "&amp;VLOOKUP($F58,Base_Dados!$K$1:$O$11,5,FALSE)&amp;" "&amp;VLOOKUP($F58,Base_Dados!$K$1:$O$11,2,FALSE))," ")</f>
        <v> </v>
      </c>
      <c r="Q58" s="21" t="str">
        <f t="shared" si="2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ht="24.0" customHeight="1">
      <c r="A59" s="18" t="s">
        <v>43</v>
      </c>
      <c r="B59" s="18" t="s">
        <v>27</v>
      </c>
      <c r="C59" s="19" t="s">
        <v>28</v>
      </c>
      <c r="D59" s="19" t="s">
        <v>44</v>
      </c>
      <c r="E59" s="19" t="s">
        <v>45</v>
      </c>
      <c r="F59" s="19" t="s">
        <v>34</v>
      </c>
      <c r="G59" s="20">
        <v>3333.0</v>
      </c>
      <c r="H59" s="19" t="s">
        <v>35</v>
      </c>
      <c r="I59" s="19" t="s">
        <v>36</v>
      </c>
      <c r="J59" s="13">
        <f>VLOOKUP(C59&amp;I59&amp;E59,Orig_Dest!$A$2:$E$1876,5,FALSE)</f>
        <v>0</v>
      </c>
      <c r="K59" s="14" t="str">
        <f t="shared" si="1"/>
        <v>Dia 6</v>
      </c>
      <c r="L59" s="21" t="str">
        <f>IF(B59="Fornecedor",IF(VLOOKUP(C59,Base_Dados!$E$1:$F$7,2,FALSE)=F59," ","Fornecedor inválido!")," ")</f>
        <v> </v>
      </c>
      <c r="M59" s="22" t="str">
        <f>IF(AND(LEFT(F59,2)="MP",H59&lt;&gt;Base_Dados!$A$1),"Impossível!!!"," ")</f>
        <v> </v>
      </c>
      <c r="N59" s="21" t="str">
        <f>IF(E59="Avião",IF($G59&lt;=VLOOKUP($F59,Base_Dados!$K$1:$O$7,3,FALSE)," ","Limite "&amp;VLOOKUP($F59,Base_Dados!$K$1:$O$11,3,FALSE)&amp;" "&amp;VLOOKUP($F59,Base_Dados!$K$1:$O$11,2,FALSE))," ")</f>
        <v> </v>
      </c>
      <c r="O59" s="21" t="str">
        <f>IF(E59="Caminhão",IF($G59&lt;=VLOOKUP($F59,Base_Dados!$K$1:$O$7,4,FALSE)," ","Limite "&amp;VLOOKUP($F59,Base_Dados!$K$1:$O$11,4,FALSE)&amp;" "&amp;VLOOKUP($F59,Base_Dados!$K$1:$O$11,2,FALSE))," ")</f>
        <v> </v>
      </c>
      <c r="P59" s="21" t="str">
        <f>IF(E59="Navio",IF($G59&lt;=VLOOKUP($F59,Base_Dados!$K$1:$O$7,5,FALSE)," ","Limite "&amp;VLOOKUP($F59,Base_Dados!$K$1:$O$11,5,FALSE)&amp;" "&amp;VLOOKUP($F59,Base_Dados!$K$1:$O$11,2,FALSE))," ")</f>
        <v> </v>
      </c>
      <c r="Q59" s="21" t="str">
        <f t="shared" si="2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ht="24.0" customHeight="1">
      <c r="A60" s="18" t="s">
        <v>43</v>
      </c>
      <c r="B60" s="18" t="s">
        <v>27</v>
      </c>
      <c r="C60" s="19" t="s">
        <v>28</v>
      </c>
      <c r="D60" s="19" t="s">
        <v>44</v>
      </c>
      <c r="E60" s="19" t="s">
        <v>45</v>
      </c>
      <c r="F60" s="19" t="s">
        <v>34</v>
      </c>
      <c r="G60" s="20">
        <v>3333.0</v>
      </c>
      <c r="H60" s="19" t="s">
        <v>35</v>
      </c>
      <c r="I60" s="19" t="s">
        <v>36</v>
      </c>
      <c r="J60" s="13">
        <f>VLOOKUP(C60&amp;I60&amp;E60,Orig_Dest!$A$2:$E$1876,5,FALSE)</f>
        <v>0</v>
      </c>
      <c r="K60" s="14" t="str">
        <f t="shared" si="1"/>
        <v>Dia 6</v>
      </c>
      <c r="L60" s="21" t="str">
        <f>IF(B60="Fornecedor",IF(VLOOKUP(C60,Base_Dados!$E$1:$F$7,2,FALSE)=F60," ","Fornecedor inválido!")," ")</f>
        <v> </v>
      </c>
      <c r="M60" s="22" t="str">
        <f>IF(AND(LEFT(F60,2)="MP",H60&lt;&gt;Base_Dados!$A$1),"Impossível!!!"," ")</f>
        <v> </v>
      </c>
      <c r="N60" s="21" t="str">
        <f>IF(E60="Avião",IF($G60&lt;=VLOOKUP($F60,Base_Dados!$K$1:$O$7,3,FALSE)," ","Limite "&amp;VLOOKUP($F60,Base_Dados!$K$1:$O$11,3,FALSE)&amp;" "&amp;VLOOKUP($F60,Base_Dados!$K$1:$O$11,2,FALSE))," ")</f>
        <v> </v>
      </c>
      <c r="O60" s="21" t="str">
        <f>IF(E60="Caminhão",IF($G60&lt;=VLOOKUP($F60,Base_Dados!$K$1:$O$7,4,FALSE)," ","Limite "&amp;VLOOKUP($F60,Base_Dados!$K$1:$O$11,4,FALSE)&amp;" "&amp;VLOOKUP($F60,Base_Dados!$K$1:$O$11,2,FALSE))," ")</f>
        <v> </v>
      </c>
      <c r="P60" s="21" t="str">
        <f>IF(E60="Navio",IF($G60&lt;=VLOOKUP($F60,Base_Dados!$K$1:$O$7,5,FALSE)," ","Limite "&amp;VLOOKUP($F60,Base_Dados!$K$1:$O$11,5,FALSE)&amp;" "&amp;VLOOKUP($F60,Base_Dados!$K$1:$O$11,2,FALSE))," ")</f>
        <v> </v>
      </c>
      <c r="Q60" s="21" t="str">
        <f t="shared" si="2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ht="24.0" customHeight="1">
      <c r="A61" s="18" t="s">
        <v>43</v>
      </c>
      <c r="B61" s="18" t="s">
        <v>27</v>
      </c>
      <c r="C61" s="19" t="s">
        <v>28</v>
      </c>
      <c r="D61" s="19" t="s">
        <v>44</v>
      </c>
      <c r="E61" s="19" t="s">
        <v>45</v>
      </c>
      <c r="F61" s="19" t="s">
        <v>34</v>
      </c>
      <c r="G61" s="20">
        <v>3333.0</v>
      </c>
      <c r="H61" s="19" t="s">
        <v>35</v>
      </c>
      <c r="I61" s="19" t="s">
        <v>36</v>
      </c>
      <c r="J61" s="13">
        <f>VLOOKUP(C61&amp;I61&amp;E61,Orig_Dest!$A$2:$E$1876,5,FALSE)</f>
        <v>0</v>
      </c>
      <c r="K61" s="14" t="str">
        <f t="shared" si="1"/>
        <v>Dia 6</v>
      </c>
      <c r="L61" s="21" t="str">
        <f>IF(B61="Fornecedor",IF(VLOOKUP(C61,Base_Dados!$E$1:$F$7,2,FALSE)=F61," ","Fornecedor inválido!")," ")</f>
        <v> </v>
      </c>
      <c r="M61" s="22" t="str">
        <f>IF(AND(LEFT(F61,2)="MP",H61&lt;&gt;Base_Dados!$A$1),"Impossível!!!"," ")</f>
        <v> </v>
      </c>
      <c r="N61" s="21" t="str">
        <f>IF(E61="Avião",IF($G61&lt;=VLOOKUP($F61,Base_Dados!$K$1:$O$7,3,FALSE)," ","Limite "&amp;VLOOKUP($F61,Base_Dados!$K$1:$O$11,3,FALSE)&amp;" "&amp;VLOOKUP($F61,Base_Dados!$K$1:$O$11,2,FALSE))," ")</f>
        <v> </v>
      </c>
      <c r="O61" s="21" t="str">
        <f>IF(E61="Caminhão",IF($G61&lt;=VLOOKUP($F61,Base_Dados!$K$1:$O$7,4,FALSE)," ","Limite "&amp;VLOOKUP($F61,Base_Dados!$K$1:$O$11,4,FALSE)&amp;" "&amp;VLOOKUP($F61,Base_Dados!$K$1:$O$11,2,FALSE))," ")</f>
        <v> </v>
      </c>
      <c r="P61" s="21" t="str">
        <f>IF(E61="Navio",IF($G61&lt;=VLOOKUP($F61,Base_Dados!$K$1:$O$7,5,FALSE)," ","Limite "&amp;VLOOKUP($F61,Base_Dados!$K$1:$O$11,5,FALSE)&amp;" "&amp;VLOOKUP($F61,Base_Dados!$K$1:$O$11,2,FALSE))," ")</f>
        <v> </v>
      </c>
      <c r="Q61" s="21" t="str">
        <f t="shared" si="2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ht="24.0" customHeight="1">
      <c r="A62" s="18" t="s">
        <v>43</v>
      </c>
      <c r="B62" s="18" t="s">
        <v>27</v>
      </c>
      <c r="C62" s="19" t="s">
        <v>28</v>
      </c>
      <c r="D62" s="19" t="s">
        <v>44</v>
      </c>
      <c r="E62" s="19" t="s">
        <v>45</v>
      </c>
      <c r="F62" s="19" t="s">
        <v>34</v>
      </c>
      <c r="G62" s="20">
        <v>241.0</v>
      </c>
      <c r="H62" s="19" t="s">
        <v>35</v>
      </c>
      <c r="I62" s="19" t="s">
        <v>36</v>
      </c>
      <c r="J62" s="13">
        <f>VLOOKUP(C62&amp;I62&amp;E62,Orig_Dest!$A$2:$E$1876,5,FALSE)</f>
        <v>0</v>
      </c>
      <c r="K62" s="14" t="str">
        <f t="shared" si="1"/>
        <v>Dia 6</v>
      </c>
      <c r="L62" s="21" t="str">
        <f>IF(B62="Fornecedor",IF(VLOOKUP(C62,Base_Dados!$E$1:$F$7,2,FALSE)=F62," ","Fornecedor inválido!")," ")</f>
        <v> </v>
      </c>
      <c r="M62" s="22" t="str">
        <f>IF(AND(LEFT(F62,2)="MP",H62&lt;&gt;Base_Dados!$A$1),"Impossível!!!"," ")</f>
        <v> </v>
      </c>
      <c r="N62" s="21" t="str">
        <f>IF(E62="Avião",IF($G62&lt;=VLOOKUP($F62,Base_Dados!$K$1:$O$7,3,FALSE)," ","Limite "&amp;VLOOKUP($F62,Base_Dados!$K$1:$O$11,3,FALSE)&amp;" "&amp;VLOOKUP($F62,Base_Dados!$K$1:$O$11,2,FALSE))," ")</f>
        <v> </v>
      </c>
      <c r="O62" s="21" t="str">
        <f>IF(E62="Caminhão",IF($G62&lt;=VLOOKUP($F62,Base_Dados!$K$1:$O$7,4,FALSE)," ","Limite "&amp;VLOOKUP($F62,Base_Dados!$K$1:$O$11,4,FALSE)&amp;" "&amp;VLOOKUP($F62,Base_Dados!$K$1:$O$11,2,FALSE))," ")</f>
        <v> </v>
      </c>
      <c r="P62" s="21" t="str">
        <f>IF(E62="Navio",IF($G62&lt;=VLOOKUP($F62,Base_Dados!$K$1:$O$7,5,FALSE)," ","Limite "&amp;VLOOKUP($F62,Base_Dados!$K$1:$O$11,5,FALSE)&amp;" "&amp;VLOOKUP($F62,Base_Dados!$K$1:$O$11,2,FALSE))," ")</f>
        <v> </v>
      </c>
      <c r="Q62" s="21" t="str">
        <f t="shared" si="2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ht="24.0" customHeight="1">
      <c r="A63" s="18" t="s">
        <v>43</v>
      </c>
      <c r="B63" s="18" t="s">
        <v>27</v>
      </c>
      <c r="C63" s="19" t="s">
        <v>28</v>
      </c>
      <c r="D63" s="19" t="s">
        <v>53</v>
      </c>
      <c r="E63" s="19" t="s">
        <v>45</v>
      </c>
      <c r="F63" s="19" t="s">
        <v>34</v>
      </c>
      <c r="G63" s="20">
        <v>3333.0</v>
      </c>
      <c r="H63" s="19" t="s">
        <v>35</v>
      </c>
      <c r="I63" s="19" t="s">
        <v>36</v>
      </c>
      <c r="J63" s="13">
        <f>VLOOKUP(C63&amp;I63&amp;E63,Orig_Dest!$A$2:$E$1876,5,FALSE)</f>
        <v>0</v>
      </c>
      <c r="K63" s="14" t="str">
        <f t="shared" si="1"/>
        <v>Dia 7</v>
      </c>
      <c r="L63" s="21" t="str">
        <f>IF(B63="Fornecedor",IF(VLOOKUP(C63,Base_Dados!$E$1:$F$7,2,FALSE)=F63," ","Fornecedor inválido!")," ")</f>
        <v> </v>
      </c>
      <c r="M63" s="22" t="str">
        <f>IF(AND(LEFT(F63,2)="MP",H63&lt;&gt;Base_Dados!$A$1),"Impossível!!!"," ")</f>
        <v> </v>
      </c>
      <c r="N63" s="21" t="str">
        <f>IF(E63="Avião",IF($G63&lt;=VLOOKUP($F63,Base_Dados!$K$1:$O$7,3,FALSE)," ","Limite "&amp;VLOOKUP($F63,Base_Dados!$K$1:$O$11,3,FALSE)&amp;" "&amp;VLOOKUP($F63,Base_Dados!$K$1:$O$11,2,FALSE))," ")</f>
        <v> </v>
      </c>
      <c r="O63" s="21" t="str">
        <f>IF(E63="Caminhão",IF($G63&lt;=VLOOKUP($F63,Base_Dados!$K$1:$O$7,4,FALSE)," ","Limite "&amp;VLOOKUP($F63,Base_Dados!$K$1:$O$11,4,FALSE)&amp;" "&amp;VLOOKUP($F63,Base_Dados!$K$1:$O$11,2,FALSE))," ")</f>
        <v> </v>
      </c>
      <c r="P63" s="21" t="str">
        <f>IF(E63="Navio",IF($G63&lt;=VLOOKUP($F63,Base_Dados!$K$1:$O$7,5,FALSE)," ","Limite "&amp;VLOOKUP($F63,Base_Dados!$K$1:$O$11,5,FALSE)&amp;" "&amp;VLOOKUP($F63,Base_Dados!$K$1:$O$11,2,FALSE))," ")</f>
        <v> </v>
      </c>
      <c r="Q63" s="21" t="str">
        <f t="shared" si="2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ht="24.0" customHeight="1">
      <c r="A64" s="18" t="s">
        <v>43</v>
      </c>
      <c r="B64" s="18" t="s">
        <v>27</v>
      </c>
      <c r="C64" s="19" t="s">
        <v>28</v>
      </c>
      <c r="D64" s="19" t="s">
        <v>53</v>
      </c>
      <c r="E64" s="19" t="s">
        <v>45</v>
      </c>
      <c r="F64" s="19" t="s">
        <v>34</v>
      </c>
      <c r="G64" s="20">
        <v>3333.0</v>
      </c>
      <c r="H64" s="19" t="s">
        <v>35</v>
      </c>
      <c r="I64" s="19" t="s">
        <v>36</v>
      </c>
      <c r="J64" s="13">
        <f>VLOOKUP(C64&amp;I64&amp;E64,Orig_Dest!$A$2:$E$1876,5,FALSE)</f>
        <v>0</v>
      </c>
      <c r="K64" s="14" t="str">
        <f t="shared" si="1"/>
        <v>Dia 7</v>
      </c>
      <c r="L64" s="21" t="str">
        <f>IF(B64="Fornecedor",IF(VLOOKUP(C64,Base_Dados!$E$1:$F$7,2,FALSE)=F64," ","Fornecedor inválido!")," ")</f>
        <v> </v>
      </c>
      <c r="M64" s="22" t="str">
        <f>IF(AND(LEFT(F64,2)="MP",H64&lt;&gt;Base_Dados!$A$1),"Impossível!!!"," ")</f>
        <v> </v>
      </c>
      <c r="N64" s="21" t="str">
        <f>IF(E64="Avião",IF($G64&lt;=VLOOKUP($F64,Base_Dados!$K$1:$O$7,3,FALSE)," ","Limite "&amp;VLOOKUP($F64,Base_Dados!$K$1:$O$11,3,FALSE)&amp;" "&amp;VLOOKUP($F64,Base_Dados!$K$1:$O$11,2,FALSE))," ")</f>
        <v> </v>
      </c>
      <c r="O64" s="21" t="str">
        <f>IF(E64="Caminhão",IF($G64&lt;=VLOOKUP($F64,Base_Dados!$K$1:$O$7,4,FALSE)," ","Limite "&amp;VLOOKUP($F64,Base_Dados!$K$1:$O$11,4,FALSE)&amp;" "&amp;VLOOKUP($F64,Base_Dados!$K$1:$O$11,2,FALSE))," ")</f>
        <v> </v>
      </c>
      <c r="P64" s="21" t="str">
        <f>IF(E64="Navio",IF($G64&lt;=VLOOKUP($F64,Base_Dados!$K$1:$O$7,5,FALSE)," ","Limite "&amp;VLOOKUP($F64,Base_Dados!$K$1:$O$11,5,FALSE)&amp;" "&amp;VLOOKUP($F64,Base_Dados!$K$1:$O$11,2,FALSE))," ")</f>
        <v> </v>
      </c>
      <c r="Q64" s="21" t="str">
        <f t="shared" si="2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ht="24.0" customHeight="1">
      <c r="A65" s="18" t="s">
        <v>43</v>
      </c>
      <c r="B65" s="18" t="s">
        <v>27</v>
      </c>
      <c r="C65" s="19" t="s">
        <v>28</v>
      </c>
      <c r="D65" s="19" t="s">
        <v>53</v>
      </c>
      <c r="E65" s="19" t="s">
        <v>45</v>
      </c>
      <c r="F65" s="19" t="s">
        <v>34</v>
      </c>
      <c r="G65" s="20">
        <v>3333.0</v>
      </c>
      <c r="H65" s="19" t="s">
        <v>35</v>
      </c>
      <c r="I65" s="19" t="s">
        <v>36</v>
      </c>
      <c r="J65" s="13">
        <f>VLOOKUP(C65&amp;I65&amp;E65,Orig_Dest!$A$2:$E$1876,5,FALSE)</f>
        <v>0</v>
      </c>
      <c r="K65" s="14" t="str">
        <f t="shared" si="1"/>
        <v>Dia 7</v>
      </c>
      <c r="L65" s="21" t="str">
        <f>IF(B65="Fornecedor",IF(VLOOKUP(C65,Base_Dados!$E$1:$F$7,2,FALSE)=F65," ","Fornecedor inválido!")," ")</f>
        <v> </v>
      </c>
      <c r="M65" s="22" t="str">
        <f>IF(AND(LEFT(F65,2)="MP",H65&lt;&gt;Base_Dados!$A$1),"Impossível!!!"," ")</f>
        <v> </v>
      </c>
      <c r="N65" s="21" t="str">
        <f>IF(E65="Avião",IF($G65&lt;=VLOOKUP($F65,Base_Dados!$K$1:$O$7,3,FALSE)," ","Limite "&amp;VLOOKUP($F65,Base_Dados!$K$1:$O$11,3,FALSE)&amp;" "&amp;VLOOKUP($F65,Base_Dados!$K$1:$O$11,2,FALSE))," ")</f>
        <v> </v>
      </c>
      <c r="O65" s="21" t="str">
        <f>IF(E65="Caminhão",IF($G65&lt;=VLOOKUP($F65,Base_Dados!$K$1:$O$7,4,FALSE)," ","Limite "&amp;VLOOKUP($F65,Base_Dados!$K$1:$O$11,4,FALSE)&amp;" "&amp;VLOOKUP($F65,Base_Dados!$K$1:$O$11,2,FALSE))," ")</f>
        <v> </v>
      </c>
      <c r="P65" s="21" t="str">
        <f>IF(E65="Navio",IF($G65&lt;=VLOOKUP($F65,Base_Dados!$K$1:$O$7,5,FALSE)," ","Limite "&amp;VLOOKUP($F65,Base_Dados!$K$1:$O$11,5,FALSE)&amp;" "&amp;VLOOKUP($F65,Base_Dados!$K$1:$O$11,2,FALSE))," ")</f>
        <v> </v>
      </c>
      <c r="Q65" s="21" t="str">
        <f t="shared" si="2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ht="24.0" customHeight="1">
      <c r="A66" s="18" t="s">
        <v>43</v>
      </c>
      <c r="B66" s="18" t="s">
        <v>27</v>
      </c>
      <c r="C66" s="19" t="s">
        <v>28</v>
      </c>
      <c r="D66" s="19" t="s">
        <v>53</v>
      </c>
      <c r="E66" s="19" t="s">
        <v>45</v>
      </c>
      <c r="F66" s="19" t="s">
        <v>34</v>
      </c>
      <c r="G66" s="20">
        <v>3333.0</v>
      </c>
      <c r="H66" s="19" t="s">
        <v>35</v>
      </c>
      <c r="I66" s="19" t="s">
        <v>36</v>
      </c>
      <c r="J66" s="13">
        <f>VLOOKUP(C66&amp;I66&amp;E66,Orig_Dest!$A$2:$E$1876,5,FALSE)</f>
        <v>0</v>
      </c>
      <c r="K66" s="14" t="str">
        <f t="shared" si="1"/>
        <v>Dia 7</v>
      </c>
      <c r="L66" s="21" t="str">
        <f>IF(B66="Fornecedor",IF(VLOOKUP(C66,Base_Dados!$E$1:$F$7,2,FALSE)=F66," ","Fornecedor inválido!")," ")</f>
        <v> </v>
      </c>
      <c r="M66" s="22" t="str">
        <f>IF(AND(LEFT(F66,2)="MP",H66&lt;&gt;Base_Dados!$A$1),"Impossível!!!"," ")</f>
        <v> </v>
      </c>
      <c r="N66" s="21" t="str">
        <f>IF(E66="Avião",IF($G66&lt;=VLOOKUP($F66,Base_Dados!$K$1:$O$7,3,FALSE)," ","Limite "&amp;VLOOKUP($F66,Base_Dados!$K$1:$O$11,3,FALSE)&amp;" "&amp;VLOOKUP($F66,Base_Dados!$K$1:$O$11,2,FALSE))," ")</f>
        <v> </v>
      </c>
      <c r="O66" s="21" t="str">
        <f>IF(E66="Caminhão",IF($G66&lt;=VLOOKUP($F66,Base_Dados!$K$1:$O$7,4,FALSE)," ","Limite "&amp;VLOOKUP($F66,Base_Dados!$K$1:$O$11,4,FALSE)&amp;" "&amp;VLOOKUP($F66,Base_Dados!$K$1:$O$11,2,FALSE))," ")</f>
        <v> </v>
      </c>
      <c r="P66" s="21" t="str">
        <f>IF(E66="Navio",IF($G66&lt;=VLOOKUP($F66,Base_Dados!$K$1:$O$7,5,FALSE)," ","Limite "&amp;VLOOKUP($F66,Base_Dados!$K$1:$O$11,5,FALSE)&amp;" "&amp;VLOOKUP($F66,Base_Dados!$K$1:$O$11,2,FALSE))," ")</f>
        <v> </v>
      </c>
      <c r="Q66" s="21" t="str">
        <f t="shared" si="2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ht="24.0" customHeight="1">
      <c r="A67" s="18" t="s">
        <v>43</v>
      </c>
      <c r="B67" s="18" t="s">
        <v>27</v>
      </c>
      <c r="C67" s="19" t="s">
        <v>28</v>
      </c>
      <c r="D67" s="19" t="s">
        <v>53</v>
      </c>
      <c r="E67" s="19" t="s">
        <v>45</v>
      </c>
      <c r="F67" s="19" t="s">
        <v>34</v>
      </c>
      <c r="G67" s="20">
        <v>3333.0</v>
      </c>
      <c r="H67" s="19" t="s">
        <v>35</v>
      </c>
      <c r="I67" s="19" t="s">
        <v>36</v>
      </c>
      <c r="J67" s="13">
        <f>VLOOKUP(C67&amp;I67&amp;E67,Orig_Dest!$A$2:$E$1876,5,FALSE)</f>
        <v>0</v>
      </c>
      <c r="K67" s="14" t="str">
        <f t="shared" si="1"/>
        <v>Dia 7</v>
      </c>
      <c r="L67" s="21" t="str">
        <f>IF(B67="Fornecedor",IF(VLOOKUP(C67,Base_Dados!$E$1:$F$7,2,FALSE)=F67," ","Fornecedor inválido!")," ")</f>
        <v> </v>
      </c>
      <c r="M67" s="22" t="str">
        <f>IF(AND(LEFT(F67,2)="MP",H67&lt;&gt;Base_Dados!$A$1),"Impossível!!!"," ")</f>
        <v> </v>
      </c>
      <c r="N67" s="21" t="str">
        <f>IF(E67="Avião",IF($G67&lt;=VLOOKUP($F67,Base_Dados!$K$1:$O$7,3,FALSE)," ","Limite "&amp;VLOOKUP($F67,Base_Dados!$K$1:$O$11,3,FALSE)&amp;" "&amp;VLOOKUP($F67,Base_Dados!$K$1:$O$11,2,FALSE))," ")</f>
        <v> </v>
      </c>
      <c r="O67" s="21" t="str">
        <f>IF(E67="Caminhão",IF($G67&lt;=VLOOKUP($F67,Base_Dados!$K$1:$O$7,4,FALSE)," ","Limite "&amp;VLOOKUP($F67,Base_Dados!$K$1:$O$11,4,FALSE)&amp;" "&amp;VLOOKUP($F67,Base_Dados!$K$1:$O$11,2,FALSE))," ")</f>
        <v> </v>
      </c>
      <c r="P67" s="21" t="str">
        <f>IF(E67="Navio",IF($G67&lt;=VLOOKUP($F67,Base_Dados!$K$1:$O$7,5,FALSE)," ","Limite "&amp;VLOOKUP($F67,Base_Dados!$K$1:$O$11,5,FALSE)&amp;" "&amp;VLOOKUP($F67,Base_Dados!$K$1:$O$11,2,FALSE))," ")</f>
        <v> </v>
      </c>
      <c r="Q67" s="21" t="str">
        <f t="shared" si="2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ht="24.0" customHeight="1">
      <c r="A68" s="18" t="s">
        <v>43</v>
      </c>
      <c r="B68" s="18" t="s">
        <v>27</v>
      </c>
      <c r="C68" s="19" t="s">
        <v>28</v>
      </c>
      <c r="D68" s="19" t="s">
        <v>53</v>
      </c>
      <c r="E68" s="19" t="s">
        <v>45</v>
      </c>
      <c r="F68" s="19" t="s">
        <v>34</v>
      </c>
      <c r="G68" s="20">
        <v>3333.0</v>
      </c>
      <c r="H68" s="19" t="s">
        <v>35</v>
      </c>
      <c r="I68" s="19" t="s">
        <v>36</v>
      </c>
      <c r="J68" s="13">
        <f>VLOOKUP(C68&amp;I68&amp;E68,Orig_Dest!$A$2:$E$1876,5,FALSE)</f>
        <v>0</v>
      </c>
      <c r="K68" s="14" t="str">
        <f t="shared" si="1"/>
        <v>Dia 7</v>
      </c>
      <c r="L68" s="21" t="str">
        <f>IF(B68="Fornecedor",IF(VLOOKUP(C68,Base_Dados!$E$1:$F$7,2,FALSE)=F68," ","Fornecedor inválido!")," ")</f>
        <v> </v>
      </c>
      <c r="M68" s="22" t="str">
        <f>IF(AND(LEFT(F68,2)="MP",H68&lt;&gt;Base_Dados!$A$1),"Impossível!!!"," ")</f>
        <v> </v>
      </c>
      <c r="N68" s="21" t="str">
        <f>IF(E68="Avião",IF($G68&lt;=VLOOKUP($F68,Base_Dados!$K$1:$O$7,3,FALSE)," ","Limite "&amp;VLOOKUP($F68,Base_Dados!$K$1:$O$11,3,FALSE)&amp;" "&amp;VLOOKUP($F68,Base_Dados!$K$1:$O$11,2,FALSE))," ")</f>
        <v> </v>
      </c>
      <c r="O68" s="21" t="str">
        <f>IF(E68="Caminhão",IF($G68&lt;=VLOOKUP($F68,Base_Dados!$K$1:$O$7,4,FALSE)," ","Limite "&amp;VLOOKUP($F68,Base_Dados!$K$1:$O$11,4,FALSE)&amp;" "&amp;VLOOKUP($F68,Base_Dados!$K$1:$O$11,2,FALSE))," ")</f>
        <v> </v>
      </c>
      <c r="P68" s="21" t="str">
        <f>IF(E68="Navio",IF($G68&lt;=VLOOKUP($F68,Base_Dados!$K$1:$O$7,5,FALSE)," ","Limite "&amp;VLOOKUP($F68,Base_Dados!$K$1:$O$11,5,FALSE)&amp;" "&amp;VLOOKUP($F68,Base_Dados!$K$1:$O$11,2,FALSE))," ")</f>
        <v> </v>
      </c>
      <c r="Q68" s="21" t="str">
        <f t="shared" si="2"/>
        <v/>
      </c>
      <c r="R68" s="1"/>
      <c r="S68" s="1"/>
      <c r="T68" s="1"/>
      <c r="U68" s="1"/>
      <c r="V68" s="1"/>
      <c r="W68" s="1"/>
      <c r="X68" s="1"/>
      <c r="Y68" s="1"/>
      <c r="Z68" s="1"/>
    </row>
    <row r="69" ht="24.0" customHeight="1">
      <c r="A69" s="18" t="s">
        <v>43</v>
      </c>
      <c r="B69" s="18" t="s">
        <v>27</v>
      </c>
      <c r="C69" s="19" t="s">
        <v>28</v>
      </c>
      <c r="D69" s="19" t="s">
        <v>53</v>
      </c>
      <c r="E69" s="19" t="s">
        <v>45</v>
      </c>
      <c r="F69" s="19" t="s">
        <v>34</v>
      </c>
      <c r="G69" s="20">
        <v>3333.0</v>
      </c>
      <c r="H69" s="19" t="s">
        <v>35</v>
      </c>
      <c r="I69" s="19" t="s">
        <v>36</v>
      </c>
      <c r="J69" s="13">
        <f>VLOOKUP(C69&amp;I69&amp;E69,Orig_Dest!$A$2:$E$1876,5,FALSE)</f>
        <v>0</v>
      </c>
      <c r="K69" s="14" t="str">
        <f t="shared" si="1"/>
        <v>Dia 7</v>
      </c>
      <c r="L69" s="21" t="str">
        <f>IF(B69="Fornecedor",IF(VLOOKUP(C69,Base_Dados!$E$1:$F$7,2,FALSE)=F69," ","Fornecedor inválido!")," ")</f>
        <v> </v>
      </c>
      <c r="M69" s="22" t="str">
        <f>IF(AND(LEFT(F69,2)="MP",H69&lt;&gt;Base_Dados!$A$1),"Impossível!!!"," ")</f>
        <v> </v>
      </c>
      <c r="N69" s="21" t="str">
        <f>IF(E69="Avião",IF($G69&lt;=VLOOKUP($F69,Base_Dados!$K$1:$O$7,3,FALSE)," ","Limite "&amp;VLOOKUP($F69,Base_Dados!$K$1:$O$11,3,FALSE)&amp;" "&amp;VLOOKUP($F69,Base_Dados!$K$1:$O$11,2,FALSE))," ")</f>
        <v> </v>
      </c>
      <c r="O69" s="21" t="str">
        <f>IF(E69="Caminhão",IF($G69&lt;=VLOOKUP($F69,Base_Dados!$K$1:$O$7,4,FALSE)," ","Limite "&amp;VLOOKUP($F69,Base_Dados!$K$1:$O$11,4,FALSE)&amp;" "&amp;VLOOKUP($F69,Base_Dados!$K$1:$O$11,2,FALSE))," ")</f>
        <v> </v>
      </c>
      <c r="P69" s="21" t="str">
        <f>IF(E69="Navio",IF($G69&lt;=VLOOKUP($F69,Base_Dados!$K$1:$O$7,5,FALSE)," ","Limite "&amp;VLOOKUP($F69,Base_Dados!$K$1:$O$11,5,FALSE)&amp;" "&amp;VLOOKUP($F69,Base_Dados!$K$1:$O$11,2,FALSE))," ")</f>
        <v> </v>
      </c>
      <c r="Q69" s="21" t="str">
        <f t="shared" si="2"/>
        <v/>
      </c>
      <c r="R69" s="1"/>
      <c r="S69" s="1"/>
      <c r="T69" s="1"/>
      <c r="U69" s="1"/>
      <c r="V69" s="1"/>
      <c r="W69" s="1"/>
      <c r="X69" s="1"/>
      <c r="Y69" s="1"/>
      <c r="Z69" s="1"/>
    </row>
    <row r="70" ht="24.0" customHeight="1">
      <c r="A70" s="18" t="s">
        <v>43</v>
      </c>
      <c r="B70" s="18" t="s">
        <v>27</v>
      </c>
      <c r="C70" s="19" t="s">
        <v>28</v>
      </c>
      <c r="D70" s="19" t="s">
        <v>53</v>
      </c>
      <c r="E70" s="19" t="s">
        <v>45</v>
      </c>
      <c r="F70" s="19" t="s">
        <v>34</v>
      </c>
      <c r="G70" s="20">
        <v>3333.0</v>
      </c>
      <c r="H70" s="19" t="s">
        <v>35</v>
      </c>
      <c r="I70" s="19" t="s">
        <v>36</v>
      </c>
      <c r="J70" s="13">
        <f>VLOOKUP(C70&amp;I70&amp;E70,Orig_Dest!$A$2:$E$1876,5,FALSE)</f>
        <v>0</v>
      </c>
      <c r="K70" s="14" t="str">
        <f t="shared" si="1"/>
        <v>Dia 7</v>
      </c>
      <c r="L70" s="21" t="str">
        <f>IF(B70="Fornecedor",IF(VLOOKUP(C70,Base_Dados!$E$1:$F$7,2,FALSE)=F70," ","Fornecedor inválido!")," ")</f>
        <v> </v>
      </c>
      <c r="M70" s="22" t="str">
        <f>IF(AND(LEFT(F70,2)="MP",H70&lt;&gt;Base_Dados!$A$1),"Impossível!!!"," ")</f>
        <v> </v>
      </c>
      <c r="N70" s="21" t="str">
        <f>IF(E70="Avião",IF($G70&lt;=VLOOKUP($F70,Base_Dados!$K$1:$O$7,3,FALSE)," ","Limite "&amp;VLOOKUP($F70,Base_Dados!$K$1:$O$11,3,FALSE)&amp;" "&amp;VLOOKUP($F70,Base_Dados!$K$1:$O$11,2,FALSE))," ")</f>
        <v> </v>
      </c>
      <c r="O70" s="21" t="str">
        <f>IF(E70="Caminhão",IF($G70&lt;=VLOOKUP($F70,Base_Dados!$K$1:$O$7,4,FALSE)," ","Limite "&amp;VLOOKUP($F70,Base_Dados!$K$1:$O$11,4,FALSE)&amp;" "&amp;VLOOKUP($F70,Base_Dados!$K$1:$O$11,2,FALSE))," ")</f>
        <v> </v>
      </c>
      <c r="P70" s="21" t="str">
        <f>IF(E70="Navio",IF($G70&lt;=VLOOKUP($F70,Base_Dados!$K$1:$O$7,5,FALSE)," ","Limite "&amp;VLOOKUP($F70,Base_Dados!$K$1:$O$11,5,FALSE)&amp;" "&amp;VLOOKUP($F70,Base_Dados!$K$1:$O$11,2,FALSE))," ")</f>
        <v> </v>
      </c>
      <c r="Q70" s="21" t="str">
        <f t="shared" si="2"/>
        <v/>
      </c>
      <c r="R70" s="1"/>
      <c r="S70" s="1"/>
      <c r="T70" s="1"/>
      <c r="U70" s="1"/>
      <c r="V70" s="1"/>
      <c r="W70" s="1"/>
      <c r="X70" s="1"/>
      <c r="Y70" s="1"/>
      <c r="Z70" s="1"/>
    </row>
    <row r="71" ht="24.0" customHeight="1">
      <c r="A71" s="18" t="s">
        <v>43</v>
      </c>
      <c r="B71" s="18" t="s">
        <v>27</v>
      </c>
      <c r="C71" s="19" t="s">
        <v>28</v>
      </c>
      <c r="D71" s="19" t="s">
        <v>53</v>
      </c>
      <c r="E71" s="19" t="s">
        <v>45</v>
      </c>
      <c r="F71" s="19" t="s">
        <v>34</v>
      </c>
      <c r="G71" s="20">
        <v>3333.0</v>
      </c>
      <c r="H71" s="19" t="s">
        <v>35</v>
      </c>
      <c r="I71" s="19" t="s">
        <v>36</v>
      </c>
      <c r="J71" s="13">
        <f>VLOOKUP(C71&amp;I71&amp;E71,Orig_Dest!$A$2:$E$1876,5,FALSE)</f>
        <v>0</v>
      </c>
      <c r="K71" s="14" t="str">
        <f t="shared" si="1"/>
        <v>Dia 7</v>
      </c>
      <c r="L71" s="21" t="str">
        <f>IF(B71="Fornecedor",IF(VLOOKUP(C71,Base_Dados!$E$1:$F$7,2,FALSE)=F71," ","Fornecedor inválido!")," ")</f>
        <v> </v>
      </c>
      <c r="M71" s="22" t="str">
        <f>IF(AND(LEFT(F71,2)="MP",H71&lt;&gt;Base_Dados!$A$1),"Impossível!!!"," ")</f>
        <v> </v>
      </c>
      <c r="N71" s="21" t="str">
        <f>IF(E71="Avião",IF($G71&lt;=VLOOKUP($F71,Base_Dados!$K$1:$O$7,3,FALSE)," ","Limite "&amp;VLOOKUP($F71,Base_Dados!$K$1:$O$11,3,FALSE)&amp;" "&amp;VLOOKUP($F71,Base_Dados!$K$1:$O$11,2,FALSE))," ")</f>
        <v> </v>
      </c>
      <c r="O71" s="21" t="str">
        <f>IF(E71="Caminhão",IF($G71&lt;=VLOOKUP($F71,Base_Dados!$K$1:$O$7,4,FALSE)," ","Limite "&amp;VLOOKUP($F71,Base_Dados!$K$1:$O$11,4,FALSE)&amp;" "&amp;VLOOKUP($F71,Base_Dados!$K$1:$O$11,2,FALSE))," ")</f>
        <v> </v>
      </c>
      <c r="P71" s="21" t="str">
        <f>IF(E71="Navio",IF($G71&lt;=VLOOKUP($F71,Base_Dados!$K$1:$O$7,5,FALSE)," ","Limite "&amp;VLOOKUP($F71,Base_Dados!$K$1:$O$11,5,FALSE)&amp;" "&amp;VLOOKUP($F71,Base_Dados!$K$1:$O$11,2,FALSE))," ")</f>
        <v> </v>
      </c>
      <c r="Q71" s="21" t="str">
        <f t="shared" si="2"/>
        <v/>
      </c>
      <c r="R71" s="1"/>
      <c r="S71" s="1"/>
      <c r="T71" s="1"/>
      <c r="U71" s="1"/>
      <c r="V71" s="1"/>
      <c r="W71" s="1"/>
      <c r="X71" s="1"/>
      <c r="Y71" s="1"/>
      <c r="Z71" s="1"/>
    </row>
    <row r="72" ht="24.0" customHeight="1">
      <c r="A72" s="18" t="s">
        <v>43</v>
      </c>
      <c r="B72" s="18" t="s">
        <v>27</v>
      </c>
      <c r="C72" s="19" t="s">
        <v>28</v>
      </c>
      <c r="D72" s="19" t="s">
        <v>53</v>
      </c>
      <c r="E72" s="19" t="s">
        <v>45</v>
      </c>
      <c r="F72" s="19" t="s">
        <v>34</v>
      </c>
      <c r="G72" s="20">
        <v>3333.0</v>
      </c>
      <c r="H72" s="19" t="s">
        <v>35</v>
      </c>
      <c r="I72" s="19" t="s">
        <v>36</v>
      </c>
      <c r="J72" s="13">
        <f>VLOOKUP(C72&amp;I72&amp;E72,Orig_Dest!$A$2:$E$1876,5,FALSE)</f>
        <v>0</v>
      </c>
      <c r="K72" s="14" t="str">
        <f t="shared" si="1"/>
        <v>Dia 7</v>
      </c>
      <c r="L72" s="21" t="str">
        <f>IF(B72="Fornecedor",IF(VLOOKUP(C72,Base_Dados!$E$1:$F$7,2,FALSE)=F72," ","Fornecedor inválido!")," ")</f>
        <v> </v>
      </c>
      <c r="M72" s="22" t="str">
        <f>IF(AND(LEFT(F72,2)="MP",H72&lt;&gt;Base_Dados!$A$1),"Impossível!!!"," ")</f>
        <v> </v>
      </c>
      <c r="N72" s="21" t="str">
        <f>IF(E72="Avião",IF($G72&lt;=VLOOKUP($F72,Base_Dados!$K$1:$O$7,3,FALSE)," ","Limite "&amp;VLOOKUP($F72,Base_Dados!$K$1:$O$11,3,FALSE)&amp;" "&amp;VLOOKUP($F72,Base_Dados!$K$1:$O$11,2,FALSE))," ")</f>
        <v> </v>
      </c>
      <c r="O72" s="21" t="str">
        <f>IF(E72="Caminhão",IF($G72&lt;=VLOOKUP($F72,Base_Dados!$K$1:$O$7,4,FALSE)," ","Limite "&amp;VLOOKUP($F72,Base_Dados!$K$1:$O$11,4,FALSE)&amp;" "&amp;VLOOKUP($F72,Base_Dados!$K$1:$O$11,2,FALSE))," ")</f>
        <v> </v>
      </c>
      <c r="P72" s="21" t="str">
        <f>IF(E72="Navio",IF($G72&lt;=VLOOKUP($F72,Base_Dados!$K$1:$O$7,5,FALSE)," ","Limite "&amp;VLOOKUP($F72,Base_Dados!$K$1:$O$11,5,FALSE)&amp;" "&amp;VLOOKUP($F72,Base_Dados!$K$1:$O$11,2,FALSE))," ")</f>
        <v> </v>
      </c>
      <c r="Q72" s="21" t="str">
        <f t="shared" si="2"/>
        <v/>
      </c>
      <c r="R72" s="1"/>
      <c r="S72" s="1"/>
      <c r="T72" s="1"/>
      <c r="U72" s="1"/>
      <c r="V72" s="1"/>
      <c r="W72" s="1"/>
      <c r="X72" s="1"/>
      <c r="Y72" s="1"/>
      <c r="Z72" s="1"/>
    </row>
    <row r="73" ht="24.0" customHeight="1">
      <c r="A73" s="18" t="s">
        <v>43</v>
      </c>
      <c r="B73" s="18" t="s">
        <v>27</v>
      </c>
      <c r="C73" s="19" t="s">
        <v>28</v>
      </c>
      <c r="D73" s="19" t="s">
        <v>53</v>
      </c>
      <c r="E73" s="19" t="s">
        <v>45</v>
      </c>
      <c r="F73" s="19" t="s">
        <v>34</v>
      </c>
      <c r="G73" s="20">
        <v>3333.0</v>
      </c>
      <c r="H73" s="19" t="s">
        <v>35</v>
      </c>
      <c r="I73" s="19" t="s">
        <v>36</v>
      </c>
      <c r="J73" s="13">
        <f>VLOOKUP(C73&amp;I73&amp;E73,Orig_Dest!$A$2:$E$1876,5,FALSE)</f>
        <v>0</v>
      </c>
      <c r="K73" s="14" t="str">
        <f t="shared" si="1"/>
        <v>Dia 7</v>
      </c>
      <c r="L73" s="21" t="str">
        <f>IF(B73="Fornecedor",IF(VLOOKUP(C73,Base_Dados!$E$1:$F$7,2,FALSE)=F73," ","Fornecedor inválido!")," ")</f>
        <v> </v>
      </c>
      <c r="M73" s="22" t="str">
        <f>IF(AND(LEFT(F73,2)="MP",H73&lt;&gt;Base_Dados!$A$1),"Impossível!!!"," ")</f>
        <v> </v>
      </c>
      <c r="N73" s="21" t="str">
        <f>IF(E73="Avião",IF($G73&lt;=VLOOKUP($F73,Base_Dados!$K$1:$O$7,3,FALSE)," ","Limite "&amp;VLOOKUP($F73,Base_Dados!$K$1:$O$11,3,FALSE)&amp;" "&amp;VLOOKUP($F73,Base_Dados!$K$1:$O$11,2,FALSE))," ")</f>
        <v> </v>
      </c>
      <c r="O73" s="21" t="str">
        <f>IF(E73="Caminhão",IF($G73&lt;=VLOOKUP($F73,Base_Dados!$K$1:$O$7,4,FALSE)," ","Limite "&amp;VLOOKUP($F73,Base_Dados!$K$1:$O$11,4,FALSE)&amp;" "&amp;VLOOKUP($F73,Base_Dados!$K$1:$O$11,2,FALSE))," ")</f>
        <v> </v>
      </c>
      <c r="P73" s="21" t="str">
        <f>IF(E73="Navio",IF($G73&lt;=VLOOKUP($F73,Base_Dados!$K$1:$O$7,5,FALSE)," ","Limite "&amp;VLOOKUP($F73,Base_Dados!$K$1:$O$11,5,FALSE)&amp;" "&amp;VLOOKUP($F73,Base_Dados!$K$1:$O$11,2,FALSE))," ")</f>
        <v> </v>
      </c>
      <c r="Q73" s="21" t="str">
        <f t="shared" si="2"/>
        <v/>
      </c>
      <c r="R73" s="1"/>
      <c r="S73" s="1"/>
      <c r="T73" s="1"/>
      <c r="U73" s="1"/>
      <c r="V73" s="1"/>
      <c r="W73" s="1"/>
      <c r="X73" s="1"/>
      <c r="Y73" s="1"/>
      <c r="Z73" s="1"/>
    </row>
    <row r="74" ht="24.0" customHeight="1">
      <c r="A74" s="18" t="s">
        <v>43</v>
      </c>
      <c r="B74" s="18" t="s">
        <v>27</v>
      </c>
      <c r="C74" s="19" t="s">
        <v>28</v>
      </c>
      <c r="D74" s="19" t="s">
        <v>53</v>
      </c>
      <c r="E74" s="19" t="s">
        <v>45</v>
      </c>
      <c r="F74" s="19" t="s">
        <v>34</v>
      </c>
      <c r="G74" s="20">
        <v>3333.0</v>
      </c>
      <c r="H74" s="19" t="s">
        <v>35</v>
      </c>
      <c r="I74" s="19" t="s">
        <v>36</v>
      </c>
      <c r="J74" s="13">
        <f>VLOOKUP(C74&amp;I74&amp;E74,Orig_Dest!$A$2:$E$1876,5,FALSE)</f>
        <v>0</v>
      </c>
      <c r="K74" s="14" t="str">
        <f t="shared" si="1"/>
        <v>Dia 7</v>
      </c>
      <c r="L74" s="21" t="str">
        <f>IF(B74="Fornecedor",IF(VLOOKUP(C74,Base_Dados!$E$1:$F$7,2,FALSE)=F74," ","Fornecedor inválido!")," ")</f>
        <v> </v>
      </c>
      <c r="M74" s="22" t="str">
        <f>IF(AND(LEFT(F74,2)="MP",H74&lt;&gt;Base_Dados!$A$1),"Impossível!!!"," ")</f>
        <v> </v>
      </c>
      <c r="N74" s="21" t="str">
        <f>IF(E74="Avião",IF($G74&lt;=VLOOKUP($F74,Base_Dados!$K$1:$O$7,3,FALSE)," ","Limite "&amp;VLOOKUP($F74,Base_Dados!$K$1:$O$11,3,FALSE)&amp;" "&amp;VLOOKUP($F74,Base_Dados!$K$1:$O$11,2,FALSE))," ")</f>
        <v> </v>
      </c>
      <c r="O74" s="21" t="str">
        <f>IF(E74="Caminhão",IF($G74&lt;=VLOOKUP($F74,Base_Dados!$K$1:$O$7,4,FALSE)," ","Limite "&amp;VLOOKUP($F74,Base_Dados!$K$1:$O$11,4,FALSE)&amp;" "&amp;VLOOKUP($F74,Base_Dados!$K$1:$O$11,2,FALSE))," ")</f>
        <v> </v>
      </c>
      <c r="P74" s="21" t="str">
        <f>IF(E74="Navio",IF($G74&lt;=VLOOKUP($F74,Base_Dados!$K$1:$O$7,5,FALSE)," ","Limite "&amp;VLOOKUP($F74,Base_Dados!$K$1:$O$11,5,FALSE)&amp;" "&amp;VLOOKUP($F74,Base_Dados!$K$1:$O$11,2,FALSE))," ")</f>
        <v> </v>
      </c>
      <c r="Q74" s="21" t="str">
        <f t="shared" si="2"/>
        <v/>
      </c>
      <c r="R74" s="1"/>
      <c r="S74" s="1"/>
      <c r="T74" s="1"/>
      <c r="U74" s="1"/>
      <c r="V74" s="1"/>
      <c r="W74" s="1"/>
      <c r="X74" s="1"/>
      <c r="Y74" s="1"/>
      <c r="Z74" s="1"/>
    </row>
    <row r="75" ht="24.0" customHeight="1">
      <c r="A75" s="18" t="s">
        <v>43</v>
      </c>
      <c r="B75" s="18" t="s">
        <v>27</v>
      </c>
      <c r="C75" s="19" t="s">
        <v>28</v>
      </c>
      <c r="D75" s="19" t="s">
        <v>53</v>
      </c>
      <c r="E75" s="19" t="s">
        <v>45</v>
      </c>
      <c r="F75" s="19" t="s">
        <v>34</v>
      </c>
      <c r="G75" s="20">
        <v>3333.0</v>
      </c>
      <c r="H75" s="19" t="s">
        <v>35</v>
      </c>
      <c r="I75" s="19" t="s">
        <v>36</v>
      </c>
      <c r="J75" s="13">
        <f>VLOOKUP(C75&amp;I75&amp;E75,Orig_Dest!$A$2:$E$1876,5,FALSE)</f>
        <v>0</v>
      </c>
      <c r="K75" s="14" t="str">
        <f t="shared" si="1"/>
        <v>Dia 7</v>
      </c>
      <c r="L75" s="21" t="str">
        <f>IF(B75="Fornecedor",IF(VLOOKUP(C75,Base_Dados!$E$1:$F$7,2,FALSE)=F75," ","Fornecedor inválido!")," ")</f>
        <v> </v>
      </c>
      <c r="M75" s="22" t="str">
        <f>IF(AND(LEFT(F75,2)="MP",H75&lt;&gt;Base_Dados!$A$1),"Impossível!!!"," ")</f>
        <v> </v>
      </c>
      <c r="N75" s="21" t="str">
        <f>IF(E75="Avião",IF($G75&lt;=VLOOKUP($F75,Base_Dados!$K$1:$O$7,3,FALSE)," ","Limite "&amp;VLOOKUP($F75,Base_Dados!$K$1:$O$11,3,FALSE)&amp;" "&amp;VLOOKUP($F75,Base_Dados!$K$1:$O$11,2,FALSE))," ")</f>
        <v> </v>
      </c>
      <c r="O75" s="21" t="str">
        <f>IF(E75="Caminhão",IF($G75&lt;=VLOOKUP($F75,Base_Dados!$K$1:$O$7,4,FALSE)," ","Limite "&amp;VLOOKUP($F75,Base_Dados!$K$1:$O$11,4,FALSE)&amp;" "&amp;VLOOKUP($F75,Base_Dados!$K$1:$O$11,2,FALSE))," ")</f>
        <v> </v>
      </c>
      <c r="P75" s="21" t="str">
        <f>IF(E75="Navio",IF($G75&lt;=VLOOKUP($F75,Base_Dados!$K$1:$O$7,5,FALSE)," ","Limite "&amp;VLOOKUP($F75,Base_Dados!$K$1:$O$11,5,FALSE)&amp;" "&amp;VLOOKUP($F75,Base_Dados!$K$1:$O$11,2,FALSE))," ")</f>
        <v> </v>
      </c>
      <c r="Q75" s="21" t="str">
        <f t="shared" si="2"/>
        <v/>
      </c>
      <c r="R75" s="1"/>
      <c r="S75" s="1"/>
      <c r="T75" s="1"/>
      <c r="U75" s="1"/>
      <c r="V75" s="1"/>
      <c r="W75" s="1"/>
      <c r="X75" s="1"/>
      <c r="Y75" s="1"/>
      <c r="Z75" s="1"/>
    </row>
    <row r="76" ht="24.0" customHeight="1">
      <c r="A76" s="18" t="s">
        <v>43</v>
      </c>
      <c r="B76" s="18" t="s">
        <v>27</v>
      </c>
      <c r="C76" s="19" t="s">
        <v>28</v>
      </c>
      <c r="D76" s="19" t="s">
        <v>53</v>
      </c>
      <c r="E76" s="19" t="s">
        <v>45</v>
      </c>
      <c r="F76" s="19" t="s">
        <v>34</v>
      </c>
      <c r="G76" s="20">
        <v>3333.0</v>
      </c>
      <c r="H76" s="19" t="s">
        <v>35</v>
      </c>
      <c r="I76" s="19" t="s">
        <v>36</v>
      </c>
      <c r="J76" s="13">
        <f>VLOOKUP(C76&amp;I76&amp;E76,Orig_Dest!$A$2:$E$1876,5,FALSE)</f>
        <v>0</v>
      </c>
      <c r="K76" s="14" t="str">
        <f t="shared" si="1"/>
        <v>Dia 7</v>
      </c>
      <c r="L76" s="21" t="str">
        <f>IF(B76="Fornecedor",IF(VLOOKUP(C76,Base_Dados!$E$1:$F$7,2,FALSE)=F76," ","Fornecedor inválido!")," ")</f>
        <v> </v>
      </c>
      <c r="M76" s="22" t="str">
        <f>IF(AND(LEFT(F76,2)="MP",H76&lt;&gt;Base_Dados!$A$1),"Impossível!!!"," ")</f>
        <v> </v>
      </c>
      <c r="N76" s="21" t="str">
        <f>IF(E76="Avião",IF($G76&lt;=VLOOKUP($F76,Base_Dados!$K$1:$O$7,3,FALSE)," ","Limite "&amp;VLOOKUP($F76,Base_Dados!$K$1:$O$11,3,FALSE)&amp;" "&amp;VLOOKUP($F76,Base_Dados!$K$1:$O$11,2,FALSE))," ")</f>
        <v> </v>
      </c>
      <c r="O76" s="21" t="str">
        <f>IF(E76="Caminhão",IF($G76&lt;=VLOOKUP($F76,Base_Dados!$K$1:$O$7,4,FALSE)," ","Limite "&amp;VLOOKUP($F76,Base_Dados!$K$1:$O$11,4,FALSE)&amp;" "&amp;VLOOKUP($F76,Base_Dados!$K$1:$O$11,2,FALSE))," ")</f>
        <v> </v>
      </c>
      <c r="P76" s="21" t="str">
        <f>IF(E76="Navio",IF($G76&lt;=VLOOKUP($F76,Base_Dados!$K$1:$O$7,5,FALSE)," ","Limite "&amp;VLOOKUP($F76,Base_Dados!$K$1:$O$11,5,FALSE)&amp;" "&amp;VLOOKUP($F76,Base_Dados!$K$1:$O$11,2,FALSE))," ")</f>
        <v> </v>
      </c>
      <c r="Q76" s="21" t="str">
        <f t="shared" si="2"/>
        <v/>
      </c>
      <c r="R76" s="1"/>
      <c r="S76" s="1"/>
      <c r="T76" s="1"/>
      <c r="U76" s="1"/>
      <c r="V76" s="1"/>
      <c r="W76" s="1"/>
      <c r="X76" s="1"/>
      <c r="Y76" s="1"/>
      <c r="Z76" s="1"/>
    </row>
    <row r="77" ht="24.0" customHeight="1">
      <c r="A77" s="18" t="s">
        <v>43</v>
      </c>
      <c r="B77" s="18" t="s">
        <v>27</v>
      </c>
      <c r="C77" s="19" t="s">
        <v>28</v>
      </c>
      <c r="D77" s="19" t="s">
        <v>53</v>
      </c>
      <c r="E77" s="19" t="s">
        <v>45</v>
      </c>
      <c r="F77" s="19" t="s">
        <v>34</v>
      </c>
      <c r="G77" s="20">
        <v>3333.0</v>
      </c>
      <c r="H77" s="19" t="s">
        <v>35</v>
      </c>
      <c r="I77" s="19" t="s">
        <v>36</v>
      </c>
      <c r="J77" s="13">
        <f>VLOOKUP(C77&amp;I77&amp;E77,Orig_Dest!$A$2:$E$1876,5,FALSE)</f>
        <v>0</v>
      </c>
      <c r="K77" s="14" t="str">
        <f t="shared" si="1"/>
        <v>Dia 7</v>
      </c>
      <c r="L77" s="21" t="str">
        <f>IF(B77="Fornecedor",IF(VLOOKUP(C77,Base_Dados!$E$1:$F$7,2,FALSE)=F77," ","Fornecedor inválido!")," ")</f>
        <v> </v>
      </c>
      <c r="M77" s="22" t="str">
        <f>IF(AND(LEFT(F77,2)="MP",H77&lt;&gt;Base_Dados!$A$1),"Impossível!!!"," ")</f>
        <v> </v>
      </c>
      <c r="N77" s="21" t="str">
        <f>IF(E77="Avião",IF($G77&lt;=VLOOKUP($F77,Base_Dados!$K$1:$O$7,3,FALSE)," ","Limite "&amp;VLOOKUP($F77,Base_Dados!$K$1:$O$11,3,FALSE)&amp;" "&amp;VLOOKUP($F77,Base_Dados!$K$1:$O$11,2,FALSE))," ")</f>
        <v> </v>
      </c>
      <c r="O77" s="21" t="str">
        <f>IF(E77="Caminhão",IF($G77&lt;=VLOOKUP($F77,Base_Dados!$K$1:$O$7,4,FALSE)," ","Limite "&amp;VLOOKUP($F77,Base_Dados!$K$1:$O$11,4,FALSE)&amp;" "&amp;VLOOKUP($F77,Base_Dados!$K$1:$O$11,2,FALSE))," ")</f>
        <v> </v>
      </c>
      <c r="P77" s="21" t="str">
        <f>IF(E77="Navio",IF($G77&lt;=VLOOKUP($F77,Base_Dados!$K$1:$O$7,5,FALSE)," ","Limite "&amp;VLOOKUP($F77,Base_Dados!$K$1:$O$11,5,FALSE)&amp;" "&amp;VLOOKUP($F77,Base_Dados!$K$1:$O$11,2,FALSE))," ")</f>
        <v> </v>
      </c>
      <c r="Q77" s="21" t="str">
        <f t="shared" si="2"/>
        <v/>
      </c>
      <c r="R77" s="1"/>
      <c r="S77" s="1"/>
      <c r="T77" s="1"/>
      <c r="U77" s="1"/>
      <c r="V77" s="1"/>
      <c r="W77" s="1"/>
      <c r="X77" s="1"/>
      <c r="Y77" s="1"/>
      <c r="Z77" s="1"/>
    </row>
    <row r="78" ht="24.0" customHeight="1">
      <c r="A78" s="18" t="s">
        <v>43</v>
      </c>
      <c r="B78" s="18" t="s">
        <v>27</v>
      </c>
      <c r="C78" s="19" t="s">
        <v>28</v>
      </c>
      <c r="D78" s="19" t="s">
        <v>53</v>
      </c>
      <c r="E78" s="19" t="s">
        <v>45</v>
      </c>
      <c r="F78" s="19" t="s">
        <v>34</v>
      </c>
      <c r="G78" s="20">
        <v>3333.0</v>
      </c>
      <c r="H78" s="19" t="s">
        <v>35</v>
      </c>
      <c r="I78" s="19" t="s">
        <v>36</v>
      </c>
      <c r="J78" s="13">
        <f>VLOOKUP(C78&amp;I78&amp;E78,Orig_Dest!$A$2:$E$1876,5,FALSE)</f>
        <v>0</v>
      </c>
      <c r="K78" s="14" t="str">
        <f t="shared" si="1"/>
        <v>Dia 7</v>
      </c>
      <c r="L78" s="21" t="str">
        <f>IF(B78="Fornecedor",IF(VLOOKUP(C78,Base_Dados!$E$1:$F$7,2,FALSE)=F78," ","Fornecedor inválido!")," ")</f>
        <v> </v>
      </c>
      <c r="M78" s="22" t="str">
        <f>IF(AND(LEFT(F78,2)="MP",H78&lt;&gt;Base_Dados!$A$1),"Impossível!!!"," ")</f>
        <v> </v>
      </c>
      <c r="N78" s="21" t="str">
        <f>IF(E78="Avião",IF($G78&lt;=VLOOKUP($F78,Base_Dados!$K$1:$O$7,3,FALSE)," ","Limite "&amp;VLOOKUP($F78,Base_Dados!$K$1:$O$11,3,FALSE)&amp;" "&amp;VLOOKUP($F78,Base_Dados!$K$1:$O$11,2,FALSE))," ")</f>
        <v> </v>
      </c>
      <c r="O78" s="21" t="str">
        <f>IF(E78="Caminhão",IF($G78&lt;=VLOOKUP($F78,Base_Dados!$K$1:$O$7,4,FALSE)," ","Limite "&amp;VLOOKUP($F78,Base_Dados!$K$1:$O$11,4,FALSE)&amp;" "&amp;VLOOKUP($F78,Base_Dados!$K$1:$O$11,2,FALSE))," ")</f>
        <v> </v>
      </c>
      <c r="P78" s="21" t="str">
        <f>IF(E78="Navio",IF($G78&lt;=VLOOKUP($F78,Base_Dados!$K$1:$O$7,5,FALSE)," ","Limite "&amp;VLOOKUP($F78,Base_Dados!$K$1:$O$11,5,FALSE)&amp;" "&amp;VLOOKUP($F78,Base_Dados!$K$1:$O$11,2,FALSE))," ")</f>
        <v> </v>
      </c>
      <c r="Q78" s="21" t="str">
        <f t="shared" si="2"/>
        <v/>
      </c>
      <c r="R78" s="1"/>
      <c r="S78" s="1"/>
      <c r="T78" s="1"/>
      <c r="U78" s="1"/>
      <c r="V78" s="1"/>
      <c r="W78" s="1"/>
      <c r="X78" s="1"/>
      <c r="Y78" s="1"/>
      <c r="Z78" s="1"/>
    </row>
    <row r="79" ht="24.0" customHeight="1">
      <c r="A79" s="18" t="s">
        <v>43</v>
      </c>
      <c r="B79" s="18" t="s">
        <v>27</v>
      </c>
      <c r="C79" s="19" t="s">
        <v>28</v>
      </c>
      <c r="D79" s="19" t="s">
        <v>53</v>
      </c>
      <c r="E79" s="19" t="s">
        <v>45</v>
      </c>
      <c r="F79" s="19" t="s">
        <v>34</v>
      </c>
      <c r="G79" s="20">
        <v>3333.0</v>
      </c>
      <c r="H79" s="19" t="s">
        <v>35</v>
      </c>
      <c r="I79" s="19" t="s">
        <v>36</v>
      </c>
      <c r="J79" s="13">
        <f>VLOOKUP(C79&amp;I79&amp;E79,Orig_Dest!$A$2:$E$1876,5,FALSE)</f>
        <v>0</v>
      </c>
      <c r="K79" s="14" t="str">
        <f t="shared" si="1"/>
        <v>Dia 7</v>
      </c>
      <c r="L79" s="21" t="str">
        <f>IF(B79="Fornecedor",IF(VLOOKUP(C79,Base_Dados!$E$1:$F$7,2,FALSE)=F79," ","Fornecedor inválido!")," ")</f>
        <v> </v>
      </c>
      <c r="M79" s="22" t="str">
        <f>IF(AND(LEFT(F79,2)="MP",H79&lt;&gt;Base_Dados!$A$1),"Impossível!!!"," ")</f>
        <v> </v>
      </c>
      <c r="N79" s="21" t="str">
        <f>IF(E79="Avião",IF($G79&lt;=VLOOKUP($F79,Base_Dados!$K$1:$O$7,3,FALSE)," ","Limite "&amp;VLOOKUP($F79,Base_Dados!$K$1:$O$11,3,FALSE)&amp;" "&amp;VLOOKUP($F79,Base_Dados!$K$1:$O$11,2,FALSE))," ")</f>
        <v> </v>
      </c>
      <c r="O79" s="21" t="str">
        <f>IF(E79="Caminhão",IF($G79&lt;=VLOOKUP($F79,Base_Dados!$K$1:$O$7,4,FALSE)," ","Limite "&amp;VLOOKUP($F79,Base_Dados!$K$1:$O$11,4,FALSE)&amp;" "&amp;VLOOKUP($F79,Base_Dados!$K$1:$O$11,2,FALSE))," ")</f>
        <v> </v>
      </c>
      <c r="P79" s="21" t="str">
        <f>IF(E79="Navio",IF($G79&lt;=VLOOKUP($F79,Base_Dados!$K$1:$O$7,5,FALSE)," ","Limite "&amp;VLOOKUP($F79,Base_Dados!$K$1:$O$11,5,FALSE)&amp;" "&amp;VLOOKUP($F79,Base_Dados!$K$1:$O$11,2,FALSE))," ")</f>
        <v> </v>
      </c>
      <c r="Q79" s="21" t="str">
        <f t="shared" si="2"/>
        <v/>
      </c>
      <c r="R79" s="1"/>
      <c r="S79" s="1"/>
      <c r="T79" s="1"/>
      <c r="U79" s="1"/>
      <c r="V79" s="1"/>
      <c r="W79" s="1"/>
      <c r="X79" s="1"/>
      <c r="Y79" s="1"/>
      <c r="Z79" s="1"/>
    </row>
    <row r="80" ht="24.0" customHeight="1">
      <c r="A80" s="18" t="s">
        <v>43</v>
      </c>
      <c r="B80" s="18" t="s">
        <v>27</v>
      </c>
      <c r="C80" s="19" t="s">
        <v>28</v>
      </c>
      <c r="D80" s="19" t="s">
        <v>53</v>
      </c>
      <c r="E80" s="19" t="s">
        <v>45</v>
      </c>
      <c r="F80" s="19" t="s">
        <v>34</v>
      </c>
      <c r="G80" s="20">
        <v>3333.0</v>
      </c>
      <c r="H80" s="19" t="s">
        <v>35</v>
      </c>
      <c r="I80" s="19" t="s">
        <v>36</v>
      </c>
      <c r="J80" s="13">
        <f>VLOOKUP(C80&amp;I80&amp;E80,Orig_Dest!$A$2:$E$1876,5,FALSE)</f>
        <v>0</v>
      </c>
      <c r="K80" s="14" t="str">
        <f t="shared" si="1"/>
        <v>Dia 7</v>
      </c>
      <c r="L80" s="21" t="str">
        <f>IF(B80="Fornecedor",IF(VLOOKUP(C80,Base_Dados!$E$1:$F$7,2,FALSE)=F80," ","Fornecedor inválido!")," ")</f>
        <v> </v>
      </c>
      <c r="M80" s="22" t="str">
        <f>IF(AND(LEFT(F80,2)="MP",H80&lt;&gt;Base_Dados!$A$1),"Impossível!!!"," ")</f>
        <v> </v>
      </c>
      <c r="N80" s="21" t="str">
        <f>IF(E80="Avião",IF($G80&lt;=VLOOKUP($F80,Base_Dados!$K$1:$O$7,3,FALSE)," ","Limite "&amp;VLOOKUP($F80,Base_Dados!$K$1:$O$11,3,FALSE)&amp;" "&amp;VLOOKUP($F80,Base_Dados!$K$1:$O$11,2,FALSE))," ")</f>
        <v> </v>
      </c>
      <c r="O80" s="21" t="str">
        <f>IF(E80="Caminhão",IF($G80&lt;=VLOOKUP($F80,Base_Dados!$K$1:$O$7,4,FALSE)," ","Limite "&amp;VLOOKUP($F80,Base_Dados!$K$1:$O$11,4,FALSE)&amp;" "&amp;VLOOKUP($F80,Base_Dados!$K$1:$O$11,2,FALSE))," ")</f>
        <v> </v>
      </c>
      <c r="P80" s="21" t="str">
        <f>IF(E80="Navio",IF($G80&lt;=VLOOKUP($F80,Base_Dados!$K$1:$O$7,5,FALSE)," ","Limite "&amp;VLOOKUP($F80,Base_Dados!$K$1:$O$11,5,FALSE)&amp;" "&amp;VLOOKUP($F80,Base_Dados!$K$1:$O$11,2,FALSE))," ")</f>
        <v> </v>
      </c>
      <c r="Q80" s="21" t="str">
        <f t="shared" si="2"/>
        <v/>
      </c>
      <c r="R80" s="1"/>
      <c r="S80" s="1"/>
      <c r="T80" s="1"/>
      <c r="U80" s="1"/>
      <c r="V80" s="1"/>
      <c r="W80" s="1"/>
      <c r="X80" s="1"/>
      <c r="Y80" s="1"/>
      <c r="Z80" s="1"/>
    </row>
    <row r="81" ht="24.0" customHeight="1">
      <c r="A81" s="18" t="s">
        <v>43</v>
      </c>
      <c r="B81" s="18" t="s">
        <v>27</v>
      </c>
      <c r="C81" s="19" t="s">
        <v>28</v>
      </c>
      <c r="D81" s="19" t="s">
        <v>53</v>
      </c>
      <c r="E81" s="19" t="s">
        <v>45</v>
      </c>
      <c r="F81" s="19" t="s">
        <v>34</v>
      </c>
      <c r="G81" s="20">
        <v>3333.0</v>
      </c>
      <c r="H81" s="19" t="s">
        <v>35</v>
      </c>
      <c r="I81" s="19" t="s">
        <v>36</v>
      </c>
      <c r="J81" s="13">
        <f>VLOOKUP(C81&amp;I81&amp;E81,Orig_Dest!$A$2:$E$1876,5,FALSE)</f>
        <v>0</v>
      </c>
      <c r="K81" s="14" t="str">
        <f t="shared" si="1"/>
        <v>Dia 7</v>
      </c>
      <c r="L81" s="21" t="str">
        <f>IF(B81="Fornecedor",IF(VLOOKUP(C81,Base_Dados!$E$1:$F$7,2,FALSE)=F81," ","Fornecedor inválido!")," ")</f>
        <v> </v>
      </c>
      <c r="M81" s="22" t="str">
        <f>IF(AND(LEFT(F81,2)="MP",H81&lt;&gt;Base_Dados!$A$1),"Impossível!!!"," ")</f>
        <v> </v>
      </c>
      <c r="N81" s="21" t="str">
        <f>IF(E81="Avião",IF($G81&lt;=VLOOKUP($F81,Base_Dados!$K$1:$O$7,3,FALSE)," ","Limite "&amp;VLOOKUP($F81,Base_Dados!$K$1:$O$11,3,FALSE)&amp;" "&amp;VLOOKUP($F81,Base_Dados!$K$1:$O$11,2,FALSE))," ")</f>
        <v> </v>
      </c>
      <c r="O81" s="21" t="str">
        <f>IF(E81="Caminhão",IF($G81&lt;=VLOOKUP($F81,Base_Dados!$K$1:$O$7,4,FALSE)," ","Limite "&amp;VLOOKUP($F81,Base_Dados!$K$1:$O$11,4,FALSE)&amp;" "&amp;VLOOKUP($F81,Base_Dados!$K$1:$O$11,2,FALSE))," ")</f>
        <v> </v>
      </c>
      <c r="P81" s="21" t="str">
        <f>IF(E81="Navio",IF($G81&lt;=VLOOKUP($F81,Base_Dados!$K$1:$O$7,5,FALSE)," ","Limite "&amp;VLOOKUP($F81,Base_Dados!$K$1:$O$11,5,FALSE)&amp;" "&amp;VLOOKUP($F81,Base_Dados!$K$1:$O$11,2,FALSE))," ")</f>
        <v> </v>
      </c>
      <c r="Q81" s="21" t="str">
        <f t="shared" si="2"/>
        <v/>
      </c>
      <c r="R81" s="1"/>
      <c r="S81" s="1"/>
      <c r="T81" s="1"/>
      <c r="U81" s="1"/>
      <c r="V81" s="1"/>
      <c r="W81" s="1"/>
      <c r="X81" s="1"/>
      <c r="Y81" s="1"/>
      <c r="Z81" s="1"/>
    </row>
    <row r="82" ht="24.0" customHeight="1">
      <c r="A82" s="18" t="s">
        <v>43</v>
      </c>
      <c r="B82" s="18" t="s">
        <v>27</v>
      </c>
      <c r="C82" s="19" t="s">
        <v>28</v>
      </c>
      <c r="D82" s="19" t="s">
        <v>53</v>
      </c>
      <c r="E82" s="19" t="s">
        <v>45</v>
      </c>
      <c r="F82" s="19" t="s">
        <v>34</v>
      </c>
      <c r="G82" s="20">
        <v>3333.0</v>
      </c>
      <c r="H82" s="19" t="s">
        <v>35</v>
      </c>
      <c r="I82" s="19" t="s">
        <v>36</v>
      </c>
      <c r="J82" s="13">
        <f>VLOOKUP(C82&amp;I82&amp;E82,Orig_Dest!$A$2:$E$1876,5,FALSE)</f>
        <v>0</v>
      </c>
      <c r="K82" s="14" t="str">
        <f t="shared" si="1"/>
        <v>Dia 7</v>
      </c>
      <c r="L82" s="21" t="str">
        <f>IF(B82="Fornecedor",IF(VLOOKUP(C82,Base_Dados!$E$1:$F$7,2,FALSE)=F82," ","Fornecedor inválido!")," ")</f>
        <v> </v>
      </c>
      <c r="M82" s="22" t="str">
        <f>IF(AND(LEFT(F82,2)="MP",H82&lt;&gt;Base_Dados!$A$1),"Impossível!!!"," ")</f>
        <v> </v>
      </c>
      <c r="N82" s="21" t="str">
        <f>IF(E82="Avião",IF($G82&lt;=VLOOKUP($F82,Base_Dados!$K$1:$O$7,3,FALSE)," ","Limite "&amp;VLOOKUP($F82,Base_Dados!$K$1:$O$11,3,FALSE)&amp;" "&amp;VLOOKUP($F82,Base_Dados!$K$1:$O$11,2,FALSE))," ")</f>
        <v> </v>
      </c>
      <c r="O82" s="21" t="str">
        <f>IF(E82="Caminhão",IF($G82&lt;=VLOOKUP($F82,Base_Dados!$K$1:$O$7,4,FALSE)," ","Limite "&amp;VLOOKUP($F82,Base_Dados!$K$1:$O$11,4,FALSE)&amp;" "&amp;VLOOKUP($F82,Base_Dados!$K$1:$O$11,2,FALSE))," ")</f>
        <v> </v>
      </c>
      <c r="P82" s="21" t="str">
        <f>IF(E82="Navio",IF($G82&lt;=VLOOKUP($F82,Base_Dados!$K$1:$O$7,5,FALSE)," ","Limite "&amp;VLOOKUP($F82,Base_Dados!$K$1:$O$11,5,FALSE)&amp;" "&amp;VLOOKUP($F82,Base_Dados!$K$1:$O$11,2,FALSE))," ")</f>
        <v> </v>
      </c>
      <c r="Q82" s="21" t="str">
        <f t="shared" si="2"/>
        <v/>
      </c>
      <c r="R82" s="1"/>
      <c r="S82" s="1"/>
      <c r="T82" s="1"/>
      <c r="U82" s="1"/>
      <c r="V82" s="1"/>
      <c r="W82" s="1"/>
      <c r="X82" s="1"/>
      <c r="Y82" s="1"/>
      <c r="Z82" s="1"/>
    </row>
    <row r="83" ht="24.0" customHeight="1">
      <c r="A83" s="18" t="s">
        <v>43</v>
      </c>
      <c r="B83" s="18" t="s">
        <v>27</v>
      </c>
      <c r="C83" s="19" t="s">
        <v>28</v>
      </c>
      <c r="D83" s="19" t="s">
        <v>53</v>
      </c>
      <c r="E83" s="19" t="s">
        <v>45</v>
      </c>
      <c r="F83" s="19" t="s">
        <v>34</v>
      </c>
      <c r="G83" s="20">
        <v>3049.0</v>
      </c>
      <c r="H83" s="19" t="s">
        <v>35</v>
      </c>
      <c r="I83" s="19" t="s">
        <v>36</v>
      </c>
      <c r="J83" s="13">
        <f>VLOOKUP(C83&amp;I83&amp;E83,Orig_Dest!$A$2:$E$1876,5,FALSE)</f>
        <v>0</v>
      </c>
      <c r="K83" s="14" t="str">
        <f t="shared" si="1"/>
        <v>Dia 7</v>
      </c>
      <c r="L83" s="21" t="str">
        <f>IF(B83="Fornecedor",IF(VLOOKUP(C83,Base_Dados!$E$1:$F$7,2,FALSE)=F83," ","Fornecedor inválido!")," ")</f>
        <v> </v>
      </c>
      <c r="M83" s="22" t="str">
        <f>IF(AND(LEFT(F83,2)="MP",H83&lt;&gt;Base_Dados!$A$1),"Impossível!!!"," ")</f>
        <v> </v>
      </c>
      <c r="N83" s="21" t="str">
        <f>IF(E83="Avião",IF($G83&lt;=VLOOKUP($F83,Base_Dados!$K$1:$O$7,3,FALSE)," ","Limite "&amp;VLOOKUP($F83,Base_Dados!$K$1:$O$11,3,FALSE)&amp;" "&amp;VLOOKUP($F83,Base_Dados!$K$1:$O$11,2,FALSE))," ")</f>
        <v> </v>
      </c>
      <c r="O83" s="21" t="str">
        <f>IF(E83="Caminhão",IF($G83&lt;=VLOOKUP($F83,Base_Dados!$K$1:$O$7,4,FALSE)," ","Limite "&amp;VLOOKUP($F83,Base_Dados!$K$1:$O$11,4,FALSE)&amp;" "&amp;VLOOKUP($F83,Base_Dados!$K$1:$O$11,2,FALSE))," ")</f>
        <v> </v>
      </c>
      <c r="P83" s="21" t="str">
        <f>IF(E83="Navio",IF($G83&lt;=VLOOKUP($F83,Base_Dados!$K$1:$O$7,5,FALSE)," ","Limite "&amp;VLOOKUP($F83,Base_Dados!$K$1:$O$11,5,FALSE)&amp;" "&amp;VLOOKUP($F83,Base_Dados!$K$1:$O$11,2,FALSE))," ")</f>
        <v> </v>
      </c>
      <c r="Q83" s="21" t="str">
        <f t="shared" si="2"/>
        <v/>
      </c>
      <c r="R83" s="1"/>
      <c r="S83" s="1"/>
      <c r="T83" s="1"/>
      <c r="U83" s="1"/>
      <c r="V83" s="1"/>
      <c r="W83" s="1"/>
      <c r="X83" s="1"/>
      <c r="Y83" s="1"/>
      <c r="Z83" s="1"/>
    </row>
    <row r="84" ht="24.0" customHeight="1">
      <c r="A84" s="18" t="s">
        <v>43</v>
      </c>
      <c r="B84" s="18" t="s">
        <v>27</v>
      </c>
      <c r="C84" s="19" t="s">
        <v>28</v>
      </c>
      <c r="D84" s="19" t="s">
        <v>54</v>
      </c>
      <c r="E84" s="19" t="s">
        <v>45</v>
      </c>
      <c r="F84" s="19" t="s">
        <v>34</v>
      </c>
      <c r="G84" s="20">
        <v>3333.0</v>
      </c>
      <c r="H84" s="19" t="s">
        <v>35</v>
      </c>
      <c r="I84" s="19" t="s">
        <v>36</v>
      </c>
      <c r="J84" s="13">
        <f>VLOOKUP(C84&amp;I84&amp;E84,Orig_Dest!$A$2:$E$1876,5,FALSE)</f>
        <v>0</v>
      </c>
      <c r="K84" s="14" t="str">
        <f t="shared" si="1"/>
        <v>Dia 8</v>
      </c>
      <c r="L84" s="21" t="str">
        <f>IF(B84="Fornecedor",IF(VLOOKUP(C84,Base_Dados!$E$1:$F$7,2,FALSE)=F84," ","Fornecedor inválido!")," ")</f>
        <v> </v>
      </c>
      <c r="M84" s="22" t="str">
        <f>IF(AND(LEFT(F84,2)="MP",H84&lt;&gt;Base_Dados!$A$1),"Impossível!!!"," ")</f>
        <v> </v>
      </c>
      <c r="N84" s="21" t="str">
        <f>IF(E84="Avião",IF($G84&lt;=VLOOKUP($F84,Base_Dados!$K$1:$O$7,3,FALSE)," ","Limite "&amp;VLOOKUP($F84,Base_Dados!$K$1:$O$11,3,FALSE)&amp;" "&amp;VLOOKUP($F84,Base_Dados!$K$1:$O$11,2,FALSE))," ")</f>
        <v> </v>
      </c>
      <c r="O84" s="21" t="str">
        <f>IF(E84="Caminhão",IF($G84&lt;=VLOOKUP($F84,Base_Dados!$K$1:$O$7,4,FALSE)," ","Limite "&amp;VLOOKUP($F84,Base_Dados!$K$1:$O$11,4,FALSE)&amp;" "&amp;VLOOKUP($F84,Base_Dados!$K$1:$O$11,2,FALSE))," ")</f>
        <v> </v>
      </c>
      <c r="P84" s="21" t="str">
        <f>IF(E84="Navio",IF($G84&lt;=VLOOKUP($F84,Base_Dados!$K$1:$O$7,5,FALSE)," ","Limite "&amp;VLOOKUP($F84,Base_Dados!$K$1:$O$11,5,FALSE)&amp;" "&amp;VLOOKUP($F84,Base_Dados!$K$1:$O$11,2,FALSE))," ")</f>
        <v> </v>
      </c>
      <c r="Q84" s="21" t="str">
        <f t="shared" si="2"/>
        <v/>
      </c>
      <c r="R84" s="1"/>
      <c r="S84" s="1"/>
      <c r="T84" s="1"/>
      <c r="U84" s="1"/>
      <c r="V84" s="1"/>
      <c r="W84" s="1"/>
      <c r="X84" s="1"/>
      <c r="Y84" s="1"/>
      <c r="Z84" s="1"/>
    </row>
    <row r="85" ht="24.0" customHeight="1">
      <c r="A85" s="18" t="s">
        <v>43</v>
      </c>
      <c r="B85" s="18" t="s">
        <v>27</v>
      </c>
      <c r="C85" s="19" t="s">
        <v>28</v>
      </c>
      <c r="D85" s="19" t="s">
        <v>54</v>
      </c>
      <c r="E85" s="19" t="s">
        <v>45</v>
      </c>
      <c r="F85" s="19" t="s">
        <v>34</v>
      </c>
      <c r="G85" s="20">
        <v>3333.0</v>
      </c>
      <c r="H85" s="19" t="s">
        <v>35</v>
      </c>
      <c r="I85" s="19" t="s">
        <v>36</v>
      </c>
      <c r="J85" s="13">
        <f>VLOOKUP(C85&amp;I85&amp;E85,Orig_Dest!$A$2:$E$1876,5,FALSE)</f>
        <v>0</v>
      </c>
      <c r="K85" s="14" t="str">
        <f t="shared" si="1"/>
        <v>Dia 8</v>
      </c>
      <c r="L85" s="21" t="str">
        <f>IF(B85="Fornecedor",IF(VLOOKUP(C85,Base_Dados!$E$1:$F$7,2,FALSE)=F85," ","Fornecedor inválido!")," ")</f>
        <v> </v>
      </c>
      <c r="M85" s="22" t="str">
        <f>IF(AND(LEFT(F85,2)="MP",H85&lt;&gt;Base_Dados!$A$1),"Impossível!!!"," ")</f>
        <v> </v>
      </c>
      <c r="N85" s="21" t="str">
        <f>IF(E85="Avião",IF($G85&lt;=VLOOKUP($F85,Base_Dados!$K$1:$O$7,3,FALSE)," ","Limite "&amp;VLOOKUP($F85,Base_Dados!$K$1:$O$11,3,FALSE)&amp;" "&amp;VLOOKUP($F85,Base_Dados!$K$1:$O$11,2,FALSE))," ")</f>
        <v> </v>
      </c>
      <c r="O85" s="21" t="str">
        <f>IF(E85="Caminhão",IF($G85&lt;=VLOOKUP($F85,Base_Dados!$K$1:$O$7,4,FALSE)," ","Limite "&amp;VLOOKUP($F85,Base_Dados!$K$1:$O$11,4,FALSE)&amp;" "&amp;VLOOKUP($F85,Base_Dados!$K$1:$O$11,2,FALSE))," ")</f>
        <v> </v>
      </c>
      <c r="P85" s="21" t="str">
        <f>IF(E85="Navio",IF($G85&lt;=VLOOKUP($F85,Base_Dados!$K$1:$O$7,5,FALSE)," ","Limite "&amp;VLOOKUP($F85,Base_Dados!$K$1:$O$11,5,FALSE)&amp;" "&amp;VLOOKUP($F85,Base_Dados!$K$1:$O$11,2,FALSE))," ")</f>
        <v> </v>
      </c>
      <c r="Q85" s="21" t="str">
        <f t="shared" si="2"/>
        <v/>
      </c>
      <c r="R85" s="1"/>
      <c r="S85" s="29"/>
      <c r="T85" s="1"/>
      <c r="U85" s="1"/>
      <c r="V85" s="1"/>
      <c r="W85" s="1"/>
      <c r="X85" s="1"/>
      <c r="Y85" s="1"/>
      <c r="Z85" s="1"/>
    </row>
    <row r="86" ht="24.0" customHeight="1">
      <c r="A86" s="18" t="s">
        <v>43</v>
      </c>
      <c r="B86" s="18" t="s">
        <v>27</v>
      </c>
      <c r="C86" s="19" t="s">
        <v>28</v>
      </c>
      <c r="D86" s="19" t="s">
        <v>54</v>
      </c>
      <c r="E86" s="19" t="s">
        <v>45</v>
      </c>
      <c r="F86" s="19" t="s">
        <v>34</v>
      </c>
      <c r="G86" s="20">
        <v>3333.0</v>
      </c>
      <c r="H86" s="19" t="s">
        <v>35</v>
      </c>
      <c r="I86" s="19" t="s">
        <v>36</v>
      </c>
      <c r="J86" s="13">
        <f>VLOOKUP(C86&amp;I86&amp;E86,Orig_Dest!$A$2:$E$1876,5,FALSE)</f>
        <v>0</v>
      </c>
      <c r="K86" s="14" t="str">
        <f t="shared" si="1"/>
        <v>Dia 8</v>
      </c>
      <c r="L86" s="21" t="str">
        <f>IF(B86="Fornecedor",IF(VLOOKUP(C86,Base_Dados!$E$1:$F$7,2,FALSE)=F86," ","Fornecedor inválido!")," ")</f>
        <v> </v>
      </c>
      <c r="M86" s="22" t="str">
        <f>IF(AND(LEFT(F86,2)="MP",H86&lt;&gt;Base_Dados!$A$1),"Impossível!!!"," ")</f>
        <v> </v>
      </c>
      <c r="N86" s="21" t="str">
        <f>IF(E86="Avião",IF($G86&lt;=VLOOKUP($F86,Base_Dados!$K$1:$O$7,3,FALSE)," ","Limite "&amp;VLOOKUP($F86,Base_Dados!$K$1:$O$11,3,FALSE)&amp;" "&amp;VLOOKUP($F86,Base_Dados!$K$1:$O$11,2,FALSE))," ")</f>
        <v> </v>
      </c>
      <c r="O86" s="21" t="str">
        <f>IF(E86="Caminhão",IF($G86&lt;=VLOOKUP($F86,Base_Dados!$K$1:$O$7,4,FALSE)," ","Limite "&amp;VLOOKUP($F86,Base_Dados!$K$1:$O$11,4,FALSE)&amp;" "&amp;VLOOKUP($F86,Base_Dados!$K$1:$O$11,2,FALSE))," ")</f>
        <v> </v>
      </c>
      <c r="P86" s="21" t="str">
        <f>IF(E86="Navio",IF($G86&lt;=VLOOKUP($F86,Base_Dados!$K$1:$O$7,5,FALSE)," ","Limite "&amp;VLOOKUP($F86,Base_Dados!$K$1:$O$11,5,FALSE)&amp;" "&amp;VLOOKUP($F86,Base_Dados!$K$1:$O$11,2,FALSE))," ")</f>
        <v> </v>
      </c>
      <c r="Q86" s="21" t="str">
        <f t="shared" si="2"/>
        <v/>
      </c>
      <c r="R86" s="1"/>
      <c r="S86" s="29"/>
      <c r="T86" s="1"/>
      <c r="U86" s="1"/>
      <c r="V86" s="1"/>
      <c r="W86" s="1"/>
      <c r="X86" s="1"/>
      <c r="Y86" s="1"/>
      <c r="Z86" s="1"/>
    </row>
    <row r="87" ht="24.0" customHeight="1">
      <c r="A87" s="18" t="s">
        <v>43</v>
      </c>
      <c r="B87" s="18" t="s">
        <v>27</v>
      </c>
      <c r="C87" s="19" t="s">
        <v>28</v>
      </c>
      <c r="D87" s="19" t="s">
        <v>54</v>
      </c>
      <c r="E87" s="19" t="s">
        <v>45</v>
      </c>
      <c r="F87" s="19" t="s">
        <v>34</v>
      </c>
      <c r="G87" s="20">
        <v>3333.0</v>
      </c>
      <c r="H87" s="19" t="s">
        <v>35</v>
      </c>
      <c r="I87" s="19" t="s">
        <v>36</v>
      </c>
      <c r="J87" s="13">
        <f>VLOOKUP(C87&amp;I87&amp;E87,Orig_Dest!$A$2:$E$1876,5,FALSE)</f>
        <v>0</v>
      </c>
      <c r="K87" s="14" t="str">
        <f t="shared" si="1"/>
        <v>Dia 8</v>
      </c>
      <c r="L87" s="21" t="str">
        <f>IF(B87="Fornecedor",IF(VLOOKUP(C87,Base_Dados!$E$1:$F$7,2,FALSE)=F87," ","Fornecedor inválido!")," ")</f>
        <v> </v>
      </c>
      <c r="M87" s="22" t="str">
        <f>IF(AND(LEFT(F87,2)="MP",H87&lt;&gt;Base_Dados!$A$1),"Impossível!!!"," ")</f>
        <v> </v>
      </c>
      <c r="N87" s="21" t="str">
        <f>IF(E87="Avião",IF($G87&lt;=VLOOKUP($F87,Base_Dados!$K$1:$O$7,3,FALSE)," ","Limite "&amp;VLOOKUP($F87,Base_Dados!$K$1:$O$11,3,FALSE)&amp;" "&amp;VLOOKUP($F87,Base_Dados!$K$1:$O$11,2,FALSE))," ")</f>
        <v> </v>
      </c>
      <c r="O87" s="21" t="str">
        <f>IF(E87="Caminhão",IF($G87&lt;=VLOOKUP($F87,Base_Dados!$K$1:$O$7,4,FALSE)," ","Limite "&amp;VLOOKUP($F87,Base_Dados!$K$1:$O$11,4,FALSE)&amp;" "&amp;VLOOKUP($F87,Base_Dados!$K$1:$O$11,2,FALSE))," ")</f>
        <v> </v>
      </c>
      <c r="P87" s="21" t="str">
        <f>IF(E87="Navio",IF($G87&lt;=VLOOKUP($F87,Base_Dados!$K$1:$O$7,5,FALSE)," ","Limite "&amp;VLOOKUP($F87,Base_Dados!$K$1:$O$11,5,FALSE)&amp;" "&amp;VLOOKUP($F87,Base_Dados!$K$1:$O$11,2,FALSE))," ")</f>
        <v> </v>
      </c>
      <c r="Q87" s="21" t="str">
        <f t="shared" si="2"/>
        <v/>
      </c>
      <c r="R87" s="1"/>
      <c r="S87" s="29"/>
      <c r="T87" s="1"/>
      <c r="U87" s="1"/>
      <c r="V87" s="1"/>
      <c r="W87" s="1"/>
      <c r="X87" s="1"/>
      <c r="Y87" s="1"/>
      <c r="Z87" s="1"/>
    </row>
    <row r="88" ht="24.0" customHeight="1">
      <c r="A88" s="18" t="s">
        <v>43</v>
      </c>
      <c r="B88" s="18" t="s">
        <v>27</v>
      </c>
      <c r="C88" s="19" t="s">
        <v>28</v>
      </c>
      <c r="D88" s="19" t="s">
        <v>54</v>
      </c>
      <c r="E88" s="19" t="s">
        <v>45</v>
      </c>
      <c r="F88" s="19" t="s">
        <v>34</v>
      </c>
      <c r="G88" s="20">
        <v>3333.0</v>
      </c>
      <c r="H88" s="19" t="s">
        <v>35</v>
      </c>
      <c r="I88" s="19" t="s">
        <v>36</v>
      </c>
      <c r="J88" s="13">
        <f>VLOOKUP(C88&amp;I88&amp;E88,Orig_Dest!$A$2:$E$1876,5,FALSE)</f>
        <v>0</v>
      </c>
      <c r="K88" s="14" t="str">
        <f t="shared" si="1"/>
        <v>Dia 8</v>
      </c>
      <c r="L88" s="21" t="str">
        <f>IF(B88="Fornecedor",IF(VLOOKUP(C88,Base_Dados!$E$1:$F$7,2,FALSE)=F88," ","Fornecedor inválido!")," ")</f>
        <v> </v>
      </c>
      <c r="M88" s="22" t="str">
        <f>IF(AND(LEFT(F88,2)="MP",H88&lt;&gt;Base_Dados!$A$1),"Impossível!!!"," ")</f>
        <v> </v>
      </c>
      <c r="N88" s="21" t="str">
        <f>IF(E88="Avião",IF($G88&lt;=VLOOKUP($F88,Base_Dados!$K$1:$O$7,3,FALSE)," ","Limite "&amp;VLOOKUP($F88,Base_Dados!$K$1:$O$11,3,FALSE)&amp;" "&amp;VLOOKUP($F88,Base_Dados!$K$1:$O$11,2,FALSE))," ")</f>
        <v> </v>
      </c>
      <c r="O88" s="21" t="str">
        <f>IF(E88="Caminhão",IF($G88&lt;=VLOOKUP($F88,Base_Dados!$K$1:$O$7,4,FALSE)," ","Limite "&amp;VLOOKUP($F88,Base_Dados!$K$1:$O$11,4,FALSE)&amp;" "&amp;VLOOKUP($F88,Base_Dados!$K$1:$O$11,2,FALSE))," ")</f>
        <v> </v>
      </c>
      <c r="P88" s="21" t="str">
        <f>IF(E88="Navio",IF($G88&lt;=VLOOKUP($F88,Base_Dados!$K$1:$O$7,5,FALSE)," ","Limite "&amp;VLOOKUP($F88,Base_Dados!$K$1:$O$11,5,FALSE)&amp;" "&amp;VLOOKUP($F88,Base_Dados!$K$1:$O$11,2,FALSE))," ")</f>
        <v> </v>
      </c>
      <c r="Q88" s="21" t="str">
        <f t="shared" si="2"/>
        <v/>
      </c>
      <c r="R88" s="1"/>
      <c r="S88" s="29"/>
      <c r="T88" s="1"/>
      <c r="U88" s="1"/>
      <c r="V88" s="1"/>
      <c r="W88" s="1"/>
      <c r="X88" s="1"/>
      <c r="Y88" s="1"/>
      <c r="Z88" s="1"/>
    </row>
    <row r="89" ht="24.0" customHeight="1">
      <c r="A89" s="18" t="s">
        <v>43</v>
      </c>
      <c r="B89" s="18" t="s">
        <v>27</v>
      </c>
      <c r="C89" s="19" t="s">
        <v>28</v>
      </c>
      <c r="D89" s="19" t="s">
        <v>54</v>
      </c>
      <c r="E89" s="19" t="s">
        <v>45</v>
      </c>
      <c r="F89" s="19" t="s">
        <v>34</v>
      </c>
      <c r="G89" s="20">
        <v>1363.0</v>
      </c>
      <c r="H89" s="19" t="s">
        <v>35</v>
      </c>
      <c r="I89" s="19" t="s">
        <v>36</v>
      </c>
      <c r="J89" s="13">
        <f>VLOOKUP(C89&amp;I89&amp;E89,Orig_Dest!$A$2:$E$1876,5,FALSE)</f>
        <v>0</v>
      </c>
      <c r="K89" s="14" t="str">
        <f t="shared" si="1"/>
        <v>Dia 8</v>
      </c>
      <c r="L89" s="21" t="str">
        <f>IF(B89="Fornecedor",IF(VLOOKUP(C89,Base_Dados!$E$1:$F$7,2,FALSE)=F89," ","Fornecedor inválido!")," ")</f>
        <v> </v>
      </c>
      <c r="M89" s="22" t="str">
        <f>IF(AND(LEFT(F89,2)="MP",H89&lt;&gt;Base_Dados!$A$1),"Impossível!!!"," ")</f>
        <v> </v>
      </c>
      <c r="N89" s="21" t="str">
        <f>IF(E89="Avião",IF($G89&lt;=VLOOKUP($F89,Base_Dados!$K$1:$O$7,3,FALSE)," ","Limite "&amp;VLOOKUP($F89,Base_Dados!$K$1:$O$11,3,FALSE)&amp;" "&amp;VLOOKUP($F89,Base_Dados!$K$1:$O$11,2,FALSE))," ")</f>
        <v> </v>
      </c>
      <c r="O89" s="21" t="str">
        <f>IF(E89="Caminhão",IF($G89&lt;=VLOOKUP($F89,Base_Dados!$K$1:$O$7,4,FALSE)," ","Limite "&amp;VLOOKUP($F89,Base_Dados!$K$1:$O$11,4,FALSE)&amp;" "&amp;VLOOKUP($F89,Base_Dados!$K$1:$O$11,2,FALSE))," ")</f>
        <v> </v>
      </c>
      <c r="P89" s="21" t="str">
        <f>IF(E89="Navio",IF($G89&lt;=VLOOKUP($F89,Base_Dados!$K$1:$O$7,5,FALSE)," ","Limite "&amp;VLOOKUP($F89,Base_Dados!$K$1:$O$11,5,FALSE)&amp;" "&amp;VLOOKUP($F89,Base_Dados!$K$1:$O$11,2,FALSE))," ")</f>
        <v> </v>
      </c>
      <c r="Q89" s="21" t="str">
        <f t="shared" si="2"/>
        <v/>
      </c>
      <c r="R89" s="1"/>
      <c r="S89" s="29"/>
      <c r="T89" s="1"/>
      <c r="U89" s="1"/>
      <c r="V89" s="1"/>
      <c r="W89" s="1"/>
      <c r="X89" s="1"/>
      <c r="Y89" s="1"/>
      <c r="Z89" s="1"/>
    </row>
    <row r="90" ht="24.0" customHeight="1">
      <c r="A90" s="18" t="s">
        <v>43</v>
      </c>
      <c r="B90" s="18" t="s">
        <v>27</v>
      </c>
      <c r="C90" s="19" t="s">
        <v>28</v>
      </c>
      <c r="D90" s="19" t="s">
        <v>54</v>
      </c>
      <c r="E90" s="19" t="s">
        <v>45</v>
      </c>
      <c r="F90" s="19" t="s">
        <v>34</v>
      </c>
      <c r="G90" s="20">
        <v>3333.0</v>
      </c>
      <c r="H90" s="19" t="s">
        <v>35</v>
      </c>
      <c r="I90" s="19" t="s">
        <v>38</v>
      </c>
      <c r="J90" s="13">
        <f>VLOOKUP(C90&amp;I90&amp;E90,Orig_Dest!$A$2:$E$1876,5,FALSE)</f>
        <v>0</v>
      </c>
      <c r="K90" s="14" t="str">
        <f t="shared" si="1"/>
        <v>Dia 8</v>
      </c>
      <c r="L90" s="21" t="str">
        <f>IF(B90="Fornecedor",IF(VLOOKUP(C90,Base_Dados!$E$1:$F$7,2,FALSE)=F90," ","Fornecedor inválido!")," ")</f>
        <v> </v>
      </c>
      <c r="M90" s="22" t="str">
        <f>IF(AND(LEFT(F90,2)="MP",H90&lt;&gt;Base_Dados!$A$1),"Impossível!!!"," ")</f>
        <v> </v>
      </c>
      <c r="N90" s="21" t="str">
        <f>IF(E90="Avião",IF($G90&lt;=VLOOKUP($F90,Base_Dados!$K$1:$O$7,3,FALSE)," ","Limite "&amp;VLOOKUP($F90,Base_Dados!$K$1:$O$11,3,FALSE)&amp;" "&amp;VLOOKUP($F90,Base_Dados!$K$1:$O$11,2,FALSE))," ")</f>
        <v> </v>
      </c>
      <c r="O90" s="21" t="str">
        <f>IF(E90="Caminhão",IF($G90&lt;=VLOOKUP($F90,Base_Dados!$K$1:$O$7,4,FALSE)," ","Limite "&amp;VLOOKUP($F90,Base_Dados!$K$1:$O$11,4,FALSE)&amp;" "&amp;VLOOKUP($F90,Base_Dados!$K$1:$O$11,2,FALSE))," ")</f>
        <v> </v>
      </c>
      <c r="P90" s="21" t="str">
        <f>IF(E90="Navio",IF($G90&lt;=VLOOKUP($F90,Base_Dados!$K$1:$O$7,5,FALSE)," ","Limite "&amp;VLOOKUP($F90,Base_Dados!$K$1:$O$11,5,FALSE)&amp;" "&amp;VLOOKUP($F90,Base_Dados!$K$1:$O$11,2,FALSE))," ")</f>
        <v> </v>
      </c>
      <c r="Q90" s="21" t="str">
        <f t="shared" si="2"/>
        <v/>
      </c>
      <c r="R90" s="1"/>
      <c r="S90" s="29"/>
      <c r="T90" s="1"/>
      <c r="U90" s="1"/>
      <c r="V90" s="1"/>
      <c r="W90" s="1"/>
      <c r="X90" s="1"/>
      <c r="Y90" s="1"/>
      <c r="Z90" s="1"/>
    </row>
    <row r="91" ht="24.0" customHeight="1">
      <c r="A91" s="18" t="s">
        <v>43</v>
      </c>
      <c r="B91" s="18" t="s">
        <v>27</v>
      </c>
      <c r="C91" s="19" t="s">
        <v>28</v>
      </c>
      <c r="D91" s="19" t="s">
        <v>54</v>
      </c>
      <c r="E91" s="19" t="s">
        <v>45</v>
      </c>
      <c r="F91" s="19" t="s">
        <v>34</v>
      </c>
      <c r="G91" s="20">
        <v>3333.0</v>
      </c>
      <c r="H91" s="19" t="s">
        <v>35</v>
      </c>
      <c r="I91" s="19" t="s">
        <v>38</v>
      </c>
      <c r="J91" s="13">
        <f>VLOOKUP(C91&amp;I91&amp;E91,Orig_Dest!$A$2:$E$1876,5,FALSE)</f>
        <v>0</v>
      </c>
      <c r="K91" s="14" t="str">
        <f t="shared" si="1"/>
        <v>Dia 8</v>
      </c>
      <c r="L91" s="21" t="str">
        <f>IF(B91="Fornecedor",IF(VLOOKUP(C91,Base_Dados!$E$1:$F$7,2,FALSE)=F91," ","Fornecedor inválido!")," ")</f>
        <v> </v>
      </c>
      <c r="M91" s="22" t="str">
        <f>IF(AND(LEFT(F91,2)="MP",H91&lt;&gt;Base_Dados!$A$1),"Impossível!!!"," ")</f>
        <v> </v>
      </c>
      <c r="N91" s="21" t="str">
        <f>IF(E91="Avião",IF($G91&lt;=VLOOKUP($F91,Base_Dados!$K$1:$O$7,3,FALSE)," ","Limite "&amp;VLOOKUP($F91,Base_Dados!$K$1:$O$11,3,FALSE)&amp;" "&amp;VLOOKUP($F91,Base_Dados!$K$1:$O$11,2,FALSE))," ")</f>
        <v> </v>
      </c>
      <c r="O91" s="21" t="str">
        <f>IF(E91="Caminhão",IF($G91&lt;=VLOOKUP($F91,Base_Dados!$K$1:$O$7,4,FALSE)," ","Limite "&amp;VLOOKUP($F91,Base_Dados!$K$1:$O$11,4,FALSE)&amp;" "&amp;VLOOKUP($F91,Base_Dados!$K$1:$O$11,2,FALSE))," ")</f>
        <v> </v>
      </c>
      <c r="P91" s="21" t="str">
        <f>IF(E91="Navio",IF($G91&lt;=VLOOKUP($F91,Base_Dados!$K$1:$O$7,5,FALSE)," ","Limite "&amp;VLOOKUP($F91,Base_Dados!$K$1:$O$11,5,FALSE)&amp;" "&amp;VLOOKUP($F91,Base_Dados!$K$1:$O$11,2,FALSE))," ")</f>
        <v> </v>
      </c>
      <c r="Q91" s="21" t="str">
        <f t="shared" si="2"/>
        <v/>
      </c>
      <c r="R91" s="1"/>
      <c r="S91" s="29"/>
      <c r="T91" s="1"/>
      <c r="U91" s="1"/>
      <c r="V91" s="1"/>
      <c r="W91" s="1"/>
      <c r="X91" s="1"/>
      <c r="Y91" s="1"/>
      <c r="Z91" s="1"/>
    </row>
    <row r="92" ht="24.0" customHeight="1">
      <c r="A92" s="18" t="s">
        <v>43</v>
      </c>
      <c r="B92" s="18" t="s">
        <v>27</v>
      </c>
      <c r="C92" s="19" t="s">
        <v>28</v>
      </c>
      <c r="D92" s="19" t="s">
        <v>54</v>
      </c>
      <c r="E92" s="19" t="s">
        <v>45</v>
      </c>
      <c r="F92" s="19" t="s">
        <v>34</v>
      </c>
      <c r="G92" s="20">
        <v>3333.0</v>
      </c>
      <c r="H92" s="19" t="s">
        <v>35</v>
      </c>
      <c r="I92" s="19" t="s">
        <v>38</v>
      </c>
      <c r="J92" s="13">
        <f>VLOOKUP(C92&amp;I92&amp;E92,Orig_Dest!$A$2:$E$1876,5,FALSE)</f>
        <v>0</v>
      </c>
      <c r="K92" s="14" t="str">
        <f t="shared" si="1"/>
        <v>Dia 8</v>
      </c>
      <c r="L92" s="21" t="str">
        <f>IF(B92="Fornecedor",IF(VLOOKUP(C92,Base_Dados!$E$1:$F$7,2,FALSE)=F92," ","Fornecedor inválido!")," ")</f>
        <v> </v>
      </c>
      <c r="M92" s="22" t="str">
        <f>IF(AND(LEFT(F92,2)="MP",H92&lt;&gt;Base_Dados!$A$1),"Impossível!!!"," ")</f>
        <v> </v>
      </c>
      <c r="N92" s="21" t="str">
        <f>IF(E92="Avião",IF($G92&lt;=VLOOKUP($F92,Base_Dados!$K$1:$O$7,3,FALSE)," ","Limite "&amp;VLOOKUP($F92,Base_Dados!$K$1:$O$11,3,FALSE)&amp;" "&amp;VLOOKUP($F92,Base_Dados!$K$1:$O$11,2,FALSE))," ")</f>
        <v> </v>
      </c>
      <c r="O92" s="21" t="str">
        <f>IF(E92="Caminhão",IF($G92&lt;=VLOOKUP($F92,Base_Dados!$K$1:$O$7,4,FALSE)," ","Limite "&amp;VLOOKUP($F92,Base_Dados!$K$1:$O$11,4,FALSE)&amp;" "&amp;VLOOKUP($F92,Base_Dados!$K$1:$O$11,2,FALSE))," ")</f>
        <v> </v>
      </c>
      <c r="P92" s="21" t="str">
        <f>IF(E92="Navio",IF($G92&lt;=VLOOKUP($F92,Base_Dados!$K$1:$O$7,5,FALSE)," ","Limite "&amp;VLOOKUP($F92,Base_Dados!$K$1:$O$11,5,FALSE)&amp;" "&amp;VLOOKUP($F92,Base_Dados!$K$1:$O$11,2,FALSE))," ")</f>
        <v> </v>
      </c>
      <c r="Q92" s="21" t="str">
        <f t="shared" si="2"/>
        <v/>
      </c>
      <c r="R92" s="1"/>
      <c r="S92" s="29"/>
      <c r="T92" s="1"/>
      <c r="U92" s="1"/>
      <c r="V92" s="1"/>
      <c r="W92" s="1"/>
      <c r="X92" s="1"/>
      <c r="Y92" s="1"/>
      <c r="Z92" s="1"/>
    </row>
    <row r="93" ht="24.0" customHeight="1">
      <c r="A93" s="18" t="s">
        <v>43</v>
      </c>
      <c r="B93" s="18" t="s">
        <v>27</v>
      </c>
      <c r="C93" s="19" t="s">
        <v>28</v>
      </c>
      <c r="D93" s="19" t="s">
        <v>54</v>
      </c>
      <c r="E93" s="19" t="s">
        <v>45</v>
      </c>
      <c r="F93" s="19" t="s">
        <v>34</v>
      </c>
      <c r="G93" s="20">
        <v>3333.0</v>
      </c>
      <c r="H93" s="19" t="s">
        <v>35</v>
      </c>
      <c r="I93" s="19" t="s">
        <v>38</v>
      </c>
      <c r="J93" s="13">
        <f>VLOOKUP(C93&amp;I93&amp;E93,Orig_Dest!$A$2:$E$1876,5,FALSE)</f>
        <v>0</v>
      </c>
      <c r="K93" s="14" t="str">
        <f t="shared" si="1"/>
        <v>Dia 8</v>
      </c>
      <c r="L93" s="21" t="str">
        <f>IF(B93="Fornecedor",IF(VLOOKUP(C93,Base_Dados!$E$1:$F$7,2,FALSE)=F93," ","Fornecedor inválido!")," ")</f>
        <v> </v>
      </c>
      <c r="M93" s="22" t="str">
        <f>IF(AND(LEFT(F93,2)="MP",H93&lt;&gt;Base_Dados!$A$1),"Impossível!!!"," ")</f>
        <v> </v>
      </c>
      <c r="N93" s="21" t="str">
        <f>IF(E93="Avião",IF($G93&lt;=VLOOKUP($F93,Base_Dados!$K$1:$O$7,3,FALSE)," ","Limite "&amp;VLOOKUP($F93,Base_Dados!$K$1:$O$11,3,FALSE)&amp;" "&amp;VLOOKUP($F93,Base_Dados!$K$1:$O$11,2,FALSE))," ")</f>
        <v> </v>
      </c>
      <c r="O93" s="21" t="str">
        <f>IF(E93="Caminhão",IF($G93&lt;=VLOOKUP($F93,Base_Dados!$K$1:$O$7,4,FALSE)," ","Limite "&amp;VLOOKUP($F93,Base_Dados!$K$1:$O$11,4,FALSE)&amp;" "&amp;VLOOKUP($F93,Base_Dados!$K$1:$O$11,2,FALSE))," ")</f>
        <v> </v>
      </c>
      <c r="P93" s="21" t="str">
        <f>IF(E93="Navio",IF($G93&lt;=VLOOKUP($F93,Base_Dados!$K$1:$O$7,5,FALSE)," ","Limite "&amp;VLOOKUP($F93,Base_Dados!$K$1:$O$11,5,FALSE)&amp;" "&amp;VLOOKUP($F93,Base_Dados!$K$1:$O$11,2,FALSE))," ")</f>
        <v> </v>
      </c>
      <c r="Q93" s="21" t="str">
        <f t="shared" si="2"/>
        <v/>
      </c>
      <c r="R93" s="1"/>
      <c r="S93" s="29"/>
      <c r="T93" s="1"/>
      <c r="U93" s="1"/>
      <c r="V93" s="1"/>
      <c r="W93" s="1"/>
      <c r="X93" s="1"/>
      <c r="Y93" s="1"/>
      <c r="Z93" s="1"/>
    </row>
    <row r="94" ht="24.0" customHeight="1">
      <c r="A94" s="18" t="s">
        <v>43</v>
      </c>
      <c r="B94" s="18" t="s">
        <v>27</v>
      </c>
      <c r="C94" s="19" t="s">
        <v>28</v>
      </c>
      <c r="D94" s="19" t="s">
        <v>54</v>
      </c>
      <c r="E94" s="19" t="s">
        <v>45</v>
      </c>
      <c r="F94" s="19" t="s">
        <v>34</v>
      </c>
      <c r="G94" s="20">
        <v>3333.0</v>
      </c>
      <c r="H94" s="19" t="s">
        <v>35</v>
      </c>
      <c r="I94" s="19" t="s">
        <v>38</v>
      </c>
      <c r="J94" s="13">
        <f>VLOOKUP(C94&amp;I94&amp;E94,Orig_Dest!$A$2:$E$1876,5,FALSE)</f>
        <v>0</v>
      </c>
      <c r="K94" s="14" t="str">
        <f t="shared" si="1"/>
        <v>Dia 8</v>
      </c>
      <c r="L94" s="21" t="str">
        <f>IF(B94="Fornecedor",IF(VLOOKUP(C94,Base_Dados!$E$1:$F$7,2,FALSE)=F94," ","Fornecedor inválido!")," ")</f>
        <v> </v>
      </c>
      <c r="M94" s="22" t="str">
        <f>IF(AND(LEFT(F94,2)="MP",H94&lt;&gt;Base_Dados!$A$1),"Impossível!!!"," ")</f>
        <v> </v>
      </c>
      <c r="N94" s="21" t="str">
        <f>IF(E94="Avião",IF($G94&lt;=VLOOKUP($F94,Base_Dados!$K$1:$O$7,3,FALSE)," ","Limite "&amp;VLOOKUP($F94,Base_Dados!$K$1:$O$11,3,FALSE)&amp;" "&amp;VLOOKUP($F94,Base_Dados!$K$1:$O$11,2,FALSE))," ")</f>
        <v> </v>
      </c>
      <c r="O94" s="21" t="str">
        <f>IF(E94="Caminhão",IF($G94&lt;=VLOOKUP($F94,Base_Dados!$K$1:$O$7,4,FALSE)," ","Limite "&amp;VLOOKUP($F94,Base_Dados!$K$1:$O$11,4,FALSE)&amp;" "&amp;VLOOKUP($F94,Base_Dados!$K$1:$O$11,2,FALSE))," ")</f>
        <v> </v>
      </c>
      <c r="P94" s="21" t="str">
        <f>IF(E94="Navio",IF($G94&lt;=VLOOKUP($F94,Base_Dados!$K$1:$O$7,5,FALSE)," ","Limite "&amp;VLOOKUP($F94,Base_Dados!$K$1:$O$11,5,FALSE)&amp;" "&amp;VLOOKUP($F94,Base_Dados!$K$1:$O$11,2,FALSE))," ")</f>
        <v> </v>
      </c>
      <c r="Q94" s="21" t="str">
        <f t="shared" si="2"/>
        <v/>
      </c>
      <c r="R94" s="1"/>
      <c r="S94" s="1"/>
      <c r="T94" s="1"/>
      <c r="U94" s="1"/>
      <c r="V94" s="1"/>
      <c r="W94" s="1"/>
      <c r="X94" s="1"/>
      <c r="Y94" s="1"/>
      <c r="Z94" s="1"/>
    </row>
    <row r="95" ht="24.0" customHeight="1">
      <c r="A95" s="18" t="s">
        <v>43</v>
      </c>
      <c r="B95" s="18" t="s">
        <v>27</v>
      </c>
      <c r="C95" s="19" t="s">
        <v>28</v>
      </c>
      <c r="D95" s="19" t="s">
        <v>54</v>
      </c>
      <c r="E95" s="19" t="s">
        <v>45</v>
      </c>
      <c r="F95" s="19" t="s">
        <v>34</v>
      </c>
      <c r="G95" s="20">
        <v>3333.0</v>
      </c>
      <c r="H95" s="19" t="s">
        <v>35</v>
      </c>
      <c r="I95" s="19" t="s">
        <v>38</v>
      </c>
      <c r="J95" s="13">
        <f>VLOOKUP(C95&amp;I95&amp;E95,Orig_Dest!$A$2:$E$1876,5,FALSE)</f>
        <v>0</v>
      </c>
      <c r="K95" s="14" t="str">
        <f t="shared" si="1"/>
        <v>Dia 8</v>
      </c>
      <c r="L95" s="21" t="str">
        <f>IF(B95="Fornecedor",IF(VLOOKUP(C95,Base_Dados!$E$1:$F$7,2,FALSE)=F95," ","Fornecedor inválido!")," ")</f>
        <v> </v>
      </c>
      <c r="M95" s="22" t="str">
        <f>IF(AND(LEFT(F95,2)="MP",H95&lt;&gt;Base_Dados!$A$1),"Impossível!!!"," ")</f>
        <v> </v>
      </c>
      <c r="N95" s="21" t="str">
        <f>IF(E95="Avião",IF($G95&lt;=VLOOKUP($F95,Base_Dados!$K$1:$O$7,3,FALSE)," ","Limite "&amp;VLOOKUP($F95,Base_Dados!$K$1:$O$11,3,FALSE)&amp;" "&amp;VLOOKUP($F95,Base_Dados!$K$1:$O$11,2,FALSE))," ")</f>
        <v> </v>
      </c>
      <c r="O95" s="21" t="str">
        <f>IF(E95="Caminhão",IF($G95&lt;=VLOOKUP($F95,Base_Dados!$K$1:$O$7,4,FALSE)," ","Limite "&amp;VLOOKUP($F95,Base_Dados!$K$1:$O$11,4,FALSE)&amp;" "&amp;VLOOKUP($F95,Base_Dados!$K$1:$O$11,2,FALSE))," ")</f>
        <v> </v>
      </c>
      <c r="P95" s="21" t="str">
        <f>IF(E95="Navio",IF($G95&lt;=VLOOKUP($F95,Base_Dados!$K$1:$O$7,5,FALSE)," ","Limite "&amp;VLOOKUP($F95,Base_Dados!$K$1:$O$11,5,FALSE)&amp;" "&amp;VLOOKUP($F95,Base_Dados!$K$1:$O$11,2,FALSE))," ")</f>
        <v> </v>
      </c>
      <c r="Q95" s="21" t="str">
        <f t="shared" si="2"/>
        <v/>
      </c>
      <c r="R95" s="1"/>
      <c r="S95" s="1"/>
      <c r="T95" s="1"/>
      <c r="U95" s="1"/>
      <c r="V95" s="1"/>
      <c r="W95" s="1"/>
      <c r="X95" s="1"/>
      <c r="Y95" s="1"/>
      <c r="Z95" s="1"/>
    </row>
    <row r="96" ht="24.0" customHeight="1">
      <c r="A96" s="18" t="s">
        <v>43</v>
      </c>
      <c r="B96" s="18" t="s">
        <v>27</v>
      </c>
      <c r="C96" s="19" t="s">
        <v>28</v>
      </c>
      <c r="D96" s="19" t="s">
        <v>54</v>
      </c>
      <c r="E96" s="19" t="s">
        <v>45</v>
      </c>
      <c r="F96" s="19" t="s">
        <v>34</v>
      </c>
      <c r="G96" s="20">
        <v>3333.0</v>
      </c>
      <c r="H96" s="19" t="s">
        <v>35</v>
      </c>
      <c r="I96" s="19" t="s">
        <v>38</v>
      </c>
      <c r="J96" s="13">
        <f>VLOOKUP(C96&amp;I96&amp;E96,Orig_Dest!$A$2:$E$1876,5,FALSE)</f>
        <v>0</v>
      </c>
      <c r="K96" s="14" t="str">
        <f t="shared" si="1"/>
        <v>Dia 8</v>
      </c>
      <c r="L96" s="21" t="str">
        <f>IF(B96="Fornecedor",IF(VLOOKUP(C96,Base_Dados!$E$1:$F$7,2,FALSE)=F96," ","Fornecedor inválido!")," ")</f>
        <v> </v>
      </c>
      <c r="M96" s="22" t="str">
        <f>IF(AND(LEFT(F96,2)="MP",H96&lt;&gt;Base_Dados!$A$1),"Impossível!!!"," ")</f>
        <v> </v>
      </c>
      <c r="N96" s="21" t="str">
        <f>IF(E96="Avião",IF($G96&lt;=VLOOKUP($F96,Base_Dados!$K$1:$O$7,3,FALSE)," ","Limite "&amp;VLOOKUP($F96,Base_Dados!$K$1:$O$11,3,FALSE)&amp;" "&amp;VLOOKUP($F96,Base_Dados!$K$1:$O$11,2,FALSE))," ")</f>
        <v> </v>
      </c>
      <c r="O96" s="21" t="str">
        <f>IF(E96="Caminhão",IF($G96&lt;=VLOOKUP($F96,Base_Dados!$K$1:$O$7,4,FALSE)," ","Limite "&amp;VLOOKUP($F96,Base_Dados!$K$1:$O$11,4,FALSE)&amp;" "&amp;VLOOKUP($F96,Base_Dados!$K$1:$O$11,2,FALSE))," ")</f>
        <v> </v>
      </c>
      <c r="P96" s="21" t="str">
        <f>IF(E96="Navio",IF($G96&lt;=VLOOKUP($F96,Base_Dados!$K$1:$O$7,5,FALSE)," ","Limite "&amp;VLOOKUP($F96,Base_Dados!$K$1:$O$11,5,FALSE)&amp;" "&amp;VLOOKUP($F96,Base_Dados!$K$1:$O$11,2,FALSE))," ")</f>
        <v> </v>
      </c>
      <c r="Q96" s="21" t="str">
        <f t="shared" si="2"/>
        <v/>
      </c>
      <c r="R96" s="1"/>
      <c r="S96" s="1"/>
      <c r="T96" s="1"/>
      <c r="U96" s="1"/>
      <c r="V96" s="1"/>
      <c r="W96" s="1"/>
      <c r="X96" s="1"/>
      <c r="Y96" s="1"/>
      <c r="Z96" s="1"/>
    </row>
    <row r="97" ht="24.0" customHeight="1">
      <c r="A97" s="18" t="s">
        <v>43</v>
      </c>
      <c r="B97" s="18" t="s">
        <v>27</v>
      </c>
      <c r="C97" s="19" t="s">
        <v>28</v>
      </c>
      <c r="D97" s="19" t="s">
        <v>54</v>
      </c>
      <c r="E97" s="19" t="s">
        <v>45</v>
      </c>
      <c r="F97" s="19" t="s">
        <v>34</v>
      </c>
      <c r="G97" s="20">
        <v>3333.0</v>
      </c>
      <c r="H97" s="19" t="s">
        <v>35</v>
      </c>
      <c r="I97" s="19" t="s">
        <v>38</v>
      </c>
      <c r="J97" s="13">
        <f>VLOOKUP(C97&amp;I97&amp;E97,Orig_Dest!$A$2:$E$1876,5,FALSE)</f>
        <v>0</v>
      </c>
      <c r="K97" s="14" t="str">
        <f t="shared" si="1"/>
        <v>Dia 8</v>
      </c>
      <c r="L97" s="21" t="str">
        <f>IF(B97="Fornecedor",IF(VLOOKUP(C97,Base_Dados!$E$1:$F$7,2,FALSE)=F97," ","Fornecedor inválido!")," ")</f>
        <v> </v>
      </c>
      <c r="M97" s="22" t="str">
        <f>IF(AND(LEFT(F97,2)="MP",H97&lt;&gt;Base_Dados!$A$1),"Impossível!!!"," ")</f>
        <v> </v>
      </c>
      <c r="N97" s="21" t="str">
        <f>IF(E97="Avião",IF($G97&lt;=VLOOKUP($F97,Base_Dados!$K$1:$O$7,3,FALSE)," ","Limite "&amp;VLOOKUP($F97,Base_Dados!$K$1:$O$11,3,FALSE)&amp;" "&amp;VLOOKUP($F97,Base_Dados!$K$1:$O$11,2,FALSE))," ")</f>
        <v> </v>
      </c>
      <c r="O97" s="21" t="str">
        <f>IF(E97="Caminhão",IF($G97&lt;=VLOOKUP($F97,Base_Dados!$K$1:$O$7,4,FALSE)," ","Limite "&amp;VLOOKUP($F97,Base_Dados!$K$1:$O$11,4,FALSE)&amp;" "&amp;VLOOKUP($F97,Base_Dados!$K$1:$O$11,2,FALSE))," ")</f>
        <v> </v>
      </c>
      <c r="P97" s="21" t="str">
        <f>IF(E97="Navio",IF($G97&lt;=VLOOKUP($F97,Base_Dados!$K$1:$O$7,5,FALSE)," ","Limite "&amp;VLOOKUP($F97,Base_Dados!$K$1:$O$11,5,FALSE)&amp;" "&amp;VLOOKUP($F97,Base_Dados!$K$1:$O$11,2,FALSE))," ")</f>
        <v> </v>
      </c>
      <c r="Q97" s="21" t="str">
        <f t="shared" si="2"/>
        <v/>
      </c>
      <c r="R97" s="1"/>
      <c r="S97" s="1"/>
      <c r="T97" s="1"/>
      <c r="U97" s="1"/>
      <c r="V97" s="1"/>
      <c r="W97" s="1"/>
      <c r="X97" s="1"/>
      <c r="Y97" s="1"/>
      <c r="Z97" s="1"/>
    </row>
    <row r="98" ht="24.0" customHeight="1">
      <c r="A98" s="18" t="s">
        <v>43</v>
      </c>
      <c r="B98" s="18" t="s">
        <v>27</v>
      </c>
      <c r="C98" s="19" t="s">
        <v>28</v>
      </c>
      <c r="D98" s="19" t="s">
        <v>54</v>
      </c>
      <c r="E98" s="19" t="s">
        <v>45</v>
      </c>
      <c r="F98" s="19" t="s">
        <v>34</v>
      </c>
      <c r="G98" s="20">
        <v>3333.0</v>
      </c>
      <c r="H98" s="19" t="s">
        <v>35</v>
      </c>
      <c r="I98" s="19" t="s">
        <v>38</v>
      </c>
      <c r="J98" s="13">
        <f>VLOOKUP(C98&amp;I98&amp;E98,Orig_Dest!$A$2:$E$1876,5,FALSE)</f>
        <v>0</v>
      </c>
      <c r="K98" s="14" t="str">
        <f t="shared" si="1"/>
        <v>Dia 8</v>
      </c>
      <c r="L98" s="21" t="str">
        <f>IF(B98="Fornecedor",IF(VLOOKUP(C98,Base_Dados!$E$1:$F$7,2,FALSE)=F98," ","Fornecedor inválido!")," ")</f>
        <v> </v>
      </c>
      <c r="M98" s="22" t="str">
        <f>IF(AND(LEFT(F98,2)="MP",H98&lt;&gt;Base_Dados!$A$1),"Impossível!!!"," ")</f>
        <v> </v>
      </c>
      <c r="N98" s="21" t="str">
        <f>IF(E98="Avião",IF($G98&lt;=VLOOKUP($F98,Base_Dados!$K$1:$O$7,3,FALSE)," ","Limite "&amp;VLOOKUP($F98,Base_Dados!$K$1:$O$11,3,FALSE)&amp;" "&amp;VLOOKUP($F98,Base_Dados!$K$1:$O$11,2,FALSE))," ")</f>
        <v> </v>
      </c>
      <c r="O98" s="21" t="str">
        <f>IF(E98="Caminhão",IF($G98&lt;=VLOOKUP($F98,Base_Dados!$K$1:$O$7,4,FALSE)," ","Limite "&amp;VLOOKUP($F98,Base_Dados!$K$1:$O$11,4,FALSE)&amp;" "&amp;VLOOKUP($F98,Base_Dados!$K$1:$O$11,2,FALSE))," ")</f>
        <v> </v>
      </c>
      <c r="P98" s="21" t="str">
        <f>IF(E98="Navio",IF($G98&lt;=VLOOKUP($F98,Base_Dados!$K$1:$O$7,5,FALSE)," ","Limite "&amp;VLOOKUP($F98,Base_Dados!$K$1:$O$11,5,FALSE)&amp;" "&amp;VLOOKUP($F98,Base_Dados!$K$1:$O$11,2,FALSE))," ")</f>
        <v> </v>
      </c>
      <c r="Q98" s="21" t="str">
        <f t="shared" si="2"/>
        <v/>
      </c>
      <c r="R98" s="1"/>
      <c r="S98" s="1"/>
      <c r="T98" s="1"/>
      <c r="U98" s="1"/>
      <c r="V98" s="1"/>
      <c r="W98" s="1"/>
      <c r="X98" s="1"/>
      <c r="Y98" s="1"/>
      <c r="Z98" s="1"/>
    </row>
    <row r="99" ht="24.0" customHeight="1">
      <c r="A99" s="18" t="s">
        <v>43</v>
      </c>
      <c r="B99" s="18" t="s">
        <v>27</v>
      </c>
      <c r="C99" s="19" t="s">
        <v>28</v>
      </c>
      <c r="D99" s="19" t="s">
        <v>54</v>
      </c>
      <c r="E99" s="19" t="s">
        <v>45</v>
      </c>
      <c r="F99" s="19" t="s">
        <v>34</v>
      </c>
      <c r="G99" s="20">
        <v>2453.0</v>
      </c>
      <c r="H99" s="19" t="s">
        <v>35</v>
      </c>
      <c r="I99" s="19" t="s">
        <v>38</v>
      </c>
      <c r="J99" s="13">
        <f>VLOOKUP(C99&amp;I99&amp;E99,Orig_Dest!$A$2:$E$1876,5,FALSE)</f>
        <v>0</v>
      </c>
      <c r="K99" s="14" t="str">
        <f t="shared" si="1"/>
        <v>Dia 8</v>
      </c>
      <c r="L99" s="21" t="str">
        <f>IF(B99="Fornecedor",IF(VLOOKUP(C99,Base_Dados!$E$1:$F$7,2,FALSE)=F99," ","Fornecedor inválido!")," ")</f>
        <v> </v>
      </c>
      <c r="M99" s="22" t="str">
        <f>IF(AND(LEFT(F99,2)="MP",H99&lt;&gt;Base_Dados!$A$1),"Impossível!!!"," ")</f>
        <v> </v>
      </c>
      <c r="N99" s="21" t="str">
        <f>IF(E99="Avião",IF($G99&lt;=VLOOKUP($F99,Base_Dados!$K$1:$O$7,3,FALSE)," ","Limite "&amp;VLOOKUP($F99,Base_Dados!$K$1:$O$11,3,FALSE)&amp;" "&amp;VLOOKUP($F99,Base_Dados!$K$1:$O$11,2,FALSE))," ")</f>
        <v> </v>
      </c>
      <c r="O99" s="21" t="str">
        <f>IF(E99="Caminhão",IF($G99&lt;=VLOOKUP($F99,Base_Dados!$K$1:$O$7,4,FALSE)," ","Limite "&amp;VLOOKUP($F99,Base_Dados!$K$1:$O$11,4,FALSE)&amp;" "&amp;VLOOKUP($F99,Base_Dados!$K$1:$O$11,2,FALSE))," ")</f>
        <v> </v>
      </c>
      <c r="P99" s="21" t="str">
        <f>IF(E99="Navio",IF($G99&lt;=VLOOKUP($F99,Base_Dados!$K$1:$O$7,5,FALSE)," ","Limite "&amp;VLOOKUP($F99,Base_Dados!$K$1:$O$11,5,FALSE)&amp;" "&amp;VLOOKUP($F99,Base_Dados!$K$1:$O$11,2,FALSE))," ")</f>
        <v> </v>
      </c>
      <c r="Q99" s="21" t="str">
        <f t="shared" si="2"/>
        <v/>
      </c>
      <c r="R99" s="1"/>
      <c r="S99" s="1"/>
      <c r="T99" s="1"/>
      <c r="U99" s="1"/>
      <c r="V99" s="1"/>
      <c r="W99" s="1"/>
      <c r="X99" s="1"/>
      <c r="Y99" s="1"/>
      <c r="Z99" s="1"/>
    </row>
    <row r="100" ht="24.0" customHeight="1">
      <c r="A100" s="18" t="s">
        <v>43</v>
      </c>
      <c r="B100" s="18" t="s">
        <v>35</v>
      </c>
      <c r="C100" s="19" t="s">
        <v>38</v>
      </c>
      <c r="D100" s="19" t="s">
        <v>55</v>
      </c>
      <c r="E100" s="19" t="s">
        <v>45</v>
      </c>
      <c r="F100" s="19" t="s">
        <v>34</v>
      </c>
      <c r="G100" s="20">
        <v>3333.0</v>
      </c>
      <c r="H100" s="19" t="s">
        <v>56</v>
      </c>
      <c r="I100" s="19" t="s">
        <v>51</v>
      </c>
      <c r="J100" s="13">
        <f>VLOOKUP(C100&amp;I100&amp;E100,Orig_Dest!$A$2:$E$1876,5,FALSE)</f>
        <v>0</v>
      </c>
      <c r="K100" s="14" t="str">
        <f t="shared" si="1"/>
        <v>Dia 9</v>
      </c>
      <c r="L100" s="21" t="str">
        <f>IF(B100="Fornecedor",IF(VLOOKUP(C100,Base_Dados!$E$1:$F$7,2,FALSE)=F100," ","Fornecedor inválido!")," ")</f>
        <v> </v>
      </c>
      <c r="M100" s="22" t="str">
        <f>IF(AND(LEFT(F100,2)="MP",H100&lt;&gt;Base_Dados!$A$1),"Impossível!!!"," ")</f>
        <v> </v>
      </c>
      <c r="N100" s="21" t="str">
        <f>IF(E100="Avião",IF($G100&lt;=VLOOKUP($F100,Base_Dados!$K$1:$O$7,3,FALSE)," ","Limite "&amp;VLOOKUP($F100,Base_Dados!$K$1:$O$11,3,FALSE)&amp;" "&amp;VLOOKUP($F100,Base_Dados!$K$1:$O$11,2,FALSE))," ")</f>
        <v> </v>
      </c>
      <c r="O100" s="21" t="str">
        <f>IF(E100="Caminhão",IF($G100&lt;=VLOOKUP($F100,Base_Dados!$K$1:$O$7,4,FALSE)," ","Limite "&amp;VLOOKUP($F100,Base_Dados!$K$1:$O$11,4,FALSE)&amp;" "&amp;VLOOKUP($F100,Base_Dados!$K$1:$O$11,2,FALSE))," ")</f>
        <v> </v>
      </c>
      <c r="P100" s="21" t="str">
        <f>IF(E100="Navio",IF($G100&lt;=VLOOKUP($F100,Base_Dados!$K$1:$O$7,5,FALSE)," ","Limite "&amp;VLOOKUP($F100,Base_Dados!$K$1:$O$11,5,FALSE)&amp;" "&amp;VLOOKUP($F100,Base_Dados!$K$1:$O$11,2,FALSE))," ")</f>
        <v> </v>
      </c>
      <c r="Q100" s="21" t="str">
        <f t="shared" si="2"/>
        <v/>
      </c>
      <c r="R100" s="1"/>
      <c r="S100" s="1"/>
      <c r="T100" s="1"/>
      <c r="U100" s="1"/>
      <c r="V100" s="1"/>
      <c r="W100" s="1"/>
      <c r="X100" s="1"/>
      <c r="Y100" s="1"/>
      <c r="Z100" s="1"/>
    </row>
    <row r="101" ht="24.0" customHeight="1">
      <c r="A101" s="18" t="s">
        <v>43</v>
      </c>
      <c r="B101" s="18" t="s">
        <v>35</v>
      </c>
      <c r="C101" s="19" t="s">
        <v>38</v>
      </c>
      <c r="D101" s="19" t="s">
        <v>55</v>
      </c>
      <c r="E101" s="19" t="s">
        <v>45</v>
      </c>
      <c r="F101" s="19" t="s">
        <v>34</v>
      </c>
      <c r="G101" s="20">
        <v>2676.0</v>
      </c>
      <c r="H101" s="19" t="s">
        <v>56</v>
      </c>
      <c r="I101" s="19" t="s">
        <v>51</v>
      </c>
      <c r="J101" s="13">
        <f>VLOOKUP(C101&amp;I101&amp;E101,Orig_Dest!$A$2:$E$1876,5,FALSE)</f>
        <v>0</v>
      </c>
      <c r="K101" s="14" t="str">
        <f t="shared" si="1"/>
        <v>Dia 9</v>
      </c>
      <c r="L101" s="21" t="str">
        <f>IF(B101="Fornecedor",IF(VLOOKUP(C101,Base_Dados!$E$1:$F$7,2,FALSE)=F101," ","Fornecedor inválido!")," ")</f>
        <v> </v>
      </c>
      <c r="M101" s="22" t="str">
        <f>IF(AND(LEFT(F101,2)="MP",H101&lt;&gt;Base_Dados!$A$1),"Impossível!!!"," ")</f>
        <v> </v>
      </c>
      <c r="N101" s="21" t="str">
        <f>IF(E101="Avião",IF($G101&lt;=VLOOKUP($F101,Base_Dados!$K$1:$O$7,3,FALSE)," ","Limite "&amp;VLOOKUP($F101,Base_Dados!$K$1:$O$11,3,FALSE)&amp;" "&amp;VLOOKUP($F101,Base_Dados!$K$1:$O$11,2,FALSE))," ")</f>
        <v> </v>
      </c>
      <c r="O101" s="21" t="str">
        <f>IF(E101="Caminhão",IF($G101&lt;=VLOOKUP($F101,Base_Dados!$K$1:$O$7,4,FALSE)," ","Limite "&amp;VLOOKUP($F101,Base_Dados!$K$1:$O$11,4,FALSE)&amp;" "&amp;VLOOKUP($F101,Base_Dados!$K$1:$O$11,2,FALSE))," ")</f>
        <v> </v>
      </c>
      <c r="P101" s="21" t="str">
        <f>IF(E101="Navio",IF($G101&lt;=VLOOKUP($F101,Base_Dados!$K$1:$O$7,5,FALSE)," ","Limite "&amp;VLOOKUP($F101,Base_Dados!$K$1:$O$11,5,FALSE)&amp;" "&amp;VLOOKUP($F101,Base_Dados!$K$1:$O$11,2,FALSE))," ")</f>
        <v> </v>
      </c>
      <c r="Q101" s="21" t="str">
        <f t="shared" si="2"/>
        <v/>
      </c>
      <c r="R101" s="1"/>
      <c r="S101" s="1"/>
      <c r="T101" s="1"/>
      <c r="U101" s="1"/>
      <c r="V101" s="1"/>
      <c r="W101" s="1"/>
      <c r="X101" s="1"/>
      <c r="Y101" s="1"/>
      <c r="Z101" s="1"/>
    </row>
    <row r="102" ht="24.0" customHeight="1">
      <c r="A102" s="18" t="s">
        <v>43</v>
      </c>
      <c r="B102" s="18" t="s">
        <v>35</v>
      </c>
      <c r="C102" s="19" t="s">
        <v>36</v>
      </c>
      <c r="D102" s="19" t="s">
        <v>53</v>
      </c>
      <c r="E102" s="19" t="s">
        <v>45</v>
      </c>
      <c r="F102" s="19" t="s">
        <v>34</v>
      </c>
      <c r="G102" s="20">
        <v>3333.0</v>
      </c>
      <c r="H102" s="19" t="s">
        <v>56</v>
      </c>
      <c r="I102" s="19" t="s">
        <v>57</v>
      </c>
      <c r="J102" s="13">
        <f>VLOOKUP(C102&amp;I102&amp;E102,Orig_Dest!$A$2:$E$1876,5,FALSE)</f>
        <v>0</v>
      </c>
      <c r="K102" s="14" t="str">
        <f t="shared" si="1"/>
        <v>Dia 7</v>
      </c>
      <c r="L102" s="21" t="str">
        <f>IF(B102="Fornecedor",IF(VLOOKUP(C102,Base_Dados!$E$1:$F$7,2,FALSE)=F102," ","Fornecedor inválido!")," ")</f>
        <v> </v>
      </c>
      <c r="M102" s="22" t="str">
        <f>IF(AND(LEFT(F102,2)="MP",H102&lt;&gt;Base_Dados!$A$1),"Impossível!!!"," ")</f>
        <v> </v>
      </c>
      <c r="N102" s="21" t="str">
        <f>IF(E102="Avião",IF($G102&lt;=VLOOKUP($F102,Base_Dados!$K$1:$O$7,3,FALSE)," ","Limite "&amp;VLOOKUP($F102,Base_Dados!$K$1:$O$11,3,FALSE)&amp;" "&amp;VLOOKUP($F102,Base_Dados!$K$1:$O$11,2,FALSE))," ")</f>
        <v> </v>
      </c>
      <c r="O102" s="21" t="str">
        <f>IF(E102="Caminhão",IF($G102&lt;=VLOOKUP($F102,Base_Dados!$K$1:$O$7,4,FALSE)," ","Limite "&amp;VLOOKUP($F102,Base_Dados!$K$1:$O$11,4,FALSE)&amp;" "&amp;VLOOKUP($F102,Base_Dados!$K$1:$O$11,2,FALSE))," ")</f>
        <v> </v>
      </c>
      <c r="P102" s="21" t="str">
        <f>IF(E102="Navio",IF($G102&lt;=VLOOKUP($F102,Base_Dados!$K$1:$O$7,5,FALSE)," ","Limite "&amp;VLOOKUP($F102,Base_Dados!$K$1:$O$11,5,FALSE)&amp;" "&amp;VLOOKUP($F102,Base_Dados!$K$1:$O$11,2,FALSE))," ")</f>
        <v> </v>
      </c>
      <c r="Q102" s="21" t="str">
        <f t="shared" si="2"/>
        <v/>
      </c>
      <c r="R102" s="1"/>
      <c r="S102" s="1"/>
      <c r="T102" s="1"/>
      <c r="U102" s="1"/>
      <c r="V102" s="1"/>
      <c r="W102" s="1"/>
      <c r="X102" s="1"/>
      <c r="Y102" s="1"/>
      <c r="Z102" s="1"/>
    </row>
    <row r="103" ht="24.0" customHeight="1">
      <c r="A103" s="18" t="s">
        <v>43</v>
      </c>
      <c r="B103" s="18" t="s">
        <v>35</v>
      </c>
      <c r="C103" s="19" t="s">
        <v>36</v>
      </c>
      <c r="D103" s="19" t="s">
        <v>53</v>
      </c>
      <c r="E103" s="19" t="s">
        <v>45</v>
      </c>
      <c r="F103" s="19" t="s">
        <v>34</v>
      </c>
      <c r="G103" s="20">
        <v>3333.0</v>
      </c>
      <c r="H103" s="19" t="s">
        <v>56</v>
      </c>
      <c r="I103" s="19" t="s">
        <v>57</v>
      </c>
      <c r="J103" s="13">
        <f>VLOOKUP(C103&amp;I103&amp;E103,Orig_Dest!$A$2:$E$1876,5,FALSE)</f>
        <v>0</v>
      </c>
      <c r="K103" s="14" t="str">
        <f t="shared" si="1"/>
        <v>Dia 7</v>
      </c>
      <c r="L103" s="21" t="str">
        <f>IF(B103="Fornecedor",IF(VLOOKUP(C103,Base_Dados!$E$1:$F$7,2,FALSE)=F103," ","Fornecedor inválido!")," ")</f>
        <v> </v>
      </c>
      <c r="M103" s="22" t="str">
        <f>IF(AND(LEFT(F103,2)="MP",H103&lt;&gt;Base_Dados!$A$1),"Impossível!!!"," ")</f>
        <v> </v>
      </c>
      <c r="N103" s="21" t="str">
        <f>IF(E103="Avião",IF($G103&lt;=VLOOKUP($F103,Base_Dados!$K$1:$O$7,3,FALSE)," ","Limite "&amp;VLOOKUP($F103,Base_Dados!$K$1:$O$11,3,FALSE)&amp;" "&amp;VLOOKUP($F103,Base_Dados!$K$1:$O$11,2,FALSE))," ")</f>
        <v> </v>
      </c>
      <c r="O103" s="21" t="str">
        <f>IF(E103="Caminhão",IF($G103&lt;=VLOOKUP($F103,Base_Dados!$K$1:$O$7,4,FALSE)," ","Limite "&amp;VLOOKUP($F103,Base_Dados!$K$1:$O$11,4,FALSE)&amp;" "&amp;VLOOKUP($F103,Base_Dados!$K$1:$O$11,2,FALSE))," ")</f>
        <v> </v>
      </c>
      <c r="P103" s="21" t="str">
        <f>IF(E103="Navio",IF($G103&lt;=VLOOKUP($F103,Base_Dados!$K$1:$O$7,5,FALSE)," ","Limite "&amp;VLOOKUP($F103,Base_Dados!$K$1:$O$11,5,FALSE)&amp;" "&amp;VLOOKUP($F103,Base_Dados!$K$1:$O$11,2,FALSE))," ")</f>
        <v> </v>
      </c>
      <c r="Q103" s="21" t="str">
        <f t="shared" si="2"/>
        <v/>
      </c>
      <c r="R103" s="1"/>
      <c r="S103" s="1"/>
      <c r="T103" s="1"/>
      <c r="U103" s="1"/>
      <c r="V103" s="1"/>
      <c r="W103" s="1"/>
      <c r="X103" s="1"/>
      <c r="Y103" s="1"/>
      <c r="Z103" s="1"/>
    </row>
    <row r="104" ht="24.0" customHeight="1">
      <c r="A104" s="18" t="s">
        <v>43</v>
      </c>
      <c r="B104" s="18" t="s">
        <v>35</v>
      </c>
      <c r="C104" s="19" t="s">
        <v>36</v>
      </c>
      <c r="D104" s="19" t="s">
        <v>53</v>
      </c>
      <c r="E104" s="19" t="s">
        <v>45</v>
      </c>
      <c r="F104" s="19" t="s">
        <v>34</v>
      </c>
      <c r="G104" s="20">
        <v>3333.0</v>
      </c>
      <c r="H104" s="19" t="s">
        <v>56</v>
      </c>
      <c r="I104" s="19" t="s">
        <v>57</v>
      </c>
      <c r="J104" s="13">
        <f>VLOOKUP(C104&amp;I104&amp;E104,Orig_Dest!$A$2:$E$1876,5,FALSE)</f>
        <v>0</v>
      </c>
      <c r="K104" s="14" t="str">
        <f t="shared" si="1"/>
        <v>Dia 7</v>
      </c>
      <c r="L104" s="21" t="str">
        <f>IF(B104="Fornecedor",IF(VLOOKUP(C104,Base_Dados!$E$1:$F$7,2,FALSE)=F104," ","Fornecedor inválido!")," ")</f>
        <v> </v>
      </c>
      <c r="M104" s="22" t="str">
        <f>IF(AND(LEFT(F104,2)="MP",H104&lt;&gt;Base_Dados!$A$1),"Impossível!!!"," ")</f>
        <v> </v>
      </c>
      <c r="N104" s="21" t="str">
        <f>IF(E104="Avião",IF($G104&lt;=VLOOKUP($F104,Base_Dados!$K$1:$O$7,3,FALSE)," ","Limite "&amp;VLOOKUP($F104,Base_Dados!$K$1:$O$11,3,FALSE)&amp;" "&amp;VLOOKUP($F104,Base_Dados!$K$1:$O$11,2,FALSE))," ")</f>
        <v> </v>
      </c>
      <c r="O104" s="21" t="str">
        <f>IF(E104="Caminhão",IF($G104&lt;=VLOOKUP($F104,Base_Dados!$K$1:$O$7,4,FALSE)," ","Limite "&amp;VLOOKUP($F104,Base_Dados!$K$1:$O$11,4,FALSE)&amp;" "&amp;VLOOKUP($F104,Base_Dados!$K$1:$O$11,2,FALSE))," ")</f>
        <v> </v>
      </c>
      <c r="P104" s="21" t="str">
        <f>IF(E104="Navio",IF($G104&lt;=VLOOKUP($F104,Base_Dados!$K$1:$O$7,5,FALSE)," ","Limite "&amp;VLOOKUP($F104,Base_Dados!$K$1:$O$11,5,FALSE)&amp;" "&amp;VLOOKUP($F104,Base_Dados!$K$1:$O$11,2,FALSE))," ")</f>
        <v> </v>
      </c>
      <c r="Q104" s="21" t="str">
        <f t="shared" si="2"/>
        <v/>
      </c>
      <c r="R104" s="1"/>
      <c r="S104" s="1"/>
      <c r="T104" s="1"/>
      <c r="U104" s="1"/>
      <c r="V104" s="1"/>
      <c r="W104" s="1"/>
      <c r="X104" s="1"/>
      <c r="Y104" s="1"/>
      <c r="Z104" s="1"/>
    </row>
    <row r="105" ht="24.0" customHeight="1">
      <c r="A105" s="18" t="s">
        <v>43</v>
      </c>
      <c r="B105" s="18" t="s">
        <v>35</v>
      </c>
      <c r="C105" s="19" t="s">
        <v>36</v>
      </c>
      <c r="D105" s="19" t="s">
        <v>53</v>
      </c>
      <c r="E105" s="19" t="s">
        <v>45</v>
      </c>
      <c r="F105" s="19" t="s">
        <v>34</v>
      </c>
      <c r="G105" s="20">
        <v>3333.0</v>
      </c>
      <c r="H105" s="19" t="s">
        <v>56</v>
      </c>
      <c r="I105" s="19" t="s">
        <v>57</v>
      </c>
      <c r="J105" s="13">
        <f>VLOOKUP(C105&amp;I105&amp;E105,Orig_Dest!$A$2:$E$1876,5,FALSE)</f>
        <v>0</v>
      </c>
      <c r="K105" s="14" t="str">
        <f t="shared" si="1"/>
        <v>Dia 7</v>
      </c>
      <c r="L105" s="21" t="str">
        <f>IF(B105="Fornecedor",IF(VLOOKUP(C105,Base_Dados!$E$1:$F$7,2,FALSE)=F105," ","Fornecedor inválido!")," ")</f>
        <v> </v>
      </c>
      <c r="M105" s="22" t="str">
        <f>IF(AND(LEFT(F105,2)="MP",H105&lt;&gt;Base_Dados!$A$1),"Impossível!!!"," ")</f>
        <v> </v>
      </c>
      <c r="N105" s="21" t="str">
        <f>IF(E105="Avião",IF($G105&lt;=VLOOKUP($F105,Base_Dados!$K$1:$O$7,3,FALSE)," ","Limite "&amp;VLOOKUP($F105,Base_Dados!$K$1:$O$11,3,FALSE)&amp;" "&amp;VLOOKUP($F105,Base_Dados!$K$1:$O$11,2,FALSE))," ")</f>
        <v> </v>
      </c>
      <c r="O105" s="21" t="str">
        <f>IF(E105="Caminhão",IF($G105&lt;=VLOOKUP($F105,Base_Dados!$K$1:$O$7,4,FALSE)," ","Limite "&amp;VLOOKUP($F105,Base_Dados!$K$1:$O$11,4,FALSE)&amp;" "&amp;VLOOKUP($F105,Base_Dados!$K$1:$O$11,2,FALSE))," ")</f>
        <v> </v>
      </c>
      <c r="P105" s="21" t="str">
        <f>IF(E105="Navio",IF($G105&lt;=VLOOKUP($F105,Base_Dados!$K$1:$O$7,5,FALSE)," ","Limite "&amp;VLOOKUP($F105,Base_Dados!$K$1:$O$11,5,FALSE)&amp;" "&amp;VLOOKUP($F105,Base_Dados!$K$1:$O$11,2,FALSE))," ")</f>
        <v> </v>
      </c>
      <c r="Q105" s="21" t="str">
        <f t="shared" si="2"/>
        <v/>
      </c>
      <c r="R105" s="1"/>
      <c r="S105" s="1"/>
      <c r="T105" s="1"/>
      <c r="U105" s="1"/>
      <c r="V105" s="1"/>
      <c r="W105" s="1"/>
      <c r="X105" s="1"/>
      <c r="Y105" s="1"/>
      <c r="Z105" s="1"/>
    </row>
    <row r="106" ht="24.0" customHeight="1">
      <c r="A106" s="18" t="s">
        <v>43</v>
      </c>
      <c r="B106" s="18" t="s">
        <v>35</v>
      </c>
      <c r="C106" s="19" t="s">
        <v>36</v>
      </c>
      <c r="D106" s="19" t="s">
        <v>53</v>
      </c>
      <c r="E106" s="19" t="s">
        <v>45</v>
      </c>
      <c r="F106" s="19" t="s">
        <v>34</v>
      </c>
      <c r="G106" s="20">
        <v>3333.0</v>
      </c>
      <c r="H106" s="19" t="s">
        <v>56</v>
      </c>
      <c r="I106" s="19" t="s">
        <v>57</v>
      </c>
      <c r="J106" s="13">
        <f>VLOOKUP(C106&amp;I106&amp;E106,Orig_Dest!$A$2:$E$1876,5,FALSE)</f>
        <v>0</v>
      </c>
      <c r="K106" s="14" t="str">
        <f t="shared" si="1"/>
        <v>Dia 7</v>
      </c>
      <c r="L106" s="21" t="str">
        <f>IF(B106="Fornecedor",IF(VLOOKUP(C106,Base_Dados!$E$1:$F$7,2,FALSE)=F106," ","Fornecedor inválido!")," ")</f>
        <v> </v>
      </c>
      <c r="M106" s="22" t="str">
        <f>IF(AND(LEFT(F106,2)="MP",H106&lt;&gt;Base_Dados!$A$1),"Impossível!!!"," ")</f>
        <v> </v>
      </c>
      <c r="N106" s="21" t="str">
        <f>IF(E106="Avião",IF($G106&lt;=VLOOKUP($F106,Base_Dados!$K$1:$O$7,3,FALSE)," ","Limite "&amp;VLOOKUP($F106,Base_Dados!$K$1:$O$11,3,FALSE)&amp;" "&amp;VLOOKUP($F106,Base_Dados!$K$1:$O$11,2,FALSE))," ")</f>
        <v> </v>
      </c>
      <c r="O106" s="21" t="str">
        <f>IF(E106="Caminhão",IF($G106&lt;=VLOOKUP($F106,Base_Dados!$K$1:$O$7,4,FALSE)," ","Limite "&amp;VLOOKUP($F106,Base_Dados!$K$1:$O$11,4,FALSE)&amp;" "&amp;VLOOKUP($F106,Base_Dados!$K$1:$O$11,2,FALSE))," ")</f>
        <v> </v>
      </c>
      <c r="P106" s="21" t="str">
        <f>IF(E106="Navio",IF($G106&lt;=VLOOKUP($F106,Base_Dados!$K$1:$O$7,5,FALSE)," ","Limite "&amp;VLOOKUP($F106,Base_Dados!$K$1:$O$11,5,FALSE)&amp;" "&amp;VLOOKUP($F106,Base_Dados!$K$1:$O$11,2,FALSE))," ")</f>
        <v> </v>
      </c>
      <c r="Q106" s="21" t="str">
        <f t="shared" si="2"/>
        <v/>
      </c>
      <c r="R106" s="1"/>
      <c r="S106" s="1"/>
      <c r="T106" s="1"/>
      <c r="U106" s="1"/>
      <c r="V106" s="1"/>
      <c r="W106" s="1"/>
      <c r="X106" s="1"/>
      <c r="Y106" s="1"/>
      <c r="Z106" s="1"/>
    </row>
    <row r="107" ht="24.0" customHeight="1">
      <c r="A107" s="18" t="s">
        <v>43</v>
      </c>
      <c r="B107" s="18" t="s">
        <v>35</v>
      </c>
      <c r="C107" s="19" t="s">
        <v>36</v>
      </c>
      <c r="D107" s="19" t="s">
        <v>53</v>
      </c>
      <c r="E107" s="19" t="s">
        <v>45</v>
      </c>
      <c r="F107" s="19" t="s">
        <v>34</v>
      </c>
      <c r="G107" s="20">
        <v>3333.0</v>
      </c>
      <c r="H107" s="19" t="s">
        <v>56</v>
      </c>
      <c r="I107" s="19" t="s">
        <v>57</v>
      </c>
      <c r="J107" s="13">
        <f>VLOOKUP(C107&amp;I107&amp;E107,Orig_Dest!$A$2:$E$1876,5,FALSE)</f>
        <v>0</v>
      </c>
      <c r="K107" s="14" t="str">
        <f t="shared" si="1"/>
        <v>Dia 7</v>
      </c>
      <c r="L107" s="21" t="str">
        <f>IF(B107="Fornecedor",IF(VLOOKUP(C107,Base_Dados!$E$1:$F$7,2,FALSE)=F107," ","Fornecedor inválido!")," ")</f>
        <v> </v>
      </c>
      <c r="M107" s="22" t="str">
        <f>IF(AND(LEFT(F107,2)="MP",H107&lt;&gt;Base_Dados!$A$1),"Impossível!!!"," ")</f>
        <v> </v>
      </c>
      <c r="N107" s="21" t="str">
        <f>IF(E107="Avião",IF($G107&lt;=VLOOKUP($F107,Base_Dados!$K$1:$O$7,3,FALSE)," ","Limite "&amp;VLOOKUP($F107,Base_Dados!$K$1:$O$11,3,FALSE)&amp;" "&amp;VLOOKUP($F107,Base_Dados!$K$1:$O$11,2,FALSE))," ")</f>
        <v> </v>
      </c>
      <c r="O107" s="21" t="str">
        <f>IF(E107="Caminhão",IF($G107&lt;=VLOOKUP($F107,Base_Dados!$K$1:$O$7,4,FALSE)," ","Limite "&amp;VLOOKUP($F107,Base_Dados!$K$1:$O$11,4,FALSE)&amp;" "&amp;VLOOKUP($F107,Base_Dados!$K$1:$O$11,2,FALSE))," ")</f>
        <v> </v>
      </c>
      <c r="P107" s="21" t="str">
        <f>IF(E107="Navio",IF($G107&lt;=VLOOKUP($F107,Base_Dados!$K$1:$O$7,5,FALSE)," ","Limite "&amp;VLOOKUP($F107,Base_Dados!$K$1:$O$11,5,FALSE)&amp;" "&amp;VLOOKUP($F107,Base_Dados!$K$1:$O$11,2,FALSE))," ")</f>
        <v> </v>
      </c>
      <c r="Q107" s="21" t="str">
        <f t="shared" si="2"/>
        <v/>
      </c>
      <c r="R107" s="1"/>
      <c r="S107" s="1"/>
      <c r="T107" s="1"/>
      <c r="U107" s="1"/>
      <c r="V107" s="1"/>
      <c r="W107" s="1"/>
      <c r="X107" s="1"/>
      <c r="Y107" s="1"/>
      <c r="Z107" s="1"/>
    </row>
    <row r="108" ht="24.0" customHeight="1">
      <c r="A108" s="18" t="s">
        <v>43</v>
      </c>
      <c r="B108" s="18" t="s">
        <v>35</v>
      </c>
      <c r="C108" s="19" t="s">
        <v>36</v>
      </c>
      <c r="D108" s="19" t="s">
        <v>53</v>
      </c>
      <c r="E108" s="19" t="s">
        <v>45</v>
      </c>
      <c r="F108" s="19" t="s">
        <v>34</v>
      </c>
      <c r="G108" s="20">
        <v>3333.0</v>
      </c>
      <c r="H108" s="19" t="s">
        <v>56</v>
      </c>
      <c r="I108" s="19" t="s">
        <v>57</v>
      </c>
      <c r="J108" s="13">
        <f>VLOOKUP(C108&amp;I108&amp;E108,Orig_Dest!$A$2:$E$1876,5,FALSE)</f>
        <v>0</v>
      </c>
      <c r="K108" s="14" t="str">
        <f t="shared" si="1"/>
        <v>Dia 7</v>
      </c>
      <c r="L108" s="21" t="str">
        <f>IF(B108="Fornecedor",IF(VLOOKUP(C108,Base_Dados!$E$1:$F$7,2,FALSE)=F108," ","Fornecedor inválido!")," ")</f>
        <v> </v>
      </c>
      <c r="M108" s="22" t="str">
        <f>IF(AND(LEFT(F108,2)="MP",H108&lt;&gt;Base_Dados!$A$1),"Impossível!!!"," ")</f>
        <v> </v>
      </c>
      <c r="N108" s="21" t="str">
        <f>IF(E108="Avião",IF($G108&lt;=VLOOKUP($F108,Base_Dados!$K$1:$O$7,3,FALSE)," ","Limite "&amp;VLOOKUP($F108,Base_Dados!$K$1:$O$11,3,FALSE)&amp;" "&amp;VLOOKUP($F108,Base_Dados!$K$1:$O$11,2,FALSE))," ")</f>
        <v> </v>
      </c>
      <c r="O108" s="21" t="str">
        <f>IF(E108="Caminhão",IF($G108&lt;=VLOOKUP($F108,Base_Dados!$K$1:$O$7,4,FALSE)," ","Limite "&amp;VLOOKUP($F108,Base_Dados!$K$1:$O$11,4,FALSE)&amp;" "&amp;VLOOKUP($F108,Base_Dados!$K$1:$O$11,2,FALSE))," ")</f>
        <v> </v>
      </c>
      <c r="P108" s="21" t="str">
        <f>IF(E108="Navio",IF($G108&lt;=VLOOKUP($F108,Base_Dados!$K$1:$O$7,5,FALSE)," ","Limite "&amp;VLOOKUP($F108,Base_Dados!$K$1:$O$11,5,FALSE)&amp;" "&amp;VLOOKUP($F108,Base_Dados!$K$1:$O$11,2,FALSE))," ")</f>
        <v> </v>
      </c>
      <c r="Q108" s="21" t="str">
        <f t="shared" si="2"/>
        <v/>
      </c>
      <c r="R108" s="1"/>
      <c r="S108" s="1"/>
      <c r="T108" s="1"/>
      <c r="U108" s="1"/>
      <c r="V108" s="1"/>
      <c r="W108" s="1"/>
      <c r="X108" s="1"/>
      <c r="Y108" s="1"/>
      <c r="Z108" s="1"/>
    </row>
    <row r="109" ht="24.0" customHeight="1">
      <c r="A109" s="18" t="s">
        <v>43</v>
      </c>
      <c r="B109" s="18" t="s">
        <v>35</v>
      </c>
      <c r="C109" s="19" t="s">
        <v>36</v>
      </c>
      <c r="D109" s="19" t="s">
        <v>53</v>
      </c>
      <c r="E109" s="19" t="s">
        <v>45</v>
      </c>
      <c r="F109" s="19" t="s">
        <v>34</v>
      </c>
      <c r="G109" s="20">
        <v>3333.0</v>
      </c>
      <c r="H109" s="19" t="s">
        <v>56</v>
      </c>
      <c r="I109" s="19" t="s">
        <v>57</v>
      </c>
      <c r="J109" s="13">
        <f>VLOOKUP(C109&amp;I109&amp;E109,Orig_Dest!$A$2:$E$1876,5,FALSE)</f>
        <v>0</v>
      </c>
      <c r="K109" s="14" t="str">
        <f t="shared" si="1"/>
        <v>Dia 7</v>
      </c>
      <c r="L109" s="21" t="str">
        <f>IF(B109="Fornecedor",IF(VLOOKUP(C109,Base_Dados!$E$1:$F$7,2,FALSE)=F109," ","Fornecedor inválido!")," ")</f>
        <v> </v>
      </c>
      <c r="M109" s="22" t="str">
        <f>IF(AND(LEFT(F109,2)="MP",H109&lt;&gt;Base_Dados!$A$1),"Impossível!!!"," ")</f>
        <v> </v>
      </c>
      <c r="N109" s="21" t="str">
        <f>IF(E109="Avião",IF($G109&lt;=VLOOKUP($F109,Base_Dados!$K$1:$O$7,3,FALSE)," ","Limite "&amp;VLOOKUP($F109,Base_Dados!$K$1:$O$11,3,FALSE)&amp;" "&amp;VLOOKUP($F109,Base_Dados!$K$1:$O$11,2,FALSE))," ")</f>
        <v> </v>
      </c>
      <c r="O109" s="21" t="str">
        <f>IF(E109="Caminhão",IF($G109&lt;=VLOOKUP($F109,Base_Dados!$K$1:$O$7,4,FALSE)," ","Limite "&amp;VLOOKUP($F109,Base_Dados!$K$1:$O$11,4,FALSE)&amp;" "&amp;VLOOKUP($F109,Base_Dados!$K$1:$O$11,2,FALSE))," ")</f>
        <v> </v>
      </c>
      <c r="P109" s="21" t="str">
        <f>IF(E109="Navio",IF($G109&lt;=VLOOKUP($F109,Base_Dados!$K$1:$O$7,5,FALSE)," ","Limite "&amp;VLOOKUP($F109,Base_Dados!$K$1:$O$11,5,FALSE)&amp;" "&amp;VLOOKUP($F109,Base_Dados!$K$1:$O$11,2,FALSE))," ")</f>
        <v> </v>
      </c>
      <c r="Q109" s="21" t="str">
        <f t="shared" si="2"/>
        <v/>
      </c>
      <c r="R109" s="1"/>
      <c r="S109" s="1"/>
      <c r="T109" s="1"/>
      <c r="U109" s="1"/>
      <c r="V109" s="1"/>
      <c r="W109" s="1"/>
      <c r="X109" s="1"/>
      <c r="Y109" s="1"/>
      <c r="Z109" s="1"/>
    </row>
    <row r="110" ht="24.0" customHeight="1">
      <c r="A110" s="18" t="s">
        <v>43</v>
      </c>
      <c r="B110" s="18" t="s">
        <v>35</v>
      </c>
      <c r="C110" s="19" t="s">
        <v>36</v>
      </c>
      <c r="D110" s="19" t="s">
        <v>53</v>
      </c>
      <c r="E110" s="19" t="s">
        <v>45</v>
      </c>
      <c r="F110" s="19" t="s">
        <v>34</v>
      </c>
      <c r="G110" s="20">
        <v>3333.0</v>
      </c>
      <c r="H110" s="19" t="s">
        <v>56</v>
      </c>
      <c r="I110" s="19" t="s">
        <v>57</v>
      </c>
      <c r="J110" s="13">
        <f>VLOOKUP(C110&amp;I110&amp;E110,Orig_Dest!$A$2:$E$1876,5,FALSE)</f>
        <v>0</v>
      </c>
      <c r="K110" s="14" t="str">
        <f t="shared" si="1"/>
        <v>Dia 7</v>
      </c>
      <c r="L110" s="21" t="str">
        <f>IF(B110="Fornecedor",IF(VLOOKUP(C110,Base_Dados!$E$1:$F$7,2,FALSE)=F110," ","Fornecedor inválido!")," ")</f>
        <v> </v>
      </c>
      <c r="M110" s="22" t="str">
        <f>IF(AND(LEFT(F110,2)="MP",H110&lt;&gt;Base_Dados!$A$1),"Impossível!!!"," ")</f>
        <v> </v>
      </c>
      <c r="N110" s="21" t="str">
        <f>IF(E110="Avião",IF($G110&lt;=VLOOKUP($F110,Base_Dados!$K$1:$O$7,3,FALSE)," ","Limite "&amp;VLOOKUP($F110,Base_Dados!$K$1:$O$11,3,FALSE)&amp;" "&amp;VLOOKUP($F110,Base_Dados!$K$1:$O$11,2,FALSE))," ")</f>
        <v> </v>
      </c>
      <c r="O110" s="21" t="str">
        <f>IF(E110="Caminhão",IF($G110&lt;=VLOOKUP($F110,Base_Dados!$K$1:$O$7,4,FALSE)," ","Limite "&amp;VLOOKUP($F110,Base_Dados!$K$1:$O$11,4,FALSE)&amp;" "&amp;VLOOKUP($F110,Base_Dados!$K$1:$O$11,2,FALSE))," ")</f>
        <v> </v>
      </c>
      <c r="P110" s="21" t="str">
        <f>IF(E110="Navio",IF($G110&lt;=VLOOKUP($F110,Base_Dados!$K$1:$O$7,5,FALSE)," ","Limite "&amp;VLOOKUP($F110,Base_Dados!$K$1:$O$11,5,FALSE)&amp;" "&amp;VLOOKUP($F110,Base_Dados!$K$1:$O$11,2,FALSE))," ")</f>
        <v> </v>
      </c>
      <c r="Q110" s="21" t="str">
        <f t="shared" si="2"/>
        <v/>
      </c>
      <c r="R110" s="1"/>
      <c r="S110" s="1"/>
      <c r="T110" s="1"/>
      <c r="U110" s="1"/>
      <c r="V110" s="1"/>
      <c r="W110" s="1"/>
      <c r="X110" s="1"/>
      <c r="Y110" s="1"/>
      <c r="Z110" s="1"/>
    </row>
    <row r="111" ht="24.0" customHeight="1">
      <c r="A111" s="18" t="s">
        <v>43</v>
      </c>
      <c r="B111" s="18" t="s">
        <v>35</v>
      </c>
      <c r="C111" s="19" t="s">
        <v>36</v>
      </c>
      <c r="D111" s="19" t="s">
        <v>53</v>
      </c>
      <c r="E111" s="19" t="s">
        <v>45</v>
      </c>
      <c r="F111" s="19" t="s">
        <v>34</v>
      </c>
      <c r="G111" s="20">
        <v>3333.0</v>
      </c>
      <c r="H111" s="19" t="s">
        <v>56</v>
      </c>
      <c r="I111" s="19" t="s">
        <v>57</v>
      </c>
      <c r="J111" s="13">
        <f>VLOOKUP(C111&amp;I111&amp;E111,Orig_Dest!$A$2:$E$1876,5,FALSE)</f>
        <v>0</v>
      </c>
      <c r="K111" s="14" t="str">
        <f t="shared" si="1"/>
        <v>Dia 7</v>
      </c>
      <c r="L111" s="21" t="str">
        <f>IF(B111="Fornecedor",IF(VLOOKUP(C111,Base_Dados!$E$1:$F$7,2,FALSE)=F111," ","Fornecedor inválido!")," ")</f>
        <v> </v>
      </c>
      <c r="M111" s="22" t="str">
        <f>IF(AND(LEFT(F111,2)="MP",H111&lt;&gt;Base_Dados!$A$1),"Impossível!!!"," ")</f>
        <v> </v>
      </c>
      <c r="N111" s="21" t="str">
        <f>IF(E111="Avião",IF($G111&lt;=VLOOKUP($F111,Base_Dados!$K$1:$O$7,3,FALSE)," ","Limite "&amp;VLOOKUP($F111,Base_Dados!$K$1:$O$11,3,FALSE)&amp;" "&amp;VLOOKUP($F111,Base_Dados!$K$1:$O$11,2,FALSE))," ")</f>
        <v> </v>
      </c>
      <c r="O111" s="21" t="str">
        <f>IF(E111="Caminhão",IF($G111&lt;=VLOOKUP($F111,Base_Dados!$K$1:$O$7,4,FALSE)," ","Limite "&amp;VLOOKUP($F111,Base_Dados!$K$1:$O$11,4,FALSE)&amp;" "&amp;VLOOKUP($F111,Base_Dados!$K$1:$O$11,2,FALSE))," ")</f>
        <v> </v>
      </c>
      <c r="P111" s="21" t="str">
        <f>IF(E111="Navio",IF($G111&lt;=VLOOKUP($F111,Base_Dados!$K$1:$O$7,5,FALSE)," ","Limite "&amp;VLOOKUP($F111,Base_Dados!$K$1:$O$11,5,FALSE)&amp;" "&amp;VLOOKUP($F111,Base_Dados!$K$1:$O$11,2,FALSE))," ")</f>
        <v> </v>
      </c>
      <c r="Q111" s="21" t="str">
        <f t="shared" si="2"/>
        <v/>
      </c>
      <c r="R111" s="1"/>
      <c r="S111" s="1"/>
      <c r="T111" s="1"/>
      <c r="U111" s="1"/>
      <c r="V111" s="1"/>
      <c r="W111" s="1"/>
      <c r="X111" s="1"/>
      <c r="Y111" s="1"/>
      <c r="Z111" s="1"/>
    </row>
    <row r="112" ht="24.0" customHeight="1">
      <c r="A112" s="18" t="s">
        <v>43</v>
      </c>
      <c r="B112" s="18" t="s">
        <v>35</v>
      </c>
      <c r="C112" s="19" t="s">
        <v>36</v>
      </c>
      <c r="D112" s="19" t="s">
        <v>53</v>
      </c>
      <c r="E112" s="19" t="s">
        <v>45</v>
      </c>
      <c r="F112" s="19" t="s">
        <v>34</v>
      </c>
      <c r="G112" s="20">
        <v>55.0</v>
      </c>
      <c r="H112" s="19" t="s">
        <v>56</v>
      </c>
      <c r="I112" s="19" t="s">
        <v>57</v>
      </c>
      <c r="J112" s="13">
        <f>VLOOKUP(C112&amp;I112&amp;E112,Orig_Dest!$A$2:$E$1876,5,FALSE)</f>
        <v>0</v>
      </c>
      <c r="K112" s="14" t="str">
        <f t="shared" si="1"/>
        <v>Dia 7</v>
      </c>
      <c r="L112" s="21" t="str">
        <f>IF(B112="Fornecedor",IF(VLOOKUP(C112,Base_Dados!$E$1:$F$7,2,FALSE)=F112," ","Fornecedor inválido!")," ")</f>
        <v> </v>
      </c>
      <c r="M112" s="22" t="str">
        <f>IF(AND(LEFT(F112,2)="MP",H112&lt;&gt;Base_Dados!$A$1),"Impossível!!!"," ")</f>
        <v> </v>
      </c>
      <c r="N112" s="21" t="str">
        <f>IF(E112="Avião",IF($G112&lt;=VLOOKUP($F112,Base_Dados!$K$1:$O$7,3,FALSE)," ","Limite "&amp;VLOOKUP($F112,Base_Dados!$K$1:$O$11,3,FALSE)&amp;" "&amp;VLOOKUP($F112,Base_Dados!$K$1:$O$11,2,FALSE))," ")</f>
        <v> </v>
      </c>
      <c r="O112" s="21" t="str">
        <f>IF(E112="Caminhão",IF($G112&lt;=VLOOKUP($F112,Base_Dados!$K$1:$O$7,4,FALSE)," ","Limite "&amp;VLOOKUP($F112,Base_Dados!$K$1:$O$11,4,FALSE)&amp;" "&amp;VLOOKUP($F112,Base_Dados!$K$1:$O$11,2,FALSE))," ")</f>
        <v> </v>
      </c>
      <c r="P112" s="21" t="str">
        <f>IF(E112="Navio",IF($G112&lt;=VLOOKUP($F112,Base_Dados!$K$1:$O$7,5,FALSE)," ","Limite "&amp;VLOOKUP($F112,Base_Dados!$K$1:$O$11,5,FALSE)&amp;" "&amp;VLOOKUP($F112,Base_Dados!$K$1:$O$11,2,FALSE))," ")</f>
        <v> </v>
      </c>
      <c r="Q112" s="21" t="str">
        <f t="shared" si="2"/>
        <v/>
      </c>
      <c r="R112" s="1"/>
      <c r="S112" s="1"/>
      <c r="T112" s="1"/>
      <c r="U112" s="1"/>
      <c r="V112" s="1"/>
      <c r="W112" s="1"/>
      <c r="X112" s="1"/>
      <c r="Y112" s="1"/>
      <c r="Z112" s="1"/>
    </row>
    <row r="113" ht="24.0" customHeight="1">
      <c r="A113" s="18" t="s">
        <v>43</v>
      </c>
      <c r="B113" s="18" t="s">
        <v>35</v>
      </c>
      <c r="C113" s="19" t="s">
        <v>36</v>
      </c>
      <c r="D113" s="19" t="s">
        <v>53</v>
      </c>
      <c r="E113" s="19" t="s">
        <v>45</v>
      </c>
      <c r="F113" s="19" t="s">
        <v>34</v>
      </c>
      <c r="G113" s="20">
        <v>3333.0</v>
      </c>
      <c r="H113" s="19" t="s">
        <v>56</v>
      </c>
      <c r="I113" s="19" t="s">
        <v>58</v>
      </c>
      <c r="J113" s="13">
        <f>VLOOKUP(C113&amp;I113&amp;E113,Orig_Dest!$A$2:$E$1876,5,FALSE)</f>
        <v>0</v>
      </c>
      <c r="K113" s="14" t="str">
        <f t="shared" si="1"/>
        <v>Dia 7</v>
      </c>
      <c r="L113" s="21" t="str">
        <f>IF(B113="Fornecedor",IF(VLOOKUP(C113,Base_Dados!$E$1:$F$7,2,FALSE)=F113," ","Fornecedor inválido!")," ")</f>
        <v> </v>
      </c>
      <c r="M113" s="22" t="str">
        <f>IF(AND(LEFT(F113,2)="MP",H113&lt;&gt;Base_Dados!$A$1),"Impossível!!!"," ")</f>
        <v> </v>
      </c>
      <c r="N113" s="21" t="str">
        <f>IF(E113="Avião",IF($G113&lt;=VLOOKUP($F113,Base_Dados!$K$1:$O$7,3,FALSE)," ","Limite "&amp;VLOOKUP($F113,Base_Dados!$K$1:$O$11,3,FALSE)&amp;" "&amp;VLOOKUP($F113,Base_Dados!$K$1:$O$11,2,FALSE))," ")</f>
        <v> </v>
      </c>
      <c r="O113" s="21" t="str">
        <f>IF(E113="Caminhão",IF($G113&lt;=VLOOKUP($F113,Base_Dados!$K$1:$O$7,4,FALSE)," ","Limite "&amp;VLOOKUP($F113,Base_Dados!$K$1:$O$11,4,FALSE)&amp;" "&amp;VLOOKUP($F113,Base_Dados!$K$1:$O$11,2,FALSE))," ")</f>
        <v> </v>
      </c>
      <c r="P113" s="21" t="str">
        <f>IF(E113="Navio",IF($G113&lt;=VLOOKUP($F113,Base_Dados!$K$1:$O$7,5,FALSE)," ","Limite "&amp;VLOOKUP($F113,Base_Dados!$K$1:$O$11,5,FALSE)&amp;" "&amp;VLOOKUP($F113,Base_Dados!$K$1:$O$11,2,FALSE))," ")</f>
        <v> </v>
      </c>
      <c r="Q113" s="21" t="str">
        <f t="shared" si="2"/>
        <v/>
      </c>
      <c r="R113" s="1"/>
      <c r="S113" s="1"/>
      <c r="T113" s="1"/>
      <c r="U113" s="1"/>
      <c r="V113" s="1"/>
      <c r="W113" s="1"/>
      <c r="X113" s="1"/>
      <c r="Y113" s="1"/>
      <c r="Z113" s="1"/>
    </row>
    <row r="114" ht="24.0" customHeight="1">
      <c r="A114" s="18" t="s">
        <v>43</v>
      </c>
      <c r="B114" s="18" t="s">
        <v>35</v>
      </c>
      <c r="C114" s="19" t="s">
        <v>36</v>
      </c>
      <c r="D114" s="19" t="s">
        <v>53</v>
      </c>
      <c r="E114" s="19" t="s">
        <v>45</v>
      </c>
      <c r="F114" s="19" t="s">
        <v>34</v>
      </c>
      <c r="G114" s="20">
        <v>3333.0</v>
      </c>
      <c r="H114" s="19" t="s">
        <v>56</v>
      </c>
      <c r="I114" s="19" t="s">
        <v>58</v>
      </c>
      <c r="J114" s="13">
        <f>VLOOKUP(C114&amp;I114&amp;E114,Orig_Dest!$A$2:$E$1876,5,FALSE)</f>
        <v>0</v>
      </c>
      <c r="K114" s="14" t="str">
        <f t="shared" si="1"/>
        <v>Dia 7</v>
      </c>
      <c r="L114" s="21" t="str">
        <f>IF(B114="Fornecedor",IF(VLOOKUP(C114,Base_Dados!$E$1:$F$7,2,FALSE)=F114," ","Fornecedor inválido!")," ")</f>
        <v> </v>
      </c>
      <c r="M114" s="22" t="str">
        <f>IF(AND(LEFT(F114,2)="MP",H114&lt;&gt;Base_Dados!$A$1),"Impossível!!!"," ")</f>
        <v> </v>
      </c>
      <c r="N114" s="21" t="str">
        <f>IF(E114="Avião",IF($G114&lt;=VLOOKUP($F114,Base_Dados!$K$1:$O$7,3,FALSE)," ","Limite "&amp;VLOOKUP($F114,Base_Dados!$K$1:$O$11,3,FALSE)&amp;" "&amp;VLOOKUP($F114,Base_Dados!$K$1:$O$11,2,FALSE))," ")</f>
        <v> </v>
      </c>
      <c r="O114" s="21" t="str">
        <f>IF(E114="Caminhão",IF($G114&lt;=VLOOKUP($F114,Base_Dados!$K$1:$O$7,4,FALSE)," ","Limite "&amp;VLOOKUP($F114,Base_Dados!$K$1:$O$11,4,FALSE)&amp;" "&amp;VLOOKUP($F114,Base_Dados!$K$1:$O$11,2,FALSE))," ")</f>
        <v> </v>
      </c>
      <c r="P114" s="21" t="str">
        <f>IF(E114="Navio",IF($G114&lt;=VLOOKUP($F114,Base_Dados!$K$1:$O$7,5,FALSE)," ","Limite "&amp;VLOOKUP($F114,Base_Dados!$K$1:$O$11,5,FALSE)&amp;" "&amp;VLOOKUP($F114,Base_Dados!$K$1:$O$11,2,FALSE))," ")</f>
        <v> </v>
      </c>
      <c r="Q114" s="21" t="str">
        <f t="shared" si="2"/>
        <v/>
      </c>
      <c r="R114" s="1"/>
      <c r="S114" s="1"/>
      <c r="T114" s="1"/>
      <c r="U114" s="1"/>
      <c r="V114" s="1"/>
      <c r="W114" s="1"/>
      <c r="X114" s="1"/>
      <c r="Y114" s="1"/>
      <c r="Z114" s="1"/>
    </row>
    <row r="115" ht="24.0" customHeight="1">
      <c r="A115" s="18" t="s">
        <v>43</v>
      </c>
      <c r="B115" s="18" t="s">
        <v>35</v>
      </c>
      <c r="C115" s="19" t="s">
        <v>36</v>
      </c>
      <c r="D115" s="19" t="s">
        <v>53</v>
      </c>
      <c r="E115" s="19" t="s">
        <v>45</v>
      </c>
      <c r="F115" s="19" t="s">
        <v>34</v>
      </c>
      <c r="G115" s="20">
        <v>3333.0</v>
      </c>
      <c r="H115" s="19" t="s">
        <v>56</v>
      </c>
      <c r="I115" s="19" t="s">
        <v>58</v>
      </c>
      <c r="J115" s="13">
        <f>VLOOKUP(C115&amp;I115&amp;E115,Orig_Dest!$A$2:$E$1876,5,FALSE)</f>
        <v>0</v>
      </c>
      <c r="K115" s="14" t="str">
        <f t="shared" si="1"/>
        <v>Dia 7</v>
      </c>
      <c r="L115" s="21" t="str">
        <f>IF(B115="Fornecedor",IF(VLOOKUP(C115,Base_Dados!$E$1:$F$7,2,FALSE)=F115," ","Fornecedor inválido!")," ")</f>
        <v> </v>
      </c>
      <c r="M115" s="22" t="str">
        <f>IF(AND(LEFT(F115,2)="MP",H115&lt;&gt;Base_Dados!$A$1),"Impossível!!!"," ")</f>
        <v> </v>
      </c>
      <c r="N115" s="21" t="str">
        <f>IF(E115="Avião",IF($G115&lt;=VLOOKUP($F115,Base_Dados!$K$1:$O$7,3,FALSE)," ","Limite "&amp;VLOOKUP($F115,Base_Dados!$K$1:$O$11,3,FALSE)&amp;" "&amp;VLOOKUP($F115,Base_Dados!$K$1:$O$11,2,FALSE))," ")</f>
        <v> </v>
      </c>
      <c r="O115" s="21" t="str">
        <f>IF(E115="Caminhão",IF($G115&lt;=VLOOKUP($F115,Base_Dados!$K$1:$O$7,4,FALSE)," ","Limite "&amp;VLOOKUP($F115,Base_Dados!$K$1:$O$11,4,FALSE)&amp;" "&amp;VLOOKUP($F115,Base_Dados!$K$1:$O$11,2,FALSE))," ")</f>
        <v> </v>
      </c>
      <c r="P115" s="21" t="str">
        <f>IF(E115="Navio",IF($G115&lt;=VLOOKUP($F115,Base_Dados!$K$1:$O$7,5,FALSE)," ","Limite "&amp;VLOOKUP($F115,Base_Dados!$K$1:$O$11,5,FALSE)&amp;" "&amp;VLOOKUP($F115,Base_Dados!$K$1:$O$11,2,FALSE))," ")</f>
        <v> </v>
      </c>
      <c r="Q115" s="21" t="str">
        <f t="shared" si="2"/>
        <v/>
      </c>
      <c r="R115" s="1"/>
      <c r="S115" s="1"/>
      <c r="T115" s="1"/>
      <c r="U115" s="1"/>
      <c r="V115" s="1"/>
      <c r="W115" s="1"/>
      <c r="X115" s="1"/>
      <c r="Y115" s="1"/>
      <c r="Z115" s="1"/>
    </row>
    <row r="116" ht="24.0" customHeight="1">
      <c r="A116" s="18" t="s">
        <v>43</v>
      </c>
      <c r="B116" s="18" t="s">
        <v>35</v>
      </c>
      <c r="C116" s="19" t="s">
        <v>36</v>
      </c>
      <c r="D116" s="19" t="s">
        <v>53</v>
      </c>
      <c r="E116" s="19" t="s">
        <v>45</v>
      </c>
      <c r="F116" s="19" t="s">
        <v>34</v>
      </c>
      <c r="G116" s="20">
        <v>3333.0</v>
      </c>
      <c r="H116" s="19" t="s">
        <v>56</v>
      </c>
      <c r="I116" s="19" t="s">
        <v>58</v>
      </c>
      <c r="J116" s="13">
        <f>VLOOKUP(C116&amp;I116&amp;E116,Orig_Dest!$A$2:$E$1876,5,FALSE)</f>
        <v>0</v>
      </c>
      <c r="K116" s="14" t="str">
        <f t="shared" si="1"/>
        <v>Dia 7</v>
      </c>
      <c r="L116" s="21" t="str">
        <f>IF(B116="Fornecedor",IF(VLOOKUP(C116,Base_Dados!$E$1:$F$7,2,FALSE)=F116," ","Fornecedor inválido!")," ")</f>
        <v> </v>
      </c>
      <c r="M116" s="22" t="str">
        <f>IF(AND(LEFT(F116,2)="MP",H116&lt;&gt;Base_Dados!$A$1),"Impossível!!!"," ")</f>
        <v> </v>
      </c>
      <c r="N116" s="21" t="str">
        <f>IF(E116="Avião",IF($G116&lt;=VLOOKUP($F116,Base_Dados!$K$1:$O$7,3,FALSE)," ","Limite "&amp;VLOOKUP($F116,Base_Dados!$K$1:$O$11,3,FALSE)&amp;" "&amp;VLOOKUP($F116,Base_Dados!$K$1:$O$11,2,FALSE))," ")</f>
        <v> </v>
      </c>
      <c r="O116" s="21" t="str">
        <f>IF(E116="Caminhão",IF($G116&lt;=VLOOKUP($F116,Base_Dados!$K$1:$O$7,4,FALSE)," ","Limite "&amp;VLOOKUP($F116,Base_Dados!$K$1:$O$11,4,FALSE)&amp;" "&amp;VLOOKUP($F116,Base_Dados!$K$1:$O$11,2,FALSE))," ")</f>
        <v> </v>
      </c>
      <c r="P116" s="21" t="str">
        <f>IF(E116="Navio",IF($G116&lt;=VLOOKUP($F116,Base_Dados!$K$1:$O$7,5,FALSE)," ","Limite "&amp;VLOOKUP($F116,Base_Dados!$K$1:$O$11,5,FALSE)&amp;" "&amp;VLOOKUP($F116,Base_Dados!$K$1:$O$11,2,FALSE))," ")</f>
        <v> </v>
      </c>
      <c r="Q116" s="21" t="str">
        <f t="shared" si="2"/>
        <v/>
      </c>
      <c r="R116" s="1"/>
      <c r="S116" s="1"/>
      <c r="T116" s="1"/>
      <c r="U116" s="1"/>
      <c r="V116" s="1"/>
      <c r="W116" s="1"/>
      <c r="X116" s="1"/>
      <c r="Y116" s="1"/>
      <c r="Z116" s="1"/>
    </row>
    <row r="117" ht="24.0" customHeight="1">
      <c r="A117" s="18" t="s">
        <v>43</v>
      </c>
      <c r="B117" s="18" t="s">
        <v>35</v>
      </c>
      <c r="C117" s="19" t="s">
        <v>36</v>
      </c>
      <c r="D117" s="19" t="s">
        <v>53</v>
      </c>
      <c r="E117" s="19" t="s">
        <v>45</v>
      </c>
      <c r="F117" s="19" t="s">
        <v>34</v>
      </c>
      <c r="G117" s="20">
        <v>3333.0</v>
      </c>
      <c r="H117" s="19" t="s">
        <v>56</v>
      </c>
      <c r="I117" s="19" t="s">
        <v>58</v>
      </c>
      <c r="J117" s="13">
        <f>VLOOKUP(C117&amp;I117&amp;E117,Orig_Dest!$A$2:$E$1876,5,FALSE)</f>
        <v>0</v>
      </c>
      <c r="K117" s="14" t="str">
        <f t="shared" si="1"/>
        <v>Dia 7</v>
      </c>
      <c r="L117" s="21" t="str">
        <f>IF(B117="Fornecedor",IF(VLOOKUP(C117,Base_Dados!$E$1:$F$7,2,FALSE)=F117," ","Fornecedor inválido!")," ")</f>
        <v> </v>
      </c>
      <c r="M117" s="22" t="str">
        <f>IF(AND(LEFT(F117,2)="MP",H117&lt;&gt;Base_Dados!$A$1),"Impossível!!!"," ")</f>
        <v> </v>
      </c>
      <c r="N117" s="21" t="str">
        <f>IF(E117="Avião",IF($G117&lt;=VLOOKUP($F117,Base_Dados!$K$1:$O$7,3,FALSE)," ","Limite "&amp;VLOOKUP($F117,Base_Dados!$K$1:$O$11,3,FALSE)&amp;" "&amp;VLOOKUP($F117,Base_Dados!$K$1:$O$11,2,FALSE))," ")</f>
        <v> </v>
      </c>
      <c r="O117" s="21" t="str">
        <f>IF(E117="Caminhão",IF($G117&lt;=VLOOKUP($F117,Base_Dados!$K$1:$O$7,4,FALSE)," ","Limite "&amp;VLOOKUP($F117,Base_Dados!$K$1:$O$11,4,FALSE)&amp;" "&amp;VLOOKUP($F117,Base_Dados!$K$1:$O$11,2,FALSE))," ")</f>
        <v> </v>
      </c>
      <c r="P117" s="21" t="str">
        <f>IF(E117="Navio",IF($G117&lt;=VLOOKUP($F117,Base_Dados!$K$1:$O$7,5,FALSE)," ","Limite "&amp;VLOOKUP($F117,Base_Dados!$K$1:$O$11,5,FALSE)&amp;" "&amp;VLOOKUP($F117,Base_Dados!$K$1:$O$11,2,FALSE))," ")</f>
        <v> </v>
      </c>
      <c r="Q117" s="21" t="str">
        <f t="shared" si="2"/>
        <v/>
      </c>
      <c r="R117" s="1"/>
      <c r="S117" s="1"/>
      <c r="T117" s="1"/>
      <c r="U117" s="1"/>
      <c r="V117" s="1"/>
      <c r="W117" s="1"/>
      <c r="X117" s="1"/>
      <c r="Y117" s="1"/>
      <c r="Z117" s="1"/>
    </row>
    <row r="118" ht="24.0" customHeight="1">
      <c r="A118" s="18" t="s">
        <v>43</v>
      </c>
      <c r="B118" s="18" t="s">
        <v>35</v>
      </c>
      <c r="C118" s="19" t="s">
        <v>36</v>
      </c>
      <c r="D118" s="19" t="s">
        <v>53</v>
      </c>
      <c r="E118" s="19" t="s">
        <v>45</v>
      </c>
      <c r="F118" s="19" t="s">
        <v>34</v>
      </c>
      <c r="G118" s="20">
        <v>3333.0</v>
      </c>
      <c r="H118" s="19" t="s">
        <v>56</v>
      </c>
      <c r="I118" s="19" t="s">
        <v>58</v>
      </c>
      <c r="J118" s="13">
        <f>VLOOKUP(C118&amp;I118&amp;E118,Orig_Dest!$A$2:$E$1876,5,FALSE)</f>
        <v>0</v>
      </c>
      <c r="K118" s="14" t="str">
        <f t="shared" si="1"/>
        <v>Dia 7</v>
      </c>
      <c r="L118" s="21" t="str">
        <f>IF(B118="Fornecedor",IF(VLOOKUP(C118,Base_Dados!$E$1:$F$7,2,FALSE)=F118," ","Fornecedor inválido!")," ")</f>
        <v> </v>
      </c>
      <c r="M118" s="22" t="str">
        <f>IF(AND(LEFT(F118,2)="MP",H118&lt;&gt;Base_Dados!$A$1),"Impossível!!!"," ")</f>
        <v> </v>
      </c>
      <c r="N118" s="21" t="str">
        <f>IF(E118="Avião",IF($G118&lt;=VLOOKUP($F118,Base_Dados!$K$1:$O$7,3,FALSE)," ","Limite "&amp;VLOOKUP($F118,Base_Dados!$K$1:$O$11,3,FALSE)&amp;" "&amp;VLOOKUP($F118,Base_Dados!$K$1:$O$11,2,FALSE))," ")</f>
        <v> </v>
      </c>
      <c r="O118" s="21" t="str">
        <f>IF(E118="Caminhão",IF($G118&lt;=VLOOKUP($F118,Base_Dados!$K$1:$O$7,4,FALSE)," ","Limite "&amp;VLOOKUP($F118,Base_Dados!$K$1:$O$11,4,FALSE)&amp;" "&amp;VLOOKUP($F118,Base_Dados!$K$1:$O$11,2,FALSE))," ")</f>
        <v> </v>
      </c>
      <c r="P118" s="21" t="str">
        <f>IF(E118="Navio",IF($G118&lt;=VLOOKUP($F118,Base_Dados!$K$1:$O$7,5,FALSE)," ","Limite "&amp;VLOOKUP($F118,Base_Dados!$K$1:$O$11,5,FALSE)&amp;" "&amp;VLOOKUP($F118,Base_Dados!$K$1:$O$11,2,FALSE))," ")</f>
        <v> </v>
      </c>
      <c r="Q118" s="21" t="str">
        <f t="shared" si="2"/>
        <v/>
      </c>
      <c r="R118" s="1"/>
      <c r="S118" s="1"/>
      <c r="T118" s="1"/>
      <c r="U118" s="1"/>
      <c r="V118" s="1"/>
      <c r="W118" s="1"/>
      <c r="X118" s="1"/>
      <c r="Y118" s="1"/>
      <c r="Z118" s="1"/>
    </row>
    <row r="119" ht="24.0" customHeight="1">
      <c r="A119" s="18" t="s">
        <v>43</v>
      </c>
      <c r="B119" s="18" t="s">
        <v>35</v>
      </c>
      <c r="C119" s="19" t="s">
        <v>36</v>
      </c>
      <c r="D119" s="19" t="s">
        <v>53</v>
      </c>
      <c r="E119" s="19" t="s">
        <v>45</v>
      </c>
      <c r="F119" s="19" t="s">
        <v>34</v>
      </c>
      <c r="G119" s="20">
        <v>3333.0</v>
      </c>
      <c r="H119" s="19" t="s">
        <v>56</v>
      </c>
      <c r="I119" s="19" t="s">
        <v>58</v>
      </c>
      <c r="J119" s="13">
        <f>VLOOKUP(C119&amp;I119&amp;E119,Orig_Dest!$A$2:$E$1876,5,FALSE)</f>
        <v>0</v>
      </c>
      <c r="K119" s="14" t="str">
        <f t="shared" si="1"/>
        <v>Dia 7</v>
      </c>
      <c r="L119" s="21" t="str">
        <f>IF(B119="Fornecedor",IF(VLOOKUP(C119,Base_Dados!$E$1:$F$7,2,FALSE)=F119," ","Fornecedor inválido!")," ")</f>
        <v> </v>
      </c>
      <c r="M119" s="22" t="str">
        <f>IF(AND(LEFT(F119,2)="MP",H119&lt;&gt;Base_Dados!$A$1),"Impossível!!!"," ")</f>
        <v> </v>
      </c>
      <c r="N119" s="21" t="str">
        <f>IF(E119="Avião",IF($G119&lt;=VLOOKUP($F119,Base_Dados!$K$1:$O$7,3,FALSE)," ","Limite "&amp;VLOOKUP($F119,Base_Dados!$K$1:$O$11,3,FALSE)&amp;" "&amp;VLOOKUP($F119,Base_Dados!$K$1:$O$11,2,FALSE))," ")</f>
        <v> </v>
      </c>
      <c r="O119" s="21" t="str">
        <f>IF(E119="Caminhão",IF($G119&lt;=VLOOKUP($F119,Base_Dados!$K$1:$O$7,4,FALSE)," ","Limite "&amp;VLOOKUP($F119,Base_Dados!$K$1:$O$11,4,FALSE)&amp;" "&amp;VLOOKUP($F119,Base_Dados!$K$1:$O$11,2,FALSE))," ")</f>
        <v> </v>
      </c>
      <c r="P119" s="21" t="str">
        <f>IF(E119="Navio",IF($G119&lt;=VLOOKUP($F119,Base_Dados!$K$1:$O$7,5,FALSE)," ","Limite "&amp;VLOOKUP($F119,Base_Dados!$K$1:$O$11,5,FALSE)&amp;" "&amp;VLOOKUP($F119,Base_Dados!$K$1:$O$11,2,FALSE))," ")</f>
        <v> </v>
      </c>
      <c r="Q119" s="21" t="str">
        <f t="shared" si="2"/>
        <v/>
      </c>
      <c r="R119" s="1"/>
      <c r="S119" s="1"/>
      <c r="T119" s="1"/>
      <c r="U119" s="1"/>
      <c r="V119" s="1"/>
      <c r="W119" s="1"/>
      <c r="X119" s="1"/>
      <c r="Y119" s="1"/>
      <c r="Z119" s="1"/>
    </row>
    <row r="120" ht="24.0" customHeight="1">
      <c r="A120" s="18" t="s">
        <v>43</v>
      </c>
      <c r="B120" s="18" t="s">
        <v>35</v>
      </c>
      <c r="C120" s="19" t="s">
        <v>36</v>
      </c>
      <c r="D120" s="19" t="s">
        <v>53</v>
      </c>
      <c r="E120" s="19" t="s">
        <v>45</v>
      </c>
      <c r="F120" s="19" t="s">
        <v>34</v>
      </c>
      <c r="G120" s="20">
        <v>2264.0</v>
      </c>
      <c r="H120" s="19" t="s">
        <v>56</v>
      </c>
      <c r="I120" s="19" t="s">
        <v>58</v>
      </c>
      <c r="J120" s="13">
        <f>VLOOKUP(C120&amp;I120&amp;E120,Orig_Dest!$A$2:$E$1876,5,FALSE)</f>
        <v>0</v>
      </c>
      <c r="K120" s="14" t="str">
        <f t="shared" si="1"/>
        <v>Dia 7</v>
      </c>
      <c r="L120" s="21" t="str">
        <f>IF(B120="Fornecedor",IF(VLOOKUP(C120,Base_Dados!$E$1:$F$7,2,FALSE)=F120," ","Fornecedor inválido!")," ")</f>
        <v> </v>
      </c>
      <c r="M120" s="22" t="str">
        <f>IF(AND(LEFT(F120,2)="MP",H120&lt;&gt;Base_Dados!$A$1),"Impossível!!!"," ")</f>
        <v> </v>
      </c>
      <c r="N120" s="21" t="str">
        <f>IF(E120="Avião",IF($G120&lt;=VLOOKUP($F120,Base_Dados!$K$1:$O$7,3,FALSE)," ","Limite "&amp;VLOOKUP($F120,Base_Dados!$K$1:$O$11,3,FALSE)&amp;" "&amp;VLOOKUP($F120,Base_Dados!$K$1:$O$11,2,FALSE))," ")</f>
        <v> </v>
      </c>
      <c r="O120" s="21" t="str">
        <f>IF(E120="Caminhão",IF($G120&lt;=VLOOKUP($F120,Base_Dados!$K$1:$O$7,4,FALSE)," ","Limite "&amp;VLOOKUP($F120,Base_Dados!$K$1:$O$11,4,FALSE)&amp;" "&amp;VLOOKUP($F120,Base_Dados!$K$1:$O$11,2,FALSE))," ")</f>
        <v> </v>
      </c>
      <c r="P120" s="21" t="str">
        <f>IF(E120="Navio",IF($G120&lt;=VLOOKUP($F120,Base_Dados!$K$1:$O$7,5,FALSE)," ","Limite "&amp;VLOOKUP($F120,Base_Dados!$K$1:$O$11,5,FALSE)&amp;" "&amp;VLOOKUP($F120,Base_Dados!$K$1:$O$11,2,FALSE))," ")</f>
        <v> </v>
      </c>
      <c r="Q120" s="21" t="str">
        <f t="shared" si="2"/>
        <v/>
      </c>
      <c r="R120" s="1"/>
      <c r="S120" s="1"/>
      <c r="T120" s="1"/>
      <c r="U120" s="1"/>
      <c r="V120" s="1"/>
      <c r="W120" s="1"/>
      <c r="X120" s="1"/>
      <c r="Y120" s="1"/>
      <c r="Z120" s="1"/>
    </row>
    <row r="121" ht="24.0" customHeight="1">
      <c r="A121" s="18" t="s">
        <v>43</v>
      </c>
      <c r="B121" s="18" t="s">
        <v>35</v>
      </c>
      <c r="C121" s="19" t="s">
        <v>36</v>
      </c>
      <c r="D121" s="19" t="s">
        <v>53</v>
      </c>
      <c r="E121" s="19" t="s">
        <v>45</v>
      </c>
      <c r="F121" s="19" t="s">
        <v>34</v>
      </c>
      <c r="G121" s="20">
        <v>3333.0</v>
      </c>
      <c r="H121" s="19" t="s">
        <v>56</v>
      </c>
      <c r="I121" s="19" t="s">
        <v>59</v>
      </c>
      <c r="J121" s="13">
        <f>VLOOKUP(C121&amp;I121&amp;E121,Orig_Dest!$A$2:$E$1876,5,FALSE)</f>
        <v>0</v>
      </c>
      <c r="K121" s="14" t="str">
        <f t="shared" si="1"/>
        <v>Dia 7</v>
      </c>
      <c r="L121" s="21" t="str">
        <f>IF(B121="Fornecedor",IF(VLOOKUP(C121,Base_Dados!$E$1:$F$7,2,FALSE)=F121," ","Fornecedor inválido!")," ")</f>
        <v> </v>
      </c>
      <c r="M121" s="22" t="str">
        <f>IF(AND(LEFT(F121,2)="MP",H121&lt;&gt;Base_Dados!$A$1),"Impossível!!!"," ")</f>
        <v> </v>
      </c>
      <c r="N121" s="21" t="str">
        <f>IF(E121="Avião",IF($G121&lt;=VLOOKUP($F121,Base_Dados!$K$1:$O$7,3,FALSE)," ","Limite "&amp;VLOOKUP($F121,Base_Dados!$K$1:$O$11,3,FALSE)&amp;" "&amp;VLOOKUP($F121,Base_Dados!$K$1:$O$11,2,FALSE))," ")</f>
        <v> </v>
      </c>
      <c r="O121" s="21" t="str">
        <f>IF(E121="Caminhão",IF($G121&lt;=VLOOKUP($F121,Base_Dados!$K$1:$O$7,4,FALSE)," ","Limite "&amp;VLOOKUP($F121,Base_Dados!$K$1:$O$11,4,FALSE)&amp;" "&amp;VLOOKUP($F121,Base_Dados!$K$1:$O$11,2,FALSE))," ")</f>
        <v> </v>
      </c>
      <c r="P121" s="21" t="str">
        <f>IF(E121="Navio",IF($G121&lt;=VLOOKUP($F121,Base_Dados!$K$1:$O$7,5,FALSE)," ","Limite "&amp;VLOOKUP($F121,Base_Dados!$K$1:$O$11,5,FALSE)&amp;" "&amp;VLOOKUP($F121,Base_Dados!$K$1:$O$11,2,FALSE))," ")</f>
        <v> </v>
      </c>
      <c r="Q121" s="21" t="str">
        <f t="shared" si="2"/>
        <v/>
      </c>
      <c r="R121" s="1"/>
      <c r="S121" s="1"/>
      <c r="T121" s="1"/>
      <c r="U121" s="1"/>
      <c r="V121" s="1"/>
      <c r="W121" s="1"/>
      <c r="X121" s="1"/>
      <c r="Y121" s="1"/>
      <c r="Z121" s="1"/>
    </row>
    <row r="122" ht="24.0" customHeight="1">
      <c r="A122" s="18" t="s">
        <v>43</v>
      </c>
      <c r="B122" s="18" t="s">
        <v>35</v>
      </c>
      <c r="C122" s="19" t="s">
        <v>36</v>
      </c>
      <c r="D122" s="19" t="s">
        <v>53</v>
      </c>
      <c r="E122" s="19" t="s">
        <v>45</v>
      </c>
      <c r="F122" s="19" t="s">
        <v>34</v>
      </c>
      <c r="G122" s="20">
        <v>1786.0</v>
      </c>
      <c r="H122" s="19" t="s">
        <v>56</v>
      </c>
      <c r="I122" s="19" t="s">
        <v>59</v>
      </c>
      <c r="J122" s="13">
        <f>VLOOKUP(C122&amp;I122&amp;E122,Orig_Dest!$A$2:$E$1876,5,FALSE)</f>
        <v>0</v>
      </c>
      <c r="K122" s="14" t="str">
        <f t="shared" si="1"/>
        <v>Dia 7</v>
      </c>
      <c r="L122" s="21" t="str">
        <f>IF(B122="Fornecedor",IF(VLOOKUP(C122,Base_Dados!$E$1:$F$7,2,FALSE)=F122," ","Fornecedor inválido!")," ")</f>
        <v> </v>
      </c>
      <c r="M122" s="22" t="str">
        <f>IF(AND(LEFT(F122,2)="MP",H122&lt;&gt;Base_Dados!$A$1),"Impossível!!!"," ")</f>
        <v> </v>
      </c>
      <c r="N122" s="21" t="str">
        <f>IF(E122="Avião",IF($G122&lt;=VLOOKUP($F122,Base_Dados!$K$1:$O$7,3,FALSE)," ","Limite "&amp;VLOOKUP($F122,Base_Dados!$K$1:$O$11,3,FALSE)&amp;" "&amp;VLOOKUP($F122,Base_Dados!$K$1:$O$11,2,FALSE))," ")</f>
        <v> </v>
      </c>
      <c r="O122" s="21" t="str">
        <f>IF(E122="Caminhão",IF($G122&lt;=VLOOKUP($F122,Base_Dados!$K$1:$O$7,4,FALSE)," ","Limite "&amp;VLOOKUP($F122,Base_Dados!$K$1:$O$11,4,FALSE)&amp;" "&amp;VLOOKUP($F122,Base_Dados!$K$1:$O$11,2,FALSE))," ")</f>
        <v> </v>
      </c>
      <c r="P122" s="21" t="str">
        <f>IF(E122="Navio",IF($G122&lt;=VLOOKUP($F122,Base_Dados!$K$1:$O$7,5,FALSE)," ","Limite "&amp;VLOOKUP($F122,Base_Dados!$K$1:$O$11,5,FALSE)&amp;" "&amp;VLOOKUP($F122,Base_Dados!$K$1:$O$11,2,FALSE))," ")</f>
        <v> </v>
      </c>
      <c r="Q122" s="21" t="str">
        <f t="shared" si="2"/>
        <v/>
      </c>
      <c r="R122" s="1"/>
      <c r="S122" s="1"/>
      <c r="T122" s="1"/>
      <c r="U122" s="1"/>
      <c r="V122" s="1"/>
      <c r="W122" s="1"/>
      <c r="X122" s="1"/>
      <c r="Y122" s="1"/>
      <c r="Z122" s="1"/>
    </row>
    <row r="123" ht="24.0" customHeight="1">
      <c r="A123" s="18" t="s">
        <v>43</v>
      </c>
      <c r="B123" s="18" t="s">
        <v>35</v>
      </c>
      <c r="C123" s="19" t="s">
        <v>36</v>
      </c>
      <c r="D123" s="19" t="s">
        <v>53</v>
      </c>
      <c r="E123" s="19" t="s">
        <v>45</v>
      </c>
      <c r="F123" s="19" t="s">
        <v>34</v>
      </c>
      <c r="G123" s="20">
        <v>3333.0</v>
      </c>
      <c r="H123" s="19" t="s">
        <v>56</v>
      </c>
      <c r="I123" s="19" t="s">
        <v>29</v>
      </c>
      <c r="J123" s="13">
        <f>VLOOKUP(C123&amp;I123&amp;E123,Orig_Dest!$A$2:$E$1876,5,FALSE)</f>
        <v>0</v>
      </c>
      <c r="K123" s="14" t="str">
        <f t="shared" si="1"/>
        <v>Dia 7</v>
      </c>
      <c r="L123" s="21" t="str">
        <f>IF(B123="Fornecedor",IF(VLOOKUP(C123,Base_Dados!$E$1:$F$7,2,FALSE)=F123," ","Fornecedor inválido!")," ")</f>
        <v> </v>
      </c>
      <c r="M123" s="22" t="str">
        <f>IF(AND(LEFT(F123,2)="MP",H123&lt;&gt;Base_Dados!$A$1),"Impossível!!!"," ")</f>
        <v> </v>
      </c>
      <c r="N123" s="21" t="str">
        <f>IF(E123="Avião",IF($G123&lt;=VLOOKUP($F123,Base_Dados!$K$1:$O$7,3,FALSE)," ","Limite "&amp;VLOOKUP($F123,Base_Dados!$K$1:$O$11,3,FALSE)&amp;" "&amp;VLOOKUP($F123,Base_Dados!$K$1:$O$11,2,FALSE))," ")</f>
        <v> </v>
      </c>
      <c r="O123" s="21" t="str">
        <f>IF(E123="Caminhão",IF($G123&lt;=VLOOKUP($F123,Base_Dados!$K$1:$O$7,4,FALSE)," ","Limite "&amp;VLOOKUP($F123,Base_Dados!$K$1:$O$11,4,FALSE)&amp;" "&amp;VLOOKUP($F123,Base_Dados!$K$1:$O$11,2,FALSE))," ")</f>
        <v> </v>
      </c>
      <c r="P123" s="21" t="str">
        <f>IF(E123="Navio",IF($G123&lt;=VLOOKUP($F123,Base_Dados!$K$1:$O$7,5,FALSE)," ","Limite "&amp;VLOOKUP($F123,Base_Dados!$K$1:$O$11,5,FALSE)&amp;" "&amp;VLOOKUP($F123,Base_Dados!$K$1:$O$11,2,FALSE))," ")</f>
        <v> </v>
      </c>
      <c r="Q123" s="21" t="str">
        <f t="shared" si="2"/>
        <v/>
      </c>
      <c r="R123" s="1"/>
      <c r="S123" s="1"/>
      <c r="T123" s="1"/>
      <c r="U123" s="1"/>
      <c r="V123" s="1"/>
      <c r="W123" s="1"/>
      <c r="X123" s="1"/>
      <c r="Y123" s="1"/>
      <c r="Z123" s="1"/>
    </row>
    <row r="124" ht="24.0" customHeight="1">
      <c r="A124" s="18" t="s">
        <v>43</v>
      </c>
      <c r="B124" s="18" t="s">
        <v>35</v>
      </c>
      <c r="C124" s="19" t="s">
        <v>36</v>
      </c>
      <c r="D124" s="19" t="s">
        <v>53</v>
      </c>
      <c r="E124" s="19" t="s">
        <v>45</v>
      </c>
      <c r="F124" s="19" t="s">
        <v>34</v>
      </c>
      <c r="G124" s="20">
        <v>2810.0</v>
      </c>
      <c r="H124" s="19" t="s">
        <v>56</v>
      </c>
      <c r="I124" s="19" t="s">
        <v>29</v>
      </c>
      <c r="J124" s="13">
        <f>VLOOKUP(C124&amp;I124&amp;E124,Orig_Dest!$A$2:$E$1876,5,FALSE)</f>
        <v>0</v>
      </c>
      <c r="K124" s="14" t="str">
        <f t="shared" si="1"/>
        <v>Dia 7</v>
      </c>
      <c r="L124" s="21" t="str">
        <f>IF(B124="Fornecedor",IF(VLOOKUP(C124,Base_Dados!$E$1:$F$7,2,FALSE)=F124," ","Fornecedor inválido!")," ")</f>
        <v> </v>
      </c>
      <c r="M124" s="22" t="str">
        <f>IF(AND(LEFT(F124,2)="MP",H124&lt;&gt;Base_Dados!$A$1),"Impossível!!!"," ")</f>
        <v> </v>
      </c>
      <c r="N124" s="21" t="str">
        <f>IF(E124="Avião",IF($G124&lt;=VLOOKUP($F124,Base_Dados!$K$1:$O$7,3,FALSE)," ","Limite "&amp;VLOOKUP($F124,Base_Dados!$K$1:$O$11,3,FALSE)&amp;" "&amp;VLOOKUP($F124,Base_Dados!$K$1:$O$11,2,FALSE))," ")</f>
        <v> </v>
      </c>
      <c r="O124" s="21" t="str">
        <f>IF(E124="Caminhão",IF($G124&lt;=VLOOKUP($F124,Base_Dados!$K$1:$O$7,4,FALSE)," ","Limite "&amp;VLOOKUP($F124,Base_Dados!$K$1:$O$11,4,FALSE)&amp;" "&amp;VLOOKUP($F124,Base_Dados!$K$1:$O$11,2,FALSE))," ")</f>
        <v> </v>
      </c>
      <c r="P124" s="21" t="str">
        <f>IF(E124="Navio",IF($G124&lt;=VLOOKUP($F124,Base_Dados!$K$1:$O$7,5,FALSE)," ","Limite "&amp;VLOOKUP($F124,Base_Dados!$K$1:$O$11,5,FALSE)&amp;" "&amp;VLOOKUP($F124,Base_Dados!$K$1:$O$11,2,FALSE))," ")</f>
        <v> </v>
      </c>
      <c r="Q124" s="21" t="str">
        <f t="shared" si="2"/>
        <v/>
      </c>
      <c r="R124" s="1"/>
      <c r="S124" s="1"/>
      <c r="T124" s="1"/>
      <c r="U124" s="1"/>
      <c r="V124" s="1"/>
      <c r="W124" s="1"/>
      <c r="X124" s="1"/>
      <c r="Y124" s="1"/>
      <c r="Z124" s="1"/>
    </row>
    <row r="125" ht="24.0" customHeight="1">
      <c r="A125" s="18" t="s">
        <v>43</v>
      </c>
      <c r="B125" s="18" t="s">
        <v>35</v>
      </c>
      <c r="C125" s="19" t="s">
        <v>38</v>
      </c>
      <c r="D125" s="19" t="s">
        <v>55</v>
      </c>
      <c r="E125" s="19" t="s">
        <v>45</v>
      </c>
      <c r="F125" s="19" t="s">
        <v>34</v>
      </c>
      <c r="G125" s="20">
        <v>3333.0</v>
      </c>
      <c r="H125" s="19" t="s">
        <v>56</v>
      </c>
      <c r="I125" s="19" t="s">
        <v>60</v>
      </c>
      <c r="J125" s="13">
        <f>VLOOKUP(C125&amp;I125&amp;E125,Orig_Dest!$A$2:$E$1876,5,FALSE)</f>
        <v>0</v>
      </c>
      <c r="K125" s="14" t="str">
        <f t="shared" si="1"/>
        <v>Dia 9</v>
      </c>
      <c r="L125" s="21" t="str">
        <f>IF(B125="Fornecedor",IF(VLOOKUP(C125,Base_Dados!$E$1:$F$7,2,FALSE)=F125," ","Fornecedor inválido!")," ")</f>
        <v> </v>
      </c>
      <c r="M125" s="22" t="str">
        <f>IF(AND(LEFT(F125,2)="MP",H125&lt;&gt;Base_Dados!$A$1),"Impossível!!!"," ")</f>
        <v> </v>
      </c>
      <c r="N125" s="21" t="str">
        <f>IF(E125="Avião",IF($G125&lt;=VLOOKUP($F125,Base_Dados!$K$1:$O$7,3,FALSE)," ","Limite "&amp;VLOOKUP($F125,Base_Dados!$K$1:$O$11,3,FALSE)&amp;" "&amp;VLOOKUP($F125,Base_Dados!$K$1:$O$11,2,FALSE))," ")</f>
        <v> </v>
      </c>
      <c r="O125" s="21" t="str">
        <f>IF(E125="Caminhão",IF($G125&lt;=VLOOKUP($F125,Base_Dados!$K$1:$O$7,4,FALSE)," ","Limite "&amp;VLOOKUP($F125,Base_Dados!$K$1:$O$11,4,FALSE)&amp;" "&amp;VLOOKUP($F125,Base_Dados!$K$1:$O$11,2,FALSE))," ")</f>
        <v> </v>
      </c>
      <c r="P125" s="21" t="str">
        <f>IF(E125="Navio",IF($G125&lt;=VLOOKUP($F125,Base_Dados!$K$1:$O$7,5,FALSE)," ","Limite "&amp;VLOOKUP($F125,Base_Dados!$K$1:$O$11,5,FALSE)&amp;" "&amp;VLOOKUP($F125,Base_Dados!$K$1:$O$11,2,FALSE))," ")</f>
        <v> </v>
      </c>
      <c r="Q125" s="21" t="str">
        <f t="shared" si="2"/>
        <v/>
      </c>
      <c r="R125" s="1"/>
      <c r="S125" s="1"/>
      <c r="T125" s="1"/>
      <c r="U125" s="1"/>
      <c r="V125" s="1"/>
      <c r="W125" s="1"/>
      <c r="X125" s="1"/>
      <c r="Y125" s="1"/>
      <c r="Z125" s="1"/>
    </row>
    <row r="126" ht="24.0" customHeight="1">
      <c r="A126" s="18" t="s">
        <v>43</v>
      </c>
      <c r="B126" s="18" t="s">
        <v>35</v>
      </c>
      <c r="C126" s="19" t="s">
        <v>38</v>
      </c>
      <c r="D126" s="19" t="s">
        <v>55</v>
      </c>
      <c r="E126" s="19" t="s">
        <v>45</v>
      </c>
      <c r="F126" s="19" t="s">
        <v>34</v>
      </c>
      <c r="G126" s="20">
        <v>3333.0</v>
      </c>
      <c r="H126" s="19" t="s">
        <v>56</v>
      </c>
      <c r="I126" s="19" t="s">
        <v>60</v>
      </c>
      <c r="J126" s="13">
        <f>VLOOKUP(C126&amp;I126&amp;E126,Orig_Dest!$A$2:$E$1876,5,FALSE)</f>
        <v>0</v>
      </c>
      <c r="K126" s="14" t="str">
        <f t="shared" si="1"/>
        <v>Dia 9</v>
      </c>
      <c r="L126" s="21" t="str">
        <f>IF(B126="Fornecedor",IF(VLOOKUP(C126,Base_Dados!$E$1:$F$7,2,FALSE)=F126," ","Fornecedor inválido!")," ")</f>
        <v> </v>
      </c>
      <c r="M126" s="22" t="str">
        <f>IF(AND(LEFT(F126,2)="MP",H126&lt;&gt;Base_Dados!$A$1),"Impossível!!!"," ")</f>
        <v> </v>
      </c>
      <c r="N126" s="21" t="str">
        <f>IF(E126="Avião",IF($G126&lt;=VLOOKUP($F126,Base_Dados!$K$1:$O$7,3,FALSE)," ","Limite "&amp;VLOOKUP($F126,Base_Dados!$K$1:$O$11,3,FALSE)&amp;" "&amp;VLOOKUP($F126,Base_Dados!$K$1:$O$11,2,FALSE))," ")</f>
        <v> </v>
      </c>
      <c r="O126" s="21" t="str">
        <f>IF(E126="Caminhão",IF($G126&lt;=VLOOKUP($F126,Base_Dados!$K$1:$O$7,4,FALSE)," ","Limite "&amp;VLOOKUP($F126,Base_Dados!$K$1:$O$11,4,FALSE)&amp;" "&amp;VLOOKUP($F126,Base_Dados!$K$1:$O$11,2,FALSE))," ")</f>
        <v> </v>
      </c>
      <c r="P126" s="21" t="str">
        <f>IF(E126="Navio",IF($G126&lt;=VLOOKUP($F126,Base_Dados!$K$1:$O$7,5,FALSE)," ","Limite "&amp;VLOOKUP($F126,Base_Dados!$K$1:$O$11,5,FALSE)&amp;" "&amp;VLOOKUP($F126,Base_Dados!$K$1:$O$11,2,FALSE))," ")</f>
        <v> </v>
      </c>
      <c r="Q126" s="21" t="str">
        <f t="shared" si="2"/>
        <v/>
      </c>
      <c r="R126" s="1"/>
      <c r="S126" s="1"/>
      <c r="T126" s="1"/>
      <c r="U126" s="1"/>
      <c r="V126" s="1"/>
      <c r="W126" s="1"/>
      <c r="X126" s="1"/>
      <c r="Y126" s="1"/>
      <c r="Z126" s="1"/>
    </row>
    <row r="127" ht="24.0" customHeight="1">
      <c r="A127" s="18" t="s">
        <v>43</v>
      </c>
      <c r="B127" s="18" t="s">
        <v>35</v>
      </c>
      <c r="C127" s="19" t="s">
        <v>38</v>
      </c>
      <c r="D127" s="19" t="s">
        <v>55</v>
      </c>
      <c r="E127" s="19" t="s">
        <v>45</v>
      </c>
      <c r="F127" s="19" t="s">
        <v>34</v>
      </c>
      <c r="G127" s="20">
        <v>3333.0</v>
      </c>
      <c r="H127" s="19" t="s">
        <v>56</v>
      </c>
      <c r="I127" s="19" t="s">
        <v>60</v>
      </c>
      <c r="J127" s="13">
        <f>VLOOKUP(C127&amp;I127&amp;E127,Orig_Dest!$A$2:$E$1876,5,FALSE)</f>
        <v>0</v>
      </c>
      <c r="K127" s="14" t="str">
        <f t="shared" si="1"/>
        <v>Dia 9</v>
      </c>
      <c r="L127" s="21" t="str">
        <f>IF(B127="Fornecedor",IF(VLOOKUP(C127,Base_Dados!$E$1:$F$7,2,FALSE)=F127," ","Fornecedor inválido!")," ")</f>
        <v> </v>
      </c>
      <c r="M127" s="22" t="str">
        <f>IF(AND(LEFT(F127,2)="MP",H127&lt;&gt;Base_Dados!$A$1),"Impossível!!!"," ")</f>
        <v> </v>
      </c>
      <c r="N127" s="21" t="str">
        <f>IF(E127="Avião",IF($G127&lt;=VLOOKUP($F127,Base_Dados!$K$1:$O$7,3,FALSE)," ","Limite "&amp;VLOOKUP($F127,Base_Dados!$K$1:$O$11,3,FALSE)&amp;" "&amp;VLOOKUP($F127,Base_Dados!$K$1:$O$11,2,FALSE))," ")</f>
        <v> </v>
      </c>
      <c r="O127" s="21" t="str">
        <f>IF(E127="Caminhão",IF($G127&lt;=VLOOKUP($F127,Base_Dados!$K$1:$O$7,4,FALSE)," ","Limite "&amp;VLOOKUP($F127,Base_Dados!$K$1:$O$11,4,FALSE)&amp;" "&amp;VLOOKUP($F127,Base_Dados!$K$1:$O$11,2,FALSE))," ")</f>
        <v> </v>
      </c>
      <c r="P127" s="21" t="str">
        <f>IF(E127="Navio",IF($G127&lt;=VLOOKUP($F127,Base_Dados!$K$1:$O$7,5,FALSE)," ","Limite "&amp;VLOOKUP($F127,Base_Dados!$K$1:$O$11,5,FALSE)&amp;" "&amp;VLOOKUP($F127,Base_Dados!$K$1:$O$11,2,FALSE))," ")</f>
        <v> </v>
      </c>
      <c r="Q127" s="21" t="str">
        <f t="shared" si="2"/>
        <v/>
      </c>
      <c r="R127" s="1"/>
      <c r="S127" s="1"/>
      <c r="T127" s="1"/>
      <c r="U127" s="1"/>
      <c r="V127" s="1"/>
      <c r="W127" s="1"/>
      <c r="X127" s="1"/>
      <c r="Y127" s="1"/>
      <c r="Z127" s="1"/>
    </row>
    <row r="128" ht="24.0" customHeight="1">
      <c r="A128" s="18" t="s">
        <v>43</v>
      </c>
      <c r="B128" s="18" t="s">
        <v>35</v>
      </c>
      <c r="C128" s="19" t="s">
        <v>38</v>
      </c>
      <c r="D128" s="19" t="s">
        <v>55</v>
      </c>
      <c r="E128" s="19" t="s">
        <v>45</v>
      </c>
      <c r="F128" s="19" t="s">
        <v>34</v>
      </c>
      <c r="G128" s="20">
        <v>3333.0</v>
      </c>
      <c r="H128" s="19" t="s">
        <v>56</v>
      </c>
      <c r="I128" s="19" t="s">
        <v>60</v>
      </c>
      <c r="J128" s="13">
        <f>VLOOKUP(C128&amp;I128&amp;E128,Orig_Dest!$A$2:$E$1876,5,FALSE)</f>
        <v>0</v>
      </c>
      <c r="K128" s="14" t="str">
        <f t="shared" si="1"/>
        <v>Dia 9</v>
      </c>
      <c r="L128" s="21" t="str">
        <f>IF(B128="Fornecedor",IF(VLOOKUP(C128,Base_Dados!$E$1:$F$7,2,FALSE)=F128," ","Fornecedor inválido!")," ")</f>
        <v> </v>
      </c>
      <c r="M128" s="22" t="str">
        <f>IF(AND(LEFT(F128,2)="MP",H128&lt;&gt;Base_Dados!$A$1),"Impossível!!!"," ")</f>
        <v> </v>
      </c>
      <c r="N128" s="21" t="str">
        <f>IF(E128="Avião",IF($G128&lt;=VLOOKUP($F128,Base_Dados!$K$1:$O$7,3,FALSE)," ","Limite "&amp;VLOOKUP($F128,Base_Dados!$K$1:$O$11,3,FALSE)&amp;" "&amp;VLOOKUP($F128,Base_Dados!$K$1:$O$11,2,FALSE))," ")</f>
        <v> </v>
      </c>
      <c r="O128" s="21" t="str">
        <f>IF(E128="Caminhão",IF($G128&lt;=VLOOKUP($F128,Base_Dados!$K$1:$O$7,4,FALSE)," ","Limite "&amp;VLOOKUP($F128,Base_Dados!$K$1:$O$11,4,FALSE)&amp;" "&amp;VLOOKUP($F128,Base_Dados!$K$1:$O$11,2,FALSE))," ")</f>
        <v> </v>
      </c>
      <c r="P128" s="21" t="str">
        <f>IF(E128="Navio",IF($G128&lt;=VLOOKUP($F128,Base_Dados!$K$1:$O$7,5,FALSE)," ","Limite "&amp;VLOOKUP($F128,Base_Dados!$K$1:$O$11,5,FALSE)&amp;" "&amp;VLOOKUP($F128,Base_Dados!$K$1:$O$11,2,FALSE))," ")</f>
        <v> </v>
      </c>
      <c r="Q128" s="21" t="str">
        <f t="shared" si="2"/>
        <v/>
      </c>
      <c r="R128" s="1"/>
      <c r="S128" s="1"/>
      <c r="T128" s="1"/>
      <c r="U128" s="1"/>
      <c r="V128" s="1"/>
      <c r="W128" s="1"/>
      <c r="X128" s="1"/>
      <c r="Y128" s="1"/>
      <c r="Z128" s="1"/>
    </row>
    <row r="129" ht="24.0" customHeight="1">
      <c r="A129" s="18" t="s">
        <v>43</v>
      </c>
      <c r="B129" s="18" t="s">
        <v>35</v>
      </c>
      <c r="C129" s="19" t="s">
        <v>38</v>
      </c>
      <c r="D129" s="19" t="s">
        <v>55</v>
      </c>
      <c r="E129" s="19" t="s">
        <v>45</v>
      </c>
      <c r="F129" s="19" t="s">
        <v>34</v>
      </c>
      <c r="G129" s="20">
        <v>3333.0</v>
      </c>
      <c r="H129" s="19" t="s">
        <v>56</v>
      </c>
      <c r="I129" s="19" t="s">
        <v>60</v>
      </c>
      <c r="J129" s="13">
        <f>VLOOKUP(C129&amp;I129&amp;E129,Orig_Dest!$A$2:$E$1876,5,FALSE)</f>
        <v>0</v>
      </c>
      <c r="K129" s="14" t="str">
        <f t="shared" si="1"/>
        <v>Dia 9</v>
      </c>
      <c r="L129" s="21" t="str">
        <f>IF(B129="Fornecedor",IF(VLOOKUP(C129,Base_Dados!$E$1:$F$7,2,FALSE)=F129," ","Fornecedor inválido!")," ")</f>
        <v> </v>
      </c>
      <c r="M129" s="22" t="str">
        <f>IF(AND(LEFT(F129,2)="MP",H129&lt;&gt;Base_Dados!$A$1),"Impossível!!!"," ")</f>
        <v> </v>
      </c>
      <c r="N129" s="21" t="str">
        <f>IF(E129="Avião",IF($G129&lt;=VLOOKUP($F129,Base_Dados!$K$1:$O$7,3,FALSE)," ","Limite "&amp;VLOOKUP($F129,Base_Dados!$K$1:$O$11,3,FALSE)&amp;" "&amp;VLOOKUP($F129,Base_Dados!$K$1:$O$11,2,FALSE))," ")</f>
        <v> </v>
      </c>
      <c r="O129" s="21" t="str">
        <f>IF(E129="Caminhão",IF($G129&lt;=VLOOKUP($F129,Base_Dados!$K$1:$O$7,4,FALSE)," ","Limite "&amp;VLOOKUP($F129,Base_Dados!$K$1:$O$11,4,FALSE)&amp;" "&amp;VLOOKUP($F129,Base_Dados!$K$1:$O$11,2,FALSE))," ")</f>
        <v> </v>
      </c>
      <c r="P129" s="21" t="str">
        <f>IF(E129="Navio",IF($G129&lt;=VLOOKUP($F129,Base_Dados!$K$1:$O$7,5,FALSE)," ","Limite "&amp;VLOOKUP($F129,Base_Dados!$K$1:$O$11,5,FALSE)&amp;" "&amp;VLOOKUP($F129,Base_Dados!$K$1:$O$11,2,FALSE))," ")</f>
        <v> </v>
      </c>
      <c r="Q129" s="21" t="str">
        <f t="shared" si="2"/>
        <v/>
      </c>
      <c r="R129" s="1"/>
      <c r="S129" s="1"/>
      <c r="T129" s="1"/>
      <c r="U129" s="1"/>
      <c r="V129" s="1"/>
      <c r="W129" s="1"/>
      <c r="X129" s="1"/>
      <c r="Y129" s="1"/>
      <c r="Z129" s="1"/>
    </row>
    <row r="130" ht="24.0" customHeight="1">
      <c r="A130" s="18" t="s">
        <v>43</v>
      </c>
      <c r="B130" s="18" t="s">
        <v>35</v>
      </c>
      <c r="C130" s="19" t="s">
        <v>38</v>
      </c>
      <c r="D130" s="19" t="s">
        <v>55</v>
      </c>
      <c r="E130" s="19" t="s">
        <v>45</v>
      </c>
      <c r="F130" s="19" t="s">
        <v>34</v>
      </c>
      <c r="G130" s="20">
        <v>3333.0</v>
      </c>
      <c r="H130" s="19" t="s">
        <v>56</v>
      </c>
      <c r="I130" s="19" t="s">
        <v>60</v>
      </c>
      <c r="J130" s="13">
        <f>VLOOKUP(C130&amp;I130&amp;E130,Orig_Dest!$A$2:$E$1876,5,FALSE)</f>
        <v>0</v>
      </c>
      <c r="K130" s="14" t="str">
        <f t="shared" si="1"/>
        <v>Dia 9</v>
      </c>
      <c r="L130" s="21" t="str">
        <f>IF(B130="Fornecedor",IF(VLOOKUP(C130,Base_Dados!$E$1:$F$7,2,FALSE)=F130," ","Fornecedor inválido!")," ")</f>
        <v> </v>
      </c>
      <c r="M130" s="22" t="str">
        <f>IF(AND(LEFT(F130,2)="MP",H130&lt;&gt;Base_Dados!$A$1),"Impossível!!!"," ")</f>
        <v> </v>
      </c>
      <c r="N130" s="21" t="str">
        <f>IF(E130="Avião",IF($G130&lt;=VLOOKUP($F130,Base_Dados!$K$1:$O$7,3,FALSE)," ","Limite "&amp;VLOOKUP($F130,Base_Dados!$K$1:$O$11,3,FALSE)&amp;" "&amp;VLOOKUP($F130,Base_Dados!$K$1:$O$11,2,FALSE))," ")</f>
        <v> </v>
      </c>
      <c r="O130" s="21" t="str">
        <f>IF(E130="Caminhão",IF($G130&lt;=VLOOKUP($F130,Base_Dados!$K$1:$O$7,4,FALSE)," ","Limite "&amp;VLOOKUP($F130,Base_Dados!$K$1:$O$11,4,FALSE)&amp;" "&amp;VLOOKUP($F130,Base_Dados!$K$1:$O$11,2,FALSE))," ")</f>
        <v> </v>
      </c>
      <c r="P130" s="21" t="str">
        <f>IF(E130="Navio",IF($G130&lt;=VLOOKUP($F130,Base_Dados!$K$1:$O$7,5,FALSE)," ","Limite "&amp;VLOOKUP($F130,Base_Dados!$K$1:$O$11,5,FALSE)&amp;" "&amp;VLOOKUP($F130,Base_Dados!$K$1:$O$11,2,FALSE))," ")</f>
        <v> </v>
      </c>
      <c r="Q130" s="21" t="str">
        <f t="shared" si="2"/>
        <v/>
      </c>
      <c r="R130" s="1"/>
      <c r="S130" s="1"/>
      <c r="T130" s="1"/>
      <c r="U130" s="1"/>
      <c r="V130" s="1"/>
      <c r="W130" s="1"/>
      <c r="X130" s="1"/>
      <c r="Y130" s="1"/>
      <c r="Z130" s="1"/>
    </row>
    <row r="131" ht="24.0" customHeight="1">
      <c r="A131" s="18" t="s">
        <v>43</v>
      </c>
      <c r="B131" s="18" t="s">
        <v>35</v>
      </c>
      <c r="C131" s="19" t="s">
        <v>38</v>
      </c>
      <c r="D131" s="19" t="s">
        <v>55</v>
      </c>
      <c r="E131" s="19" t="s">
        <v>45</v>
      </c>
      <c r="F131" s="19" t="s">
        <v>34</v>
      </c>
      <c r="G131" s="20">
        <v>434.0</v>
      </c>
      <c r="H131" s="19" t="s">
        <v>56</v>
      </c>
      <c r="I131" s="19" t="s">
        <v>60</v>
      </c>
      <c r="J131" s="13">
        <f>VLOOKUP(C131&amp;I131&amp;E131,Orig_Dest!$A$2:$E$1876,5,FALSE)</f>
        <v>0</v>
      </c>
      <c r="K131" s="14" t="str">
        <f t="shared" si="1"/>
        <v>Dia 9</v>
      </c>
      <c r="L131" s="21" t="str">
        <f>IF(B131="Fornecedor",IF(VLOOKUP(C131,Base_Dados!$E$1:$F$7,2,FALSE)=F131," ","Fornecedor inválido!")," ")</f>
        <v> </v>
      </c>
      <c r="M131" s="22" t="str">
        <f>IF(AND(LEFT(F131,2)="MP",H131&lt;&gt;Base_Dados!$A$1),"Impossível!!!"," ")</f>
        <v> </v>
      </c>
      <c r="N131" s="21" t="str">
        <f>IF(E131="Avião",IF($G131&lt;=VLOOKUP($F131,Base_Dados!$K$1:$O$7,3,FALSE)," ","Limite "&amp;VLOOKUP($F131,Base_Dados!$K$1:$O$11,3,FALSE)&amp;" "&amp;VLOOKUP($F131,Base_Dados!$K$1:$O$11,2,FALSE))," ")</f>
        <v> </v>
      </c>
      <c r="O131" s="21" t="str">
        <f>IF(E131="Caminhão",IF($G131&lt;=VLOOKUP($F131,Base_Dados!$K$1:$O$7,4,FALSE)," ","Limite "&amp;VLOOKUP($F131,Base_Dados!$K$1:$O$11,4,FALSE)&amp;" "&amp;VLOOKUP($F131,Base_Dados!$K$1:$O$11,2,FALSE))," ")</f>
        <v> </v>
      </c>
      <c r="P131" s="21" t="str">
        <f>IF(E131="Navio",IF($G131&lt;=VLOOKUP($F131,Base_Dados!$K$1:$O$7,5,FALSE)," ","Limite "&amp;VLOOKUP($F131,Base_Dados!$K$1:$O$11,5,FALSE)&amp;" "&amp;VLOOKUP($F131,Base_Dados!$K$1:$O$11,2,FALSE))," ")</f>
        <v> </v>
      </c>
      <c r="Q131" s="21" t="str">
        <f t="shared" si="2"/>
        <v/>
      </c>
      <c r="R131" s="1"/>
      <c r="S131" s="1"/>
      <c r="T131" s="1"/>
      <c r="U131" s="1"/>
      <c r="V131" s="1"/>
      <c r="W131" s="1"/>
      <c r="X131" s="1"/>
      <c r="Y131" s="1"/>
      <c r="Z131" s="1"/>
    </row>
    <row r="132" ht="24.0" customHeight="1">
      <c r="A132" s="18" t="s">
        <v>43</v>
      </c>
      <c r="B132" s="18" t="s">
        <v>35</v>
      </c>
      <c r="C132" s="19" t="s">
        <v>36</v>
      </c>
      <c r="D132" s="19" t="s">
        <v>53</v>
      </c>
      <c r="E132" s="19" t="s">
        <v>45</v>
      </c>
      <c r="F132" s="19" t="s">
        <v>34</v>
      </c>
      <c r="G132" s="20">
        <v>3333.0</v>
      </c>
      <c r="H132" s="19" t="s">
        <v>56</v>
      </c>
      <c r="I132" s="19" t="s">
        <v>61</v>
      </c>
      <c r="J132" s="13">
        <f>VLOOKUP(C132&amp;I132&amp;E132,Orig_Dest!$A$2:$E$1876,5,FALSE)</f>
        <v>0</v>
      </c>
      <c r="K132" s="14" t="str">
        <f t="shared" si="1"/>
        <v>Dia 7</v>
      </c>
      <c r="L132" s="21" t="str">
        <f>IF(B132="Fornecedor",IF(VLOOKUP(C132,Base_Dados!$E$1:$F$7,2,FALSE)=F132," ","Fornecedor inválido!")," ")</f>
        <v> </v>
      </c>
      <c r="M132" s="22" t="str">
        <f>IF(AND(LEFT(F132,2)="MP",H132&lt;&gt;Base_Dados!$A$1),"Impossível!!!"," ")</f>
        <v> </v>
      </c>
      <c r="N132" s="21" t="str">
        <f>IF(E132="Avião",IF($G132&lt;=VLOOKUP($F132,Base_Dados!$K$1:$O$7,3,FALSE)," ","Limite "&amp;VLOOKUP($F132,Base_Dados!$K$1:$O$11,3,FALSE)&amp;" "&amp;VLOOKUP($F132,Base_Dados!$K$1:$O$11,2,FALSE))," ")</f>
        <v> </v>
      </c>
      <c r="O132" s="21" t="str">
        <f>IF(E132="Caminhão",IF($G132&lt;=VLOOKUP($F132,Base_Dados!$K$1:$O$7,4,FALSE)," ","Limite "&amp;VLOOKUP($F132,Base_Dados!$K$1:$O$11,4,FALSE)&amp;" "&amp;VLOOKUP($F132,Base_Dados!$K$1:$O$11,2,FALSE))," ")</f>
        <v> </v>
      </c>
      <c r="P132" s="21" t="str">
        <f>IF(E132="Navio",IF($G132&lt;=VLOOKUP($F132,Base_Dados!$K$1:$O$7,5,FALSE)," ","Limite "&amp;VLOOKUP($F132,Base_Dados!$K$1:$O$11,5,FALSE)&amp;" "&amp;VLOOKUP($F132,Base_Dados!$K$1:$O$11,2,FALSE))," ")</f>
        <v> </v>
      </c>
      <c r="Q132" s="21" t="str">
        <f t="shared" si="2"/>
        <v/>
      </c>
      <c r="R132" s="1"/>
      <c r="S132" s="1"/>
      <c r="T132" s="1"/>
      <c r="U132" s="1"/>
      <c r="V132" s="1"/>
      <c r="W132" s="1"/>
      <c r="X132" s="1"/>
      <c r="Y132" s="1"/>
      <c r="Z132" s="1"/>
    </row>
    <row r="133" ht="24.0" customHeight="1">
      <c r="A133" s="18" t="s">
        <v>43</v>
      </c>
      <c r="B133" s="18" t="s">
        <v>35</v>
      </c>
      <c r="C133" s="19" t="s">
        <v>36</v>
      </c>
      <c r="D133" s="19" t="s">
        <v>53</v>
      </c>
      <c r="E133" s="19" t="s">
        <v>45</v>
      </c>
      <c r="F133" s="19" t="s">
        <v>34</v>
      </c>
      <c r="G133" s="20">
        <v>3333.0</v>
      </c>
      <c r="H133" s="19" t="s">
        <v>56</v>
      </c>
      <c r="I133" s="19" t="s">
        <v>61</v>
      </c>
      <c r="J133" s="13">
        <f>VLOOKUP(C133&amp;I133&amp;E133,Orig_Dest!$A$2:$E$1876,5,FALSE)</f>
        <v>0</v>
      </c>
      <c r="K133" s="14" t="str">
        <f t="shared" si="1"/>
        <v>Dia 7</v>
      </c>
      <c r="L133" s="21" t="str">
        <f>IF(B133="Fornecedor",IF(VLOOKUP(C133,Base_Dados!$E$1:$F$7,2,FALSE)=F133," ","Fornecedor inválido!")," ")</f>
        <v> </v>
      </c>
      <c r="M133" s="22" t="str">
        <f>IF(AND(LEFT(F133,2)="MP",H133&lt;&gt;Base_Dados!$A$1),"Impossível!!!"," ")</f>
        <v> </v>
      </c>
      <c r="N133" s="21" t="str">
        <f>IF(E133="Avião",IF($G133&lt;=VLOOKUP($F133,Base_Dados!$K$1:$O$7,3,FALSE)," ","Limite "&amp;VLOOKUP($F133,Base_Dados!$K$1:$O$11,3,FALSE)&amp;" "&amp;VLOOKUP($F133,Base_Dados!$K$1:$O$11,2,FALSE))," ")</f>
        <v> </v>
      </c>
      <c r="O133" s="21" t="str">
        <f>IF(E133="Caminhão",IF($G133&lt;=VLOOKUP($F133,Base_Dados!$K$1:$O$7,4,FALSE)," ","Limite "&amp;VLOOKUP($F133,Base_Dados!$K$1:$O$11,4,FALSE)&amp;" "&amp;VLOOKUP($F133,Base_Dados!$K$1:$O$11,2,FALSE))," ")</f>
        <v> </v>
      </c>
      <c r="P133" s="21" t="str">
        <f>IF(E133="Navio",IF($G133&lt;=VLOOKUP($F133,Base_Dados!$K$1:$O$7,5,FALSE)," ","Limite "&amp;VLOOKUP($F133,Base_Dados!$K$1:$O$11,5,FALSE)&amp;" "&amp;VLOOKUP($F133,Base_Dados!$K$1:$O$11,2,FALSE))," ")</f>
        <v> </v>
      </c>
      <c r="Q133" s="21" t="str">
        <f t="shared" si="2"/>
        <v/>
      </c>
      <c r="R133" s="1"/>
      <c r="S133" s="1"/>
      <c r="T133" s="1"/>
      <c r="U133" s="1"/>
      <c r="V133" s="1"/>
      <c r="W133" s="1"/>
      <c r="X133" s="1"/>
      <c r="Y133" s="1"/>
      <c r="Z133" s="1"/>
    </row>
    <row r="134" ht="24.0" customHeight="1">
      <c r="A134" s="18" t="s">
        <v>43</v>
      </c>
      <c r="B134" s="18" t="s">
        <v>35</v>
      </c>
      <c r="C134" s="19" t="s">
        <v>36</v>
      </c>
      <c r="D134" s="19" t="s">
        <v>53</v>
      </c>
      <c r="E134" s="19" t="s">
        <v>45</v>
      </c>
      <c r="F134" s="19" t="s">
        <v>34</v>
      </c>
      <c r="G134" s="20">
        <v>3333.0</v>
      </c>
      <c r="H134" s="19" t="s">
        <v>56</v>
      </c>
      <c r="I134" s="19" t="s">
        <v>61</v>
      </c>
      <c r="J134" s="13">
        <f>VLOOKUP(C134&amp;I134&amp;E134,Orig_Dest!$A$2:$E$1876,5,FALSE)</f>
        <v>0</v>
      </c>
      <c r="K134" s="14" t="str">
        <f t="shared" si="1"/>
        <v>Dia 7</v>
      </c>
      <c r="L134" s="21" t="str">
        <f>IF(B134="Fornecedor",IF(VLOOKUP(C134,Base_Dados!$E$1:$F$7,2,FALSE)=F134," ","Fornecedor inválido!")," ")</f>
        <v> </v>
      </c>
      <c r="M134" s="22" t="str">
        <f>IF(AND(LEFT(F134,2)="MP",H134&lt;&gt;Base_Dados!$A$1),"Impossível!!!"," ")</f>
        <v> </v>
      </c>
      <c r="N134" s="21" t="str">
        <f>IF(E134="Avião",IF($G134&lt;=VLOOKUP($F134,Base_Dados!$K$1:$O$7,3,FALSE)," ","Limite "&amp;VLOOKUP($F134,Base_Dados!$K$1:$O$11,3,FALSE)&amp;" "&amp;VLOOKUP($F134,Base_Dados!$K$1:$O$11,2,FALSE))," ")</f>
        <v> </v>
      </c>
      <c r="O134" s="21" t="str">
        <f>IF(E134="Caminhão",IF($G134&lt;=VLOOKUP($F134,Base_Dados!$K$1:$O$7,4,FALSE)," ","Limite "&amp;VLOOKUP($F134,Base_Dados!$K$1:$O$11,4,FALSE)&amp;" "&amp;VLOOKUP($F134,Base_Dados!$K$1:$O$11,2,FALSE))," ")</f>
        <v> </v>
      </c>
      <c r="P134" s="21" t="str">
        <f>IF(E134="Navio",IF($G134&lt;=VLOOKUP($F134,Base_Dados!$K$1:$O$7,5,FALSE)," ","Limite "&amp;VLOOKUP($F134,Base_Dados!$K$1:$O$11,5,FALSE)&amp;" "&amp;VLOOKUP($F134,Base_Dados!$K$1:$O$11,2,FALSE))," ")</f>
        <v> </v>
      </c>
      <c r="Q134" s="21" t="str">
        <f t="shared" si="2"/>
        <v/>
      </c>
      <c r="R134" s="1"/>
      <c r="S134" s="1"/>
      <c r="T134" s="1"/>
      <c r="U134" s="1"/>
      <c r="V134" s="1"/>
      <c r="W134" s="1"/>
      <c r="X134" s="1"/>
      <c r="Y134" s="1"/>
      <c r="Z134" s="1"/>
    </row>
    <row r="135" ht="24.0" customHeight="1">
      <c r="A135" s="18" t="s">
        <v>43</v>
      </c>
      <c r="B135" s="18" t="s">
        <v>35</v>
      </c>
      <c r="C135" s="19" t="s">
        <v>36</v>
      </c>
      <c r="D135" s="19" t="s">
        <v>53</v>
      </c>
      <c r="E135" s="19" t="s">
        <v>45</v>
      </c>
      <c r="F135" s="19" t="s">
        <v>34</v>
      </c>
      <c r="G135" s="20">
        <v>3333.0</v>
      </c>
      <c r="H135" s="19" t="s">
        <v>56</v>
      </c>
      <c r="I135" s="19" t="s">
        <v>61</v>
      </c>
      <c r="J135" s="13">
        <f>VLOOKUP(C135&amp;I135&amp;E135,Orig_Dest!$A$2:$E$1876,5,FALSE)</f>
        <v>0</v>
      </c>
      <c r="K135" s="14" t="str">
        <f t="shared" si="1"/>
        <v>Dia 7</v>
      </c>
      <c r="L135" s="21" t="str">
        <f>IF(B135="Fornecedor",IF(VLOOKUP(C135,Base_Dados!$E$1:$F$7,2,FALSE)=F135," ","Fornecedor inválido!")," ")</f>
        <v> </v>
      </c>
      <c r="M135" s="22" t="str">
        <f>IF(AND(LEFT(F135,2)="MP",H135&lt;&gt;Base_Dados!$A$1),"Impossível!!!"," ")</f>
        <v> </v>
      </c>
      <c r="N135" s="21" t="str">
        <f>IF(E135="Avião",IF($G135&lt;=VLOOKUP($F135,Base_Dados!$K$1:$O$7,3,FALSE)," ","Limite "&amp;VLOOKUP($F135,Base_Dados!$K$1:$O$11,3,FALSE)&amp;" "&amp;VLOOKUP($F135,Base_Dados!$K$1:$O$11,2,FALSE))," ")</f>
        <v> </v>
      </c>
      <c r="O135" s="21" t="str">
        <f>IF(E135="Caminhão",IF($G135&lt;=VLOOKUP($F135,Base_Dados!$K$1:$O$7,4,FALSE)," ","Limite "&amp;VLOOKUP($F135,Base_Dados!$K$1:$O$11,4,FALSE)&amp;" "&amp;VLOOKUP($F135,Base_Dados!$K$1:$O$11,2,FALSE))," ")</f>
        <v> </v>
      </c>
      <c r="P135" s="21" t="str">
        <f>IF(E135="Navio",IF($G135&lt;=VLOOKUP($F135,Base_Dados!$K$1:$O$7,5,FALSE)," ","Limite "&amp;VLOOKUP($F135,Base_Dados!$K$1:$O$11,5,FALSE)&amp;" "&amp;VLOOKUP($F135,Base_Dados!$K$1:$O$11,2,FALSE))," ")</f>
        <v> </v>
      </c>
      <c r="Q135" s="21" t="str">
        <f t="shared" si="2"/>
        <v/>
      </c>
      <c r="R135" s="1"/>
      <c r="S135" s="1"/>
      <c r="T135" s="1"/>
      <c r="U135" s="1"/>
      <c r="V135" s="1"/>
      <c r="W135" s="1"/>
      <c r="X135" s="1"/>
      <c r="Y135" s="1"/>
      <c r="Z135" s="1"/>
    </row>
    <row r="136" ht="24.0" customHeight="1">
      <c r="A136" s="18" t="s">
        <v>43</v>
      </c>
      <c r="B136" s="18" t="s">
        <v>35</v>
      </c>
      <c r="C136" s="19" t="s">
        <v>36</v>
      </c>
      <c r="D136" s="19" t="s">
        <v>53</v>
      </c>
      <c r="E136" s="19" t="s">
        <v>45</v>
      </c>
      <c r="F136" s="19" t="s">
        <v>34</v>
      </c>
      <c r="G136" s="20">
        <v>1001.0</v>
      </c>
      <c r="H136" s="19" t="s">
        <v>56</v>
      </c>
      <c r="I136" s="19" t="s">
        <v>61</v>
      </c>
      <c r="J136" s="13">
        <f>VLOOKUP(C136&amp;I136&amp;E136,Orig_Dest!$A$2:$E$1876,5,FALSE)</f>
        <v>0</v>
      </c>
      <c r="K136" s="14" t="str">
        <f t="shared" si="1"/>
        <v>Dia 7</v>
      </c>
      <c r="L136" s="21" t="str">
        <f>IF(B136="Fornecedor",IF(VLOOKUP(C136,Base_Dados!$E$1:$F$7,2,FALSE)=F136," ","Fornecedor inválido!")," ")</f>
        <v> </v>
      </c>
      <c r="M136" s="22" t="str">
        <f>IF(AND(LEFT(F136,2)="MP",H136&lt;&gt;Base_Dados!$A$1),"Impossível!!!"," ")</f>
        <v> </v>
      </c>
      <c r="N136" s="21" t="str">
        <f>IF(E136="Avião",IF($G136&lt;=VLOOKUP($F136,Base_Dados!$K$1:$O$7,3,FALSE)," ","Limite "&amp;VLOOKUP($F136,Base_Dados!$K$1:$O$11,3,FALSE)&amp;" "&amp;VLOOKUP($F136,Base_Dados!$K$1:$O$11,2,FALSE))," ")</f>
        <v> </v>
      </c>
      <c r="O136" s="21" t="str">
        <f>IF(E136="Caminhão",IF($G136&lt;=VLOOKUP($F136,Base_Dados!$K$1:$O$7,4,FALSE)," ","Limite "&amp;VLOOKUP($F136,Base_Dados!$K$1:$O$11,4,FALSE)&amp;" "&amp;VLOOKUP($F136,Base_Dados!$K$1:$O$11,2,FALSE))," ")</f>
        <v> </v>
      </c>
      <c r="P136" s="21" t="str">
        <f>IF(E136="Navio",IF($G136&lt;=VLOOKUP($F136,Base_Dados!$K$1:$O$7,5,FALSE)," ","Limite "&amp;VLOOKUP($F136,Base_Dados!$K$1:$O$11,5,FALSE)&amp;" "&amp;VLOOKUP($F136,Base_Dados!$K$1:$O$11,2,FALSE))," ")</f>
        <v> </v>
      </c>
      <c r="Q136" s="21" t="str">
        <f t="shared" si="2"/>
        <v/>
      </c>
      <c r="R136" s="1"/>
      <c r="S136" s="1"/>
      <c r="T136" s="1"/>
      <c r="U136" s="1"/>
      <c r="V136" s="1"/>
      <c r="W136" s="1"/>
      <c r="X136" s="1"/>
      <c r="Y136" s="1"/>
      <c r="Z136" s="1"/>
    </row>
    <row r="137" ht="24.0" customHeight="1">
      <c r="A137" s="18" t="s">
        <v>43</v>
      </c>
      <c r="B137" s="18" t="s">
        <v>35</v>
      </c>
      <c r="C137" s="19" t="s">
        <v>36</v>
      </c>
      <c r="D137" s="19" t="s">
        <v>54</v>
      </c>
      <c r="E137" s="19" t="s">
        <v>45</v>
      </c>
      <c r="F137" s="19" t="s">
        <v>34</v>
      </c>
      <c r="G137" s="20">
        <v>3333.0</v>
      </c>
      <c r="H137" s="19" t="s">
        <v>56</v>
      </c>
      <c r="I137" s="19" t="s">
        <v>62</v>
      </c>
      <c r="J137" s="13">
        <f>VLOOKUP(C137&amp;I137&amp;E137,Orig_Dest!$A$2:$E$1876,5,FALSE)</f>
        <v>0</v>
      </c>
      <c r="K137" s="14" t="str">
        <f t="shared" si="1"/>
        <v>Dia 8</v>
      </c>
      <c r="L137" s="21" t="str">
        <f>IF(B137="Fornecedor",IF(VLOOKUP(C137,Base_Dados!$E$1:$F$7,2,FALSE)=F137," ","Fornecedor inválido!")," ")</f>
        <v> </v>
      </c>
      <c r="M137" s="22" t="str">
        <f>IF(AND(LEFT(F137,2)="MP",H137&lt;&gt;Base_Dados!$A$1),"Impossível!!!"," ")</f>
        <v> </v>
      </c>
      <c r="N137" s="21" t="str">
        <f>IF(E137="Avião",IF($G137&lt;=VLOOKUP($F137,Base_Dados!$K$1:$O$7,3,FALSE)," ","Limite "&amp;VLOOKUP($F137,Base_Dados!$K$1:$O$11,3,FALSE)&amp;" "&amp;VLOOKUP($F137,Base_Dados!$K$1:$O$11,2,FALSE))," ")</f>
        <v> </v>
      </c>
      <c r="O137" s="21" t="str">
        <f>IF(E137="Caminhão",IF($G137&lt;=VLOOKUP($F137,Base_Dados!$K$1:$O$7,4,FALSE)," ","Limite "&amp;VLOOKUP($F137,Base_Dados!$K$1:$O$11,4,FALSE)&amp;" "&amp;VLOOKUP($F137,Base_Dados!$K$1:$O$11,2,FALSE))," ")</f>
        <v> </v>
      </c>
      <c r="P137" s="21" t="str">
        <f>IF(E137="Navio",IF($G137&lt;=VLOOKUP($F137,Base_Dados!$K$1:$O$7,5,FALSE)," ","Limite "&amp;VLOOKUP($F137,Base_Dados!$K$1:$O$11,5,FALSE)&amp;" "&amp;VLOOKUP($F137,Base_Dados!$K$1:$O$11,2,FALSE))," ")</f>
        <v> </v>
      </c>
      <c r="Q137" s="21" t="str">
        <f t="shared" si="2"/>
        <v/>
      </c>
      <c r="R137" s="1"/>
      <c r="S137" s="1"/>
      <c r="T137" s="1"/>
      <c r="U137" s="1"/>
      <c r="V137" s="1"/>
      <c r="W137" s="1"/>
      <c r="X137" s="1"/>
      <c r="Y137" s="1"/>
      <c r="Z137" s="1"/>
    </row>
    <row r="138" ht="24.0" customHeight="1">
      <c r="A138" s="18" t="s">
        <v>43</v>
      </c>
      <c r="B138" s="18" t="s">
        <v>35</v>
      </c>
      <c r="C138" s="19" t="s">
        <v>36</v>
      </c>
      <c r="D138" s="19" t="s">
        <v>54</v>
      </c>
      <c r="E138" s="19" t="s">
        <v>45</v>
      </c>
      <c r="F138" s="19" t="s">
        <v>34</v>
      </c>
      <c r="G138" s="20">
        <v>3333.0</v>
      </c>
      <c r="H138" s="19" t="s">
        <v>56</v>
      </c>
      <c r="I138" s="19" t="s">
        <v>62</v>
      </c>
      <c r="J138" s="13">
        <f>VLOOKUP(C138&amp;I138&amp;E138,Orig_Dest!$A$2:$E$1876,5,FALSE)</f>
        <v>0</v>
      </c>
      <c r="K138" s="14" t="str">
        <f t="shared" si="1"/>
        <v>Dia 8</v>
      </c>
      <c r="L138" s="21" t="str">
        <f>IF(B138="Fornecedor",IF(VLOOKUP(C138,Base_Dados!$E$1:$F$7,2,FALSE)=F138," ","Fornecedor inválido!")," ")</f>
        <v> </v>
      </c>
      <c r="M138" s="22" t="str">
        <f>IF(AND(LEFT(F138,2)="MP",H138&lt;&gt;Base_Dados!$A$1),"Impossível!!!"," ")</f>
        <v> </v>
      </c>
      <c r="N138" s="21" t="str">
        <f>IF(E138="Avião",IF($G138&lt;=VLOOKUP($F138,Base_Dados!$K$1:$O$7,3,FALSE)," ","Limite "&amp;VLOOKUP($F138,Base_Dados!$K$1:$O$11,3,FALSE)&amp;" "&amp;VLOOKUP($F138,Base_Dados!$K$1:$O$11,2,FALSE))," ")</f>
        <v> </v>
      </c>
      <c r="O138" s="21" t="str">
        <f>IF(E138="Caminhão",IF($G138&lt;=VLOOKUP($F138,Base_Dados!$K$1:$O$7,4,FALSE)," ","Limite "&amp;VLOOKUP($F138,Base_Dados!$K$1:$O$11,4,FALSE)&amp;" "&amp;VLOOKUP($F138,Base_Dados!$K$1:$O$11,2,FALSE))," ")</f>
        <v> </v>
      </c>
      <c r="P138" s="21" t="str">
        <f>IF(E138="Navio",IF($G138&lt;=VLOOKUP($F138,Base_Dados!$K$1:$O$7,5,FALSE)," ","Limite "&amp;VLOOKUP($F138,Base_Dados!$K$1:$O$11,5,FALSE)&amp;" "&amp;VLOOKUP($F138,Base_Dados!$K$1:$O$11,2,FALSE))," ")</f>
        <v> </v>
      </c>
      <c r="Q138" s="21" t="str">
        <f t="shared" si="2"/>
        <v/>
      </c>
      <c r="R138" s="1"/>
      <c r="S138" s="1"/>
      <c r="T138" s="1"/>
      <c r="U138" s="1"/>
      <c r="V138" s="1"/>
      <c r="W138" s="1"/>
      <c r="X138" s="1"/>
      <c r="Y138" s="1"/>
      <c r="Z138" s="1"/>
    </row>
    <row r="139" ht="24.0" customHeight="1">
      <c r="A139" s="18" t="s">
        <v>43</v>
      </c>
      <c r="B139" s="18" t="s">
        <v>35</v>
      </c>
      <c r="C139" s="19" t="s">
        <v>36</v>
      </c>
      <c r="D139" s="19" t="s">
        <v>54</v>
      </c>
      <c r="E139" s="19" t="s">
        <v>45</v>
      </c>
      <c r="F139" s="19" t="s">
        <v>34</v>
      </c>
      <c r="G139" s="20">
        <v>3333.0</v>
      </c>
      <c r="H139" s="19" t="s">
        <v>56</v>
      </c>
      <c r="I139" s="19" t="s">
        <v>62</v>
      </c>
      <c r="J139" s="13">
        <f>VLOOKUP(C139&amp;I139&amp;E139,Orig_Dest!$A$2:$E$1876,5,FALSE)</f>
        <v>0</v>
      </c>
      <c r="K139" s="14" t="str">
        <f t="shared" si="1"/>
        <v>Dia 8</v>
      </c>
      <c r="L139" s="21" t="str">
        <f>IF(B139="Fornecedor",IF(VLOOKUP(C139,Base_Dados!$E$1:$F$7,2,FALSE)=F139," ","Fornecedor inválido!")," ")</f>
        <v> </v>
      </c>
      <c r="M139" s="22" t="str">
        <f>IF(AND(LEFT(F139,2)="MP",H139&lt;&gt;Base_Dados!$A$1),"Impossível!!!"," ")</f>
        <v> </v>
      </c>
      <c r="N139" s="21" t="str">
        <f>IF(E139="Avião",IF($G139&lt;=VLOOKUP($F139,Base_Dados!$K$1:$O$7,3,FALSE)," ","Limite "&amp;VLOOKUP($F139,Base_Dados!$K$1:$O$11,3,FALSE)&amp;" "&amp;VLOOKUP($F139,Base_Dados!$K$1:$O$11,2,FALSE))," ")</f>
        <v> </v>
      </c>
      <c r="O139" s="21" t="str">
        <f>IF(E139="Caminhão",IF($G139&lt;=VLOOKUP($F139,Base_Dados!$K$1:$O$7,4,FALSE)," ","Limite "&amp;VLOOKUP($F139,Base_Dados!$K$1:$O$11,4,FALSE)&amp;" "&amp;VLOOKUP($F139,Base_Dados!$K$1:$O$11,2,FALSE))," ")</f>
        <v> </v>
      </c>
      <c r="P139" s="21" t="str">
        <f>IF(E139="Navio",IF($G139&lt;=VLOOKUP($F139,Base_Dados!$K$1:$O$7,5,FALSE)," ","Limite "&amp;VLOOKUP($F139,Base_Dados!$K$1:$O$11,5,FALSE)&amp;" "&amp;VLOOKUP($F139,Base_Dados!$K$1:$O$11,2,FALSE))," ")</f>
        <v> </v>
      </c>
      <c r="Q139" s="21" t="str">
        <f t="shared" si="2"/>
        <v/>
      </c>
      <c r="R139" s="1"/>
      <c r="S139" s="1"/>
      <c r="T139" s="1"/>
      <c r="U139" s="1"/>
      <c r="V139" s="1"/>
      <c r="W139" s="1"/>
      <c r="X139" s="1"/>
      <c r="Y139" s="1"/>
      <c r="Z139" s="1"/>
    </row>
    <row r="140" ht="24.0" customHeight="1">
      <c r="A140" s="18" t="s">
        <v>43</v>
      </c>
      <c r="B140" s="18" t="s">
        <v>35</v>
      </c>
      <c r="C140" s="19" t="s">
        <v>36</v>
      </c>
      <c r="D140" s="19" t="s">
        <v>54</v>
      </c>
      <c r="E140" s="19" t="s">
        <v>45</v>
      </c>
      <c r="F140" s="19" t="s">
        <v>34</v>
      </c>
      <c r="G140" s="20">
        <v>2020.0</v>
      </c>
      <c r="H140" s="19" t="s">
        <v>56</v>
      </c>
      <c r="I140" s="19" t="s">
        <v>62</v>
      </c>
      <c r="J140" s="13">
        <f>VLOOKUP(C140&amp;I140&amp;E140,Orig_Dest!$A$2:$E$1876,5,FALSE)</f>
        <v>0</v>
      </c>
      <c r="K140" s="14" t="str">
        <f t="shared" si="1"/>
        <v>Dia 8</v>
      </c>
      <c r="L140" s="21" t="str">
        <f>IF(B140="Fornecedor",IF(VLOOKUP(C140,Base_Dados!$E$1:$F$7,2,FALSE)=F140," ","Fornecedor inválido!")," ")</f>
        <v> </v>
      </c>
      <c r="M140" s="22" t="str">
        <f>IF(AND(LEFT(F140,2)="MP",H140&lt;&gt;Base_Dados!$A$1),"Impossível!!!"," ")</f>
        <v> </v>
      </c>
      <c r="N140" s="21" t="str">
        <f>IF(E140="Avião",IF($G140&lt;=VLOOKUP($F140,Base_Dados!$K$1:$O$7,3,FALSE)," ","Limite "&amp;VLOOKUP($F140,Base_Dados!$K$1:$O$11,3,FALSE)&amp;" "&amp;VLOOKUP($F140,Base_Dados!$K$1:$O$11,2,FALSE))," ")</f>
        <v> </v>
      </c>
      <c r="O140" s="21" t="str">
        <f>IF(E140="Caminhão",IF($G140&lt;=VLOOKUP($F140,Base_Dados!$K$1:$O$7,4,FALSE)," ","Limite "&amp;VLOOKUP($F140,Base_Dados!$K$1:$O$11,4,FALSE)&amp;" "&amp;VLOOKUP($F140,Base_Dados!$K$1:$O$11,2,FALSE))," ")</f>
        <v> </v>
      </c>
      <c r="P140" s="21" t="str">
        <f>IF(E140="Navio",IF($G140&lt;=VLOOKUP($F140,Base_Dados!$K$1:$O$7,5,FALSE)," ","Limite "&amp;VLOOKUP($F140,Base_Dados!$K$1:$O$11,5,FALSE)&amp;" "&amp;VLOOKUP($F140,Base_Dados!$K$1:$O$11,2,FALSE))," ")</f>
        <v> </v>
      </c>
      <c r="Q140" s="21" t="str">
        <f t="shared" si="2"/>
        <v/>
      </c>
      <c r="R140" s="1"/>
      <c r="S140" s="1"/>
      <c r="T140" s="1"/>
      <c r="U140" s="1"/>
      <c r="V140" s="1"/>
      <c r="W140" s="1"/>
      <c r="X140" s="1"/>
      <c r="Y140" s="1"/>
      <c r="Z140" s="1"/>
    </row>
    <row r="141" ht="24.0" customHeight="1">
      <c r="A141" s="18" t="s">
        <v>43</v>
      </c>
      <c r="B141" s="18" t="s">
        <v>35</v>
      </c>
      <c r="C141" s="19" t="s">
        <v>36</v>
      </c>
      <c r="D141" s="19" t="s">
        <v>54</v>
      </c>
      <c r="E141" s="19" t="s">
        <v>45</v>
      </c>
      <c r="F141" s="19" t="s">
        <v>34</v>
      </c>
      <c r="G141" s="20">
        <v>3333.0</v>
      </c>
      <c r="H141" s="19" t="s">
        <v>56</v>
      </c>
      <c r="I141" s="19" t="s">
        <v>63</v>
      </c>
      <c r="J141" s="13">
        <f>VLOOKUP(C141&amp;I141&amp;E141,Orig_Dest!$A$2:$E$1876,5,FALSE)</f>
        <v>0</v>
      </c>
      <c r="K141" s="14" t="str">
        <f t="shared" si="1"/>
        <v>Dia 8</v>
      </c>
      <c r="L141" s="21" t="str">
        <f>IF(B141="Fornecedor",IF(VLOOKUP(C141,Base_Dados!$E$1:$F$7,2,FALSE)=F141," ","Fornecedor inválido!")," ")</f>
        <v> </v>
      </c>
      <c r="M141" s="22" t="str">
        <f>IF(AND(LEFT(F141,2)="MP",H141&lt;&gt;Base_Dados!$A$1),"Impossível!!!"," ")</f>
        <v> </v>
      </c>
      <c r="N141" s="21" t="str">
        <f>IF(E141="Avião",IF($G141&lt;=VLOOKUP($F141,Base_Dados!$K$1:$O$7,3,FALSE)," ","Limite "&amp;VLOOKUP($F141,Base_Dados!$K$1:$O$11,3,FALSE)&amp;" "&amp;VLOOKUP($F141,Base_Dados!$K$1:$O$11,2,FALSE))," ")</f>
        <v> </v>
      </c>
      <c r="O141" s="21" t="str">
        <f>IF(E141="Caminhão",IF($G141&lt;=VLOOKUP($F141,Base_Dados!$K$1:$O$7,4,FALSE)," ","Limite "&amp;VLOOKUP($F141,Base_Dados!$K$1:$O$11,4,FALSE)&amp;" "&amp;VLOOKUP($F141,Base_Dados!$K$1:$O$11,2,FALSE))," ")</f>
        <v> </v>
      </c>
      <c r="P141" s="21" t="str">
        <f>IF(E141="Navio",IF($G141&lt;=VLOOKUP($F141,Base_Dados!$K$1:$O$7,5,FALSE)," ","Limite "&amp;VLOOKUP($F141,Base_Dados!$K$1:$O$11,5,FALSE)&amp;" "&amp;VLOOKUP($F141,Base_Dados!$K$1:$O$11,2,FALSE))," ")</f>
        <v> </v>
      </c>
      <c r="Q141" s="21" t="str">
        <f t="shared" si="2"/>
        <v/>
      </c>
      <c r="R141" s="1"/>
      <c r="S141" s="1"/>
      <c r="T141" s="1"/>
      <c r="U141" s="1"/>
      <c r="V141" s="1"/>
      <c r="W141" s="1"/>
      <c r="X141" s="1"/>
      <c r="Y141" s="1"/>
      <c r="Z141" s="1"/>
    </row>
    <row r="142" ht="24.0" customHeight="1">
      <c r="A142" s="18" t="s">
        <v>43</v>
      </c>
      <c r="B142" s="18" t="s">
        <v>35</v>
      </c>
      <c r="C142" s="19" t="s">
        <v>36</v>
      </c>
      <c r="D142" s="19" t="s">
        <v>54</v>
      </c>
      <c r="E142" s="19" t="s">
        <v>45</v>
      </c>
      <c r="F142" s="19" t="s">
        <v>34</v>
      </c>
      <c r="G142" s="20">
        <v>3333.0</v>
      </c>
      <c r="H142" s="19" t="s">
        <v>56</v>
      </c>
      <c r="I142" s="19" t="s">
        <v>63</v>
      </c>
      <c r="J142" s="13">
        <f>VLOOKUP(C142&amp;I142&amp;E142,Orig_Dest!$A$2:$E$1876,5,FALSE)</f>
        <v>0</v>
      </c>
      <c r="K142" s="14" t="str">
        <f t="shared" si="1"/>
        <v>Dia 8</v>
      </c>
      <c r="L142" s="21" t="str">
        <f>IF(B142="Fornecedor",IF(VLOOKUP(C142,Base_Dados!$E$1:$F$7,2,FALSE)=F142," ","Fornecedor inválido!")," ")</f>
        <v> </v>
      </c>
      <c r="M142" s="22" t="str">
        <f>IF(AND(LEFT(F142,2)="MP",H142&lt;&gt;Base_Dados!$A$1),"Impossível!!!"," ")</f>
        <v> </v>
      </c>
      <c r="N142" s="21" t="str">
        <f>IF(E142="Avião",IF($G142&lt;=VLOOKUP($F142,Base_Dados!$K$1:$O$7,3,FALSE)," ","Limite "&amp;VLOOKUP($F142,Base_Dados!$K$1:$O$11,3,FALSE)&amp;" "&amp;VLOOKUP($F142,Base_Dados!$K$1:$O$11,2,FALSE))," ")</f>
        <v> </v>
      </c>
      <c r="O142" s="21" t="str">
        <f>IF(E142="Caminhão",IF($G142&lt;=VLOOKUP($F142,Base_Dados!$K$1:$O$7,4,FALSE)," ","Limite "&amp;VLOOKUP($F142,Base_Dados!$K$1:$O$11,4,FALSE)&amp;" "&amp;VLOOKUP($F142,Base_Dados!$K$1:$O$11,2,FALSE))," ")</f>
        <v> </v>
      </c>
      <c r="P142" s="21" t="str">
        <f>IF(E142="Navio",IF($G142&lt;=VLOOKUP($F142,Base_Dados!$K$1:$O$7,5,FALSE)," ","Limite "&amp;VLOOKUP($F142,Base_Dados!$K$1:$O$11,5,FALSE)&amp;" "&amp;VLOOKUP($F142,Base_Dados!$K$1:$O$11,2,FALSE))," ")</f>
        <v> </v>
      </c>
      <c r="Q142" s="21" t="str">
        <f t="shared" si="2"/>
        <v/>
      </c>
      <c r="R142" s="1"/>
      <c r="S142" s="1"/>
      <c r="T142" s="1"/>
      <c r="U142" s="1"/>
      <c r="V142" s="1"/>
      <c r="W142" s="1"/>
      <c r="X142" s="1"/>
      <c r="Y142" s="1"/>
      <c r="Z142" s="1"/>
    </row>
    <row r="143" ht="24.0" customHeight="1">
      <c r="A143" s="18" t="s">
        <v>43</v>
      </c>
      <c r="B143" s="18" t="s">
        <v>35</v>
      </c>
      <c r="C143" s="19" t="s">
        <v>36</v>
      </c>
      <c r="D143" s="19" t="s">
        <v>54</v>
      </c>
      <c r="E143" s="19" t="s">
        <v>45</v>
      </c>
      <c r="F143" s="19" t="s">
        <v>34</v>
      </c>
      <c r="G143" s="20">
        <v>3333.0</v>
      </c>
      <c r="H143" s="19" t="s">
        <v>56</v>
      </c>
      <c r="I143" s="19" t="s">
        <v>63</v>
      </c>
      <c r="J143" s="13">
        <f>VLOOKUP(C143&amp;I143&amp;E143,Orig_Dest!$A$2:$E$1876,5,FALSE)</f>
        <v>0</v>
      </c>
      <c r="K143" s="14" t="str">
        <f t="shared" si="1"/>
        <v>Dia 8</v>
      </c>
      <c r="L143" s="21" t="str">
        <f>IF(B143="Fornecedor",IF(VLOOKUP(C143,Base_Dados!$E$1:$F$7,2,FALSE)=F143," ","Fornecedor inválido!")," ")</f>
        <v> </v>
      </c>
      <c r="M143" s="22" t="str">
        <f>IF(AND(LEFT(F143,2)="MP",H143&lt;&gt;Base_Dados!$A$1),"Impossível!!!"," ")</f>
        <v> </v>
      </c>
      <c r="N143" s="21" t="str">
        <f>IF(E143="Avião",IF($G143&lt;=VLOOKUP($F143,Base_Dados!$K$1:$O$7,3,FALSE)," ","Limite "&amp;VLOOKUP($F143,Base_Dados!$K$1:$O$11,3,FALSE)&amp;" "&amp;VLOOKUP($F143,Base_Dados!$K$1:$O$11,2,FALSE))," ")</f>
        <v> </v>
      </c>
      <c r="O143" s="21" t="str">
        <f>IF(E143="Caminhão",IF($G143&lt;=VLOOKUP($F143,Base_Dados!$K$1:$O$7,4,FALSE)," ","Limite "&amp;VLOOKUP($F143,Base_Dados!$K$1:$O$11,4,FALSE)&amp;" "&amp;VLOOKUP($F143,Base_Dados!$K$1:$O$11,2,FALSE))," ")</f>
        <v> </v>
      </c>
      <c r="P143" s="21" t="str">
        <f>IF(E143="Navio",IF($G143&lt;=VLOOKUP($F143,Base_Dados!$K$1:$O$7,5,FALSE)," ","Limite "&amp;VLOOKUP($F143,Base_Dados!$K$1:$O$11,5,FALSE)&amp;" "&amp;VLOOKUP($F143,Base_Dados!$K$1:$O$11,2,FALSE))," ")</f>
        <v> </v>
      </c>
      <c r="Q143" s="21" t="str">
        <f t="shared" si="2"/>
        <v/>
      </c>
      <c r="R143" s="1"/>
      <c r="S143" s="1"/>
      <c r="T143" s="1"/>
      <c r="U143" s="1"/>
      <c r="V143" s="1"/>
      <c r="W143" s="1"/>
      <c r="X143" s="1"/>
      <c r="Y143" s="1"/>
      <c r="Z143" s="1"/>
    </row>
    <row r="144" ht="24.0" customHeight="1">
      <c r="A144" s="18" t="s">
        <v>43</v>
      </c>
      <c r="B144" s="18" t="s">
        <v>35</v>
      </c>
      <c r="C144" s="19" t="s">
        <v>36</v>
      </c>
      <c r="D144" s="19" t="s">
        <v>54</v>
      </c>
      <c r="E144" s="19" t="s">
        <v>45</v>
      </c>
      <c r="F144" s="19" t="s">
        <v>34</v>
      </c>
      <c r="G144" s="20">
        <v>2020.0</v>
      </c>
      <c r="H144" s="19" t="s">
        <v>56</v>
      </c>
      <c r="I144" s="19" t="s">
        <v>63</v>
      </c>
      <c r="J144" s="13">
        <f>VLOOKUP(C144&amp;I144&amp;E144,Orig_Dest!$A$2:$E$1876,5,FALSE)</f>
        <v>0</v>
      </c>
      <c r="K144" s="14" t="str">
        <f t="shared" si="1"/>
        <v>Dia 8</v>
      </c>
      <c r="L144" s="21" t="str">
        <f>IF(B144="Fornecedor",IF(VLOOKUP(C144,Base_Dados!$E$1:$F$7,2,FALSE)=F144," ","Fornecedor inválido!")," ")</f>
        <v> </v>
      </c>
      <c r="M144" s="22" t="str">
        <f>IF(AND(LEFT(F144,2)="MP",H144&lt;&gt;Base_Dados!$A$1),"Impossível!!!"," ")</f>
        <v> </v>
      </c>
      <c r="N144" s="21" t="str">
        <f>IF(E144="Avião",IF($G144&lt;=VLOOKUP($F144,Base_Dados!$K$1:$O$7,3,FALSE)," ","Limite "&amp;VLOOKUP($F144,Base_Dados!$K$1:$O$11,3,FALSE)&amp;" "&amp;VLOOKUP($F144,Base_Dados!$K$1:$O$11,2,FALSE))," ")</f>
        <v> </v>
      </c>
      <c r="O144" s="21" t="str">
        <f>IF(E144="Caminhão",IF($G144&lt;=VLOOKUP($F144,Base_Dados!$K$1:$O$7,4,FALSE)," ","Limite "&amp;VLOOKUP($F144,Base_Dados!$K$1:$O$11,4,FALSE)&amp;" "&amp;VLOOKUP($F144,Base_Dados!$K$1:$O$11,2,FALSE))," ")</f>
        <v> </v>
      </c>
      <c r="P144" s="21" t="str">
        <f>IF(E144="Navio",IF($G144&lt;=VLOOKUP($F144,Base_Dados!$K$1:$O$7,5,FALSE)," ","Limite "&amp;VLOOKUP($F144,Base_Dados!$K$1:$O$11,5,FALSE)&amp;" "&amp;VLOOKUP($F144,Base_Dados!$K$1:$O$11,2,FALSE))," ")</f>
        <v> </v>
      </c>
      <c r="Q144" s="21" t="str">
        <f t="shared" si="2"/>
        <v/>
      </c>
      <c r="R144" s="1"/>
      <c r="S144" s="1"/>
      <c r="T144" s="1"/>
      <c r="U144" s="1"/>
      <c r="V144" s="1"/>
      <c r="W144" s="1"/>
      <c r="X144" s="1"/>
      <c r="Y144" s="1"/>
      <c r="Z144" s="1"/>
    </row>
    <row r="145" ht="24.0" customHeight="1">
      <c r="A145" s="18" t="s">
        <v>43</v>
      </c>
      <c r="B145" s="18" t="s">
        <v>35</v>
      </c>
      <c r="C145" s="19" t="s">
        <v>36</v>
      </c>
      <c r="D145" s="19" t="s">
        <v>55</v>
      </c>
      <c r="E145" s="19" t="s">
        <v>45</v>
      </c>
      <c r="F145" s="19" t="s">
        <v>34</v>
      </c>
      <c r="G145" s="20">
        <v>3333.0</v>
      </c>
      <c r="H145" s="19" t="s">
        <v>56</v>
      </c>
      <c r="I145" s="19" t="s">
        <v>23</v>
      </c>
      <c r="J145" s="13">
        <f>VLOOKUP(C145&amp;I145&amp;E145,Orig_Dest!$A$2:$E$1876,5,FALSE)</f>
        <v>0</v>
      </c>
      <c r="K145" s="14" t="str">
        <f t="shared" si="1"/>
        <v>Dia 9</v>
      </c>
      <c r="L145" s="21" t="str">
        <f>IF(B145="Fornecedor",IF(VLOOKUP(C145,Base_Dados!$E$1:$F$7,2,FALSE)=F145," ","Fornecedor inválido!")," ")</f>
        <v> </v>
      </c>
      <c r="M145" s="22" t="str">
        <f>IF(AND(LEFT(F145,2)="MP",H145&lt;&gt;Base_Dados!$A$1),"Impossível!!!"," ")</f>
        <v> </v>
      </c>
      <c r="N145" s="21" t="str">
        <f>IF(E145="Avião",IF($G145&lt;=VLOOKUP($F145,Base_Dados!$K$1:$O$7,3,FALSE)," ","Limite "&amp;VLOOKUP($F145,Base_Dados!$K$1:$O$11,3,FALSE)&amp;" "&amp;VLOOKUP($F145,Base_Dados!$K$1:$O$11,2,FALSE))," ")</f>
        <v> </v>
      </c>
      <c r="O145" s="21" t="str">
        <f>IF(E145="Caminhão",IF($G145&lt;=VLOOKUP($F145,Base_Dados!$K$1:$O$7,4,FALSE)," ","Limite "&amp;VLOOKUP($F145,Base_Dados!$K$1:$O$11,4,FALSE)&amp;" "&amp;VLOOKUP($F145,Base_Dados!$K$1:$O$11,2,FALSE))," ")</f>
        <v> </v>
      </c>
      <c r="P145" s="21" t="str">
        <f>IF(E145="Navio",IF($G145&lt;=VLOOKUP($F145,Base_Dados!$K$1:$O$7,5,FALSE)," ","Limite "&amp;VLOOKUP($F145,Base_Dados!$K$1:$O$11,5,FALSE)&amp;" "&amp;VLOOKUP($F145,Base_Dados!$K$1:$O$11,2,FALSE))," ")</f>
        <v> </v>
      </c>
      <c r="Q145" s="21" t="str">
        <f t="shared" si="2"/>
        <v/>
      </c>
      <c r="R145" s="1"/>
      <c r="S145" s="1"/>
      <c r="T145" s="1"/>
      <c r="U145" s="1"/>
      <c r="V145" s="1"/>
      <c r="W145" s="1"/>
      <c r="X145" s="1"/>
      <c r="Y145" s="1"/>
      <c r="Z145" s="1"/>
    </row>
    <row r="146" ht="24.0" customHeight="1">
      <c r="A146" s="18" t="s">
        <v>43</v>
      </c>
      <c r="B146" s="18" t="s">
        <v>35</v>
      </c>
      <c r="C146" s="19" t="s">
        <v>36</v>
      </c>
      <c r="D146" s="19" t="s">
        <v>55</v>
      </c>
      <c r="E146" s="19" t="s">
        <v>45</v>
      </c>
      <c r="F146" s="19" t="s">
        <v>34</v>
      </c>
      <c r="G146" s="20">
        <v>2676.0</v>
      </c>
      <c r="H146" s="19" t="s">
        <v>56</v>
      </c>
      <c r="I146" s="19" t="s">
        <v>23</v>
      </c>
      <c r="J146" s="13">
        <f>VLOOKUP(C146&amp;I146&amp;E146,Orig_Dest!$A$2:$E$1876,5,FALSE)</f>
        <v>0</v>
      </c>
      <c r="K146" s="14" t="str">
        <f t="shared" si="1"/>
        <v>Dia 9</v>
      </c>
      <c r="L146" s="21" t="str">
        <f>IF(B146="Fornecedor",IF(VLOOKUP(C146,Base_Dados!$E$1:$F$7,2,FALSE)=F146," ","Fornecedor inválido!")," ")</f>
        <v> </v>
      </c>
      <c r="M146" s="22" t="str">
        <f>IF(AND(LEFT(F146,2)="MP",H146&lt;&gt;Base_Dados!$A$1),"Impossível!!!"," ")</f>
        <v> </v>
      </c>
      <c r="N146" s="21" t="str">
        <f>IF(E146="Avião",IF($G146&lt;=VLOOKUP($F146,Base_Dados!$K$1:$O$7,3,FALSE)," ","Limite "&amp;VLOOKUP($F146,Base_Dados!$K$1:$O$11,3,FALSE)&amp;" "&amp;VLOOKUP($F146,Base_Dados!$K$1:$O$11,2,FALSE))," ")</f>
        <v> </v>
      </c>
      <c r="O146" s="21" t="str">
        <f>IF(E146="Caminhão",IF($G146&lt;=VLOOKUP($F146,Base_Dados!$K$1:$O$7,4,FALSE)," ","Limite "&amp;VLOOKUP($F146,Base_Dados!$K$1:$O$11,4,FALSE)&amp;" "&amp;VLOOKUP($F146,Base_Dados!$K$1:$O$11,2,FALSE))," ")</f>
        <v> </v>
      </c>
      <c r="P146" s="21" t="str">
        <f>IF(E146="Navio",IF($G146&lt;=VLOOKUP($F146,Base_Dados!$K$1:$O$7,5,FALSE)," ","Limite "&amp;VLOOKUP($F146,Base_Dados!$K$1:$O$11,5,FALSE)&amp;" "&amp;VLOOKUP($F146,Base_Dados!$K$1:$O$11,2,FALSE))," ")</f>
        <v> </v>
      </c>
      <c r="Q146" s="21" t="str">
        <f t="shared" si="2"/>
        <v/>
      </c>
      <c r="R146" s="1"/>
      <c r="S146" s="1"/>
      <c r="T146" s="1"/>
      <c r="U146" s="1"/>
      <c r="V146" s="1"/>
      <c r="W146" s="1"/>
      <c r="X146" s="1"/>
      <c r="Y146" s="1"/>
      <c r="Z146" s="1"/>
    </row>
    <row r="147" ht="24.0" customHeight="1">
      <c r="A147" s="18" t="s">
        <v>43</v>
      </c>
      <c r="B147" s="18" t="s">
        <v>35</v>
      </c>
      <c r="C147" s="19" t="s">
        <v>36</v>
      </c>
      <c r="D147" s="19" t="s">
        <v>55</v>
      </c>
      <c r="E147" s="19" t="s">
        <v>45</v>
      </c>
      <c r="F147" s="19" t="s">
        <v>34</v>
      </c>
      <c r="G147" s="20">
        <v>3333.0</v>
      </c>
      <c r="H147" s="19" t="s">
        <v>56</v>
      </c>
      <c r="I147" s="19" t="s">
        <v>64</v>
      </c>
      <c r="J147" s="13">
        <f>VLOOKUP(C147&amp;I147&amp;E147,Orig_Dest!$A$2:$E$1876,5,FALSE)</f>
        <v>0</v>
      </c>
      <c r="K147" s="14" t="str">
        <f t="shared" si="1"/>
        <v>Dia 9</v>
      </c>
      <c r="L147" s="21" t="str">
        <f>IF(B147="Fornecedor",IF(VLOOKUP(C147,Base_Dados!$E$1:$F$7,2,FALSE)=F147," ","Fornecedor inválido!")," ")</f>
        <v> </v>
      </c>
      <c r="M147" s="22" t="str">
        <f>IF(AND(LEFT(F147,2)="MP",H147&lt;&gt;Base_Dados!$A$1),"Impossível!!!"," ")</f>
        <v> </v>
      </c>
      <c r="N147" s="21" t="str">
        <f>IF(E147="Avião",IF($G147&lt;=VLOOKUP($F147,Base_Dados!$K$1:$O$7,3,FALSE)," ","Limite "&amp;VLOOKUP($F147,Base_Dados!$K$1:$O$11,3,FALSE)&amp;" "&amp;VLOOKUP($F147,Base_Dados!$K$1:$O$11,2,FALSE))," ")</f>
        <v> </v>
      </c>
      <c r="O147" s="21" t="str">
        <f>IF(E147="Caminhão",IF($G147&lt;=VLOOKUP($F147,Base_Dados!$K$1:$O$7,4,FALSE)," ","Limite "&amp;VLOOKUP($F147,Base_Dados!$K$1:$O$11,4,FALSE)&amp;" "&amp;VLOOKUP($F147,Base_Dados!$K$1:$O$11,2,FALSE))," ")</f>
        <v> </v>
      </c>
      <c r="P147" s="21" t="str">
        <f>IF(E147="Navio",IF($G147&lt;=VLOOKUP($F147,Base_Dados!$K$1:$O$7,5,FALSE)," ","Limite "&amp;VLOOKUP($F147,Base_Dados!$K$1:$O$11,5,FALSE)&amp;" "&amp;VLOOKUP($F147,Base_Dados!$K$1:$O$11,2,FALSE))," ")</f>
        <v> </v>
      </c>
      <c r="Q147" s="21" t="str">
        <f t="shared" si="2"/>
        <v/>
      </c>
      <c r="R147" s="1"/>
      <c r="S147" s="1"/>
      <c r="T147" s="1"/>
      <c r="U147" s="1"/>
      <c r="V147" s="1"/>
      <c r="W147" s="1"/>
      <c r="X147" s="1"/>
      <c r="Y147" s="1"/>
      <c r="Z147" s="1"/>
    </row>
    <row r="148" ht="24.0" customHeight="1">
      <c r="A148" s="18" t="s">
        <v>43</v>
      </c>
      <c r="B148" s="18" t="s">
        <v>35</v>
      </c>
      <c r="C148" s="19" t="s">
        <v>36</v>
      </c>
      <c r="D148" s="19" t="s">
        <v>55</v>
      </c>
      <c r="E148" s="19" t="s">
        <v>45</v>
      </c>
      <c r="F148" s="19" t="s">
        <v>34</v>
      </c>
      <c r="G148" s="20">
        <v>3333.0</v>
      </c>
      <c r="H148" s="19" t="s">
        <v>56</v>
      </c>
      <c r="I148" s="19" t="s">
        <v>64</v>
      </c>
      <c r="J148" s="13">
        <f>VLOOKUP(C148&amp;I148&amp;E148,Orig_Dest!$A$2:$E$1876,5,FALSE)</f>
        <v>0</v>
      </c>
      <c r="K148" s="14" t="str">
        <f t="shared" si="1"/>
        <v>Dia 9</v>
      </c>
      <c r="L148" s="21" t="str">
        <f>IF(B148="Fornecedor",IF(VLOOKUP(C148,Base_Dados!$E$1:$F$7,2,FALSE)=F148," ","Fornecedor inválido!")," ")</f>
        <v> </v>
      </c>
      <c r="M148" s="22" t="str">
        <f>IF(AND(LEFT(F148,2)="MP",H148&lt;&gt;Base_Dados!$A$1),"Impossível!!!"," ")</f>
        <v> </v>
      </c>
      <c r="N148" s="21" t="str">
        <f>IF(E148="Avião",IF($G148&lt;=VLOOKUP($F148,Base_Dados!$K$1:$O$7,3,FALSE)," ","Limite "&amp;VLOOKUP($F148,Base_Dados!$K$1:$O$11,3,FALSE)&amp;" "&amp;VLOOKUP($F148,Base_Dados!$K$1:$O$11,2,FALSE))," ")</f>
        <v> </v>
      </c>
      <c r="O148" s="21" t="str">
        <f>IF(E148="Caminhão",IF($G148&lt;=VLOOKUP($F148,Base_Dados!$K$1:$O$7,4,FALSE)," ","Limite "&amp;VLOOKUP($F148,Base_Dados!$K$1:$O$11,4,FALSE)&amp;" "&amp;VLOOKUP($F148,Base_Dados!$K$1:$O$11,2,FALSE))," ")</f>
        <v> </v>
      </c>
      <c r="P148" s="21" t="str">
        <f>IF(E148="Navio",IF($G148&lt;=VLOOKUP($F148,Base_Dados!$K$1:$O$7,5,FALSE)," ","Limite "&amp;VLOOKUP($F148,Base_Dados!$K$1:$O$11,5,FALSE)&amp;" "&amp;VLOOKUP($F148,Base_Dados!$K$1:$O$11,2,FALSE))," ")</f>
        <v> </v>
      </c>
      <c r="Q148" s="21" t="str">
        <f t="shared" si="2"/>
        <v/>
      </c>
      <c r="R148" s="1"/>
      <c r="S148" s="1"/>
      <c r="T148" s="1"/>
      <c r="U148" s="1"/>
      <c r="V148" s="1"/>
      <c r="W148" s="1"/>
      <c r="X148" s="1"/>
      <c r="Y148" s="1"/>
      <c r="Z148" s="1"/>
    </row>
    <row r="149" ht="24.0" customHeight="1">
      <c r="A149" s="18" t="s">
        <v>43</v>
      </c>
      <c r="B149" s="18" t="s">
        <v>35</v>
      </c>
      <c r="C149" s="19" t="s">
        <v>36</v>
      </c>
      <c r="D149" s="19" t="s">
        <v>55</v>
      </c>
      <c r="E149" s="19" t="s">
        <v>45</v>
      </c>
      <c r="F149" s="19" t="s">
        <v>34</v>
      </c>
      <c r="G149" s="20">
        <v>3333.0</v>
      </c>
      <c r="H149" s="19" t="s">
        <v>56</v>
      </c>
      <c r="I149" s="19" t="s">
        <v>64</v>
      </c>
      <c r="J149" s="13">
        <f>VLOOKUP(C149&amp;I149&amp;E149,Orig_Dest!$A$2:$E$1876,5,FALSE)</f>
        <v>0</v>
      </c>
      <c r="K149" s="14" t="str">
        <f t="shared" si="1"/>
        <v>Dia 9</v>
      </c>
      <c r="L149" s="21" t="str">
        <f>IF(B149="Fornecedor",IF(VLOOKUP(C149,Base_Dados!$E$1:$F$7,2,FALSE)=F149," ","Fornecedor inválido!")," ")</f>
        <v> </v>
      </c>
      <c r="M149" s="22" t="str">
        <f>IF(AND(LEFT(F149,2)="MP",H149&lt;&gt;Base_Dados!$A$1),"Impossível!!!"," ")</f>
        <v> </v>
      </c>
      <c r="N149" s="21" t="str">
        <f>IF(E149="Avião",IF($G149&lt;=VLOOKUP($F149,Base_Dados!$K$1:$O$7,3,FALSE)," ","Limite "&amp;VLOOKUP($F149,Base_Dados!$K$1:$O$11,3,FALSE)&amp;" "&amp;VLOOKUP($F149,Base_Dados!$K$1:$O$11,2,FALSE))," ")</f>
        <v> </v>
      </c>
      <c r="O149" s="21" t="str">
        <f>IF(E149="Caminhão",IF($G149&lt;=VLOOKUP($F149,Base_Dados!$K$1:$O$7,4,FALSE)," ","Limite "&amp;VLOOKUP($F149,Base_Dados!$K$1:$O$11,4,FALSE)&amp;" "&amp;VLOOKUP($F149,Base_Dados!$K$1:$O$11,2,FALSE))," ")</f>
        <v> </v>
      </c>
      <c r="P149" s="21" t="str">
        <f>IF(E149="Navio",IF($G149&lt;=VLOOKUP($F149,Base_Dados!$K$1:$O$7,5,FALSE)," ","Limite "&amp;VLOOKUP($F149,Base_Dados!$K$1:$O$11,5,FALSE)&amp;" "&amp;VLOOKUP($F149,Base_Dados!$K$1:$O$11,2,FALSE))," ")</f>
        <v> </v>
      </c>
      <c r="Q149" s="21" t="str">
        <f t="shared" si="2"/>
        <v/>
      </c>
      <c r="R149" s="1"/>
      <c r="S149" s="1"/>
      <c r="T149" s="1"/>
      <c r="U149" s="1"/>
      <c r="V149" s="1"/>
      <c r="W149" s="1"/>
      <c r="X149" s="1"/>
      <c r="Y149" s="1"/>
      <c r="Z149" s="1"/>
    </row>
    <row r="150" ht="24.0" customHeight="1">
      <c r="A150" s="18" t="s">
        <v>43</v>
      </c>
      <c r="B150" s="18" t="s">
        <v>35</v>
      </c>
      <c r="C150" s="19" t="s">
        <v>36</v>
      </c>
      <c r="D150" s="19" t="s">
        <v>55</v>
      </c>
      <c r="E150" s="19" t="s">
        <v>45</v>
      </c>
      <c r="F150" s="19" t="s">
        <v>34</v>
      </c>
      <c r="G150" s="20">
        <v>2020.0</v>
      </c>
      <c r="H150" s="19" t="s">
        <v>56</v>
      </c>
      <c r="I150" s="19" t="s">
        <v>64</v>
      </c>
      <c r="J150" s="13">
        <f>VLOOKUP(C150&amp;I150&amp;E150,Orig_Dest!$A$2:$E$1876,5,FALSE)</f>
        <v>0</v>
      </c>
      <c r="K150" s="14" t="str">
        <f t="shared" si="1"/>
        <v>Dia 9</v>
      </c>
      <c r="L150" s="21" t="str">
        <f>IF(B150="Fornecedor",IF(VLOOKUP(C150,Base_Dados!$E$1:$F$7,2,FALSE)=F150," ","Fornecedor inválido!")," ")</f>
        <v> </v>
      </c>
      <c r="M150" s="22" t="str">
        <f>IF(AND(LEFT(F150,2)="MP",H150&lt;&gt;Base_Dados!$A$1),"Impossível!!!"," ")</f>
        <v> </v>
      </c>
      <c r="N150" s="21" t="str">
        <f>IF(E150="Avião",IF($G150&lt;=VLOOKUP($F150,Base_Dados!$K$1:$O$7,3,FALSE)," ","Limite "&amp;VLOOKUP($F150,Base_Dados!$K$1:$O$11,3,FALSE)&amp;" "&amp;VLOOKUP($F150,Base_Dados!$K$1:$O$11,2,FALSE))," ")</f>
        <v> </v>
      </c>
      <c r="O150" s="21" t="str">
        <f>IF(E150="Caminhão",IF($G150&lt;=VLOOKUP($F150,Base_Dados!$K$1:$O$7,4,FALSE)," ","Limite "&amp;VLOOKUP($F150,Base_Dados!$K$1:$O$11,4,FALSE)&amp;" "&amp;VLOOKUP($F150,Base_Dados!$K$1:$O$11,2,FALSE))," ")</f>
        <v> </v>
      </c>
      <c r="P150" s="21" t="str">
        <f>IF(E150="Navio",IF($G150&lt;=VLOOKUP($F150,Base_Dados!$K$1:$O$7,5,FALSE)," ","Limite "&amp;VLOOKUP($F150,Base_Dados!$K$1:$O$11,5,FALSE)&amp;" "&amp;VLOOKUP($F150,Base_Dados!$K$1:$O$11,2,FALSE))," ")</f>
        <v> </v>
      </c>
      <c r="Q150" s="21" t="str">
        <f t="shared" si="2"/>
        <v/>
      </c>
      <c r="R150" s="1"/>
      <c r="S150" s="1"/>
      <c r="T150" s="1"/>
      <c r="U150" s="1"/>
      <c r="V150" s="1"/>
      <c r="W150" s="1"/>
      <c r="X150" s="1"/>
      <c r="Y150" s="1"/>
      <c r="Z150" s="1"/>
    </row>
    <row r="151" ht="24.0" customHeight="1">
      <c r="A151" s="18" t="s">
        <v>43</v>
      </c>
      <c r="B151" s="18" t="s">
        <v>35</v>
      </c>
      <c r="C151" s="19" t="s">
        <v>36</v>
      </c>
      <c r="D151" s="19" t="s">
        <v>54</v>
      </c>
      <c r="E151" s="19" t="s">
        <v>45</v>
      </c>
      <c r="F151" s="19" t="s">
        <v>34</v>
      </c>
      <c r="G151" s="20">
        <v>3333.0</v>
      </c>
      <c r="H151" s="19" t="s">
        <v>56</v>
      </c>
      <c r="I151" s="19" t="s">
        <v>65</v>
      </c>
      <c r="J151" s="13">
        <f>VLOOKUP(C151&amp;I151&amp;E151,Orig_Dest!$A$2:$E$1876,5,FALSE)</f>
        <v>0</v>
      </c>
      <c r="K151" s="14" t="str">
        <f t="shared" si="1"/>
        <v>Dia 8</v>
      </c>
      <c r="L151" s="21" t="str">
        <f>IF(B151="Fornecedor",IF(VLOOKUP(C151,Base_Dados!$E$1:$F$7,2,FALSE)=F151," ","Fornecedor inválido!")," ")</f>
        <v> </v>
      </c>
      <c r="M151" s="22" t="str">
        <f>IF(AND(LEFT(F151,2)="MP",H151&lt;&gt;Base_Dados!$A$1),"Impossível!!!"," ")</f>
        <v> </v>
      </c>
      <c r="N151" s="21" t="str">
        <f>IF(E151="Avião",IF($G151&lt;=VLOOKUP($F151,Base_Dados!$K$1:$O$7,3,FALSE)," ","Limite "&amp;VLOOKUP($F151,Base_Dados!$K$1:$O$11,3,FALSE)&amp;" "&amp;VLOOKUP($F151,Base_Dados!$K$1:$O$11,2,FALSE))," ")</f>
        <v> </v>
      </c>
      <c r="O151" s="21" t="str">
        <f>IF(E151="Caminhão",IF($G151&lt;=VLOOKUP($F151,Base_Dados!$K$1:$O$7,4,FALSE)," ","Limite "&amp;VLOOKUP($F151,Base_Dados!$K$1:$O$11,4,FALSE)&amp;" "&amp;VLOOKUP($F151,Base_Dados!$K$1:$O$11,2,FALSE))," ")</f>
        <v> </v>
      </c>
      <c r="P151" s="21" t="str">
        <f>IF(E151="Navio",IF($G151&lt;=VLOOKUP($F151,Base_Dados!$K$1:$O$7,5,FALSE)," ","Limite "&amp;VLOOKUP($F151,Base_Dados!$K$1:$O$11,5,FALSE)&amp;" "&amp;VLOOKUP($F151,Base_Dados!$K$1:$O$11,2,FALSE))," ")</f>
        <v> </v>
      </c>
      <c r="Q151" s="21" t="str">
        <f t="shared" si="2"/>
        <v/>
      </c>
      <c r="R151" s="1"/>
      <c r="S151" s="1"/>
      <c r="T151" s="1"/>
      <c r="U151" s="1"/>
      <c r="V151" s="1"/>
      <c r="W151" s="1"/>
      <c r="X151" s="1"/>
      <c r="Y151" s="1"/>
      <c r="Z151" s="1"/>
    </row>
    <row r="152" ht="24.0" customHeight="1">
      <c r="A152" s="18" t="s">
        <v>43</v>
      </c>
      <c r="B152" s="18" t="s">
        <v>35</v>
      </c>
      <c r="C152" s="19" t="s">
        <v>36</v>
      </c>
      <c r="D152" s="19" t="s">
        <v>54</v>
      </c>
      <c r="E152" s="19" t="s">
        <v>45</v>
      </c>
      <c r="F152" s="19" t="s">
        <v>34</v>
      </c>
      <c r="G152" s="20">
        <v>3333.0</v>
      </c>
      <c r="H152" s="19" t="s">
        <v>56</v>
      </c>
      <c r="I152" s="19" t="s">
        <v>65</v>
      </c>
      <c r="J152" s="13">
        <f>VLOOKUP(C152&amp;I152&amp;E152,Orig_Dest!$A$2:$E$1876,5,FALSE)</f>
        <v>0</v>
      </c>
      <c r="K152" s="14" t="str">
        <f t="shared" si="1"/>
        <v>Dia 8</v>
      </c>
      <c r="L152" s="21" t="str">
        <f>IF(B152="Fornecedor",IF(VLOOKUP(C152,Base_Dados!$E$1:$F$7,2,FALSE)=F152," ","Fornecedor inválido!")," ")</f>
        <v> </v>
      </c>
      <c r="M152" s="22" t="str">
        <f>IF(AND(LEFT(F152,2)="MP",H152&lt;&gt;Base_Dados!$A$1),"Impossível!!!"," ")</f>
        <v> </v>
      </c>
      <c r="N152" s="21" t="str">
        <f>IF(E152="Avião",IF($G152&lt;=VLOOKUP($F152,Base_Dados!$K$1:$O$7,3,FALSE)," ","Limite "&amp;VLOOKUP($F152,Base_Dados!$K$1:$O$11,3,FALSE)&amp;" "&amp;VLOOKUP($F152,Base_Dados!$K$1:$O$11,2,FALSE))," ")</f>
        <v> </v>
      </c>
      <c r="O152" s="21" t="str">
        <f>IF(E152="Caminhão",IF($G152&lt;=VLOOKUP($F152,Base_Dados!$K$1:$O$7,4,FALSE)," ","Limite "&amp;VLOOKUP($F152,Base_Dados!$K$1:$O$11,4,FALSE)&amp;" "&amp;VLOOKUP($F152,Base_Dados!$K$1:$O$11,2,FALSE))," ")</f>
        <v> </v>
      </c>
      <c r="P152" s="21" t="str">
        <f>IF(E152="Navio",IF($G152&lt;=VLOOKUP($F152,Base_Dados!$K$1:$O$7,5,FALSE)," ","Limite "&amp;VLOOKUP($F152,Base_Dados!$K$1:$O$11,5,FALSE)&amp;" "&amp;VLOOKUP($F152,Base_Dados!$K$1:$O$11,2,FALSE))," ")</f>
        <v> </v>
      </c>
      <c r="Q152" s="21" t="str">
        <f t="shared" si="2"/>
        <v/>
      </c>
      <c r="R152" s="1"/>
      <c r="S152" s="1"/>
      <c r="T152" s="1"/>
      <c r="U152" s="1"/>
      <c r="V152" s="1"/>
      <c r="W152" s="1"/>
      <c r="X152" s="1"/>
      <c r="Y152" s="1"/>
      <c r="Z152" s="1"/>
    </row>
    <row r="153" ht="24.0" customHeight="1">
      <c r="A153" s="18" t="s">
        <v>43</v>
      </c>
      <c r="B153" s="18" t="s">
        <v>35</v>
      </c>
      <c r="C153" s="19" t="s">
        <v>36</v>
      </c>
      <c r="D153" s="19" t="s">
        <v>54</v>
      </c>
      <c r="E153" s="19" t="s">
        <v>45</v>
      </c>
      <c r="F153" s="19" t="s">
        <v>34</v>
      </c>
      <c r="G153" s="20">
        <v>3333.0</v>
      </c>
      <c r="H153" s="19" t="s">
        <v>56</v>
      </c>
      <c r="I153" s="19" t="s">
        <v>65</v>
      </c>
      <c r="J153" s="13">
        <f>VLOOKUP(C153&amp;I153&amp;E153,Orig_Dest!$A$2:$E$1876,5,FALSE)</f>
        <v>0</v>
      </c>
      <c r="K153" s="14" t="str">
        <f t="shared" si="1"/>
        <v>Dia 8</v>
      </c>
      <c r="L153" s="21" t="str">
        <f>IF(B153="Fornecedor",IF(VLOOKUP(C153,Base_Dados!$E$1:$F$7,2,FALSE)=F153," ","Fornecedor inválido!")," ")</f>
        <v> </v>
      </c>
      <c r="M153" s="22" t="str">
        <f>IF(AND(LEFT(F153,2)="MP",H153&lt;&gt;Base_Dados!$A$1),"Impossível!!!"," ")</f>
        <v> </v>
      </c>
      <c r="N153" s="21" t="str">
        <f>IF(E153="Avião",IF($G153&lt;=VLOOKUP($F153,Base_Dados!$K$1:$O$7,3,FALSE)," ","Limite "&amp;VLOOKUP($F153,Base_Dados!$K$1:$O$11,3,FALSE)&amp;" "&amp;VLOOKUP($F153,Base_Dados!$K$1:$O$11,2,FALSE))," ")</f>
        <v> </v>
      </c>
      <c r="O153" s="21" t="str">
        <f>IF(E153="Caminhão",IF($G153&lt;=VLOOKUP($F153,Base_Dados!$K$1:$O$7,4,FALSE)," ","Limite "&amp;VLOOKUP($F153,Base_Dados!$K$1:$O$11,4,FALSE)&amp;" "&amp;VLOOKUP($F153,Base_Dados!$K$1:$O$11,2,FALSE))," ")</f>
        <v> </v>
      </c>
      <c r="P153" s="21" t="str">
        <f>IF(E153="Navio",IF($G153&lt;=VLOOKUP($F153,Base_Dados!$K$1:$O$7,5,FALSE)," ","Limite "&amp;VLOOKUP($F153,Base_Dados!$K$1:$O$11,5,FALSE)&amp;" "&amp;VLOOKUP($F153,Base_Dados!$K$1:$O$11,2,FALSE))," ")</f>
        <v> </v>
      </c>
      <c r="Q153" s="21" t="str">
        <f t="shared" si="2"/>
        <v/>
      </c>
      <c r="R153" s="1"/>
      <c r="S153" s="1"/>
      <c r="T153" s="1"/>
      <c r="U153" s="1"/>
      <c r="V153" s="1"/>
      <c r="W153" s="1"/>
      <c r="X153" s="1"/>
      <c r="Y153" s="1"/>
      <c r="Z153" s="1"/>
    </row>
    <row r="154" ht="24.0" customHeight="1">
      <c r="A154" s="18" t="s">
        <v>43</v>
      </c>
      <c r="B154" s="18" t="s">
        <v>35</v>
      </c>
      <c r="C154" s="19" t="s">
        <v>36</v>
      </c>
      <c r="D154" s="19" t="s">
        <v>54</v>
      </c>
      <c r="E154" s="19" t="s">
        <v>45</v>
      </c>
      <c r="F154" s="19" t="s">
        <v>34</v>
      </c>
      <c r="G154" s="20">
        <v>3333.0</v>
      </c>
      <c r="H154" s="19" t="s">
        <v>56</v>
      </c>
      <c r="I154" s="19" t="s">
        <v>65</v>
      </c>
      <c r="J154" s="13">
        <f>VLOOKUP(C154&amp;I154&amp;E154,Orig_Dest!$A$2:$E$1876,5,FALSE)</f>
        <v>0</v>
      </c>
      <c r="K154" s="14" t="str">
        <f t="shared" si="1"/>
        <v>Dia 8</v>
      </c>
      <c r="L154" s="21" t="str">
        <f>IF(B154="Fornecedor",IF(VLOOKUP(C154,Base_Dados!$E$1:$F$7,2,FALSE)=F154," ","Fornecedor inválido!")," ")</f>
        <v> </v>
      </c>
      <c r="M154" s="22" t="str">
        <f>IF(AND(LEFT(F154,2)="MP",H154&lt;&gt;Base_Dados!$A$1),"Impossível!!!"," ")</f>
        <v> </v>
      </c>
      <c r="N154" s="21" t="str">
        <f>IF(E154="Avião",IF($G154&lt;=VLOOKUP($F154,Base_Dados!$K$1:$O$7,3,FALSE)," ","Limite "&amp;VLOOKUP($F154,Base_Dados!$K$1:$O$11,3,FALSE)&amp;" "&amp;VLOOKUP($F154,Base_Dados!$K$1:$O$11,2,FALSE))," ")</f>
        <v> </v>
      </c>
      <c r="O154" s="21" t="str">
        <f>IF(E154="Caminhão",IF($G154&lt;=VLOOKUP($F154,Base_Dados!$K$1:$O$7,4,FALSE)," ","Limite "&amp;VLOOKUP($F154,Base_Dados!$K$1:$O$11,4,FALSE)&amp;" "&amp;VLOOKUP($F154,Base_Dados!$K$1:$O$11,2,FALSE))," ")</f>
        <v> </v>
      </c>
      <c r="P154" s="21" t="str">
        <f>IF(E154="Navio",IF($G154&lt;=VLOOKUP($F154,Base_Dados!$K$1:$O$7,5,FALSE)," ","Limite "&amp;VLOOKUP($F154,Base_Dados!$K$1:$O$11,5,FALSE)&amp;" "&amp;VLOOKUP($F154,Base_Dados!$K$1:$O$11,2,FALSE))," ")</f>
        <v> </v>
      </c>
      <c r="Q154" s="21" t="str">
        <f t="shared" si="2"/>
        <v/>
      </c>
      <c r="R154" s="1"/>
      <c r="S154" s="1"/>
      <c r="T154" s="1"/>
      <c r="U154" s="1"/>
      <c r="V154" s="1"/>
      <c r="W154" s="1"/>
      <c r="X154" s="1"/>
      <c r="Y154" s="1"/>
      <c r="Z154" s="1"/>
    </row>
    <row r="155" ht="24.0" customHeight="1">
      <c r="A155" s="18" t="s">
        <v>43</v>
      </c>
      <c r="B155" s="18" t="s">
        <v>35</v>
      </c>
      <c r="C155" s="19" t="s">
        <v>36</v>
      </c>
      <c r="D155" s="19" t="s">
        <v>54</v>
      </c>
      <c r="E155" s="19" t="s">
        <v>45</v>
      </c>
      <c r="F155" s="19" t="s">
        <v>34</v>
      </c>
      <c r="G155" s="20">
        <v>3333.0</v>
      </c>
      <c r="H155" s="19" t="s">
        <v>56</v>
      </c>
      <c r="I155" s="19" t="s">
        <v>65</v>
      </c>
      <c r="J155" s="13">
        <f>VLOOKUP(C155&amp;I155&amp;E155,Orig_Dest!$A$2:$E$1876,5,FALSE)</f>
        <v>0</v>
      </c>
      <c r="K155" s="14" t="str">
        <f t="shared" si="1"/>
        <v>Dia 8</v>
      </c>
      <c r="L155" s="21" t="str">
        <f>IF(B155="Fornecedor",IF(VLOOKUP(C155,Base_Dados!$E$1:$F$7,2,FALSE)=F155," ","Fornecedor inválido!")," ")</f>
        <v> </v>
      </c>
      <c r="M155" s="22" t="str">
        <f>IF(AND(LEFT(F155,2)="MP",H155&lt;&gt;Base_Dados!$A$1),"Impossível!!!"," ")</f>
        <v> </v>
      </c>
      <c r="N155" s="21" t="str">
        <f>IF(E155="Avião",IF($G155&lt;=VLOOKUP($F155,Base_Dados!$K$1:$O$7,3,FALSE)," ","Limite "&amp;VLOOKUP($F155,Base_Dados!$K$1:$O$11,3,FALSE)&amp;" "&amp;VLOOKUP($F155,Base_Dados!$K$1:$O$11,2,FALSE))," ")</f>
        <v> </v>
      </c>
      <c r="O155" s="21" t="str">
        <f>IF(E155="Caminhão",IF($G155&lt;=VLOOKUP($F155,Base_Dados!$K$1:$O$7,4,FALSE)," ","Limite "&amp;VLOOKUP($F155,Base_Dados!$K$1:$O$11,4,FALSE)&amp;" "&amp;VLOOKUP($F155,Base_Dados!$K$1:$O$11,2,FALSE))," ")</f>
        <v> </v>
      </c>
      <c r="P155" s="21" t="str">
        <f>IF(E155="Navio",IF($G155&lt;=VLOOKUP($F155,Base_Dados!$K$1:$O$7,5,FALSE)," ","Limite "&amp;VLOOKUP($F155,Base_Dados!$K$1:$O$11,5,FALSE)&amp;" "&amp;VLOOKUP($F155,Base_Dados!$K$1:$O$11,2,FALSE))," ")</f>
        <v> </v>
      </c>
      <c r="Q155" s="21" t="str">
        <f t="shared" si="2"/>
        <v/>
      </c>
      <c r="R155" s="1"/>
      <c r="S155" s="1"/>
      <c r="T155" s="1"/>
      <c r="U155" s="1"/>
      <c r="V155" s="1"/>
      <c r="W155" s="1"/>
      <c r="X155" s="1"/>
      <c r="Y155" s="1"/>
      <c r="Z155" s="1"/>
    </row>
    <row r="156" ht="24.0" customHeight="1">
      <c r="A156" s="18" t="s">
        <v>43</v>
      </c>
      <c r="B156" s="18" t="s">
        <v>35</v>
      </c>
      <c r="C156" s="19" t="s">
        <v>36</v>
      </c>
      <c r="D156" s="19" t="s">
        <v>54</v>
      </c>
      <c r="E156" s="19" t="s">
        <v>45</v>
      </c>
      <c r="F156" s="19" t="s">
        <v>34</v>
      </c>
      <c r="G156" s="20">
        <v>1363.0</v>
      </c>
      <c r="H156" s="19" t="s">
        <v>56</v>
      </c>
      <c r="I156" s="19" t="s">
        <v>65</v>
      </c>
      <c r="J156" s="13">
        <f>VLOOKUP(C156&amp;I156&amp;E156,Orig_Dest!$A$2:$E$1876,5,FALSE)</f>
        <v>0</v>
      </c>
      <c r="K156" s="14" t="str">
        <f t="shared" si="1"/>
        <v>Dia 8</v>
      </c>
      <c r="L156" s="21" t="str">
        <f>IF(B156="Fornecedor",IF(VLOOKUP(C156,Base_Dados!$E$1:$F$7,2,FALSE)=F156," ","Fornecedor inválido!")," ")</f>
        <v> </v>
      </c>
      <c r="M156" s="22" t="str">
        <f>IF(AND(LEFT(F156,2)="MP",H156&lt;&gt;Base_Dados!$A$1),"Impossível!!!"," ")</f>
        <v> </v>
      </c>
      <c r="N156" s="21" t="str">
        <f>IF(E156="Avião",IF($G156&lt;=VLOOKUP($F156,Base_Dados!$K$1:$O$7,3,FALSE)," ","Limite "&amp;VLOOKUP($F156,Base_Dados!$K$1:$O$11,3,FALSE)&amp;" "&amp;VLOOKUP($F156,Base_Dados!$K$1:$O$11,2,FALSE))," ")</f>
        <v> </v>
      </c>
      <c r="O156" s="21" t="str">
        <f>IF(E156="Caminhão",IF($G156&lt;=VLOOKUP($F156,Base_Dados!$K$1:$O$7,4,FALSE)," ","Limite "&amp;VLOOKUP($F156,Base_Dados!$K$1:$O$11,4,FALSE)&amp;" "&amp;VLOOKUP($F156,Base_Dados!$K$1:$O$11,2,FALSE))," ")</f>
        <v> </v>
      </c>
      <c r="P156" s="21" t="str">
        <f>IF(E156="Navio",IF($G156&lt;=VLOOKUP($F156,Base_Dados!$K$1:$O$7,5,FALSE)," ","Limite "&amp;VLOOKUP($F156,Base_Dados!$K$1:$O$11,5,FALSE)&amp;" "&amp;VLOOKUP($F156,Base_Dados!$K$1:$O$11,2,FALSE))," ")</f>
        <v> </v>
      </c>
      <c r="Q156" s="21" t="str">
        <f t="shared" si="2"/>
        <v/>
      </c>
      <c r="R156" s="1"/>
      <c r="S156" s="1"/>
      <c r="T156" s="1"/>
      <c r="U156" s="1"/>
      <c r="V156" s="1"/>
      <c r="W156" s="1"/>
      <c r="X156" s="1"/>
      <c r="Y156" s="1"/>
      <c r="Z156" s="1"/>
    </row>
    <row r="157" ht="24.0" customHeight="1">
      <c r="A157" s="18" t="s">
        <v>43</v>
      </c>
      <c r="B157" s="18" t="s">
        <v>35</v>
      </c>
      <c r="C157" s="19" t="s">
        <v>36</v>
      </c>
      <c r="D157" s="19" t="s">
        <v>53</v>
      </c>
      <c r="E157" s="19" t="s">
        <v>45</v>
      </c>
      <c r="F157" s="19" t="s">
        <v>34</v>
      </c>
      <c r="G157" s="20">
        <v>3333.0</v>
      </c>
      <c r="H157" s="19" t="s">
        <v>56</v>
      </c>
      <c r="I157" s="19" t="s">
        <v>66</v>
      </c>
      <c r="J157" s="13">
        <f>VLOOKUP(C157&amp;I157&amp;E157,Orig_Dest!$A$2:$E$1876,5,FALSE)</f>
        <v>0</v>
      </c>
      <c r="K157" s="14" t="str">
        <f t="shared" si="1"/>
        <v>Dia 7</v>
      </c>
      <c r="L157" s="21" t="str">
        <f>IF(B157="Fornecedor",IF(VLOOKUP(C157,Base_Dados!$E$1:$F$7,2,FALSE)=F157," ","Fornecedor inválido!")," ")</f>
        <v> </v>
      </c>
      <c r="M157" s="22" t="str">
        <f>IF(AND(LEFT(F157,2)="MP",H157&lt;&gt;Base_Dados!$A$1),"Impossível!!!"," ")</f>
        <v> </v>
      </c>
      <c r="N157" s="21" t="str">
        <f>IF(E157="Avião",IF($G157&lt;=VLOOKUP($F157,Base_Dados!$K$1:$O$7,3,FALSE)," ","Limite "&amp;VLOOKUP($F157,Base_Dados!$K$1:$O$11,3,FALSE)&amp;" "&amp;VLOOKUP($F157,Base_Dados!$K$1:$O$11,2,FALSE))," ")</f>
        <v> </v>
      </c>
      <c r="O157" s="21" t="str">
        <f>IF(E157="Caminhão",IF($G157&lt;=VLOOKUP($F157,Base_Dados!$K$1:$O$7,4,FALSE)," ","Limite "&amp;VLOOKUP($F157,Base_Dados!$K$1:$O$11,4,FALSE)&amp;" "&amp;VLOOKUP($F157,Base_Dados!$K$1:$O$11,2,FALSE))," ")</f>
        <v> </v>
      </c>
      <c r="P157" s="21" t="str">
        <f>IF(E157="Navio",IF($G157&lt;=VLOOKUP($F157,Base_Dados!$K$1:$O$7,5,FALSE)," ","Limite "&amp;VLOOKUP($F157,Base_Dados!$K$1:$O$11,5,FALSE)&amp;" "&amp;VLOOKUP($F157,Base_Dados!$K$1:$O$11,2,FALSE))," ")</f>
        <v> </v>
      </c>
      <c r="Q157" s="21" t="str">
        <f t="shared" si="2"/>
        <v/>
      </c>
      <c r="R157" s="1"/>
      <c r="S157" s="1"/>
      <c r="T157" s="1"/>
      <c r="U157" s="1"/>
      <c r="V157" s="1"/>
      <c r="W157" s="1"/>
      <c r="X157" s="1"/>
      <c r="Y157" s="1"/>
      <c r="Z157" s="1"/>
    </row>
    <row r="158" ht="24.0" customHeight="1">
      <c r="A158" s="18" t="s">
        <v>43</v>
      </c>
      <c r="B158" s="18" t="s">
        <v>35</v>
      </c>
      <c r="C158" s="19" t="s">
        <v>36</v>
      </c>
      <c r="D158" s="19" t="s">
        <v>53</v>
      </c>
      <c r="E158" s="19" t="s">
        <v>45</v>
      </c>
      <c r="F158" s="19" t="s">
        <v>34</v>
      </c>
      <c r="G158" s="20">
        <v>3333.0</v>
      </c>
      <c r="H158" s="19" t="s">
        <v>56</v>
      </c>
      <c r="I158" s="19" t="s">
        <v>66</v>
      </c>
      <c r="J158" s="13">
        <f>VLOOKUP(C158&amp;I158&amp;E158,Orig_Dest!$A$2:$E$1876,5,FALSE)</f>
        <v>0</v>
      </c>
      <c r="K158" s="14" t="str">
        <f t="shared" si="1"/>
        <v>Dia 7</v>
      </c>
      <c r="L158" s="21" t="str">
        <f>IF(B158="Fornecedor",IF(VLOOKUP(C158,Base_Dados!$E$1:$F$7,2,FALSE)=F158," ","Fornecedor inválido!")," ")</f>
        <v> </v>
      </c>
      <c r="M158" s="22" t="str">
        <f>IF(AND(LEFT(F158,2)="MP",H158&lt;&gt;Base_Dados!$A$1),"Impossível!!!"," ")</f>
        <v> </v>
      </c>
      <c r="N158" s="21" t="str">
        <f>IF(E158="Avião",IF($G158&lt;=VLOOKUP($F158,Base_Dados!$K$1:$O$7,3,FALSE)," ","Limite "&amp;VLOOKUP($F158,Base_Dados!$K$1:$O$11,3,FALSE)&amp;" "&amp;VLOOKUP($F158,Base_Dados!$K$1:$O$11,2,FALSE))," ")</f>
        <v> </v>
      </c>
      <c r="O158" s="21" t="str">
        <f>IF(E158="Caminhão",IF($G158&lt;=VLOOKUP($F158,Base_Dados!$K$1:$O$7,4,FALSE)," ","Limite "&amp;VLOOKUP($F158,Base_Dados!$K$1:$O$11,4,FALSE)&amp;" "&amp;VLOOKUP($F158,Base_Dados!$K$1:$O$11,2,FALSE))," ")</f>
        <v> </v>
      </c>
      <c r="P158" s="21" t="str">
        <f>IF(E158="Navio",IF($G158&lt;=VLOOKUP($F158,Base_Dados!$K$1:$O$7,5,FALSE)," ","Limite "&amp;VLOOKUP($F158,Base_Dados!$K$1:$O$11,5,FALSE)&amp;" "&amp;VLOOKUP($F158,Base_Dados!$K$1:$O$11,2,FALSE))," ")</f>
        <v> </v>
      </c>
      <c r="Q158" s="21" t="str">
        <f t="shared" si="2"/>
        <v/>
      </c>
      <c r="R158" s="1"/>
      <c r="S158" s="1"/>
      <c r="T158" s="1"/>
      <c r="U158" s="1"/>
      <c r="V158" s="1"/>
      <c r="W158" s="1"/>
      <c r="X158" s="1"/>
      <c r="Y158" s="1"/>
      <c r="Z158" s="1"/>
    </row>
    <row r="159" ht="24.0" customHeight="1">
      <c r="A159" s="18" t="s">
        <v>43</v>
      </c>
      <c r="B159" s="18" t="s">
        <v>35</v>
      </c>
      <c r="C159" s="19" t="s">
        <v>36</v>
      </c>
      <c r="D159" s="19" t="s">
        <v>53</v>
      </c>
      <c r="E159" s="19" t="s">
        <v>45</v>
      </c>
      <c r="F159" s="19" t="s">
        <v>34</v>
      </c>
      <c r="G159" s="20">
        <v>3333.0</v>
      </c>
      <c r="H159" s="19" t="s">
        <v>56</v>
      </c>
      <c r="I159" s="19" t="s">
        <v>66</v>
      </c>
      <c r="J159" s="13">
        <f>VLOOKUP(C159&amp;I159&amp;E159,Orig_Dest!$A$2:$E$1876,5,FALSE)</f>
        <v>0</v>
      </c>
      <c r="K159" s="14" t="str">
        <f t="shared" si="1"/>
        <v>Dia 7</v>
      </c>
      <c r="L159" s="21" t="str">
        <f>IF(B159="Fornecedor",IF(VLOOKUP(C159,Base_Dados!$E$1:$F$7,2,FALSE)=F159," ","Fornecedor inválido!")," ")</f>
        <v> </v>
      </c>
      <c r="M159" s="22" t="str">
        <f>IF(AND(LEFT(F159,2)="MP",H159&lt;&gt;Base_Dados!$A$1),"Impossível!!!"," ")</f>
        <v> </v>
      </c>
      <c r="N159" s="21" t="str">
        <f>IF(E159="Avião",IF($G159&lt;=VLOOKUP($F159,Base_Dados!$K$1:$O$7,3,FALSE)," ","Limite "&amp;VLOOKUP($F159,Base_Dados!$K$1:$O$11,3,FALSE)&amp;" "&amp;VLOOKUP($F159,Base_Dados!$K$1:$O$11,2,FALSE))," ")</f>
        <v> </v>
      </c>
      <c r="O159" s="21" t="str">
        <f>IF(E159="Caminhão",IF($G159&lt;=VLOOKUP($F159,Base_Dados!$K$1:$O$7,4,FALSE)," ","Limite "&amp;VLOOKUP($F159,Base_Dados!$K$1:$O$11,4,FALSE)&amp;" "&amp;VLOOKUP($F159,Base_Dados!$K$1:$O$11,2,FALSE))," ")</f>
        <v> </v>
      </c>
      <c r="P159" s="21" t="str">
        <f>IF(E159="Navio",IF($G159&lt;=VLOOKUP($F159,Base_Dados!$K$1:$O$7,5,FALSE)," ","Limite "&amp;VLOOKUP($F159,Base_Dados!$K$1:$O$11,5,FALSE)&amp;" "&amp;VLOOKUP($F159,Base_Dados!$K$1:$O$11,2,FALSE))," ")</f>
        <v> </v>
      </c>
      <c r="Q159" s="21" t="str">
        <f t="shared" si="2"/>
        <v/>
      </c>
      <c r="R159" s="1"/>
      <c r="S159" s="1"/>
      <c r="T159" s="1"/>
      <c r="U159" s="1"/>
      <c r="V159" s="1"/>
      <c r="W159" s="1"/>
      <c r="X159" s="1"/>
      <c r="Y159" s="1"/>
      <c r="Z159" s="1"/>
    </row>
    <row r="160" ht="24.0" customHeight="1">
      <c r="A160" s="18" t="s">
        <v>43</v>
      </c>
      <c r="B160" s="18" t="s">
        <v>35</v>
      </c>
      <c r="C160" s="19" t="s">
        <v>36</v>
      </c>
      <c r="D160" s="19" t="s">
        <v>53</v>
      </c>
      <c r="E160" s="19" t="s">
        <v>45</v>
      </c>
      <c r="F160" s="19" t="s">
        <v>34</v>
      </c>
      <c r="G160" s="20">
        <v>3333.0</v>
      </c>
      <c r="H160" s="19" t="s">
        <v>56</v>
      </c>
      <c r="I160" s="19" t="s">
        <v>66</v>
      </c>
      <c r="J160" s="13">
        <f>VLOOKUP(C160&amp;I160&amp;E160,Orig_Dest!$A$2:$E$1876,5,FALSE)</f>
        <v>0</v>
      </c>
      <c r="K160" s="14" t="str">
        <f t="shared" si="1"/>
        <v>Dia 7</v>
      </c>
      <c r="L160" s="21" t="str">
        <f>IF(B160="Fornecedor",IF(VLOOKUP(C160,Base_Dados!$E$1:$F$7,2,FALSE)=F160," ","Fornecedor inválido!")," ")</f>
        <v> </v>
      </c>
      <c r="M160" s="22" t="str">
        <f>IF(AND(LEFT(F160,2)="MP",H160&lt;&gt;Base_Dados!$A$1),"Impossível!!!"," ")</f>
        <v> </v>
      </c>
      <c r="N160" s="21" t="str">
        <f>IF(E160="Avião",IF($G160&lt;=VLOOKUP($F160,Base_Dados!$K$1:$O$7,3,FALSE)," ","Limite "&amp;VLOOKUP($F160,Base_Dados!$K$1:$O$11,3,FALSE)&amp;" "&amp;VLOOKUP($F160,Base_Dados!$K$1:$O$11,2,FALSE))," ")</f>
        <v> </v>
      </c>
      <c r="O160" s="21" t="str">
        <f>IF(E160="Caminhão",IF($G160&lt;=VLOOKUP($F160,Base_Dados!$K$1:$O$7,4,FALSE)," ","Limite "&amp;VLOOKUP($F160,Base_Dados!$K$1:$O$11,4,FALSE)&amp;" "&amp;VLOOKUP($F160,Base_Dados!$K$1:$O$11,2,FALSE))," ")</f>
        <v> </v>
      </c>
      <c r="P160" s="21" t="str">
        <f>IF(E160="Navio",IF($G160&lt;=VLOOKUP($F160,Base_Dados!$K$1:$O$7,5,FALSE)," ","Limite "&amp;VLOOKUP($F160,Base_Dados!$K$1:$O$11,5,FALSE)&amp;" "&amp;VLOOKUP($F160,Base_Dados!$K$1:$O$11,2,FALSE))," ")</f>
        <v> </v>
      </c>
      <c r="Q160" s="21" t="str">
        <f t="shared" si="2"/>
        <v/>
      </c>
      <c r="R160" s="1"/>
      <c r="S160" s="1"/>
      <c r="T160" s="1"/>
      <c r="U160" s="1"/>
      <c r="V160" s="1"/>
      <c r="W160" s="1"/>
      <c r="X160" s="1"/>
      <c r="Y160" s="1"/>
      <c r="Z160" s="1"/>
    </row>
    <row r="161" ht="24.0" customHeight="1">
      <c r="A161" s="18" t="s">
        <v>43</v>
      </c>
      <c r="B161" s="18" t="s">
        <v>35</v>
      </c>
      <c r="C161" s="19" t="s">
        <v>36</v>
      </c>
      <c r="D161" s="19" t="s">
        <v>53</v>
      </c>
      <c r="E161" s="19" t="s">
        <v>45</v>
      </c>
      <c r="F161" s="19" t="s">
        <v>34</v>
      </c>
      <c r="G161" s="20">
        <v>3333.0</v>
      </c>
      <c r="H161" s="19" t="s">
        <v>56</v>
      </c>
      <c r="I161" s="19" t="s">
        <v>66</v>
      </c>
      <c r="J161" s="13">
        <f>VLOOKUP(C161&amp;I161&amp;E161,Orig_Dest!$A$2:$E$1876,5,FALSE)</f>
        <v>0</v>
      </c>
      <c r="K161" s="14" t="str">
        <f t="shared" si="1"/>
        <v>Dia 7</v>
      </c>
      <c r="L161" s="21" t="str">
        <f>IF(B161="Fornecedor",IF(VLOOKUP(C161,Base_Dados!$E$1:$F$7,2,FALSE)=F161," ","Fornecedor inválido!")," ")</f>
        <v> </v>
      </c>
      <c r="M161" s="22" t="str">
        <f>IF(AND(LEFT(F161,2)="MP",H161&lt;&gt;Base_Dados!$A$1),"Impossível!!!"," ")</f>
        <v> </v>
      </c>
      <c r="N161" s="21" t="str">
        <f>IF(E161="Avião",IF($G161&lt;=VLOOKUP($F161,Base_Dados!$K$1:$O$7,3,FALSE)," ","Limite "&amp;VLOOKUP($F161,Base_Dados!$K$1:$O$11,3,FALSE)&amp;" "&amp;VLOOKUP($F161,Base_Dados!$K$1:$O$11,2,FALSE))," ")</f>
        <v> </v>
      </c>
      <c r="O161" s="21" t="str">
        <f>IF(E161="Caminhão",IF($G161&lt;=VLOOKUP($F161,Base_Dados!$K$1:$O$7,4,FALSE)," ","Limite "&amp;VLOOKUP($F161,Base_Dados!$K$1:$O$11,4,FALSE)&amp;" "&amp;VLOOKUP($F161,Base_Dados!$K$1:$O$11,2,FALSE))," ")</f>
        <v> </v>
      </c>
      <c r="P161" s="21" t="str">
        <f>IF(E161="Navio",IF($G161&lt;=VLOOKUP($F161,Base_Dados!$K$1:$O$7,5,FALSE)," ","Limite "&amp;VLOOKUP($F161,Base_Dados!$K$1:$O$11,5,FALSE)&amp;" "&amp;VLOOKUP($F161,Base_Dados!$K$1:$O$11,2,FALSE))," ")</f>
        <v> </v>
      </c>
      <c r="Q161" s="21" t="str">
        <f t="shared" si="2"/>
        <v/>
      </c>
      <c r="R161" s="1"/>
      <c r="S161" s="1"/>
      <c r="T161" s="1"/>
      <c r="U161" s="1"/>
      <c r="V161" s="1"/>
      <c r="W161" s="1"/>
      <c r="X161" s="1"/>
      <c r="Y161" s="1"/>
      <c r="Z161" s="1"/>
    </row>
    <row r="162" ht="24.0" customHeight="1">
      <c r="A162" s="18" t="s">
        <v>43</v>
      </c>
      <c r="B162" s="18" t="s">
        <v>35</v>
      </c>
      <c r="C162" s="19" t="s">
        <v>36</v>
      </c>
      <c r="D162" s="19" t="s">
        <v>53</v>
      </c>
      <c r="E162" s="19" t="s">
        <v>45</v>
      </c>
      <c r="F162" s="19" t="s">
        <v>34</v>
      </c>
      <c r="G162" s="20">
        <v>3333.0</v>
      </c>
      <c r="H162" s="19" t="s">
        <v>56</v>
      </c>
      <c r="I162" s="19" t="s">
        <v>66</v>
      </c>
      <c r="J162" s="13">
        <f>VLOOKUP(C162&amp;I162&amp;E162,Orig_Dest!$A$2:$E$1876,5,FALSE)</f>
        <v>0</v>
      </c>
      <c r="K162" s="14" t="str">
        <f t="shared" si="1"/>
        <v>Dia 7</v>
      </c>
      <c r="L162" s="21" t="str">
        <f>IF(B162="Fornecedor",IF(VLOOKUP(C162,Base_Dados!$E$1:$F$7,2,FALSE)=F162," ","Fornecedor inválido!")," ")</f>
        <v> </v>
      </c>
      <c r="M162" s="22" t="str">
        <f>IF(AND(LEFT(F162,2)="MP",H162&lt;&gt;Base_Dados!$A$1),"Impossível!!!"," ")</f>
        <v> </v>
      </c>
      <c r="N162" s="21" t="str">
        <f>IF(E162="Avião",IF($G162&lt;=VLOOKUP($F162,Base_Dados!$K$1:$O$7,3,FALSE)," ","Limite "&amp;VLOOKUP($F162,Base_Dados!$K$1:$O$11,3,FALSE)&amp;" "&amp;VLOOKUP($F162,Base_Dados!$K$1:$O$11,2,FALSE))," ")</f>
        <v> </v>
      </c>
      <c r="O162" s="21" t="str">
        <f>IF(E162="Caminhão",IF($G162&lt;=VLOOKUP($F162,Base_Dados!$K$1:$O$7,4,FALSE)," ","Limite "&amp;VLOOKUP($F162,Base_Dados!$K$1:$O$11,4,FALSE)&amp;" "&amp;VLOOKUP($F162,Base_Dados!$K$1:$O$11,2,FALSE))," ")</f>
        <v> </v>
      </c>
      <c r="P162" s="21" t="str">
        <f>IF(E162="Navio",IF($G162&lt;=VLOOKUP($F162,Base_Dados!$K$1:$O$7,5,FALSE)," ","Limite "&amp;VLOOKUP($F162,Base_Dados!$K$1:$O$11,5,FALSE)&amp;" "&amp;VLOOKUP($F162,Base_Dados!$K$1:$O$11,2,FALSE))," ")</f>
        <v> </v>
      </c>
      <c r="Q162" s="21" t="str">
        <f t="shared" si="2"/>
        <v/>
      </c>
      <c r="R162" s="1"/>
      <c r="S162" s="1"/>
      <c r="T162" s="1"/>
      <c r="U162" s="1"/>
      <c r="V162" s="1"/>
      <c r="W162" s="1"/>
      <c r="X162" s="1"/>
      <c r="Y162" s="1"/>
      <c r="Z162" s="1"/>
    </row>
    <row r="163" ht="24.0" customHeight="1">
      <c r="A163" s="18" t="s">
        <v>43</v>
      </c>
      <c r="B163" s="18" t="s">
        <v>35</v>
      </c>
      <c r="C163" s="19" t="s">
        <v>36</v>
      </c>
      <c r="D163" s="19" t="s">
        <v>53</v>
      </c>
      <c r="E163" s="19" t="s">
        <v>45</v>
      </c>
      <c r="F163" s="19" t="s">
        <v>34</v>
      </c>
      <c r="G163" s="20">
        <v>3333.0</v>
      </c>
      <c r="H163" s="19" t="s">
        <v>56</v>
      </c>
      <c r="I163" s="19" t="s">
        <v>66</v>
      </c>
      <c r="J163" s="13">
        <f>VLOOKUP(C163&amp;I163&amp;E163,Orig_Dest!$A$2:$E$1876,5,FALSE)</f>
        <v>0</v>
      </c>
      <c r="K163" s="14" t="str">
        <f t="shared" si="1"/>
        <v>Dia 7</v>
      </c>
      <c r="L163" s="21" t="str">
        <f>IF(B163="Fornecedor",IF(VLOOKUP(C163,Base_Dados!$E$1:$F$7,2,FALSE)=F163," ","Fornecedor inválido!")," ")</f>
        <v> </v>
      </c>
      <c r="M163" s="22" t="str">
        <f>IF(AND(LEFT(F163,2)="MP",H163&lt;&gt;Base_Dados!$A$1),"Impossível!!!"," ")</f>
        <v> </v>
      </c>
      <c r="N163" s="21" t="str">
        <f>IF(E163="Avião",IF($G163&lt;=VLOOKUP($F163,Base_Dados!$K$1:$O$7,3,FALSE)," ","Limite "&amp;VLOOKUP($F163,Base_Dados!$K$1:$O$11,3,FALSE)&amp;" "&amp;VLOOKUP($F163,Base_Dados!$K$1:$O$11,2,FALSE))," ")</f>
        <v> </v>
      </c>
      <c r="O163" s="21" t="str">
        <f>IF(E163="Caminhão",IF($G163&lt;=VLOOKUP($F163,Base_Dados!$K$1:$O$7,4,FALSE)," ","Limite "&amp;VLOOKUP($F163,Base_Dados!$K$1:$O$11,4,FALSE)&amp;" "&amp;VLOOKUP($F163,Base_Dados!$K$1:$O$11,2,FALSE))," ")</f>
        <v> </v>
      </c>
      <c r="P163" s="21" t="str">
        <f>IF(E163="Navio",IF($G163&lt;=VLOOKUP($F163,Base_Dados!$K$1:$O$7,5,FALSE)," ","Limite "&amp;VLOOKUP($F163,Base_Dados!$K$1:$O$11,5,FALSE)&amp;" "&amp;VLOOKUP($F163,Base_Dados!$K$1:$O$11,2,FALSE))," ")</f>
        <v> </v>
      </c>
      <c r="Q163" s="21" t="str">
        <f t="shared" si="2"/>
        <v/>
      </c>
      <c r="R163" s="1"/>
      <c r="S163" s="1"/>
      <c r="T163" s="1"/>
      <c r="U163" s="1"/>
      <c r="V163" s="1"/>
      <c r="W163" s="1"/>
      <c r="X163" s="1"/>
      <c r="Y163" s="1"/>
      <c r="Z163" s="1"/>
    </row>
    <row r="164" ht="24.0" customHeight="1">
      <c r="A164" s="18" t="s">
        <v>43</v>
      </c>
      <c r="B164" s="18" t="s">
        <v>35</v>
      </c>
      <c r="C164" s="19" t="s">
        <v>36</v>
      </c>
      <c r="D164" s="19" t="s">
        <v>53</v>
      </c>
      <c r="E164" s="19" t="s">
        <v>45</v>
      </c>
      <c r="F164" s="19" t="s">
        <v>34</v>
      </c>
      <c r="G164" s="20">
        <v>3333.0</v>
      </c>
      <c r="H164" s="19" t="s">
        <v>56</v>
      </c>
      <c r="I164" s="19" t="s">
        <v>66</v>
      </c>
      <c r="J164" s="13">
        <f>VLOOKUP(C164&amp;I164&amp;E164,Orig_Dest!$A$2:$E$1876,5,FALSE)</f>
        <v>0</v>
      </c>
      <c r="K164" s="14" t="str">
        <f t="shared" si="1"/>
        <v>Dia 7</v>
      </c>
      <c r="L164" s="21" t="str">
        <f>IF(B164="Fornecedor",IF(VLOOKUP(C164,Base_Dados!$E$1:$F$7,2,FALSE)=F164," ","Fornecedor inválido!")," ")</f>
        <v> </v>
      </c>
      <c r="M164" s="22" t="str">
        <f>IF(AND(LEFT(F164,2)="MP",H164&lt;&gt;Base_Dados!$A$1),"Impossível!!!"," ")</f>
        <v> </v>
      </c>
      <c r="N164" s="21" t="str">
        <f>IF(E164="Avião",IF($G164&lt;=VLOOKUP($F164,Base_Dados!$K$1:$O$7,3,FALSE)," ","Limite "&amp;VLOOKUP($F164,Base_Dados!$K$1:$O$11,3,FALSE)&amp;" "&amp;VLOOKUP($F164,Base_Dados!$K$1:$O$11,2,FALSE))," ")</f>
        <v> </v>
      </c>
      <c r="O164" s="21" t="str">
        <f>IF(E164="Caminhão",IF($G164&lt;=VLOOKUP($F164,Base_Dados!$K$1:$O$7,4,FALSE)," ","Limite "&amp;VLOOKUP($F164,Base_Dados!$K$1:$O$11,4,FALSE)&amp;" "&amp;VLOOKUP($F164,Base_Dados!$K$1:$O$11,2,FALSE))," ")</f>
        <v> </v>
      </c>
      <c r="P164" s="21" t="str">
        <f>IF(E164="Navio",IF($G164&lt;=VLOOKUP($F164,Base_Dados!$K$1:$O$7,5,FALSE)," ","Limite "&amp;VLOOKUP($F164,Base_Dados!$K$1:$O$11,5,FALSE)&amp;" "&amp;VLOOKUP($F164,Base_Dados!$K$1:$O$11,2,FALSE))," ")</f>
        <v> </v>
      </c>
      <c r="Q164" s="21" t="str">
        <f t="shared" si="2"/>
        <v/>
      </c>
      <c r="R164" s="1"/>
      <c r="S164" s="1"/>
      <c r="T164" s="1"/>
      <c r="U164" s="1"/>
      <c r="V164" s="1"/>
      <c r="W164" s="1"/>
      <c r="X164" s="1"/>
      <c r="Y164" s="1"/>
      <c r="Z164" s="1"/>
    </row>
    <row r="165" ht="24.0" customHeight="1">
      <c r="A165" s="18" t="s">
        <v>43</v>
      </c>
      <c r="B165" s="18" t="s">
        <v>35</v>
      </c>
      <c r="C165" s="19" t="s">
        <v>36</v>
      </c>
      <c r="D165" s="19" t="s">
        <v>53</v>
      </c>
      <c r="E165" s="19" t="s">
        <v>45</v>
      </c>
      <c r="F165" s="19" t="s">
        <v>34</v>
      </c>
      <c r="G165" s="20">
        <v>3333.0</v>
      </c>
      <c r="H165" s="19" t="s">
        <v>56</v>
      </c>
      <c r="I165" s="19" t="s">
        <v>66</v>
      </c>
      <c r="J165" s="13">
        <f>VLOOKUP(C165&amp;I165&amp;E165,Orig_Dest!$A$2:$E$1876,5,FALSE)</f>
        <v>0</v>
      </c>
      <c r="K165" s="14" t="str">
        <f t="shared" si="1"/>
        <v>Dia 7</v>
      </c>
      <c r="L165" s="21" t="str">
        <f>IF(B165="Fornecedor",IF(VLOOKUP(C165,Base_Dados!$E$1:$F$7,2,FALSE)=F165," ","Fornecedor inválido!")," ")</f>
        <v> </v>
      </c>
      <c r="M165" s="22" t="str">
        <f>IF(AND(LEFT(F165,2)="MP",H165&lt;&gt;Base_Dados!$A$1),"Impossível!!!"," ")</f>
        <v> </v>
      </c>
      <c r="N165" s="21" t="str">
        <f>IF(E165="Avião",IF($G165&lt;=VLOOKUP($F165,Base_Dados!$K$1:$O$7,3,FALSE)," ","Limite "&amp;VLOOKUP($F165,Base_Dados!$K$1:$O$11,3,FALSE)&amp;" "&amp;VLOOKUP($F165,Base_Dados!$K$1:$O$11,2,FALSE))," ")</f>
        <v> </v>
      </c>
      <c r="O165" s="21" t="str">
        <f>IF(E165="Caminhão",IF($G165&lt;=VLOOKUP($F165,Base_Dados!$K$1:$O$7,4,FALSE)," ","Limite "&amp;VLOOKUP($F165,Base_Dados!$K$1:$O$11,4,FALSE)&amp;" "&amp;VLOOKUP($F165,Base_Dados!$K$1:$O$11,2,FALSE))," ")</f>
        <v> </v>
      </c>
      <c r="P165" s="21" t="str">
        <f>IF(E165="Navio",IF($G165&lt;=VLOOKUP($F165,Base_Dados!$K$1:$O$7,5,FALSE)," ","Limite "&amp;VLOOKUP($F165,Base_Dados!$K$1:$O$11,5,FALSE)&amp;" "&amp;VLOOKUP($F165,Base_Dados!$K$1:$O$11,2,FALSE))," ")</f>
        <v> </v>
      </c>
      <c r="Q165" s="21" t="str">
        <f t="shared" si="2"/>
        <v/>
      </c>
      <c r="R165" s="1"/>
      <c r="S165" s="1"/>
      <c r="T165" s="1"/>
      <c r="U165" s="1"/>
      <c r="V165" s="1"/>
      <c r="W165" s="1"/>
      <c r="X165" s="1"/>
      <c r="Y165" s="1"/>
      <c r="Z165" s="1"/>
    </row>
    <row r="166" ht="24.0" customHeight="1">
      <c r="A166" s="18" t="s">
        <v>43</v>
      </c>
      <c r="B166" s="18" t="s">
        <v>35</v>
      </c>
      <c r="C166" s="19" t="s">
        <v>36</v>
      </c>
      <c r="D166" s="19" t="s">
        <v>53</v>
      </c>
      <c r="E166" s="19" t="s">
        <v>45</v>
      </c>
      <c r="F166" s="19" t="s">
        <v>34</v>
      </c>
      <c r="G166" s="20">
        <v>3333.0</v>
      </c>
      <c r="H166" s="19" t="s">
        <v>56</v>
      </c>
      <c r="I166" s="19" t="s">
        <v>66</v>
      </c>
      <c r="J166" s="13">
        <f>VLOOKUP(C166&amp;I166&amp;E166,Orig_Dest!$A$2:$E$1876,5,FALSE)</f>
        <v>0</v>
      </c>
      <c r="K166" s="14" t="str">
        <f t="shared" si="1"/>
        <v>Dia 7</v>
      </c>
      <c r="L166" s="21" t="str">
        <f>IF(B166="Fornecedor",IF(VLOOKUP(C166,Base_Dados!$E$1:$F$7,2,FALSE)=F166," ","Fornecedor inválido!")," ")</f>
        <v> </v>
      </c>
      <c r="M166" s="22" t="str">
        <f>IF(AND(LEFT(F166,2)="MP",H166&lt;&gt;Base_Dados!$A$1),"Impossível!!!"," ")</f>
        <v> </v>
      </c>
      <c r="N166" s="21" t="str">
        <f>IF(E166="Avião",IF($G166&lt;=VLOOKUP($F166,Base_Dados!$K$1:$O$7,3,FALSE)," ","Limite "&amp;VLOOKUP($F166,Base_Dados!$K$1:$O$11,3,FALSE)&amp;" "&amp;VLOOKUP($F166,Base_Dados!$K$1:$O$11,2,FALSE))," ")</f>
        <v> </v>
      </c>
      <c r="O166" s="21" t="str">
        <f>IF(E166="Caminhão",IF($G166&lt;=VLOOKUP($F166,Base_Dados!$K$1:$O$7,4,FALSE)," ","Limite "&amp;VLOOKUP($F166,Base_Dados!$K$1:$O$11,4,FALSE)&amp;" "&amp;VLOOKUP($F166,Base_Dados!$K$1:$O$11,2,FALSE))," ")</f>
        <v> </v>
      </c>
      <c r="P166" s="21" t="str">
        <f>IF(E166="Navio",IF($G166&lt;=VLOOKUP($F166,Base_Dados!$K$1:$O$7,5,FALSE)," ","Limite "&amp;VLOOKUP($F166,Base_Dados!$K$1:$O$11,5,FALSE)&amp;" "&amp;VLOOKUP($F166,Base_Dados!$K$1:$O$11,2,FALSE))," ")</f>
        <v> </v>
      </c>
      <c r="Q166" s="21" t="str">
        <f t="shared" si="2"/>
        <v/>
      </c>
      <c r="R166" s="1"/>
      <c r="S166" s="1"/>
      <c r="T166" s="1"/>
      <c r="U166" s="1"/>
      <c r="V166" s="1"/>
      <c r="W166" s="1"/>
      <c r="X166" s="1"/>
      <c r="Y166" s="1"/>
      <c r="Z166" s="1"/>
    </row>
    <row r="167" ht="24.0" customHeight="1">
      <c r="A167" s="18" t="s">
        <v>43</v>
      </c>
      <c r="B167" s="18" t="s">
        <v>35</v>
      </c>
      <c r="C167" s="19" t="s">
        <v>36</v>
      </c>
      <c r="D167" s="19" t="s">
        <v>53</v>
      </c>
      <c r="E167" s="19" t="s">
        <v>45</v>
      </c>
      <c r="F167" s="19" t="s">
        <v>34</v>
      </c>
      <c r="G167" s="20">
        <v>3333.0</v>
      </c>
      <c r="H167" s="19" t="s">
        <v>56</v>
      </c>
      <c r="I167" s="19" t="s">
        <v>66</v>
      </c>
      <c r="J167" s="13">
        <f>VLOOKUP(C167&amp;I167&amp;E167,Orig_Dest!$A$2:$E$1876,5,FALSE)</f>
        <v>0</v>
      </c>
      <c r="K167" s="14" t="str">
        <f t="shared" si="1"/>
        <v>Dia 7</v>
      </c>
      <c r="L167" s="21" t="str">
        <f>IF(B167="Fornecedor",IF(VLOOKUP(C167,Base_Dados!$E$1:$F$7,2,FALSE)=F167," ","Fornecedor inválido!")," ")</f>
        <v> </v>
      </c>
      <c r="M167" s="22" t="str">
        <f>IF(AND(LEFT(F167,2)="MP",H167&lt;&gt;Base_Dados!$A$1),"Impossível!!!"," ")</f>
        <v> </v>
      </c>
      <c r="N167" s="21" t="str">
        <f>IF(E167="Avião",IF($G167&lt;=VLOOKUP($F167,Base_Dados!$K$1:$O$7,3,FALSE)," ","Limite "&amp;VLOOKUP($F167,Base_Dados!$K$1:$O$11,3,FALSE)&amp;" "&amp;VLOOKUP($F167,Base_Dados!$K$1:$O$11,2,FALSE))," ")</f>
        <v> </v>
      </c>
      <c r="O167" s="21" t="str">
        <f>IF(E167="Caminhão",IF($G167&lt;=VLOOKUP($F167,Base_Dados!$K$1:$O$7,4,FALSE)," ","Limite "&amp;VLOOKUP($F167,Base_Dados!$K$1:$O$11,4,FALSE)&amp;" "&amp;VLOOKUP($F167,Base_Dados!$K$1:$O$11,2,FALSE))," ")</f>
        <v> </v>
      </c>
      <c r="P167" s="21" t="str">
        <f>IF(E167="Navio",IF($G167&lt;=VLOOKUP($F167,Base_Dados!$K$1:$O$7,5,FALSE)," ","Limite "&amp;VLOOKUP($F167,Base_Dados!$K$1:$O$11,5,FALSE)&amp;" "&amp;VLOOKUP($F167,Base_Dados!$K$1:$O$11,2,FALSE))," ")</f>
        <v> </v>
      </c>
      <c r="Q167" s="21" t="str">
        <f t="shared" si="2"/>
        <v/>
      </c>
      <c r="R167" s="1"/>
      <c r="S167" s="1"/>
      <c r="T167" s="1"/>
      <c r="U167" s="1"/>
      <c r="V167" s="1"/>
      <c r="W167" s="1"/>
      <c r="X167" s="1"/>
      <c r="Y167" s="1"/>
      <c r="Z167" s="1"/>
    </row>
    <row r="168" ht="24.0" customHeight="1">
      <c r="A168" s="18" t="s">
        <v>43</v>
      </c>
      <c r="B168" s="18" t="s">
        <v>35</v>
      </c>
      <c r="C168" s="19" t="s">
        <v>36</v>
      </c>
      <c r="D168" s="19" t="s">
        <v>53</v>
      </c>
      <c r="E168" s="19" t="s">
        <v>45</v>
      </c>
      <c r="F168" s="19" t="s">
        <v>34</v>
      </c>
      <c r="G168" s="20">
        <v>3333.0</v>
      </c>
      <c r="H168" s="19" t="s">
        <v>56</v>
      </c>
      <c r="I168" s="19" t="s">
        <v>66</v>
      </c>
      <c r="J168" s="13">
        <f>VLOOKUP(C168&amp;I168&amp;E168,Orig_Dest!$A$2:$E$1876,5,FALSE)</f>
        <v>0</v>
      </c>
      <c r="K168" s="14" t="str">
        <f t="shared" si="1"/>
        <v>Dia 7</v>
      </c>
      <c r="L168" s="21" t="str">
        <f>IF(B168="Fornecedor",IF(VLOOKUP(C168,Base_Dados!$E$1:$F$7,2,FALSE)=F168," ","Fornecedor inválido!")," ")</f>
        <v> </v>
      </c>
      <c r="M168" s="22" t="str">
        <f>IF(AND(LEFT(F168,2)="MP",H168&lt;&gt;Base_Dados!$A$1),"Impossível!!!"," ")</f>
        <v> </v>
      </c>
      <c r="N168" s="21" t="str">
        <f>IF(E168="Avião",IF($G168&lt;=VLOOKUP($F168,Base_Dados!$K$1:$O$7,3,FALSE)," ","Limite "&amp;VLOOKUP($F168,Base_Dados!$K$1:$O$11,3,FALSE)&amp;" "&amp;VLOOKUP($F168,Base_Dados!$K$1:$O$11,2,FALSE))," ")</f>
        <v> </v>
      </c>
      <c r="O168" s="21" t="str">
        <f>IF(E168="Caminhão",IF($G168&lt;=VLOOKUP($F168,Base_Dados!$K$1:$O$7,4,FALSE)," ","Limite "&amp;VLOOKUP($F168,Base_Dados!$K$1:$O$11,4,FALSE)&amp;" "&amp;VLOOKUP($F168,Base_Dados!$K$1:$O$11,2,FALSE))," ")</f>
        <v> </v>
      </c>
      <c r="P168" s="21" t="str">
        <f>IF(E168="Navio",IF($G168&lt;=VLOOKUP($F168,Base_Dados!$K$1:$O$7,5,FALSE)," ","Limite "&amp;VLOOKUP($F168,Base_Dados!$K$1:$O$11,5,FALSE)&amp;" "&amp;VLOOKUP($F168,Base_Dados!$K$1:$O$11,2,FALSE))," ")</f>
        <v> </v>
      </c>
      <c r="Q168" s="21" t="str">
        <f t="shared" si="2"/>
        <v/>
      </c>
      <c r="R168" s="1"/>
      <c r="S168" s="1"/>
      <c r="T168" s="1"/>
      <c r="U168" s="1"/>
      <c r="V168" s="1"/>
      <c r="W168" s="1"/>
      <c r="X168" s="1"/>
      <c r="Y168" s="1"/>
      <c r="Z168" s="1"/>
    </row>
    <row r="169" ht="24.0" customHeight="1">
      <c r="A169" s="18" t="s">
        <v>43</v>
      </c>
      <c r="B169" s="18" t="s">
        <v>35</v>
      </c>
      <c r="C169" s="19" t="s">
        <v>36</v>
      </c>
      <c r="D169" s="19" t="s">
        <v>53</v>
      </c>
      <c r="E169" s="19" t="s">
        <v>45</v>
      </c>
      <c r="F169" s="19" t="s">
        <v>34</v>
      </c>
      <c r="G169" s="20">
        <v>3333.0</v>
      </c>
      <c r="H169" s="19" t="s">
        <v>56</v>
      </c>
      <c r="I169" s="19" t="s">
        <v>66</v>
      </c>
      <c r="J169" s="13">
        <f>VLOOKUP(C169&amp;I169&amp;E169,Orig_Dest!$A$2:$E$1876,5,FALSE)</f>
        <v>0</v>
      </c>
      <c r="K169" s="14" t="str">
        <f t="shared" si="1"/>
        <v>Dia 7</v>
      </c>
      <c r="L169" s="21" t="str">
        <f>IF(B169="Fornecedor",IF(VLOOKUP(C169,Base_Dados!$E$1:$F$7,2,FALSE)=F169," ","Fornecedor inválido!")," ")</f>
        <v> </v>
      </c>
      <c r="M169" s="22" t="str">
        <f>IF(AND(LEFT(F169,2)="MP",H169&lt;&gt;Base_Dados!$A$1),"Impossível!!!"," ")</f>
        <v> </v>
      </c>
      <c r="N169" s="21" t="str">
        <f>IF(E169="Avião",IF($G169&lt;=VLOOKUP($F169,Base_Dados!$K$1:$O$7,3,FALSE)," ","Limite "&amp;VLOOKUP($F169,Base_Dados!$K$1:$O$11,3,FALSE)&amp;" "&amp;VLOOKUP($F169,Base_Dados!$K$1:$O$11,2,FALSE))," ")</f>
        <v> </v>
      </c>
      <c r="O169" s="21" t="str">
        <f>IF(E169="Caminhão",IF($G169&lt;=VLOOKUP($F169,Base_Dados!$K$1:$O$7,4,FALSE)," ","Limite "&amp;VLOOKUP($F169,Base_Dados!$K$1:$O$11,4,FALSE)&amp;" "&amp;VLOOKUP($F169,Base_Dados!$K$1:$O$11,2,FALSE))," ")</f>
        <v> </v>
      </c>
      <c r="P169" s="21" t="str">
        <f>IF(E169="Navio",IF($G169&lt;=VLOOKUP($F169,Base_Dados!$K$1:$O$7,5,FALSE)," ","Limite "&amp;VLOOKUP($F169,Base_Dados!$K$1:$O$11,5,FALSE)&amp;" "&amp;VLOOKUP($F169,Base_Dados!$K$1:$O$11,2,FALSE))," ")</f>
        <v> </v>
      </c>
      <c r="Q169" s="21" t="str">
        <f t="shared" si="2"/>
        <v/>
      </c>
      <c r="R169" s="1"/>
      <c r="S169" s="1"/>
      <c r="T169" s="1"/>
      <c r="U169" s="1"/>
      <c r="V169" s="1"/>
      <c r="W169" s="1"/>
      <c r="X169" s="1"/>
      <c r="Y169" s="1"/>
      <c r="Z169" s="1"/>
    </row>
    <row r="170" ht="24.0" customHeight="1">
      <c r="A170" s="18" t="s">
        <v>43</v>
      </c>
      <c r="B170" s="18" t="s">
        <v>35</v>
      </c>
      <c r="C170" s="19" t="s">
        <v>36</v>
      </c>
      <c r="D170" s="19" t="s">
        <v>53</v>
      </c>
      <c r="E170" s="19" t="s">
        <v>45</v>
      </c>
      <c r="F170" s="19" t="s">
        <v>34</v>
      </c>
      <c r="G170" s="20">
        <v>1184.0</v>
      </c>
      <c r="H170" s="19" t="s">
        <v>56</v>
      </c>
      <c r="I170" s="19" t="s">
        <v>66</v>
      </c>
      <c r="J170" s="13">
        <f>VLOOKUP(C170&amp;I170&amp;E170,Orig_Dest!$A$2:$E$1876,5,FALSE)</f>
        <v>0</v>
      </c>
      <c r="K170" s="14" t="str">
        <f t="shared" si="1"/>
        <v>Dia 7</v>
      </c>
      <c r="L170" s="21" t="str">
        <f>IF(B170="Fornecedor",IF(VLOOKUP(C170,Base_Dados!$E$1:$F$7,2,FALSE)=F170," ","Fornecedor inválido!")," ")</f>
        <v> </v>
      </c>
      <c r="M170" s="22" t="str">
        <f>IF(AND(LEFT(F170,2)="MP",H170&lt;&gt;Base_Dados!$A$1),"Impossível!!!"," ")</f>
        <v> </v>
      </c>
      <c r="N170" s="21" t="str">
        <f>IF(E170="Avião",IF($G170&lt;=VLOOKUP($F170,Base_Dados!$K$1:$O$7,3,FALSE)," ","Limite "&amp;VLOOKUP($F170,Base_Dados!$K$1:$O$11,3,FALSE)&amp;" "&amp;VLOOKUP($F170,Base_Dados!$K$1:$O$11,2,FALSE))," ")</f>
        <v> </v>
      </c>
      <c r="O170" s="21" t="str">
        <f>IF(E170="Caminhão",IF($G170&lt;=VLOOKUP($F170,Base_Dados!$K$1:$O$7,4,FALSE)," ","Limite "&amp;VLOOKUP($F170,Base_Dados!$K$1:$O$11,4,FALSE)&amp;" "&amp;VLOOKUP($F170,Base_Dados!$K$1:$O$11,2,FALSE))," ")</f>
        <v> </v>
      </c>
      <c r="P170" s="21" t="str">
        <f>IF(E170="Navio",IF($G170&lt;=VLOOKUP($F170,Base_Dados!$K$1:$O$7,5,FALSE)," ","Limite "&amp;VLOOKUP($F170,Base_Dados!$K$1:$O$11,5,FALSE)&amp;" "&amp;VLOOKUP($F170,Base_Dados!$K$1:$O$11,2,FALSE))," ")</f>
        <v> </v>
      </c>
      <c r="Q170" s="21" t="str">
        <f t="shared" si="2"/>
        <v/>
      </c>
      <c r="R170" s="1"/>
      <c r="S170" s="1"/>
      <c r="T170" s="1"/>
      <c r="U170" s="1"/>
      <c r="V170" s="1"/>
      <c r="W170" s="1"/>
      <c r="X170" s="1"/>
      <c r="Y170" s="1"/>
      <c r="Z170" s="1"/>
    </row>
    <row r="171" ht="24.0" customHeight="1">
      <c r="A171" s="18" t="s">
        <v>43</v>
      </c>
      <c r="B171" s="18" t="s">
        <v>35</v>
      </c>
      <c r="C171" s="19" t="s">
        <v>36</v>
      </c>
      <c r="D171" s="19" t="s">
        <v>54</v>
      </c>
      <c r="E171" s="19" t="s">
        <v>45</v>
      </c>
      <c r="F171" s="19" t="s">
        <v>34</v>
      </c>
      <c r="G171" s="20">
        <v>3333.0</v>
      </c>
      <c r="H171" s="19" t="s">
        <v>56</v>
      </c>
      <c r="I171" s="19" t="s">
        <v>67</v>
      </c>
      <c r="J171" s="13">
        <f>VLOOKUP(C171&amp;I171&amp;E171,Orig_Dest!$A$2:$E$1876,5,FALSE)</f>
        <v>0</v>
      </c>
      <c r="K171" s="14" t="str">
        <f t="shared" si="1"/>
        <v>Dia 8</v>
      </c>
      <c r="L171" s="21" t="str">
        <f>IF(B171="Fornecedor",IF(VLOOKUP(C171,Base_Dados!$E$1:$F$7,2,FALSE)=F171," ","Fornecedor inválido!")," ")</f>
        <v> </v>
      </c>
      <c r="M171" s="22" t="str">
        <f>IF(AND(LEFT(F171,2)="MP",H171&lt;&gt;Base_Dados!$A$1),"Impossível!!!"," ")</f>
        <v> </v>
      </c>
      <c r="N171" s="21" t="str">
        <f>IF(E171="Avião",IF($G171&lt;=VLOOKUP($F171,Base_Dados!$K$1:$O$7,3,FALSE)," ","Limite "&amp;VLOOKUP($F171,Base_Dados!$K$1:$O$11,3,FALSE)&amp;" "&amp;VLOOKUP($F171,Base_Dados!$K$1:$O$11,2,FALSE))," ")</f>
        <v> </v>
      </c>
      <c r="O171" s="21" t="str">
        <f>IF(E171="Caminhão",IF($G171&lt;=VLOOKUP($F171,Base_Dados!$K$1:$O$7,4,FALSE)," ","Limite "&amp;VLOOKUP($F171,Base_Dados!$K$1:$O$11,4,FALSE)&amp;" "&amp;VLOOKUP($F171,Base_Dados!$K$1:$O$11,2,FALSE))," ")</f>
        <v> </v>
      </c>
      <c r="P171" s="21" t="str">
        <f>IF(E171="Navio",IF($G171&lt;=VLOOKUP($F171,Base_Dados!$K$1:$O$7,5,FALSE)," ","Limite "&amp;VLOOKUP($F171,Base_Dados!$K$1:$O$11,5,FALSE)&amp;" "&amp;VLOOKUP($F171,Base_Dados!$K$1:$O$11,2,FALSE))," ")</f>
        <v> </v>
      </c>
      <c r="Q171" s="21" t="str">
        <f t="shared" si="2"/>
        <v/>
      </c>
      <c r="R171" s="1"/>
      <c r="S171" s="1"/>
      <c r="T171" s="1"/>
      <c r="U171" s="1"/>
      <c r="V171" s="1"/>
      <c r="W171" s="1"/>
      <c r="X171" s="1"/>
      <c r="Y171" s="1"/>
      <c r="Z171" s="1"/>
    </row>
    <row r="172" ht="24.0" customHeight="1">
      <c r="A172" s="18" t="s">
        <v>43</v>
      </c>
      <c r="B172" s="18" t="s">
        <v>35</v>
      </c>
      <c r="C172" s="19" t="s">
        <v>36</v>
      </c>
      <c r="D172" s="19" t="s">
        <v>54</v>
      </c>
      <c r="E172" s="19" t="s">
        <v>45</v>
      </c>
      <c r="F172" s="19" t="s">
        <v>34</v>
      </c>
      <c r="G172" s="20">
        <v>3333.0</v>
      </c>
      <c r="H172" s="19" t="s">
        <v>56</v>
      </c>
      <c r="I172" s="19" t="s">
        <v>67</v>
      </c>
      <c r="J172" s="13">
        <f>VLOOKUP(C172&amp;I172&amp;E172,Orig_Dest!$A$2:$E$1876,5,FALSE)</f>
        <v>0</v>
      </c>
      <c r="K172" s="14" t="str">
        <f t="shared" si="1"/>
        <v>Dia 8</v>
      </c>
      <c r="L172" s="21" t="str">
        <f>IF(B172="Fornecedor",IF(VLOOKUP(C172,Base_Dados!$E$1:$F$7,2,FALSE)=F172," ","Fornecedor inválido!")," ")</f>
        <v> </v>
      </c>
      <c r="M172" s="22" t="str">
        <f>IF(AND(LEFT(F172,2)="MP",H172&lt;&gt;Base_Dados!$A$1),"Impossível!!!"," ")</f>
        <v> </v>
      </c>
      <c r="N172" s="21" t="str">
        <f>IF(E172="Avião",IF($G172&lt;=VLOOKUP($F172,Base_Dados!$K$1:$O$7,3,FALSE)," ","Limite "&amp;VLOOKUP($F172,Base_Dados!$K$1:$O$11,3,FALSE)&amp;" "&amp;VLOOKUP($F172,Base_Dados!$K$1:$O$11,2,FALSE))," ")</f>
        <v> </v>
      </c>
      <c r="O172" s="21" t="str">
        <f>IF(E172="Caminhão",IF($G172&lt;=VLOOKUP($F172,Base_Dados!$K$1:$O$7,4,FALSE)," ","Limite "&amp;VLOOKUP($F172,Base_Dados!$K$1:$O$11,4,FALSE)&amp;" "&amp;VLOOKUP($F172,Base_Dados!$K$1:$O$11,2,FALSE))," ")</f>
        <v> </v>
      </c>
      <c r="P172" s="21" t="str">
        <f>IF(E172="Navio",IF($G172&lt;=VLOOKUP($F172,Base_Dados!$K$1:$O$7,5,FALSE)," ","Limite "&amp;VLOOKUP($F172,Base_Dados!$K$1:$O$11,5,FALSE)&amp;" "&amp;VLOOKUP($F172,Base_Dados!$K$1:$O$11,2,FALSE))," ")</f>
        <v> </v>
      </c>
      <c r="Q172" s="21" t="str">
        <f t="shared" si="2"/>
        <v/>
      </c>
      <c r="R172" s="1"/>
      <c r="S172" s="1"/>
      <c r="T172" s="1"/>
      <c r="U172" s="1"/>
      <c r="V172" s="1"/>
      <c r="W172" s="1"/>
      <c r="X172" s="1"/>
      <c r="Y172" s="1"/>
      <c r="Z172" s="1"/>
    </row>
    <row r="173" ht="24.0" customHeight="1">
      <c r="A173" s="18" t="s">
        <v>43</v>
      </c>
      <c r="B173" s="18" t="s">
        <v>35</v>
      </c>
      <c r="C173" s="19" t="s">
        <v>36</v>
      </c>
      <c r="D173" s="19" t="s">
        <v>54</v>
      </c>
      <c r="E173" s="19" t="s">
        <v>45</v>
      </c>
      <c r="F173" s="19" t="s">
        <v>34</v>
      </c>
      <c r="G173" s="20">
        <v>3333.0</v>
      </c>
      <c r="H173" s="19" t="s">
        <v>56</v>
      </c>
      <c r="I173" s="19" t="s">
        <v>67</v>
      </c>
      <c r="J173" s="13">
        <f>VLOOKUP(C173&amp;I173&amp;E173,Orig_Dest!$A$2:$E$1876,5,FALSE)</f>
        <v>0</v>
      </c>
      <c r="K173" s="14" t="str">
        <f t="shared" si="1"/>
        <v>Dia 8</v>
      </c>
      <c r="L173" s="21" t="str">
        <f>IF(B173="Fornecedor",IF(VLOOKUP(C173,Base_Dados!$E$1:$F$7,2,FALSE)=F173," ","Fornecedor inválido!")," ")</f>
        <v> </v>
      </c>
      <c r="M173" s="22" t="str">
        <f>IF(AND(LEFT(F173,2)="MP",H173&lt;&gt;Base_Dados!$A$1),"Impossível!!!"," ")</f>
        <v> </v>
      </c>
      <c r="N173" s="21" t="str">
        <f>IF(E173="Avião",IF($G173&lt;=VLOOKUP($F173,Base_Dados!$K$1:$O$7,3,FALSE)," ","Limite "&amp;VLOOKUP($F173,Base_Dados!$K$1:$O$11,3,FALSE)&amp;" "&amp;VLOOKUP($F173,Base_Dados!$K$1:$O$11,2,FALSE))," ")</f>
        <v> </v>
      </c>
      <c r="O173" s="21" t="str">
        <f>IF(E173="Caminhão",IF($G173&lt;=VLOOKUP($F173,Base_Dados!$K$1:$O$7,4,FALSE)," ","Limite "&amp;VLOOKUP($F173,Base_Dados!$K$1:$O$11,4,FALSE)&amp;" "&amp;VLOOKUP($F173,Base_Dados!$K$1:$O$11,2,FALSE))," ")</f>
        <v> </v>
      </c>
      <c r="P173" s="21" t="str">
        <f>IF(E173="Navio",IF($G173&lt;=VLOOKUP($F173,Base_Dados!$K$1:$O$7,5,FALSE)," ","Limite "&amp;VLOOKUP($F173,Base_Dados!$K$1:$O$11,5,FALSE)&amp;" "&amp;VLOOKUP($F173,Base_Dados!$K$1:$O$11,2,FALSE))," ")</f>
        <v> </v>
      </c>
      <c r="Q173" s="21" t="str">
        <f t="shared" si="2"/>
        <v/>
      </c>
      <c r="R173" s="1"/>
      <c r="S173" s="1"/>
      <c r="T173" s="1"/>
      <c r="U173" s="1"/>
      <c r="V173" s="1"/>
      <c r="W173" s="1"/>
      <c r="X173" s="1"/>
      <c r="Y173" s="1"/>
      <c r="Z173" s="1"/>
    </row>
    <row r="174" ht="24.0" customHeight="1">
      <c r="A174" s="18" t="s">
        <v>43</v>
      </c>
      <c r="B174" s="18" t="s">
        <v>35</v>
      </c>
      <c r="C174" s="19" t="s">
        <v>36</v>
      </c>
      <c r="D174" s="19" t="s">
        <v>54</v>
      </c>
      <c r="E174" s="19" t="s">
        <v>45</v>
      </c>
      <c r="F174" s="19" t="s">
        <v>34</v>
      </c>
      <c r="G174" s="20">
        <v>3333.0</v>
      </c>
      <c r="H174" s="19" t="s">
        <v>56</v>
      </c>
      <c r="I174" s="19" t="s">
        <v>67</v>
      </c>
      <c r="J174" s="13">
        <f>VLOOKUP(C174&amp;I174&amp;E174,Orig_Dest!$A$2:$E$1876,5,FALSE)</f>
        <v>0</v>
      </c>
      <c r="K174" s="14" t="str">
        <f t="shared" si="1"/>
        <v>Dia 8</v>
      </c>
      <c r="L174" s="21" t="str">
        <f>IF(B174="Fornecedor",IF(VLOOKUP(C174,Base_Dados!$E$1:$F$7,2,FALSE)=F174," ","Fornecedor inválido!")," ")</f>
        <v> </v>
      </c>
      <c r="M174" s="22" t="str">
        <f>IF(AND(LEFT(F174,2)="MP",H174&lt;&gt;Base_Dados!$A$1),"Impossível!!!"," ")</f>
        <v> </v>
      </c>
      <c r="N174" s="21" t="str">
        <f>IF(E174="Avião",IF($G174&lt;=VLOOKUP($F174,Base_Dados!$K$1:$O$7,3,FALSE)," ","Limite "&amp;VLOOKUP($F174,Base_Dados!$K$1:$O$11,3,FALSE)&amp;" "&amp;VLOOKUP($F174,Base_Dados!$K$1:$O$11,2,FALSE))," ")</f>
        <v> </v>
      </c>
      <c r="O174" s="21" t="str">
        <f>IF(E174="Caminhão",IF($G174&lt;=VLOOKUP($F174,Base_Dados!$K$1:$O$7,4,FALSE)," ","Limite "&amp;VLOOKUP($F174,Base_Dados!$K$1:$O$11,4,FALSE)&amp;" "&amp;VLOOKUP($F174,Base_Dados!$K$1:$O$11,2,FALSE))," ")</f>
        <v> </v>
      </c>
      <c r="P174" s="21" t="str">
        <f>IF(E174="Navio",IF($G174&lt;=VLOOKUP($F174,Base_Dados!$K$1:$O$7,5,FALSE)," ","Limite "&amp;VLOOKUP($F174,Base_Dados!$K$1:$O$11,5,FALSE)&amp;" "&amp;VLOOKUP($F174,Base_Dados!$K$1:$O$11,2,FALSE))," ")</f>
        <v> </v>
      </c>
      <c r="Q174" s="21" t="str">
        <f t="shared" si="2"/>
        <v/>
      </c>
      <c r="R174" s="1"/>
      <c r="S174" s="1"/>
      <c r="T174" s="1"/>
      <c r="U174" s="1"/>
      <c r="V174" s="1"/>
      <c r="W174" s="1"/>
      <c r="X174" s="1"/>
      <c r="Y174" s="1"/>
      <c r="Z174" s="1"/>
    </row>
    <row r="175" ht="24.0" customHeight="1">
      <c r="A175" s="18" t="s">
        <v>43</v>
      </c>
      <c r="B175" s="18" t="s">
        <v>35</v>
      </c>
      <c r="C175" s="19" t="s">
        <v>36</v>
      </c>
      <c r="D175" s="19" t="s">
        <v>54</v>
      </c>
      <c r="E175" s="19" t="s">
        <v>45</v>
      </c>
      <c r="F175" s="19" t="s">
        <v>34</v>
      </c>
      <c r="G175" s="20">
        <v>3333.0</v>
      </c>
      <c r="H175" s="19" t="s">
        <v>56</v>
      </c>
      <c r="I175" s="19" t="s">
        <v>67</v>
      </c>
      <c r="J175" s="13">
        <f>VLOOKUP(C175&amp;I175&amp;E175,Orig_Dest!$A$2:$E$1876,5,FALSE)</f>
        <v>0</v>
      </c>
      <c r="K175" s="14" t="str">
        <f t="shared" si="1"/>
        <v>Dia 8</v>
      </c>
      <c r="L175" s="21" t="str">
        <f>IF(B175="Fornecedor",IF(VLOOKUP(C175,Base_Dados!$E$1:$F$7,2,FALSE)=F175," ","Fornecedor inválido!")," ")</f>
        <v> </v>
      </c>
      <c r="M175" s="22" t="str">
        <f>IF(AND(LEFT(F175,2)="MP",H175&lt;&gt;Base_Dados!$A$1),"Impossível!!!"," ")</f>
        <v> </v>
      </c>
      <c r="N175" s="21" t="str">
        <f>IF(E175="Avião",IF($G175&lt;=VLOOKUP($F175,Base_Dados!$K$1:$O$7,3,FALSE)," ","Limite "&amp;VLOOKUP($F175,Base_Dados!$K$1:$O$11,3,FALSE)&amp;" "&amp;VLOOKUP($F175,Base_Dados!$K$1:$O$11,2,FALSE))," ")</f>
        <v> </v>
      </c>
      <c r="O175" s="21" t="str">
        <f>IF(E175="Caminhão",IF($G175&lt;=VLOOKUP($F175,Base_Dados!$K$1:$O$7,4,FALSE)," ","Limite "&amp;VLOOKUP($F175,Base_Dados!$K$1:$O$11,4,FALSE)&amp;" "&amp;VLOOKUP($F175,Base_Dados!$K$1:$O$11,2,FALSE))," ")</f>
        <v> </v>
      </c>
      <c r="P175" s="21" t="str">
        <f>IF(E175="Navio",IF($G175&lt;=VLOOKUP($F175,Base_Dados!$K$1:$O$7,5,FALSE)," ","Limite "&amp;VLOOKUP($F175,Base_Dados!$K$1:$O$11,5,FALSE)&amp;" "&amp;VLOOKUP($F175,Base_Dados!$K$1:$O$11,2,FALSE))," ")</f>
        <v> </v>
      </c>
      <c r="Q175" s="21" t="str">
        <f t="shared" si="2"/>
        <v/>
      </c>
      <c r="R175" s="1"/>
      <c r="S175" s="1"/>
      <c r="T175" s="1"/>
      <c r="U175" s="1"/>
      <c r="V175" s="1"/>
      <c r="W175" s="1"/>
      <c r="X175" s="1"/>
      <c r="Y175" s="1"/>
      <c r="Z175" s="1"/>
    </row>
    <row r="176" ht="24.0" customHeight="1">
      <c r="A176" s="18" t="s">
        <v>43</v>
      </c>
      <c r="B176" s="18" t="s">
        <v>35</v>
      </c>
      <c r="C176" s="19" t="s">
        <v>36</v>
      </c>
      <c r="D176" s="19" t="s">
        <v>54</v>
      </c>
      <c r="E176" s="19" t="s">
        <v>45</v>
      </c>
      <c r="F176" s="19" t="s">
        <v>34</v>
      </c>
      <c r="G176" s="20">
        <v>3333.0</v>
      </c>
      <c r="H176" s="19" t="s">
        <v>56</v>
      </c>
      <c r="I176" s="19" t="s">
        <v>67</v>
      </c>
      <c r="J176" s="13">
        <f>VLOOKUP(C176&amp;I176&amp;E176,Orig_Dest!$A$2:$E$1876,5,FALSE)</f>
        <v>0</v>
      </c>
      <c r="K176" s="14" t="str">
        <f t="shared" si="1"/>
        <v>Dia 8</v>
      </c>
      <c r="L176" s="21" t="str">
        <f>IF(B176="Fornecedor",IF(VLOOKUP(C176,Base_Dados!$E$1:$F$7,2,FALSE)=F176," ","Fornecedor inválido!")," ")</f>
        <v> </v>
      </c>
      <c r="M176" s="22" t="str">
        <f>IF(AND(LEFT(F176,2)="MP",H176&lt;&gt;Base_Dados!$A$1),"Impossível!!!"," ")</f>
        <v> </v>
      </c>
      <c r="N176" s="21" t="str">
        <f>IF(E176="Avião",IF($G176&lt;=VLOOKUP($F176,Base_Dados!$K$1:$O$7,3,FALSE)," ","Limite "&amp;VLOOKUP($F176,Base_Dados!$K$1:$O$11,3,FALSE)&amp;" "&amp;VLOOKUP($F176,Base_Dados!$K$1:$O$11,2,FALSE))," ")</f>
        <v> </v>
      </c>
      <c r="O176" s="21" t="str">
        <f>IF(E176="Caminhão",IF($G176&lt;=VLOOKUP($F176,Base_Dados!$K$1:$O$7,4,FALSE)," ","Limite "&amp;VLOOKUP($F176,Base_Dados!$K$1:$O$11,4,FALSE)&amp;" "&amp;VLOOKUP($F176,Base_Dados!$K$1:$O$11,2,FALSE))," ")</f>
        <v> </v>
      </c>
      <c r="P176" s="21" t="str">
        <f>IF(E176="Navio",IF($G176&lt;=VLOOKUP($F176,Base_Dados!$K$1:$O$7,5,FALSE)," ","Limite "&amp;VLOOKUP($F176,Base_Dados!$K$1:$O$11,5,FALSE)&amp;" "&amp;VLOOKUP($F176,Base_Dados!$K$1:$O$11,2,FALSE))," ")</f>
        <v> </v>
      </c>
      <c r="Q176" s="21" t="str">
        <f t="shared" si="2"/>
        <v/>
      </c>
      <c r="R176" s="1"/>
      <c r="S176" s="1"/>
      <c r="T176" s="1"/>
      <c r="U176" s="1"/>
      <c r="V176" s="1"/>
      <c r="W176" s="1"/>
      <c r="X176" s="1"/>
      <c r="Y176" s="1"/>
      <c r="Z176" s="1"/>
    </row>
    <row r="177" ht="24.0" customHeight="1">
      <c r="A177" s="18" t="s">
        <v>43</v>
      </c>
      <c r="B177" s="18" t="s">
        <v>35</v>
      </c>
      <c r="C177" s="19" t="s">
        <v>36</v>
      </c>
      <c r="D177" s="19" t="s">
        <v>54</v>
      </c>
      <c r="E177" s="19" t="s">
        <v>45</v>
      </c>
      <c r="F177" s="19" t="s">
        <v>34</v>
      </c>
      <c r="G177" s="20">
        <v>3333.0</v>
      </c>
      <c r="H177" s="19" t="s">
        <v>56</v>
      </c>
      <c r="I177" s="19" t="s">
        <v>67</v>
      </c>
      <c r="J177" s="13">
        <f>VLOOKUP(C177&amp;I177&amp;E177,Orig_Dest!$A$2:$E$1876,5,FALSE)</f>
        <v>0</v>
      </c>
      <c r="K177" s="14" t="str">
        <f t="shared" si="1"/>
        <v>Dia 8</v>
      </c>
      <c r="L177" s="21" t="str">
        <f>IF(B177="Fornecedor",IF(VLOOKUP(C177,Base_Dados!$E$1:$F$7,2,FALSE)=F177," ","Fornecedor inválido!")," ")</f>
        <v> </v>
      </c>
      <c r="M177" s="22" t="str">
        <f>IF(AND(LEFT(F177,2)="MP",H177&lt;&gt;Base_Dados!$A$1),"Impossível!!!"," ")</f>
        <v> </v>
      </c>
      <c r="N177" s="21" t="str">
        <f>IF(E177="Avião",IF($G177&lt;=VLOOKUP($F177,Base_Dados!$K$1:$O$7,3,FALSE)," ","Limite "&amp;VLOOKUP($F177,Base_Dados!$K$1:$O$11,3,FALSE)&amp;" "&amp;VLOOKUP($F177,Base_Dados!$K$1:$O$11,2,FALSE))," ")</f>
        <v> </v>
      </c>
      <c r="O177" s="21" t="str">
        <f>IF(E177="Caminhão",IF($G177&lt;=VLOOKUP($F177,Base_Dados!$K$1:$O$7,4,FALSE)," ","Limite "&amp;VLOOKUP($F177,Base_Dados!$K$1:$O$11,4,FALSE)&amp;" "&amp;VLOOKUP($F177,Base_Dados!$K$1:$O$11,2,FALSE))," ")</f>
        <v> </v>
      </c>
      <c r="P177" s="21" t="str">
        <f>IF(E177="Navio",IF($G177&lt;=VLOOKUP($F177,Base_Dados!$K$1:$O$7,5,FALSE)," ","Limite "&amp;VLOOKUP($F177,Base_Dados!$K$1:$O$11,5,FALSE)&amp;" "&amp;VLOOKUP($F177,Base_Dados!$K$1:$O$11,2,FALSE))," ")</f>
        <v> </v>
      </c>
      <c r="Q177" s="21" t="str">
        <f t="shared" si="2"/>
        <v/>
      </c>
      <c r="R177" s="1"/>
      <c r="S177" s="1"/>
      <c r="T177" s="1"/>
      <c r="U177" s="1"/>
      <c r="V177" s="1"/>
      <c r="W177" s="1"/>
      <c r="X177" s="1"/>
      <c r="Y177" s="1"/>
      <c r="Z177" s="1"/>
    </row>
    <row r="178" ht="24.0" customHeight="1">
      <c r="A178" s="18" t="s">
        <v>43</v>
      </c>
      <c r="B178" s="18" t="s">
        <v>35</v>
      </c>
      <c r="C178" s="19" t="s">
        <v>36</v>
      </c>
      <c r="D178" s="19" t="s">
        <v>54</v>
      </c>
      <c r="E178" s="19" t="s">
        <v>45</v>
      </c>
      <c r="F178" s="19" t="s">
        <v>34</v>
      </c>
      <c r="G178" s="20">
        <v>706.0</v>
      </c>
      <c r="H178" s="19" t="s">
        <v>56</v>
      </c>
      <c r="I178" s="19" t="s">
        <v>67</v>
      </c>
      <c r="J178" s="13">
        <f>VLOOKUP(C178&amp;I178&amp;E178,Orig_Dest!$A$2:$E$1876,5,FALSE)</f>
        <v>0</v>
      </c>
      <c r="K178" s="14" t="str">
        <f t="shared" si="1"/>
        <v>Dia 8</v>
      </c>
      <c r="L178" s="21" t="str">
        <f>IF(B178="Fornecedor",IF(VLOOKUP(C178,Base_Dados!$E$1:$F$7,2,FALSE)=F178," ","Fornecedor inválido!")," ")</f>
        <v> </v>
      </c>
      <c r="M178" s="22" t="str">
        <f>IF(AND(LEFT(F178,2)="MP",H178&lt;&gt;Base_Dados!$A$1),"Impossível!!!"," ")</f>
        <v> </v>
      </c>
      <c r="N178" s="21" t="str">
        <f>IF(E178="Avião",IF($G178&lt;=VLOOKUP($F178,Base_Dados!$K$1:$O$7,3,FALSE)," ","Limite "&amp;VLOOKUP($F178,Base_Dados!$K$1:$O$11,3,FALSE)&amp;" "&amp;VLOOKUP($F178,Base_Dados!$K$1:$O$11,2,FALSE))," ")</f>
        <v> </v>
      </c>
      <c r="O178" s="21" t="str">
        <f>IF(E178="Caminhão",IF($G178&lt;=VLOOKUP($F178,Base_Dados!$K$1:$O$7,4,FALSE)," ","Limite "&amp;VLOOKUP($F178,Base_Dados!$K$1:$O$11,4,FALSE)&amp;" "&amp;VLOOKUP($F178,Base_Dados!$K$1:$O$11,2,FALSE))," ")</f>
        <v> </v>
      </c>
      <c r="P178" s="21" t="str">
        <f>IF(E178="Navio",IF($G178&lt;=VLOOKUP($F178,Base_Dados!$K$1:$O$7,5,FALSE)," ","Limite "&amp;VLOOKUP($F178,Base_Dados!$K$1:$O$11,5,FALSE)&amp;" "&amp;VLOOKUP($F178,Base_Dados!$K$1:$O$11,2,FALSE))," ")</f>
        <v> </v>
      </c>
      <c r="Q178" s="21" t="str">
        <f t="shared" si="2"/>
        <v/>
      </c>
      <c r="R178" s="1"/>
      <c r="S178" s="1"/>
      <c r="T178" s="1"/>
      <c r="U178" s="1"/>
      <c r="V178" s="1"/>
      <c r="W178" s="1"/>
      <c r="X178" s="1"/>
      <c r="Y178" s="1"/>
      <c r="Z178" s="1"/>
    </row>
    <row r="179" ht="24.0" customHeight="1">
      <c r="A179" s="18" t="s">
        <v>43</v>
      </c>
      <c r="B179" s="18" t="s">
        <v>35</v>
      </c>
      <c r="C179" s="19" t="s">
        <v>38</v>
      </c>
      <c r="D179" s="19" t="s">
        <v>55</v>
      </c>
      <c r="E179" s="19" t="s">
        <v>45</v>
      </c>
      <c r="F179" s="19" t="s">
        <v>34</v>
      </c>
      <c r="G179" s="20">
        <v>3333.0</v>
      </c>
      <c r="H179" s="19" t="s">
        <v>56</v>
      </c>
      <c r="I179" s="19" t="s">
        <v>36</v>
      </c>
      <c r="J179" s="13">
        <f>VLOOKUP(C179&amp;I179&amp;E179,Orig_Dest!$A$2:$E$1876,5,FALSE)</f>
        <v>0</v>
      </c>
      <c r="K179" s="14" t="str">
        <f t="shared" si="1"/>
        <v>Dia 9</v>
      </c>
      <c r="L179" s="21" t="str">
        <f>IF(B179="Fornecedor",IF(VLOOKUP(C179,Base_Dados!$E$1:$F$7,2,FALSE)=F179," ","Fornecedor inválido!")," ")</f>
        <v> </v>
      </c>
      <c r="M179" s="22" t="str">
        <f>IF(AND(LEFT(F179,2)="MP",H179&lt;&gt;Base_Dados!$A$1),"Impossível!!!"," ")</f>
        <v> </v>
      </c>
      <c r="N179" s="21" t="str">
        <f>IF(E179="Avião",IF($G179&lt;=VLOOKUP($F179,Base_Dados!$K$1:$O$7,3,FALSE)," ","Limite "&amp;VLOOKUP($F179,Base_Dados!$K$1:$O$11,3,FALSE)&amp;" "&amp;VLOOKUP($F179,Base_Dados!$K$1:$O$11,2,FALSE))," ")</f>
        <v> </v>
      </c>
      <c r="O179" s="21" t="str">
        <f>IF(E179="Caminhão",IF($G179&lt;=VLOOKUP($F179,Base_Dados!$K$1:$O$7,4,FALSE)," ","Limite "&amp;VLOOKUP($F179,Base_Dados!$K$1:$O$11,4,FALSE)&amp;" "&amp;VLOOKUP($F179,Base_Dados!$K$1:$O$11,2,FALSE))," ")</f>
        <v> </v>
      </c>
      <c r="P179" s="21" t="str">
        <f>IF(E179="Navio",IF($G179&lt;=VLOOKUP($F179,Base_Dados!$K$1:$O$7,5,FALSE)," ","Limite "&amp;VLOOKUP($F179,Base_Dados!$K$1:$O$11,5,FALSE)&amp;" "&amp;VLOOKUP($F179,Base_Dados!$K$1:$O$11,2,FALSE))," ")</f>
        <v> </v>
      </c>
      <c r="Q179" s="21" t="str">
        <f t="shared" si="2"/>
        <v/>
      </c>
      <c r="R179" s="1"/>
      <c r="S179" s="1"/>
      <c r="T179" s="1"/>
      <c r="U179" s="1"/>
      <c r="V179" s="1"/>
      <c r="W179" s="1"/>
      <c r="X179" s="1"/>
      <c r="Y179" s="1"/>
      <c r="Z179" s="1"/>
    </row>
    <row r="180" ht="24.0" customHeight="1">
      <c r="A180" s="18" t="s">
        <v>43</v>
      </c>
      <c r="B180" s="18" t="s">
        <v>35</v>
      </c>
      <c r="C180" s="19" t="s">
        <v>38</v>
      </c>
      <c r="D180" s="19" t="s">
        <v>55</v>
      </c>
      <c r="E180" s="19" t="s">
        <v>45</v>
      </c>
      <c r="F180" s="19" t="s">
        <v>34</v>
      </c>
      <c r="G180" s="20">
        <v>2676.0</v>
      </c>
      <c r="H180" s="19" t="s">
        <v>56</v>
      </c>
      <c r="I180" s="19" t="s">
        <v>36</v>
      </c>
      <c r="J180" s="13">
        <f>VLOOKUP(C180&amp;I180&amp;E180,Orig_Dest!$A$2:$E$1876,5,FALSE)</f>
        <v>0</v>
      </c>
      <c r="K180" s="14" t="str">
        <f t="shared" si="1"/>
        <v>Dia 9</v>
      </c>
      <c r="L180" s="21" t="str">
        <f>IF(B180="Fornecedor",IF(VLOOKUP(C180,Base_Dados!$E$1:$F$7,2,FALSE)=F180," ","Fornecedor inválido!")," ")</f>
        <v> </v>
      </c>
      <c r="M180" s="22" t="str">
        <f>IF(AND(LEFT(F180,2)="MP",H180&lt;&gt;Base_Dados!$A$1),"Impossível!!!"," ")</f>
        <v> </v>
      </c>
      <c r="N180" s="21" t="str">
        <f>IF(E180="Avião",IF($G180&lt;=VLOOKUP($F180,Base_Dados!$K$1:$O$7,3,FALSE)," ","Limite "&amp;VLOOKUP($F180,Base_Dados!$K$1:$O$11,3,FALSE)&amp;" "&amp;VLOOKUP($F180,Base_Dados!$K$1:$O$11,2,FALSE))," ")</f>
        <v> </v>
      </c>
      <c r="O180" s="21" t="str">
        <f>IF(E180="Caminhão",IF($G180&lt;=VLOOKUP($F180,Base_Dados!$K$1:$O$7,4,FALSE)," ","Limite "&amp;VLOOKUP($F180,Base_Dados!$K$1:$O$11,4,FALSE)&amp;" "&amp;VLOOKUP($F180,Base_Dados!$K$1:$O$11,2,FALSE))," ")</f>
        <v> </v>
      </c>
      <c r="P180" s="21" t="str">
        <f>IF(E180="Navio",IF($G180&lt;=VLOOKUP($F180,Base_Dados!$K$1:$O$7,5,FALSE)," ","Limite "&amp;VLOOKUP($F180,Base_Dados!$K$1:$O$11,5,FALSE)&amp;" "&amp;VLOOKUP($F180,Base_Dados!$K$1:$O$11,2,FALSE))," ")</f>
        <v> </v>
      </c>
      <c r="Q180" s="21" t="str">
        <f t="shared" si="2"/>
        <v/>
      </c>
      <c r="R180" s="1"/>
      <c r="S180" s="1"/>
      <c r="T180" s="1"/>
      <c r="U180" s="1"/>
      <c r="V180" s="1"/>
      <c r="W180" s="1"/>
      <c r="X180" s="1"/>
      <c r="Y180" s="1"/>
      <c r="Z180" s="1"/>
    </row>
    <row r="181" ht="24.0" customHeight="1">
      <c r="A181" s="18" t="s">
        <v>43</v>
      </c>
      <c r="B181" s="18" t="s">
        <v>35</v>
      </c>
      <c r="C181" s="19" t="s">
        <v>36</v>
      </c>
      <c r="D181" s="19" t="s">
        <v>53</v>
      </c>
      <c r="E181" s="19" t="s">
        <v>45</v>
      </c>
      <c r="F181" s="19" t="s">
        <v>34</v>
      </c>
      <c r="G181" s="20">
        <v>3333.0</v>
      </c>
      <c r="H181" s="19" t="s">
        <v>56</v>
      </c>
      <c r="I181" s="19" t="s">
        <v>68</v>
      </c>
      <c r="J181" s="13">
        <f>VLOOKUP(C181&amp;I181&amp;E181,Orig_Dest!$A$2:$E$1876,5,FALSE)</f>
        <v>0</v>
      </c>
      <c r="K181" s="14" t="str">
        <f t="shared" si="1"/>
        <v>Dia 7</v>
      </c>
      <c r="L181" s="21" t="str">
        <f>IF(B181="Fornecedor",IF(VLOOKUP(C181,Base_Dados!$E$1:$F$7,2,FALSE)=F181," ","Fornecedor inválido!")," ")</f>
        <v> </v>
      </c>
      <c r="M181" s="22" t="str">
        <f>IF(AND(LEFT(F181,2)="MP",H181&lt;&gt;Base_Dados!$A$1),"Impossível!!!"," ")</f>
        <v> </v>
      </c>
      <c r="N181" s="21" t="str">
        <f>IF(E181="Avião",IF($G181&lt;=VLOOKUP($F181,Base_Dados!$K$1:$O$7,3,FALSE)," ","Limite "&amp;VLOOKUP($F181,Base_Dados!$K$1:$O$11,3,FALSE)&amp;" "&amp;VLOOKUP($F181,Base_Dados!$K$1:$O$11,2,FALSE))," ")</f>
        <v> </v>
      </c>
      <c r="O181" s="21" t="str">
        <f>IF(E181="Caminhão",IF($G181&lt;=VLOOKUP($F181,Base_Dados!$K$1:$O$7,4,FALSE)," ","Limite "&amp;VLOOKUP($F181,Base_Dados!$K$1:$O$11,4,FALSE)&amp;" "&amp;VLOOKUP($F181,Base_Dados!$K$1:$O$11,2,FALSE))," ")</f>
        <v> </v>
      </c>
      <c r="P181" s="21" t="str">
        <f>IF(E181="Navio",IF($G181&lt;=VLOOKUP($F181,Base_Dados!$K$1:$O$7,5,FALSE)," ","Limite "&amp;VLOOKUP($F181,Base_Dados!$K$1:$O$11,5,FALSE)&amp;" "&amp;VLOOKUP($F181,Base_Dados!$K$1:$O$11,2,FALSE))," ")</f>
        <v> </v>
      </c>
      <c r="Q181" s="21" t="str">
        <f t="shared" si="2"/>
        <v/>
      </c>
      <c r="R181" s="1"/>
      <c r="S181" s="1"/>
      <c r="T181" s="1"/>
      <c r="U181" s="1"/>
      <c r="V181" s="1"/>
      <c r="W181" s="1"/>
      <c r="X181" s="1"/>
      <c r="Y181" s="1"/>
      <c r="Z181" s="1"/>
    </row>
    <row r="182" ht="24.0" customHeight="1">
      <c r="A182" s="18" t="s">
        <v>43</v>
      </c>
      <c r="B182" s="18" t="s">
        <v>35</v>
      </c>
      <c r="C182" s="19" t="s">
        <v>36</v>
      </c>
      <c r="D182" s="19" t="s">
        <v>53</v>
      </c>
      <c r="E182" s="19" t="s">
        <v>45</v>
      </c>
      <c r="F182" s="19" t="s">
        <v>34</v>
      </c>
      <c r="G182" s="20">
        <v>3333.0</v>
      </c>
      <c r="H182" s="19" t="s">
        <v>56</v>
      </c>
      <c r="I182" s="19" t="s">
        <v>68</v>
      </c>
      <c r="J182" s="13">
        <f>VLOOKUP(C182&amp;I182&amp;E182,Orig_Dest!$A$2:$E$1876,5,FALSE)</f>
        <v>0</v>
      </c>
      <c r="K182" s="14" t="str">
        <f t="shared" si="1"/>
        <v>Dia 7</v>
      </c>
      <c r="L182" s="21" t="str">
        <f>IF(B182="Fornecedor",IF(VLOOKUP(C182,Base_Dados!$E$1:$F$7,2,FALSE)=F182," ","Fornecedor inválido!")," ")</f>
        <v> </v>
      </c>
      <c r="M182" s="22" t="str">
        <f>IF(AND(LEFT(F182,2)="MP",H182&lt;&gt;Base_Dados!$A$1),"Impossível!!!"," ")</f>
        <v> </v>
      </c>
      <c r="N182" s="21" t="str">
        <f>IF(E182="Avião",IF($G182&lt;=VLOOKUP($F182,Base_Dados!$K$1:$O$7,3,FALSE)," ","Limite "&amp;VLOOKUP($F182,Base_Dados!$K$1:$O$11,3,FALSE)&amp;" "&amp;VLOOKUP($F182,Base_Dados!$K$1:$O$11,2,FALSE))," ")</f>
        <v> </v>
      </c>
      <c r="O182" s="21" t="str">
        <f>IF(E182="Caminhão",IF($G182&lt;=VLOOKUP($F182,Base_Dados!$K$1:$O$7,4,FALSE)," ","Limite "&amp;VLOOKUP($F182,Base_Dados!$K$1:$O$11,4,FALSE)&amp;" "&amp;VLOOKUP($F182,Base_Dados!$K$1:$O$11,2,FALSE))," ")</f>
        <v> </v>
      </c>
      <c r="P182" s="21" t="str">
        <f>IF(E182="Navio",IF($G182&lt;=VLOOKUP($F182,Base_Dados!$K$1:$O$7,5,FALSE)," ","Limite "&amp;VLOOKUP($F182,Base_Dados!$K$1:$O$11,5,FALSE)&amp;" "&amp;VLOOKUP($F182,Base_Dados!$K$1:$O$11,2,FALSE))," ")</f>
        <v> </v>
      </c>
      <c r="Q182" s="21" t="str">
        <f t="shared" si="2"/>
        <v/>
      </c>
      <c r="R182" s="1"/>
      <c r="S182" s="1"/>
      <c r="T182" s="1"/>
      <c r="U182" s="1"/>
      <c r="V182" s="1"/>
      <c r="W182" s="1"/>
      <c r="X182" s="1"/>
      <c r="Y182" s="1"/>
      <c r="Z182" s="1"/>
    </row>
    <row r="183" ht="24.0" customHeight="1">
      <c r="A183" s="18" t="s">
        <v>43</v>
      </c>
      <c r="B183" s="18" t="s">
        <v>35</v>
      </c>
      <c r="C183" s="19" t="s">
        <v>36</v>
      </c>
      <c r="D183" s="19" t="s">
        <v>53</v>
      </c>
      <c r="E183" s="19" t="s">
        <v>45</v>
      </c>
      <c r="F183" s="19" t="s">
        <v>34</v>
      </c>
      <c r="G183" s="20">
        <v>3333.0</v>
      </c>
      <c r="H183" s="19" t="s">
        <v>56</v>
      </c>
      <c r="I183" s="19" t="s">
        <v>68</v>
      </c>
      <c r="J183" s="13">
        <f>VLOOKUP(C183&amp;I183&amp;E183,Orig_Dest!$A$2:$E$1876,5,FALSE)</f>
        <v>0</v>
      </c>
      <c r="K183" s="14" t="str">
        <f t="shared" si="1"/>
        <v>Dia 7</v>
      </c>
      <c r="L183" s="21" t="str">
        <f>IF(B183="Fornecedor",IF(VLOOKUP(C183,Base_Dados!$E$1:$F$7,2,FALSE)=F183," ","Fornecedor inválido!")," ")</f>
        <v> </v>
      </c>
      <c r="M183" s="22" t="str">
        <f>IF(AND(LEFT(F183,2)="MP",H183&lt;&gt;Base_Dados!$A$1),"Impossível!!!"," ")</f>
        <v> </v>
      </c>
      <c r="N183" s="21" t="str">
        <f>IF(E183="Avião",IF($G183&lt;=VLOOKUP($F183,Base_Dados!$K$1:$O$7,3,FALSE)," ","Limite "&amp;VLOOKUP($F183,Base_Dados!$K$1:$O$11,3,FALSE)&amp;" "&amp;VLOOKUP($F183,Base_Dados!$K$1:$O$11,2,FALSE))," ")</f>
        <v> </v>
      </c>
      <c r="O183" s="21" t="str">
        <f>IF(E183="Caminhão",IF($G183&lt;=VLOOKUP($F183,Base_Dados!$K$1:$O$7,4,FALSE)," ","Limite "&amp;VLOOKUP($F183,Base_Dados!$K$1:$O$11,4,FALSE)&amp;" "&amp;VLOOKUP($F183,Base_Dados!$K$1:$O$11,2,FALSE))," ")</f>
        <v> </v>
      </c>
      <c r="P183" s="21" t="str">
        <f>IF(E183="Navio",IF($G183&lt;=VLOOKUP($F183,Base_Dados!$K$1:$O$7,5,FALSE)," ","Limite "&amp;VLOOKUP($F183,Base_Dados!$K$1:$O$11,5,FALSE)&amp;" "&amp;VLOOKUP($F183,Base_Dados!$K$1:$O$11,2,FALSE))," ")</f>
        <v> </v>
      </c>
      <c r="Q183" s="21" t="str">
        <f t="shared" si="2"/>
        <v/>
      </c>
      <c r="R183" s="1"/>
      <c r="S183" s="1"/>
      <c r="T183" s="1"/>
      <c r="U183" s="1"/>
      <c r="V183" s="1"/>
      <c r="W183" s="1"/>
      <c r="X183" s="1"/>
      <c r="Y183" s="1"/>
      <c r="Z183" s="1"/>
    </row>
    <row r="184" ht="24.0" customHeight="1">
      <c r="A184" s="18" t="s">
        <v>43</v>
      </c>
      <c r="B184" s="18" t="s">
        <v>35</v>
      </c>
      <c r="C184" s="19" t="s">
        <v>36</v>
      </c>
      <c r="D184" s="19" t="s">
        <v>53</v>
      </c>
      <c r="E184" s="19" t="s">
        <v>45</v>
      </c>
      <c r="F184" s="19" t="s">
        <v>34</v>
      </c>
      <c r="G184" s="20">
        <v>1129.0</v>
      </c>
      <c r="H184" s="19" t="s">
        <v>56</v>
      </c>
      <c r="I184" s="19" t="s">
        <v>68</v>
      </c>
      <c r="J184" s="13">
        <f>VLOOKUP(C184&amp;I184&amp;E184,Orig_Dest!$A$2:$E$1876,5,FALSE)</f>
        <v>0</v>
      </c>
      <c r="K184" s="14" t="str">
        <f t="shared" si="1"/>
        <v>Dia 7</v>
      </c>
      <c r="L184" s="21" t="str">
        <f>IF(B184="Fornecedor",IF(VLOOKUP(C184,Base_Dados!$E$1:$F$7,2,FALSE)=F184," ","Fornecedor inválido!")," ")</f>
        <v> </v>
      </c>
      <c r="M184" s="22" t="str">
        <f>IF(AND(LEFT(F184,2)="MP",H184&lt;&gt;Base_Dados!$A$1),"Impossível!!!"," ")</f>
        <v> </v>
      </c>
      <c r="N184" s="21" t="str">
        <f>IF(E184="Avião",IF($G184&lt;=VLOOKUP($F184,Base_Dados!$K$1:$O$7,3,FALSE)," ","Limite "&amp;VLOOKUP($F184,Base_Dados!$K$1:$O$11,3,FALSE)&amp;" "&amp;VLOOKUP($F184,Base_Dados!$K$1:$O$11,2,FALSE))," ")</f>
        <v> </v>
      </c>
      <c r="O184" s="21" t="str">
        <f>IF(E184="Caminhão",IF($G184&lt;=VLOOKUP($F184,Base_Dados!$K$1:$O$7,4,FALSE)," ","Limite "&amp;VLOOKUP($F184,Base_Dados!$K$1:$O$11,4,FALSE)&amp;" "&amp;VLOOKUP($F184,Base_Dados!$K$1:$O$11,2,FALSE))," ")</f>
        <v> </v>
      </c>
      <c r="P184" s="21" t="str">
        <f>IF(E184="Navio",IF($G184&lt;=VLOOKUP($F184,Base_Dados!$K$1:$O$7,5,FALSE)," ","Limite "&amp;VLOOKUP($F184,Base_Dados!$K$1:$O$11,5,FALSE)&amp;" "&amp;VLOOKUP($F184,Base_Dados!$K$1:$O$11,2,FALSE))," ")</f>
        <v> </v>
      </c>
      <c r="Q184" s="21" t="str">
        <f t="shared" si="2"/>
        <v/>
      </c>
      <c r="R184" s="1"/>
      <c r="S184" s="1"/>
      <c r="T184" s="1"/>
      <c r="U184" s="1"/>
      <c r="V184" s="1"/>
      <c r="W184" s="1"/>
      <c r="X184" s="1"/>
      <c r="Y184" s="1"/>
      <c r="Z184" s="1"/>
    </row>
    <row r="185" ht="24.0" customHeight="1">
      <c r="A185" s="18" t="s">
        <v>43</v>
      </c>
      <c r="B185" s="18" t="s">
        <v>35</v>
      </c>
      <c r="C185" s="19" t="s">
        <v>36</v>
      </c>
      <c r="D185" s="19" t="s">
        <v>53</v>
      </c>
      <c r="E185" s="19" t="s">
        <v>45</v>
      </c>
      <c r="F185" s="19" t="s">
        <v>34</v>
      </c>
      <c r="G185" s="20">
        <v>3333.0</v>
      </c>
      <c r="H185" s="19" t="s">
        <v>56</v>
      </c>
      <c r="I185" s="19" t="s">
        <v>69</v>
      </c>
      <c r="J185" s="13">
        <f>VLOOKUP(C185&amp;I185&amp;E185,Orig_Dest!$A$2:$E$1876,5,FALSE)</f>
        <v>0</v>
      </c>
      <c r="K185" s="14" t="str">
        <f t="shared" si="1"/>
        <v>Dia 7</v>
      </c>
      <c r="L185" s="21" t="str">
        <f>IF(B185="Fornecedor",IF(VLOOKUP(C185,Base_Dados!$E$1:$F$7,2,FALSE)=F185," ","Fornecedor inválido!")," ")</f>
        <v> </v>
      </c>
      <c r="M185" s="22" t="str">
        <f>IF(AND(LEFT(F185,2)="MP",H185&lt;&gt;Base_Dados!$A$1),"Impossível!!!"," ")</f>
        <v> </v>
      </c>
      <c r="N185" s="21" t="str">
        <f>IF(E185="Avião",IF($G185&lt;=VLOOKUP($F185,Base_Dados!$K$1:$O$7,3,FALSE)," ","Limite "&amp;VLOOKUP($F185,Base_Dados!$K$1:$O$11,3,FALSE)&amp;" "&amp;VLOOKUP($F185,Base_Dados!$K$1:$O$11,2,FALSE))," ")</f>
        <v> </v>
      </c>
      <c r="O185" s="21" t="str">
        <f>IF(E185="Caminhão",IF($G185&lt;=VLOOKUP($F185,Base_Dados!$K$1:$O$7,4,FALSE)," ","Limite "&amp;VLOOKUP($F185,Base_Dados!$K$1:$O$11,4,FALSE)&amp;" "&amp;VLOOKUP($F185,Base_Dados!$K$1:$O$11,2,FALSE))," ")</f>
        <v> </v>
      </c>
      <c r="P185" s="21" t="str">
        <f>IF(E185="Navio",IF($G185&lt;=VLOOKUP($F185,Base_Dados!$K$1:$O$7,5,FALSE)," ","Limite "&amp;VLOOKUP($F185,Base_Dados!$K$1:$O$11,5,FALSE)&amp;" "&amp;VLOOKUP($F185,Base_Dados!$K$1:$O$11,2,FALSE))," ")</f>
        <v> </v>
      </c>
      <c r="Q185" s="21" t="str">
        <f t="shared" si="2"/>
        <v/>
      </c>
      <c r="R185" s="1"/>
      <c r="S185" s="1"/>
      <c r="T185" s="1"/>
      <c r="U185" s="1"/>
      <c r="V185" s="1"/>
      <c r="W185" s="1"/>
      <c r="X185" s="1"/>
      <c r="Y185" s="1"/>
      <c r="Z185" s="1"/>
    </row>
    <row r="186" ht="24.0" customHeight="1">
      <c r="A186" s="18" t="s">
        <v>43</v>
      </c>
      <c r="B186" s="18" t="s">
        <v>35</v>
      </c>
      <c r="C186" s="19" t="s">
        <v>36</v>
      </c>
      <c r="D186" s="19" t="s">
        <v>53</v>
      </c>
      <c r="E186" s="19" t="s">
        <v>45</v>
      </c>
      <c r="F186" s="19" t="s">
        <v>34</v>
      </c>
      <c r="G186" s="20">
        <v>3333.0</v>
      </c>
      <c r="H186" s="19" t="s">
        <v>56</v>
      </c>
      <c r="I186" s="19" t="s">
        <v>69</v>
      </c>
      <c r="J186" s="13">
        <f>VLOOKUP(C186&amp;I186&amp;E186,Orig_Dest!$A$2:$E$1876,5,FALSE)</f>
        <v>0</v>
      </c>
      <c r="K186" s="14" t="str">
        <f t="shared" si="1"/>
        <v>Dia 7</v>
      </c>
      <c r="L186" s="21" t="str">
        <f>IF(B186="Fornecedor",IF(VLOOKUP(C186,Base_Dados!$E$1:$F$7,2,FALSE)=F186," ","Fornecedor inválido!")," ")</f>
        <v> </v>
      </c>
      <c r="M186" s="22" t="str">
        <f>IF(AND(LEFT(F186,2)="MP",H186&lt;&gt;Base_Dados!$A$1),"Impossível!!!"," ")</f>
        <v> </v>
      </c>
      <c r="N186" s="21" t="str">
        <f>IF(E186="Avião",IF($G186&lt;=VLOOKUP($F186,Base_Dados!$K$1:$O$7,3,FALSE)," ","Limite "&amp;VLOOKUP($F186,Base_Dados!$K$1:$O$11,3,FALSE)&amp;" "&amp;VLOOKUP($F186,Base_Dados!$K$1:$O$11,2,FALSE))," ")</f>
        <v> </v>
      </c>
      <c r="O186" s="21" t="str">
        <f>IF(E186="Caminhão",IF($G186&lt;=VLOOKUP($F186,Base_Dados!$K$1:$O$7,4,FALSE)," ","Limite "&amp;VLOOKUP($F186,Base_Dados!$K$1:$O$11,4,FALSE)&amp;" "&amp;VLOOKUP($F186,Base_Dados!$K$1:$O$11,2,FALSE))," ")</f>
        <v> </v>
      </c>
      <c r="P186" s="21" t="str">
        <f>IF(E186="Navio",IF($G186&lt;=VLOOKUP($F186,Base_Dados!$K$1:$O$7,5,FALSE)," ","Limite "&amp;VLOOKUP($F186,Base_Dados!$K$1:$O$11,5,FALSE)&amp;" "&amp;VLOOKUP($F186,Base_Dados!$K$1:$O$11,2,FALSE))," ")</f>
        <v> </v>
      </c>
      <c r="Q186" s="21" t="str">
        <f t="shared" si="2"/>
        <v/>
      </c>
      <c r="R186" s="1"/>
      <c r="S186" s="1"/>
      <c r="T186" s="1"/>
      <c r="U186" s="1"/>
      <c r="V186" s="1"/>
      <c r="W186" s="1"/>
      <c r="X186" s="1"/>
      <c r="Y186" s="1"/>
      <c r="Z186" s="1"/>
    </row>
    <row r="187" ht="24.0" customHeight="1">
      <c r="A187" s="18" t="s">
        <v>43</v>
      </c>
      <c r="B187" s="18" t="s">
        <v>35</v>
      </c>
      <c r="C187" s="19" t="s">
        <v>36</v>
      </c>
      <c r="D187" s="19" t="s">
        <v>53</v>
      </c>
      <c r="E187" s="19" t="s">
        <v>45</v>
      </c>
      <c r="F187" s="19" t="s">
        <v>34</v>
      </c>
      <c r="G187" s="20">
        <v>11.0</v>
      </c>
      <c r="H187" s="19" t="s">
        <v>56</v>
      </c>
      <c r="I187" s="19" t="s">
        <v>69</v>
      </c>
      <c r="J187" s="13">
        <f>VLOOKUP(C187&amp;I187&amp;E187,Orig_Dest!$A$2:$E$1876,5,FALSE)</f>
        <v>0</v>
      </c>
      <c r="K187" s="14" t="str">
        <f t="shared" si="1"/>
        <v>Dia 7</v>
      </c>
      <c r="L187" s="21" t="str">
        <f>IF(B187="Fornecedor",IF(VLOOKUP(C187,Base_Dados!$E$1:$F$7,2,FALSE)=F187," ","Fornecedor inválido!")," ")</f>
        <v> </v>
      </c>
      <c r="M187" s="22" t="str">
        <f>IF(AND(LEFT(F187,2)="MP",H187&lt;&gt;Base_Dados!$A$1),"Impossível!!!"," ")</f>
        <v> </v>
      </c>
      <c r="N187" s="21" t="str">
        <f>IF(E187="Avião",IF($G187&lt;=VLOOKUP($F187,Base_Dados!$K$1:$O$7,3,FALSE)," ","Limite "&amp;VLOOKUP($F187,Base_Dados!$K$1:$O$11,3,FALSE)&amp;" "&amp;VLOOKUP($F187,Base_Dados!$K$1:$O$11,2,FALSE))," ")</f>
        <v> </v>
      </c>
      <c r="O187" s="21" t="str">
        <f>IF(E187="Caminhão",IF($G187&lt;=VLOOKUP($F187,Base_Dados!$K$1:$O$7,4,FALSE)," ","Limite "&amp;VLOOKUP($F187,Base_Dados!$K$1:$O$11,4,FALSE)&amp;" "&amp;VLOOKUP($F187,Base_Dados!$K$1:$O$11,2,FALSE))," ")</f>
        <v> </v>
      </c>
      <c r="P187" s="21" t="str">
        <f>IF(E187="Navio",IF($G187&lt;=VLOOKUP($F187,Base_Dados!$K$1:$O$7,5,FALSE)," ","Limite "&amp;VLOOKUP($F187,Base_Dados!$K$1:$O$11,5,FALSE)&amp;" "&amp;VLOOKUP($F187,Base_Dados!$K$1:$O$11,2,FALSE))," ")</f>
        <v> </v>
      </c>
      <c r="Q187" s="21" t="str">
        <f t="shared" si="2"/>
        <v/>
      </c>
      <c r="R187" s="1"/>
      <c r="S187" s="1"/>
      <c r="T187" s="1"/>
      <c r="U187" s="1"/>
      <c r="V187" s="1"/>
      <c r="W187" s="1"/>
      <c r="X187" s="1"/>
      <c r="Y187" s="1"/>
      <c r="Z187" s="1"/>
    </row>
    <row r="188" ht="24.0" customHeight="1">
      <c r="A188" s="18" t="s">
        <v>43</v>
      </c>
      <c r="B188" s="18" t="s">
        <v>35</v>
      </c>
      <c r="C188" s="19" t="s">
        <v>36</v>
      </c>
      <c r="D188" s="19" t="s">
        <v>54</v>
      </c>
      <c r="E188" s="19" t="s">
        <v>45</v>
      </c>
      <c r="F188" s="19" t="s">
        <v>34</v>
      </c>
      <c r="G188" s="20">
        <v>3333.0</v>
      </c>
      <c r="H188" s="19" t="s">
        <v>56</v>
      </c>
      <c r="I188" s="19" t="s">
        <v>52</v>
      </c>
      <c r="J188" s="13">
        <f>VLOOKUP(C188&amp;I188&amp;E188,Orig_Dest!$A$2:$E$1876,5,FALSE)</f>
        <v>0</v>
      </c>
      <c r="K188" s="14" t="str">
        <f t="shared" si="1"/>
        <v>Dia 8</v>
      </c>
      <c r="L188" s="21" t="str">
        <f>IF(B188="Fornecedor",IF(VLOOKUP(C188,Base_Dados!$E$1:$F$7,2,FALSE)=F188," ","Fornecedor inválido!")," ")</f>
        <v> </v>
      </c>
      <c r="M188" s="22" t="str">
        <f>IF(AND(LEFT(F188,2)="MP",H188&lt;&gt;Base_Dados!$A$1),"Impossível!!!"," ")</f>
        <v> </v>
      </c>
      <c r="N188" s="21" t="str">
        <f>IF(E188="Avião",IF($G188&lt;=VLOOKUP($F188,Base_Dados!$K$1:$O$7,3,FALSE)," ","Limite "&amp;VLOOKUP($F188,Base_Dados!$K$1:$O$11,3,FALSE)&amp;" "&amp;VLOOKUP($F188,Base_Dados!$K$1:$O$11,2,FALSE))," ")</f>
        <v> </v>
      </c>
      <c r="O188" s="21" t="str">
        <f>IF(E188="Caminhão",IF($G188&lt;=VLOOKUP($F188,Base_Dados!$K$1:$O$7,4,FALSE)," ","Limite "&amp;VLOOKUP($F188,Base_Dados!$K$1:$O$11,4,FALSE)&amp;" "&amp;VLOOKUP($F188,Base_Dados!$K$1:$O$11,2,FALSE))," ")</f>
        <v> </v>
      </c>
      <c r="P188" s="21" t="str">
        <f>IF(E188="Navio",IF($G188&lt;=VLOOKUP($F188,Base_Dados!$K$1:$O$7,5,FALSE)," ","Limite "&amp;VLOOKUP($F188,Base_Dados!$K$1:$O$11,5,FALSE)&amp;" "&amp;VLOOKUP($F188,Base_Dados!$K$1:$O$11,2,FALSE))," ")</f>
        <v> </v>
      </c>
      <c r="Q188" s="21" t="str">
        <f t="shared" si="2"/>
        <v/>
      </c>
      <c r="R188" s="1"/>
      <c r="S188" s="1"/>
      <c r="T188" s="1"/>
      <c r="U188" s="1"/>
      <c r="V188" s="1"/>
      <c r="W188" s="1"/>
      <c r="X188" s="1"/>
      <c r="Y188" s="1"/>
      <c r="Z188" s="1"/>
    </row>
    <row r="189" ht="24.0" customHeight="1">
      <c r="A189" s="18" t="s">
        <v>43</v>
      </c>
      <c r="B189" s="18" t="s">
        <v>35</v>
      </c>
      <c r="C189" s="19" t="s">
        <v>36</v>
      </c>
      <c r="D189" s="19" t="s">
        <v>54</v>
      </c>
      <c r="E189" s="19" t="s">
        <v>45</v>
      </c>
      <c r="F189" s="19" t="s">
        <v>34</v>
      </c>
      <c r="G189" s="20">
        <v>273.0</v>
      </c>
      <c r="H189" s="19" t="s">
        <v>56</v>
      </c>
      <c r="I189" s="19" t="s">
        <v>52</v>
      </c>
      <c r="J189" s="13">
        <f>VLOOKUP(C189&amp;I189&amp;E189,Orig_Dest!$A$2:$E$1876,5,FALSE)</f>
        <v>0</v>
      </c>
      <c r="K189" s="14" t="str">
        <f t="shared" si="1"/>
        <v>Dia 8</v>
      </c>
      <c r="L189" s="21" t="str">
        <f>IF(B189="Fornecedor",IF(VLOOKUP(C189,Base_Dados!$E$1:$F$7,2,FALSE)=F189," ","Fornecedor inválido!")," ")</f>
        <v> </v>
      </c>
      <c r="M189" s="22" t="str">
        <f>IF(AND(LEFT(F189,2)="MP",H189&lt;&gt;Base_Dados!$A$1),"Impossível!!!"," ")</f>
        <v> </v>
      </c>
      <c r="N189" s="21" t="str">
        <f>IF(E189="Avião",IF($G189&lt;=VLOOKUP($F189,Base_Dados!$K$1:$O$7,3,FALSE)," ","Limite "&amp;VLOOKUP($F189,Base_Dados!$K$1:$O$11,3,FALSE)&amp;" "&amp;VLOOKUP($F189,Base_Dados!$K$1:$O$11,2,FALSE))," ")</f>
        <v> </v>
      </c>
      <c r="O189" s="21" t="str">
        <f>IF(E189="Caminhão",IF($G189&lt;=VLOOKUP($F189,Base_Dados!$K$1:$O$7,4,FALSE)," ","Limite "&amp;VLOOKUP($F189,Base_Dados!$K$1:$O$11,4,FALSE)&amp;" "&amp;VLOOKUP($F189,Base_Dados!$K$1:$O$11,2,FALSE))," ")</f>
        <v> </v>
      </c>
      <c r="P189" s="21" t="str">
        <f>IF(E189="Navio",IF($G189&lt;=VLOOKUP($F189,Base_Dados!$K$1:$O$7,5,FALSE)," ","Limite "&amp;VLOOKUP($F189,Base_Dados!$K$1:$O$11,5,FALSE)&amp;" "&amp;VLOOKUP($F189,Base_Dados!$K$1:$O$11,2,FALSE))," ")</f>
        <v> </v>
      </c>
      <c r="Q189" s="21" t="str">
        <f t="shared" si="2"/>
        <v/>
      </c>
      <c r="R189" s="1"/>
      <c r="S189" s="1"/>
      <c r="T189" s="1"/>
      <c r="U189" s="1"/>
      <c r="V189" s="1"/>
      <c r="W189" s="1"/>
      <c r="X189" s="1"/>
      <c r="Y189" s="1"/>
      <c r="Z189" s="1"/>
    </row>
    <row r="190" ht="24.0" customHeight="1">
      <c r="A190" s="18" t="s">
        <v>43</v>
      </c>
      <c r="B190" s="18" t="s">
        <v>22</v>
      </c>
      <c r="C190" s="19" t="s">
        <v>23</v>
      </c>
      <c r="D190" s="19" t="s">
        <v>44</v>
      </c>
      <c r="E190" s="19" t="s">
        <v>25</v>
      </c>
      <c r="F190" s="19" t="s">
        <v>26</v>
      </c>
      <c r="G190" s="20">
        <v>24.0</v>
      </c>
      <c r="H190" s="19" t="s">
        <v>27</v>
      </c>
      <c r="I190" s="19" t="s">
        <v>28</v>
      </c>
      <c r="J190" s="13">
        <f>VLOOKUP(C190&amp;I190&amp;E190,Orig_Dest!$A$2:$E$1876,5,FALSE)</f>
        <v>3</v>
      </c>
      <c r="K190" s="14" t="str">
        <f t="shared" si="1"/>
        <v>Dia 9</v>
      </c>
      <c r="L190" s="21" t="str">
        <f>IF(B190="Fornecedor",IF(VLOOKUP(C190,Base_Dados!$E$1:$F$7,2,FALSE)=F190," ","Fornecedor inválido!")," ")</f>
        <v> </v>
      </c>
      <c r="M190" s="22" t="str">
        <f>IF(AND(LEFT(F190,2)="MP",H190&lt;&gt;Base_Dados!$A$1),"Impossível!!!"," ")</f>
        <v> </v>
      </c>
      <c r="N190" s="21" t="str">
        <f>IF(E190="Avião",IF($G190&lt;=VLOOKUP($F190,Base_Dados!$K$1:$O$7,3,FALSE)," ","Limite "&amp;VLOOKUP($F190,Base_Dados!$K$1:$O$11,3,FALSE)&amp;" "&amp;VLOOKUP($F190,Base_Dados!$K$1:$O$11,2,FALSE))," ")</f>
        <v> </v>
      </c>
      <c r="O190" s="21" t="str">
        <f>IF(E190="Caminhão",IF($G190&lt;=VLOOKUP($F190,Base_Dados!$K$1:$O$7,4,FALSE)," ","Limite "&amp;VLOOKUP($F190,Base_Dados!$K$1:$O$11,4,FALSE)&amp;" "&amp;VLOOKUP($F190,Base_Dados!$K$1:$O$11,2,FALSE))," ")</f>
        <v> </v>
      </c>
      <c r="P190" s="21" t="str">
        <f>IF(E190="Navio",IF($G190&lt;=VLOOKUP($F190,Base_Dados!$K$1:$O$7,5,FALSE)," ","Limite "&amp;VLOOKUP($F190,Base_Dados!$K$1:$O$11,5,FALSE)&amp;" "&amp;VLOOKUP($F190,Base_Dados!$K$1:$O$11,2,FALSE))," ")</f>
        <v> </v>
      </c>
      <c r="Q190" s="21" t="str">
        <f t="shared" si="2"/>
        <v/>
      </c>
      <c r="R190" s="1"/>
      <c r="S190" s="1"/>
      <c r="T190" s="1"/>
      <c r="U190" s="1"/>
      <c r="V190" s="1"/>
      <c r="W190" s="1"/>
      <c r="X190" s="1"/>
      <c r="Y190" s="1"/>
      <c r="Z190" s="1"/>
    </row>
    <row r="191" ht="24.0" customHeight="1">
      <c r="A191" s="18" t="s">
        <v>43</v>
      </c>
      <c r="B191" s="18" t="s">
        <v>22</v>
      </c>
      <c r="C191" s="19" t="s">
        <v>23</v>
      </c>
      <c r="D191" s="19" t="s">
        <v>53</v>
      </c>
      <c r="E191" s="19" t="s">
        <v>25</v>
      </c>
      <c r="F191" s="19" t="s">
        <v>26</v>
      </c>
      <c r="G191" s="20">
        <v>24.0</v>
      </c>
      <c r="H191" s="19" t="s">
        <v>27</v>
      </c>
      <c r="I191" s="19" t="s">
        <v>28</v>
      </c>
      <c r="J191" s="13">
        <f>VLOOKUP(C191&amp;I191&amp;E191,Orig_Dest!$A$2:$E$1876,5,FALSE)</f>
        <v>3</v>
      </c>
      <c r="K191" s="14" t="str">
        <f t="shared" si="1"/>
        <v>Dia 10</v>
      </c>
      <c r="L191" s="21" t="str">
        <f>IF(B191="Fornecedor",IF(VLOOKUP(C191,Base_Dados!$E$1:$F$7,2,FALSE)=F191," ","Fornecedor inválido!")," ")</f>
        <v> </v>
      </c>
      <c r="M191" s="22" t="str">
        <f>IF(AND(LEFT(F191,2)="MP",H191&lt;&gt;Base_Dados!$A$1),"Impossível!!!"," ")</f>
        <v> </v>
      </c>
      <c r="N191" s="21" t="str">
        <f>IF(E191="Avião",IF($G191&lt;=VLOOKUP($F191,Base_Dados!$K$1:$O$7,3,FALSE)," ","Limite "&amp;VLOOKUP($F191,Base_Dados!$K$1:$O$11,3,FALSE)&amp;" "&amp;VLOOKUP($F191,Base_Dados!$K$1:$O$11,2,FALSE))," ")</f>
        <v> </v>
      </c>
      <c r="O191" s="21" t="str">
        <f>IF(E191="Caminhão",IF($G191&lt;=VLOOKUP($F191,Base_Dados!$K$1:$O$7,4,FALSE)," ","Limite "&amp;VLOOKUP($F191,Base_Dados!$K$1:$O$11,4,FALSE)&amp;" "&amp;VLOOKUP($F191,Base_Dados!$K$1:$O$11,2,FALSE))," ")</f>
        <v> </v>
      </c>
      <c r="P191" s="21" t="str">
        <f>IF(E191="Navio",IF($G191&lt;=VLOOKUP($F191,Base_Dados!$K$1:$O$7,5,FALSE)," ","Limite "&amp;VLOOKUP($F191,Base_Dados!$K$1:$O$11,5,FALSE)&amp;" "&amp;VLOOKUP($F191,Base_Dados!$K$1:$O$11,2,FALSE))," ")</f>
        <v> </v>
      </c>
      <c r="Q191" s="21" t="str">
        <f t="shared" si="2"/>
        <v/>
      </c>
      <c r="R191" s="1"/>
      <c r="S191" s="1"/>
      <c r="T191" s="1"/>
      <c r="U191" s="1"/>
      <c r="V191" s="1"/>
      <c r="W191" s="1"/>
      <c r="X191" s="1"/>
      <c r="Y191" s="1"/>
      <c r="Z191" s="1"/>
    </row>
    <row r="192" ht="24.0" customHeight="1">
      <c r="A192" s="18" t="s">
        <v>43</v>
      </c>
      <c r="B192" s="18" t="s">
        <v>22</v>
      </c>
      <c r="C192" s="19" t="s">
        <v>23</v>
      </c>
      <c r="D192" s="19" t="s">
        <v>54</v>
      </c>
      <c r="E192" s="19" t="s">
        <v>25</v>
      </c>
      <c r="F192" s="19" t="s">
        <v>26</v>
      </c>
      <c r="G192" s="20">
        <v>8.7</v>
      </c>
      <c r="H192" s="19" t="s">
        <v>27</v>
      </c>
      <c r="I192" s="19" t="s">
        <v>28</v>
      </c>
      <c r="J192" s="13">
        <f>VLOOKUP(C192&amp;I192&amp;E192,Orig_Dest!$A$2:$E$1876,5,FALSE)</f>
        <v>3</v>
      </c>
      <c r="K192" s="14" t="str">
        <f t="shared" si="1"/>
        <v>Dia 11</v>
      </c>
      <c r="L192" s="21" t="str">
        <f>IF(B192="Fornecedor",IF(VLOOKUP(C192,Base_Dados!$E$1:$F$7,2,FALSE)=F192," ","Fornecedor inválido!")," ")</f>
        <v> </v>
      </c>
      <c r="M192" s="22" t="str">
        <f>IF(AND(LEFT(F192,2)="MP",H192&lt;&gt;Base_Dados!$A$1),"Impossível!!!"," ")</f>
        <v> </v>
      </c>
      <c r="N192" s="21" t="str">
        <f>IF(E192="Avião",IF($G192&lt;=VLOOKUP($F192,Base_Dados!$K$1:$O$7,3,FALSE)," ","Limite "&amp;VLOOKUP($F192,Base_Dados!$K$1:$O$11,3,FALSE)&amp;" "&amp;VLOOKUP($F192,Base_Dados!$K$1:$O$11,2,FALSE))," ")</f>
        <v> </v>
      </c>
      <c r="O192" s="21" t="str">
        <f>IF(E192="Caminhão",IF($G192&lt;=VLOOKUP($F192,Base_Dados!$K$1:$O$7,4,FALSE)," ","Limite "&amp;VLOOKUP($F192,Base_Dados!$K$1:$O$11,4,FALSE)&amp;" "&amp;VLOOKUP($F192,Base_Dados!$K$1:$O$11,2,FALSE))," ")</f>
        <v> </v>
      </c>
      <c r="P192" s="21" t="str">
        <f>IF(E192="Navio",IF($G192&lt;=VLOOKUP($F192,Base_Dados!$K$1:$O$7,5,FALSE)," ","Limite "&amp;VLOOKUP($F192,Base_Dados!$K$1:$O$11,5,FALSE)&amp;" "&amp;VLOOKUP($F192,Base_Dados!$K$1:$O$11,2,FALSE))," ")</f>
        <v> </v>
      </c>
      <c r="Q192" s="21" t="str">
        <f t="shared" si="2"/>
        <v/>
      </c>
      <c r="R192" s="1"/>
      <c r="S192" s="1"/>
      <c r="T192" s="1"/>
      <c r="U192" s="1"/>
      <c r="V192" s="1"/>
      <c r="W192" s="1"/>
      <c r="X192" s="1"/>
      <c r="Y192" s="1"/>
      <c r="Z192" s="1"/>
    </row>
    <row r="193" ht="24.0" customHeight="1">
      <c r="A193" s="18" t="s">
        <v>43</v>
      </c>
      <c r="B193" s="18" t="s">
        <v>22</v>
      </c>
      <c r="C193" s="19" t="s">
        <v>29</v>
      </c>
      <c r="D193" s="19" t="s">
        <v>44</v>
      </c>
      <c r="E193" s="19" t="s">
        <v>25</v>
      </c>
      <c r="F193" s="19" t="s">
        <v>30</v>
      </c>
      <c r="G193" s="20">
        <v>24.0</v>
      </c>
      <c r="H193" s="19" t="s">
        <v>27</v>
      </c>
      <c r="I193" s="19" t="s">
        <v>28</v>
      </c>
      <c r="J193" s="13">
        <f>VLOOKUP(C193&amp;I193&amp;E193,Orig_Dest!$A$2:$E$1876,5,FALSE)</f>
        <v>2</v>
      </c>
      <c r="K193" s="14" t="str">
        <f t="shared" si="1"/>
        <v>Dia 8</v>
      </c>
      <c r="L193" s="21" t="str">
        <f>IF(B193="Fornecedor",IF(VLOOKUP(C193,Base_Dados!$E$1:$F$7,2,FALSE)=F193," ","Fornecedor inválido!")," ")</f>
        <v> </v>
      </c>
      <c r="M193" s="22" t="str">
        <f>IF(AND(LEFT(F193,2)="MP",H193&lt;&gt;Base_Dados!$A$1),"Impossível!!!"," ")</f>
        <v> </v>
      </c>
      <c r="N193" s="21" t="str">
        <f>IF(E193="Avião",IF($G193&lt;=VLOOKUP($F193,Base_Dados!$K$1:$O$7,3,FALSE)," ","Limite "&amp;VLOOKUP($F193,Base_Dados!$K$1:$O$11,3,FALSE)&amp;" "&amp;VLOOKUP($F193,Base_Dados!$K$1:$O$11,2,FALSE))," ")</f>
        <v> </v>
      </c>
      <c r="O193" s="21" t="str">
        <f>IF(E193="Caminhão",IF($G193&lt;=VLOOKUP($F193,Base_Dados!$K$1:$O$7,4,FALSE)," ","Limite "&amp;VLOOKUP($F193,Base_Dados!$K$1:$O$11,4,FALSE)&amp;" "&amp;VLOOKUP($F193,Base_Dados!$K$1:$O$11,2,FALSE))," ")</f>
        <v> </v>
      </c>
      <c r="P193" s="21" t="str">
        <f>IF(E193="Navio",IF($G193&lt;=VLOOKUP($F193,Base_Dados!$K$1:$O$7,5,FALSE)," ","Limite "&amp;VLOOKUP($F193,Base_Dados!$K$1:$O$11,5,FALSE)&amp;" "&amp;VLOOKUP($F193,Base_Dados!$K$1:$O$11,2,FALSE))," ")</f>
        <v> </v>
      </c>
      <c r="Q193" s="21" t="str">
        <f t="shared" si="2"/>
        <v/>
      </c>
      <c r="R193" s="1"/>
      <c r="S193" s="1"/>
      <c r="T193" s="1"/>
      <c r="U193" s="1"/>
      <c r="V193" s="1"/>
      <c r="W193" s="1"/>
      <c r="X193" s="1"/>
      <c r="Y193" s="1"/>
      <c r="Z193" s="1"/>
    </row>
    <row r="194" ht="24.0" customHeight="1">
      <c r="A194" s="18" t="s">
        <v>43</v>
      </c>
      <c r="B194" s="18" t="s">
        <v>22</v>
      </c>
      <c r="C194" s="19" t="s">
        <v>29</v>
      </c>
      <c r="D194" s="19" t="s">
        <v>53</v>
      </c>
      <c r="E194" s="19" t="s">
        <v>25</v>
      </c>
      <c r="F194" s="19" t="s">
        <v>30</v>
      </c>
      <c r="G194" s="20">
        <v>2.4</v>
      </c>
      <c r="H194" s="19" t="s">
        <v>27</v>
      </c>
      <c r="I194" s="19" t="s">
        <v>28</v>
      </c>
      <c r="J194" s="13">
        <f>VLOOKUP(C194&amp;I194&amp;E194,Orig_Dest!$A$2:$E$1876,5,FALSE)</f>
        <v>2</v>
      </c>
      <c r="K194" s="14" t="str">
        <f t="shared" si="1"/>
        <v>Dia 9</v>
      </c>
      <c r="L194" s="21" t="str">
        <f>IF(B194="Fornecedor",IF(VLOOKUP(C194,Base_Dados!$E$1:$F$7,2,FALSE)=F194," ","Fornecedor inválido!")," ")</f>
        <v> </v>
      </c>
      <c r="M194" s="22" t="str">
        <f>IF(AND(LEFT(F194,2)="MP",H194&lt;&gt;Base_Dados!$A$1),"Impossível!!!"," ")</f>
        <v> </v>
      </c>
      <c r="N194" s="21" t="str">
        <f>IF(E194="Avião",IF($G194&lt;=VLOOKUP($F194,Base_Dados!$K$1:$O$7,3,FALSE)," ","Limite "&amp;VLOOKUP($F194,Base_Dados!$K$1:$O$11,3,FALSE)&amp;" "&amp;VLOOKUP($F194,Base_Dados!$K$1:$O$11,2,FALSE))," ")</f>
        <v> </v>
      </c>
      <c r="O194" s="21" t="str">
        <f>IF(E194="Caminhão",IF($G194&lt;=VLOOKUP($F194,Base_Dados!$K$1:$O$7,4,FALSE)," ","Limite "&amp;VLOOKUP($F194,Base_Dados!$K$1:$O$11,4,FALSE)&amp;" "&amp;VLOOKUP($F194,Base_Dados!$K$1:$O$11,2,FALSE))," ")</f>
        <v> </v>
      </c>
      <c r="P194" s="21" t="str">
        <f>IF(E194="Navio",IF($G194&lt;=VLOOKUP($F194,Base_Dados!$K$1:$O$7,5,FALSE)," ","Limite "&amp;VLOOKUP($F194,Base_Dados!$K$1:$O$11,5,FALSE)&amp;" "&amp;VLOOKUP($F194,Base_Dados!$K$1:$O$11,2,FALSE))," ")</f>
        <v> </v>
      </c>
      <c r="Q194" s="21" t="str">
        <f t="shared" si="2"/>
        <v/>
      </c>
      <c r="R194" s="1"/>
      <c r="S194" s="1"/>
      <c r="T194" s="1"/>
      <c r="U194" s="1"/>
      <c r="V194" s="1"/>
      <c r="W194" s="1"/>
      <c r="X194" s="1"/>
      <c r="Y194" s="1"/>
      <c r="Z194" s="1"/>
    </row>
    <row r="195" ht="24.0" customHeight="1">
      <c r="A195" s="18" t="s">
        <v>43</v>
      </c>
      <c r="B195" s="18" t="s">
        <v>22</v>
      </c>
      <c r="C195" s="19" t="s">
        <v>31</v>
      </c>
      <c r="D195" s="19" t="s">
        <v>44</v>
      </c>
      <c r="E195" s="19" t="s">
        <v>25</v>
      </c>
      <c r="F195" s="19" t="s">
        <v>32</v>
      </c>
      <c r="G195" s="20">
        <v>24.0</v>
      </c>
      <c r="H195" s="19" t="s">
        <v>27</v>
      </c>
      <c r="I195" s="19" t="s">
        <v>28</v>
      </c>
      <c r="J195" s="13">
        <f>VLOOKUP(C195&amp;I195&amp;E195,Orig_Dest!$A$2:$E$1876,5,FALSE)</f>
        <v>1</v>
      </c>
      <c r="K195" s="14" t="str">
        <f t="shared" si="1"/>
        <v>Dia 7</v>
      </c>
      <c r="L195" s="21" t="str">
        <f>IF(B195="Fornecedor",IF(VLOOKUP(C195,Base_Dados!$E$1:$F$7,2,FALSE)=F195," ","Fornecedor inválido!")," ")</f>
        <v> </v>
      </c>
      <c r="M195" s="22" t="str">
        <f>IF(AND(LEFT(F195,2)="MP",H195&lt;&gt;Base_Dados!$A$1),"Impossível!!!"," ")</f>
        <v> </v>
      </c>
      <c r="N195" s="21" t="str">
        <f>IF(E195="Avião",IF($G195&lt;=VLOOKUP($F195,Base_Dados!$K$1:$O$7,3,FALSE)," ","Limite "&amp;VLOOKUP($F195,Base_Dados!$K$1:$O$11,3,FALSE)&amp;" "&amp;VLOOKUP($F195,Base_Dados!$K$1:$O$11,2,FALSE))," ")</f>
        <v> </v>
      </c>
      <c r="O195" s="21" t="str">
        <f>IF(E195="Caminhão",IF($G195&lt;=VLOOKUP($F195,Base_Dados!$K$1:$O$7,4,FALSE)," ","Limite "&amp;VLOOKUP($F195,Base_Dados!$K$1:$O$11,4,FALSE)&amp;" "&amp;VLOOKUP($F195,Base_Dados!$K$1:$O$11,2,FALSE))," ")</f>
        <v> </v>
      </c>
      <c r="P195" s="21" t="str">
        <f>IF(E195="Navio",IF($G195&lt;=VLOOKUP($F195,Base_Dados!$K$1:$O$7,5,FALSE)," ","Limite "&amp;VLOOKUP($F195,Base_Dados!$K$1:$O$11,5,FALSE)&amp;" "&amp;VLOOKUP($F195,Base_Dados!$K$1:$O$11,2,FALSE))," ")</f>
        <v> </v>
      </c>
      <c r="Q195" s="21" t="str">
        <f t="shared" si="2"/>
        <v/>
      </c>
      <c r="R195" s="1"/>
      <c r="S195" s="1"/>
      <c r="T195" s="1"/>
      <c r="U195" s="1"/>
      <c r="V195" s="1"/>
      <c r="W195" s="1"/>
      <c r="X195" s="1"/>
      <c r="Y195" s="1"/>
      <c r="Z195" s="1"/>
    </row>
    <row r="196" ht="24.0" customHeight="1">
      <c r="A196" s="18" t="s">
        <v>43</v>
      </c>
      <c r="B196" s="18" t="s">
        <v>22</v>
      </c>
      <c r="C196" s="19" t="s">
        <v>31</v>
      </c>
      <c r="D196" s="19" t="s">
        <v>53</v>
      </c>
      <c r="E196" s="19" t="s">
        <v>25</v>
      </c>
      <c r="F196" s="19" t="s">
        <v>32</v>
      </c>
      <c r="G196" s="20">
        <v>22.2</v>
      </c>
      <c r="H196" s="19" t="s">
        <v>27</v>
      </c>
      <c r="I196" s="19" t="s">
        <v>28</v>
      </c>
      <c r="J196" s="13">
        <f>VLOOKUP(C196&amp;I196&amp;E196,Orig_Dest!$A$2:$E$1876,5,FALSE)</f>
        <v>1</v>
      </c>
      <c r="K196" s="14" t="str">
        <f t="shared" si="1"/>
        <v>Dia 8</v>
      </c>
      <c r="L196" s="21" t="str">
        <f>IF(B196="Fornecedor",IF(VLOOKUP(C196,Base_Dados!$E$1:$F$7,2,FALSE)=F196," ","Fornecedor inválido!")," ")</f>
        <v> </v>
      </c>
      <c r="M196" s="22" t="str">
        <f>IF(AND(LEFT(F196,2)="MP",H196&lt;&gt;Base_Dados!$A$1),"Impossível!!!"," ")</f>
        <v> </v>
      </c>
      <c r="N196" s="21" t="str">
        <f>IF(E196="Avião",IF($G196&lt;=VLOOKUP($F196,Base_Dados!$K$1:$O$7,3,FALSE)," ","Limite "&amp;VLOOKUP($F196,Base_Dados!$K$1:$O$11,3,FALSE)&amp;" "&amp;VLOOKUP($F196,Base_Dados!$K$1:$O$11,2,FALSE))," ")</f>
        <v> </v>
      </c>
      <c r="O196" s="21" t="str">
        <f>IF(E196="Caminhão",IF($G196&lt;=VLOOKUP($F196,Base_Dados!$K$1:$O$7,4,FALSE)," ","Limite "&amp;VLOOKUP($F196,Base_Dados!$K$1:$O$11,4,FALSE)&amp;" "&amp;VLOOKUP($F196,Base_Dados!$K$1:$O$11,2,FALSE))," ")</f>
        <v> </v>
      </c>
      <c r="P196" s="21" t="str">
        <f>IF(E196="Navio",IF($G196&lt;=VLOOKUP($F196,Base_Dados!$K$1:$O$7,5,FALSE)," ","Limite "&amp;VLOOKUP($F196,Base_Dados!$K$1:$O$11,5,FALSE)&amp;" "&amp;VLOOKUP($F196,Base_Dados!$K$1:$O$11,2,FALSE))," ")</f>
        <v> </v>
      </c>
      <c r="Q196" s="21" t="str">
        <f t="shared" si="2"/>
        <v/>
      </c>
      <c r="R196" s="1"/>
      <c r="S196" s="1"/>
      <c r="T196" s="1"/>
      <c r="U196" s="1"/>
      <c r="V196" s="1"/>
      <c r="W196" s="1"/>
      <c r="X196" s="1"/>
      <c r="Y196" s="1"/>
      <c r="Z196" s="1"/>
    </row>
    <row r="197" ht="24.0" customHeight="1">
      <c r="A197" s="18" t="s">
        <v>70</v>
      </c>
      <c r="B197" s="18" t="s">
        <v>22</v>
      </c>
      <c r="C197" s="19" t="s">
        <v>23</v>
      </c>
      <c r="D197" s="19" t="s">
        <v>71</v>
      </c>
      <c r="E197" s="19" t="s">
        <v>25</v>
      </c>
      <c r="F197" s="19" t="s">
        <v>26</v>
      </c>
      <c r="G197" s="20">
        <v>22.37</v>
      </c>
      <c r="H197" s="19" t="s">
        <v>27</v>
      </c>
      <c r="I197" s="19" t="s">
        <v>28</v>
      </c>
      <c r="J197" s="13">
        <f>VLOOKUP(C197&amp;I197&amp;E197,Orig_Dest!$A$2:$E$1876,5,FALSE)</f>
        <v>3</v>
      </c>
      <c r="K197" s="14" t="str">
        <f t="shared" si="1"/>
        <v>Dia 14</v>
      </c>
      <c r="L197" s="21" t="str">
        <f>IF(B197="Fornecedor",IF(VLOOKUP(C197,Base_Dados!$E$1:$F$7,2,FALSE)=F197," ","Fornecedor inválido!")," ")</f>
        <v> </v>
      </c>
      <c r="M197" s="22" t="str">
        <f>IF(AND(LEFT(F197,2)="MP",H197&lt;&gt;Base_Dados!$A$1),"Impossível!!!"," ")</f>
        <v> </v>
      </c>
      <c r="N197" s="21" t="str">
        <f>IF(E197="Avião",IF($G197&lt;=VLOOKUP($F197,Base_Dados!$K$1:$O$7,3,FALSE)," ","Limite "&amp;VLOOKUP($F197,Base_Dados!$K$1:$O$11,3,FALSE)&amp;" "&amp;VLOOKUP($F197,Base_Dados!$K$1:$O$11,2,FALSE))," ")</f>
        <v> </v>
      </c>
      <c r="O197" s="21" t="str">
        <f>IF(E197="Caminhão",IF($G197&lt;=VLOOKUP($F197,Base_Dados!$K$1:$O$7,4,FALSE)," ","Limite "&amp;VLOOKUP($F197,Base_Dados!$K$1:$O$11,4,FALSE)&amp;" "&amp;VLOOKUP($F197,Base_Dados!$K$1:$O$11,2,FALSE))," ")</f>
        <v> </v>
      </c>
      <c r="P197" s="21" t="str">
        <f>IF(E197="Navio",IF($G197&lt;=VLOOKUP($F197,Base_Dados!$K$1:$O$7,5,FALSE)," ","Limite "&amp;VLOOKUP($F197,Base_Dados!$K$1:$O$11,5,FALSE)&amp;" "&amp;VLOOKUP($F197,Base_Dados!$K$1:$O$11,2,FALSE))," ")</f>
        <v> </v>
      </c>
      <c r="Q197" s="21" t="str">
        <f t="shared" si="2"/>
        <v/>
      </c>
      <c r="R197" s="1"/>
      <c r="S197" s="1"/>
      <c r="T197" s="1"/>
      <c r="U197" s="1"/>
      <c r="V197" s="1"/>
      <c r="W197" s="1"/>
      <c r="X197" s="1"/>
      <c r="Y197" s="1"/>
      <c r="Z197" s="1"/>
    </row>
    <row r="198" ht="24.0" customHeight="1">
      <c r="A198" s="18" t="s">
        <v>70</v>
      </c>
      <c r="B198" s="18" t="s">
        <v>22</v>
      </c>
      <c r="C198" s="19" t="s">
        <v>23</v>
      </c>
      <c r="D198" s="19" t="s">
        <v>72</v>
      </c>
      <c r="E198" s="19" t="s">
        <v>25</v>
      </c>
      <c r="F198" s="19" t="s">
        <v>26</v>
      </c>
      <c r="G198" s="20">
        <v>22.37</v>
      </c>
      <c r="H198" s="19" t="s">
        <v>27</v>
      </c>
      <c r="I198" s="19" t="s">
        <v>28</v>
      </c>
      <c r="J198" s="13">
        <f>VLOOKUP(C198&amp;I198&amp;E198,Orig_Dest!$A$2:$E$1876,5,FALSE)</f>
        <v>3</v>
      </c>
      <c r="K198" s="14" t="str">
        <f t="shared" si="1"/>
        <v>Dia 15</v>
      </c>
      <c r="L198" s="21" t="str">
        <f>IF(B198="Fornecedor",IF(VLOOKUP(C198,Base_Dados!$E$1:$F$7,2,FALSE)=F198," ","Fornecedor inválido!")," ")</f>
        <v> </v>
      </c>
      <c r="M198" s="22" t="str">
        <f>IF(AND(LEFT(F198,2)="MP",H198&lt;&gt;Base_Dados!$A$1),"Impossível!!!"," ")</f>
        <v> </v>
      </c>
      <c r="N198" s="21" t="str">
        <f>IF(E198="Avião",IF($G198&lt;=VLOOKUP($F198,Base_Dados!$K$1:$O$7,3,FALSE)," ","Limite "&amp;VLOOKUP($F198,Base_Dados!$K$1:$O$11,3,FALSE)&amp;" "&amp;VLOOKUP($F198,Base_Dados!$K$1:$O$11,2,FALSE))," ")</f>
        <v> </v>
      </c>
      <c r="O198" s="21" t="str">
        <f>IF(E198="Caminhão",IF($G198&lt;=VLOOKUP($F198,Base_Dados!$K$1:$O$7,4,FALSE)," ","Limite "&amp;VLOOKUP($F198,Base_Dados!$K$1:$O$11,4,FALSE)&amp;" "&amp;VLOOKUP($F198,Base_Dados!$K$1:$O$11,2,FALSE))," ")</f>
        <v> </v>
      </c>
      <c r="P198" s="21" t="str">
        <f>IF(E198="Navio",IF($G198&lt;=VLOOKUP($F198,Base_Dados!$K$1:$O$7,5,FALSE)," ","Limite "&amp;VLOOKUP($F198,Base_Dados!$K$1:$O$11,5,FALSE)&amp;" "&amp;VLOOKUP($F198,Base_Dados!$K$1:$O$11,2,FALSE))," ")</f>
        <v> </v>
      </c>
      <c r="Q198" s="21" t="str">
        <f t="shared" si="2"/>
        <v/>
      </c>
      <c r="R198" s="1"/>
      <c r="S198" s="1"/>
      <c r="T198" s="1"/>
      <c r="U198" s="1"/>
      <c r="V198" s="1"/>
      <c r="W198" s="1"/>
      <c r="X198" s="1"/>
      <c r="Y198" s="1"/>
      <c r="Z198" s="1"/>
    </row>
    <row r="199" ht="24.0" customHeight="1">
      <c r="A199" s="18" t="s">
        <v>70</v>
      </c>
      <c r="B199" s="18" t="s">
        <v>22</v>
      </c>
      <c r="C199" s="19" t="s">
        <v>23</v>
      </c>
      <c r="D199" s="19" t="s">
        <v>73</v>
      </c>
      <c r="E199" s="19" t="s">
        <v>25</v>
      </c>
      <c r="F199" s="19" t="s">
        <v>26</v>
      </c>
      <c r="G199" s="20">
        <v>22.37</v>
      </c>
      <c r="H199" s="19" t="s">
        <v>27</v>
      </c>
      <c r="I199" s="19" t="s">
        <v>28</v>
      </c>
      <c r="J199" s="13">
        <f>VLOOKUP(C199&amp;I199&amp;E199,Orig_Dest!$A$2:$E$1876,5,FALSE)</f>
        <v>3</v>
      </c>
      <c r="K199" s="14" t="str">
        <f t="shared" si="1"/>
        <v>Dia 16</v>
      </c>
      <c r="L199" s="21" t="str">
        <f>IF(B199="Fornecedor",IF(VLOOKUP(C199,Base_Dados!$E$1:$F$7,2,FALSE)=F199," ","Fornecedor inválido!")," ")</f>
        <v> </v>
      </c>
      <c r="M199" s="22" t="str">
        <f>IF(AND(LEFT(F199,2)="MP",H199&lt;&gt;Base_Dados!$A$1),"Impossível!!!"," ")</f>
        <v> </v>
      </c>
      <c r="N199" s="21" t="str">
        <f>IF(E199="Avião",IF($G199&lt;=VLOOKUP($F199,Base_Dados!$K$1:$O$7,3,FALSE)," ","Limite "&amp;VLOOKUP($F199,Base_Dados!$K$1:$O$11,3,FALSE)&amp;" "&amp;VLOOKUP($F199,Base_Dados!$K$1:$O$11,2,FALSE))," ")</f>
        <v> </v>
      </c>
      <c r="O199" s="21" t="str">
        <f>IF(E199="Caminhão",IF($G199&lt;=VLOOKUP($F199,Base_Dados!$K$1:$O$7,4,FALSE)," ","Limite "&amp;VLOOKUP($F199,Base_Dados!$K$1:$O$11,4,FALSE)&amp;" "&amp;VLOOKUP($F199,Base_Dados!$K$1:$O$11,2,FALSE))," ")</f>
        <v> </v>
      </c>
      <c r="P199" s="21" t="str">
        <f>IF(E199="Navio",IF($G199&lt;=VLOOKUP($F199,Base_Dados!$K$1:$O$7,5,FALSE)," ","Limite "&amp;VLOOKUP($F199,Base_Dados!$K$1:$O$11,5,FALSE)&amp;" "&amp;VLOOKUP($F199,Base_Dados!$K$1:$O$11,2,FALSE))," ")</f>
        <v> </v>
      </c>
      <c r="Q199" s="21" t="str">
        <f t="shared" si="2"/>
        <v/>
      </c>
      <c r="R199" s="1"/>
      <c r="S199" s="1"/>
      <c r="T199" s="1"/>
      <c r="U199" s="1"/>
      <c r="V199" s="1"/>
      <c r="W199" s="1"/>
      <c r="X199" s="1"/>
      <c r="Y199" s="1"/>
      <c r="Z199" s="1"/>
    </row>
    <row r="200" ht="24.0" customHeight="1">
      <c r="A200" s="18" t="s">
        <v>70</v>
      </c>
      <c r="B200" s="18" t="s">
        <v>22</v>
      </c>
      <c r="C200" s="19" t="s">
        <v>29</v>
      </c>
      <c r="D200" s="19" t="s">
        <v>71</v>
      </c>
      <c r="E200" s="19" t="s">
        <v>25</v>
      </c>
      <c r="F200" s="19" t="s">
        <v>30</v>
      </c>
      <c r="G200" s="20">
        <v>19.98</v>
      </c>
      <c r="H200" s="19" t="s">
        <v>27</v>
      </c>
      <c r="I200" s="19" t="s">
        <v>28</v>
      </c>
      <c r="J200" s="13">
        <f>VLOOKUP(C200&amp;I200&amp;E200,Orig_Dest!$A$2:$E$1876,5,FALSE)</f>
        <v>2</v>
      </c>
      <c r="K200" s="14" t="str">
        <f t="shared" si="1"/>
        <v>Dia 13</v>
      </c>
      <c r="L200" s="21" t="str">
        <f>IF(B200="Fornecedor",IF(VLOOKUP(C200,Base_Dados!$E$1:$F$7,2,FALSE)=F200," ","Fornecedor inválido!")," ")</f>
        <v> </v>
      </c>
      <c r="M200" s="22" t="str">
        <f>IF(AND(LEFT(F200,2)="MP",H200&lt;&gt;Base_Dados!$A$1),"Impossível!!!"," ")</f>
        <v> </v>
      </c>
      <c r="N200" s="21" t="str">
        <f>IF(E200="Avião",IF($G200&lt;=VLOOKUP($F200,Base_Dados!$K$1:$O$7,3,FALSE)," ","Limite "&amp;VLOOKUP($F200,Base_Dados!$K$1:$O$11,3,FALSE)&amp;" "&amp;VLOOKUP($F200,Base_Dados!$K$1:$O$11,2,FALSE))," ")</f>
        <v> </v>
      </c>
      <c r="O200" s="21" t="str">
        <f>IF(E200="Caminhão",IF($G200&lt;=VLOOKUP($F200,Base_Dados!$K$1:$O$7,4,FALSE)," ","Limite "&amp;VLOOKUP($F200,Base_Dados!$K$1:$O$11,4,FALSE)&amp;" "&amp;VLOOKUP($F200,Base_Dados!$K$1:$O$11,2,FALSE))," ")</f>
        <v> </v>
      </c>
      <c r="P200" s="21" t="str">
        <f>IF(E200="Navio",IF($G200&lt;=VLOOKUP($F200,Base_Dados!$K$1:$O$7,5,FALSE)," ","Limite "&amp;VLOOKUP($F200,Base_Dados!$K$1:$O$11,5,FALSE)&amp;" "&amp;VLOOKUP($F200,Base_Dados!$K$1:$O$11,2,FALSE))," ")</f>
        <v> </v>
      </c>
      <c r="Q200" s="21" t="str">
        <f t="shared" si="2"/>
        <v/>
      </c>
      <c r="R200" s="1"/>
      <c r="S200" s="1"/>
      <c r="T200" s="1"/>
      <c r="U200" s="1"/>
      <c r="V200" s="1"/>
      <c r="W200" s="1"/>
      <c r="X200" s="1"/>
      <c r="Y200" s="1"/>
      <c r="Z200" s="1"/>
    </row>
    <row r="201" ht="24.0" customHeight="1">
      <c r="A201" s="18" t="s">
        <v>70</v>
      </c>
      <c r="B201" s="18" t="s">
        <v>22</v>
      </c>
      <c r="C201" s="19" t="s">
        <v>29</v>
      </c>
      <c r="D201" s="19" t="s">
        <v>72</v>
      </c>
      <c r="E201" s="19" t="s">
        <v>25</v>
      </c>
      <c r="F201" s="19" t="s">
        <v>30</v>
      </c>
      <c r="G201" s="20">
        <v>19.98</v>
      </c>
      <c r="H201" s="19" t="s">
        <v>27</v>
      </c>
      <c r="I201" s="19" t="s">
        <v>28</v>
      </c>
      <c r="J201" s="13">
        <f>VLOOKUP(C201&amp;I201&amp;E201,Orig_Dest!$A$2:$E$1876,5,FALSE)</f>
        <v>2</v>
      </c>
      <c r="K201" s="14" t="str">
        <f t="shared" si="1"/>
        <v>Dia 14</v>
      </c>
      <c r="L201" s="21" t="str">
        <f>IF(B201="Fornecedor",IF(VLOOKUP(C201,Base_Dados!$E$1:$F$7,2,FALSE)=F201," ","Fornecedor inválido!")," ")</f>
        <v> </v>
      </c>
      <c r="M201" s="22" t="str">
        <f>IF(AND(LEFT(F201,2)="MP",H201&lt;&gt;Base_Dados!$A$1),"Impossível!!!"," ")</f>
        <v> </v>
      </c>
      <c r="N201" s="21" t="str">
        <f>IF(E201="Avião",IF($G201&lt;=VLOOKUP($F201,Base_Dados!$K$1:$O$7,3,FALSE)," ","Limite "&amp;VLOOKUP($F201,Base_Dados!$K$1:$O$11,3,FALSE)&amp;" "&amp;VLOOKUP($F201,Base_Dados!$K$1:$O$11,2,FALSE))," ")</f>
        <v> </v>
      </c>
      <c r="O201" s="21" t="str">
        <f>IF(E201="Caminhão",IF($G201&lt;=VLOOKUP($F201,Base_Dados!$K$1:$O$7,4,FALSE)," ","Limite "&amp;VLOOKUP($F201,Base_Dados!$K$1:$O$11,4,FALSE)&amp;" "&amp;VLOOKUP($F201,Base_Dados!$K$1:$O$11,2,FALSE))," ")</f>
        <v> </v>
      </c>
      <c r="P201" s="21" t="str">
        <f>IF(E201="Navio",IF($G201&lt;=VLOOKUP($F201,Base_Dados!$K$1:$O$7,5,FALSE)," ","Limite "&amp;VLOOKUP($F201,Base_Dados!$K$1:$O$11,5,FALSE)&amp;" "&amp;VLOOKUP($F201,Base_Dados!$K$1:$O$11,2,FALSE))," ")</f>
        <v> </v>
      </c>
      <c r="Q201" s="21" t="str">
        <f t="shared" si="2"/>
        <v/>
      </c>
      <c r="R201" s="1"/>
      <c r="S201" s="1"/>
      <c r="T201" s="1"/>
      <c r="U201" s="1"/>
      <c r="V201" s="1"/>
      <c r="W201" s="1"/>
      <c r="X201" s="1"/>
      <c r="Y201" s="1"/>
      <c r="Z201" s="1"/>
    </row>
    <row r="202" ht="24.0" customHeight="1">
      <c r="A202" s="18" t="s">
        <v>70</v>
      </c>
      <c r="B202" s="18" t="s">
        <v>22</v>
      </c>
      <c r="C202" s="19" t="s">
        <v>31</v>
      </c>
      <c r="D202" s="19" t="s">
        <v>71</v>
      </c>
      <c r="E202" s="19" t="s">
        <v>25</v>
      </c>
      <c r="F202" s="19" t="s">
        <v>32</v>
      </c>
      <c r="G202" s="20">
        <v>18.78</v>
      </c>
      <c r="H202" s="19" t="s">
        <v>27</v>
      </c>
      <c r="I202" s="19" t="s">
        <v>28</v>
      </c>
      <c r="J202" s="13">
        <f>VLOOKUP(C202&amp;I202&amp;E202,Orig_Dest!$A$2:$E$1876,5,FALSE)</f>
        <v>1</v>
      </c>
      <c r="K202" s="14" t="str">
        <f t="shared" si="1"/>
        <v>Dia 12</v>
      </c>
      <c r="L202" s="21" t="str">
        <f>IF(B202="Fornecedor",IF(VLOOKUP(C202,Base_Dados!$E$1:$F$7,2,FALSE)=F202," ","Fornecedor inválido!")," ")</f>
        <v> </v>
      </c>
      <c r="M202" s="22" t="str">
        <f>IF(AND(LEFT(F202,2)="MP",H202&lt;&gt;Base_Dados!$A$1),"Impossível!!!"," ")</f>
        <v> </v>
      </c>
      <c r="N202" s="21" t="str">
        <f>IF(E202="Avião",IF($G202&lt;=VLOOKUP($F202,Base_Dados!$K$1:$O$7,3,FALSE)," ","Limite "&amp;VLOOKUP($F202,Base_Dados!$K$1:$O$11,3,FALSE)&amp;" "&amp;VLOOKUP($F202,Base_Dados!$K$1:$O$11,2,FALSE))," ")</f>
        <v> </v>
      </c>
      <c r="O202" s="21" t="str">
        <f>IF(E202="Caminhão",IF($G202&lt;=VLOOKUP($F202,Base_Dados!$K$1:$O$7,4,FALSE)," ","Limite "&amp;VLOOKUP($F202,Base_Dados!$K$1:$O$11,4,FALSE)&amp;" "&amp;VLOOKUP($F202,Base_Dados!$K$1:$O$11,2,FALSE))," ")</f>
        <v> </v>
      </c>
      <c r="P202" s="21" t="str">
        <f>IF(E202="Navio",IF($G202&lt;=VLOOKUP($F202,Base_Dados!$K$1:$O$7,5,FALSE)," ","Limite "&amp;VLOOKUP($F202,Base_Dados!$K$1:$O$11,5,FALSE)&amp;" "&amp;VLOOKUP($F202,Base_Dados!$K$1:$O$11,2,FALSE))," ")</f>
        <v> </v>
      </c>
      <c r="Q202" s="21" t="str">
        <f t="shared" si="2"/>
        <v/>
      </c>
      <c r="R202" s="1"/>
      <c r="S202" s="1"/>
      <c r="T202" s="1"/>
      <c r="U202" s="1"/>
      <c r="V202" s="1"/>
      <c r="W202" s="1"/>
      <c r="X202" s="1"/>
      <c r="Y202" s="1"/>
      <c r="Z202" s="1"/>
    </row>
    <row r="203" ht="24.0" customHeight="1">
      <c r="A203" s="18" t="s">
        <v>70</v>
      </c>
      <c r="B203" s="18" t="s">
        <v>22</v>
      </c>
      <c r="C203" s="19" t="s">
        <v>31</v>
      </c>
      <c r="D203" s="19" t="s">
        <v>72</v>
      </c>
      <c r="E203" s="19" t="s">
        <v>25</v>
      </c>
      <c r="F203" s="19" t="s">
        <v>32</v>
      </c>
      <c r="G203" s="20">
        <v>18.78</v>
      </c>
      <c r="H203" s="19" t="s">
        <v>27</v>
      </c>
      <c r="I203" s="19" t="s">
        <v>28</v>
      </c>
      <c r="J203" s="13">
        <f>VLOOKUP(C203&amp;I203&amp;E203,Orig_Dest!$A$2:$E$1876,5,FALSE)</f>
        <v>1</v>
      </c>
      <c r="K203" s="14" t="str">
        <f t="shared" si="1"/>
        <v>Dia 13</v>
      </c>
      <c r="L203" s="21" t="str">
        <f>IF(B203="Fornecedor",IF(VLOOKUP(C203,Base_Dados!$E$1:$F$7,2,FALSE)=F203," ","Fornecedor inválido!")," ")</f>
        <v> </v>
      </c>
      <c r="M203" s="22" t="str">
        <f>IF(AND(LEFT(F203,2)="MP",H203&lt;&gt;Base_Dados!$A$1),"Impossível!!!"," ")</f>
        <v> </v>
      </c>
      <c r="N203" s="21" t="str">
        <f>IF(E203="Avião",IF($G203&lt;=VLOOKUP($F203,Base_Dados!$K$1:$O$7,3,FALSE)," ","Limite "&amp;VLOOKUP($F203,Base_Dados!$K$1:$O$11,3,FALSE)&amp;" "&amp;VLOOKUP($F203,Base_Dados!$K$1:$O$11,2,FALSE))," ")</f>
        <v> </v>
      </c>
      <c r="O203" s="21" t="str">
        <f>IF(E203="Caminhão",IF($G203&lt;=VLOOKUP($F203,Base_Dados!$K$1:$O$7,4,FALSE)," ","Limite "&amp;VLOOKUP($F203,Base_Dados!$K$1:$O$11,4,FALSE)&amp;" "&amp;VLOOKUP($F203,Base_Dados!$K$1:$O$11,2,FALSE))," ")</f>
        <v> </v>
      </c>
      <c r="P203" s="21" t="str">
        <f>IF(E203="Navio",IF($G203&lt;=VLOOKUP($F203,Base_Dados!$K$1:$O$7,5,FALSE)," ","Limite "&amp;VLOOKUP($F203,Base_Dados!$K$1:$O$11,5,FALSE)&amp;" "&amp;VLOOKUP($F203,Base_Dados!$K$1:$O$11,2,FALSE))," ")</f>
        <v> </v>
      </c>
      <c r="Q203" s="21" t="str">
        <f t="shared" si="2"/>
        <v/>
      </c>
      <c r="R203" s="1"/>
      <c r="S203" s="1"/>
      <c r="T203" s="1"/>
      <c r="U203" s="1"/>
      <c r="V203" s="1"/>
      <c r="W203" s="1"/>
      <c r="X203" s="1"/>
      <c r="Y203" s="1"/>
      <c r="Z203" s="1"/>
    </row>
    <row r="204" ht="24.0" customHeight="1">
      <c r="A204" s="18" t="s">
        <v>70</v>
      </c>
      <c r="B204" s="18" t="s">
        <v>22</v>
      </c>
      <c r="C204" s="19" t="s">
        <v>31</v>
      </c>
      <c r="D204" s="19" t="s">
        <v>73</v>
      </c>
      <c r="E204" s="19" t="s">
        <v>25</v>
      </c>
      <c r="F204" s="19" t="s">
        <v>32</v>
      </c>
      <c r="G204" s="20">
        <v>18.78</v>
      </c>
      <c r="H204" s="19" t="s">
        <v>27</v>
      </c>
      <c r="I204" s="19" t="s">
        <v>28</v>
      </c>
      <c r="J204" s="13">
        <f>VLOOKUP(C204&amp;I204&amp;E204,Orig_Dest!$A$2:$E$1876,5,FALSE)</f>
        <v>1</v>
      </c>
      <c r="K204" s="14" t="str">
        <f t="shared" si="1"/>
        <v>Dia 14</v>
      </c>
      <c r="L204" s="21" t="str">
        <f>IF(B204="Fornecedor",IF(VLOOKUP(C204,Base_Dados!$E$1:$F$7,2,FALSE)=F204," ","Fornecedor inválido!")," ")</f>
        <v> </v>
      </c>
      <c r="M204" s="22" t="str">
        <f>IF(AND(LEFT(F204,2)="MP",H204&lt;&gt;Base_Dados!$A$1),"Impossível!!!"," ")</f>
        <v> </v>
      </c>
      <c r="N204" s="21" t="str">
        <f>IF(E204="Avião",IF($G204&lt;=VLOOKUP($F204,Base_Dados!$K$1:$O$7,3,FALSE)," ","Limite "&amp;VLOOKUP($F204,Base_Dados!$K$1:$O$11,3,FALSE)&amp;" "&amp;VLOOKUP($F204,Base_Dados!$K$1:$O$11,2,FALSE))," ")</f>
        <v> </v>
      </c>
      <c r="O204" s="21" t="str">
        <f>IF(E204="Caminhão",IF($G204&lt;=VLOOKUP($F204,Base_Dados!$K$1:$O$7,4,FALSE)," ","Limite "&amp;VLOOKUP($F204,Base_Dados!$K$1:$O$11,4,FALSE)&amp;" "&amp;VLOOKUP($F204,Base_Dados!$K$1:$O$11,2,FALSE))," ")</f>
        <v> </v>
      </c>
      <c r="P204" s="21" t="str">
        <f>IF(E204="Navio",IF($G204&lt;=VLOOKUP($F204,Base_Dados!$K$1:$O$7,5,FALSE)," ","Limite "&amp;VLOOKUP($F204,Base_Dados!$K$1:$O$11,5,FALSE)&amp;" "&amp;VLOOKUP($F204,Base_Dados!$K$1:$O$11,2,FALSE))," ")</f>
        <v> </v>
      </c>
      <c r="Q204" s="21" t="str">
        <f t="shared" si="2"/>
        <v/>
      </c>
      <c r="R204" s="1"/>
      <c r="S204" s="1"/>
      <c r="T204" s="1"/>
      <c r="U204" s="1"/>
      <c r="V204" s="1"/>
      <c r="W204" s="1"/>
      <c r="X204" s="1"/>
      <c r="Y204" s="1"/>
      <c r="Z204" s="1"/>
    </row>
    <row r="205" ht="24.0" customHeight="1">
      <c r="A205" s="18" t="s">
        <v>70</v>
      </c>
      <c r="B205" s="18" t="s">
        <v>27</v>
      </c>
      <c r="C205" s="19" t="s">
        <v>28</v>
      </c>
      <c r="D205" s="19" t="s">
        <v>71</v>
      </c>
      <c r="E205" s="19" t="s">
        <v>37</v>
      </c>
      <c r="F205" s="19" t="s">
        <v>40</v>
      </c>
      <c r="G205" s="20">
        <v>1290.0</v>
      </c>
      <c r="H205" s="19" t="s">
        <v>35</v>
      </c>
      <c r="I205" s="19" t="s">
        <v>38</v>
      </c>
      <c r="J205" s="13">
        <f>VLOOKUP(C205&amp;I205&amp;E205,Orig_Dest!$A$2:$E$1876,5,FALSE)</f>
        <v>1</v>
      </c>
      <c r="K205" s="14" t="str">
        <f t="shared" si="1"/>
        <v>Dia 12</v>
      </c>
      <c r="L205" s="21" t="str">
        <f>IF(B205="Fornecedor",IF(VLOOKUP(C205,Base_Dados!$E$1:$F$7,2,FALSE)=F205," ","Fornecedor inválido!")," ")</f>
        <v> </v>
      </c>
      <c r="M205" s="22" t="str">
        <f>IF(AND(LEFT(F205,2)="MP",H205&lt;&gt;Base_Dados!$A$1),"Impossível!!!"," ")</f>
        <v> </v>
      </c>
      <c r="N205" s="21" t="str">
        <f>IF(E205="Avião",IF($G205&lt;=VLOOKUP($F205,Base_Dados!$K$1:$O$7,3,FALSE)," ","Limite "&amp;VLOOKUP($F205,Base_Dados!$K$1:$O$11,3,FALSE)&amp;" "&amp;VLOOKUP($F205,Base_Dados!$K$1:$O$11,2,FALSE))," ")</f>
        <v> </v>
      </c>
      <c r="O205" s="21" t="str">
        <f>IF(E205="Caminhão",IF($G205&lt;=VLOOKUP($F205,Base_Dados!$K$1:$O$7,4,FALSE)," ","Limite "&amp;VLOOKUP($F205,Base_Dados!$K$1:$O$11,4,FALSE)&amp;" "&amp;VLOOKUP($F205,Base_Dados!$K$1:$O$11,2,FALSE))," ")</f>
        <v> </v>
      </c>
      <c r="P205" s="21" t="str">
        <f>IF(E205="Navio",IF($G205&lt;=VLOOKUP($F205,Base_Dados!$K$1:$O$7,5,FALSE)," ","Limite "&amp;VLOOKUP($F205,Base_Dados!$K$1:$O$11,5,FALSE)&amp;" "&amp;VLOOKUP($F205,Base_Dados!$K$1:$O$11,2,FALSE))," ")</f>
        <v> </v>
      </c>
      <c r="Q205" s="21" t="str">
        <f t="shared" si="2"/>
        <v/>
      </c>
      <c r="R205" s="1"/>
      <c r="S205" s="1"/>
      <c r="T205" s="1"/>
      <c r="U205" s="1"/>
      <c r="V205" s="1"/>
      <c r="W205" s="1"/>
      <c r="X205" s="1"/>
      <c r="Y205" s="1"/>
      <c r="Z205" s="1"/>
    </row>
    <row r="206" ht="24.0" customHeight="1">
      <c r="A206" s="18" t="s">
        <v>70</v>
      </c>
      <c r="B206" s="18" t="s">
        <v>27</v>
      </c>
      <c r="C206" s="19" t="s">
        <v>28</v>
      </c>
      <c r="D206" s="19" t="s">
        <v>71</v>
      </c>
      <c r="E206" s="19" t="s">
        <v>45</v>
      </c>
      <c r="F206" s="19" t="s">
        <v>42</v>
      </c>
      <c r="G206" s="20">
        <v>6666.0</v>
      </c>
      <c r="H206" s="19" t="s">
        <v>35</v>
      </c>
      <c r="I206" s="19" t="s">
        <v>38</v>
      </c>
      <c r="J206" s="13">
        <f>VLOOKUP(C206&amp;I206&amp;E206,Orig_Dest!$A$2:$E$1876,5,FALSE)</f>
        <v>0</v>
      </c>
      <c r="K206" s="14" t="str">
        <f t="shared" si="1"/>
        <v>Dia 11</v>
      </c>
      <c r="L206" s="21" t="str">
        <f>IF(B206="Fornecedor",IF(VLOOKUP(C206,Base_Dados!$E$1:$F$7,2,FALSE)=F206," ","Fornecedor inválido!")," ")</f>
        <v> </v>
      </c>
      <c r="M206" s="22" t="str">
        <f>IF(AND(LEFT(F206,2)="MP",H206&lt;&gt;Base_Dados!$A$1),"Impossível!!!"," ")</f>
        <v> </v>
      </c>
      <c r="N206" s="21" t="str">
        <f>IF(E206="Avião",IF($G206&lt;=VLOOKUP($F206,Base_Dados!$K$1:$O$7,3,FALSE)," ","Limite "&amp;VLOOKUP($F206,Base_Dados!$K$1:$O$11,3,FALSE)&amp;" "&amp;VLOOKUP($F206,Base_Dados!$K$1:$O$11,2,FALSE))," ")</f>
        <v> </v>
      </c>
      <c r="O206" s="21" t="str">
        <f>IF(E206="Caminhão",IF($G206&lt;=VLOOKUP($F206,Base_Dados!$K$1:$O$7,4,FALSE)," ","Limite "&amp;VLOOKUP($F206,Base_Dados!$K$1:$O$11,4,FALSE)&amp;" "&amp;VLOOKUP($F206,Base_Dados!$K$1:$O$11,2,FALSE))," ")</f>
        <v> </v>
      </c>
      <c r="P206" s="21" t="str">
        <f>IF(E206="Navio",IF($G206&lt;=VLOOKUP($F206,Base_Dados!$K$1:$O$7,5,FALSE)," ","Limite "&amp;VLOOKUP($F206,Base_Dados!$K$1:$O$11,5,FALSE)&amp;" "&amp;VLOOKUP($F206,Base_Dados!$K$1:$O$11,2,FALSE))," ")</f>
        <v> </v>
      </c>
      <c r="Q206" s="21" t="str">
        <f t="shared" si="2"/>
        <v/>
      </c>
      <c r="R206" s="1"/>
      <c r="S206" s="1"/>
      <c r="T206" s="1"/>
      <c r="U206" s="1"/>
      <c r="V206" s="1"/>
      <c r="W206" s="1"/>
      <c r="X206" s="1"/>
      <c r="Y206" s="1"/>
      <c r="Z206" s="1"/>
    </row>
    <row r="207" ht="24.0" customHeight="1">
      <c r="A207" s="18" t="s">
        <v>70</v>
      </c>
      <c r="B207" s="18" t="s">
        <v>27</v>
      </c>
      <c r="C207" s="19" t="s">
        <v>28</v>
      </c>
      <c r="D207" s="19" t="s">
        <v>71</v>
      </c>
      <c r="E207" s="19" t="s">
        <v>45</v>
      </c>
      <c r="F207" s="19" t="s">
        <v>42</v>
      </c>
      <c r="G207" s="20">
        <v>6666.0</v>
      </c>
      <c r="H207" s="19" t="s">
        <v>35</v>
      </c>
      <c r="I207" s="19" t="s">
        <v>38</v>
      </c>
      <c r="J207" s="13">
        <f>VLOOKUP(C207&amp;I207&amp;E207,Orig_Dest!$A$2:$E$1876,5,FALSE)</f>
        <v>0</v>
      </c>
      <c r="K207" s="14" t="str">
        <f t="shared" si="1"/>
        <v>Dia 11</v>
      </c>
      <c r="L207" s="21" t="str">
        <f>IF(B207="Fornecedor",IF(VLOOKUP(C207,Base_Dados!$E$1:$F$7,2,FALSE)=F207," ","Fornecedor inválido!")," ")</f>
        <v> </v>
      </c>
      <c r="M207" s="22" t="str">
        <f>IF(AND(LEFT(F207,2)="MP",H207&lt;&gt;Base_Dados!$A$1),"Impossível!!!"," ")</f>
        <v> </v>
      </c>
      <c r="N207" s="21" t="str">
        <f>IF(E207="Avião",IF($G207&lt;=VLOOKUP($F207,Base_Dados!$K$1:$O$7,3,FALSE)," ","Limite "&amp;VLOOKUP($F207,Base_Dados!$K$1:$O$11,3,FALSE)&amp;" "&amp;VLOOKUP($F207,Base_Dados!$K$1:$O$11,2,FALSE))," ")</f>
        <v> </v>
      </c>
      <c r="O207" s="21" t="str">
        <f>IF(E207="Caminhão",IF($G207&lt;=VLOOKUP($F207,Base_Dados!$K$1:$O$7,4,FALSE)," ","Limite "&amp;VLOOKUP($F207,Base_Dados!$K$1:$O$11,4,FALSE)&amp;" "&amp;VLOOKUP($F207,Base_Dados!$K$1:$O$11,2,FALSE))," ")</f>
        <v> </v>
      </c>
      <c r="P207" s="21" t="str">
        <f>IF(E207="Navio",IF($G207&lt;=VLOOKUP($F207,Base_Dados!$K$1:$O$7,5,FALSE)," ","Limite "&amp;VLOOKUP($F207,Base_Dados!$K$1:$O$11,5,FALSE)&amp;" "&amp;VLOOKUP($F207,Base_Dados!$K$1:$O$11,2,FALSE))," ")</f>
        <v> </v>
      </c>
      <c r="Q207" s="21" t="str">
        <f t="shared" si="2"/>
        <v/>
      </c>
      <c r="R207" s="1"/>
      <c r="S207" s="1"/>
      <c r="T207" s="1"/>
      <c r="U207" s="1"/>
      <c r="V207" s="1"/>
      <c r="W207" s="1"/>
      <c r="X207" s="1"/>
      <c r="Y207" s="1"/>
      <c r="Z207" s="1"/>
    </row>
    <row r="208" ht="24.0" customHeight="1">
      <c r="A208" s="18" t="s">
        <v>70</v>
      </c>
      <c r="B208" s="18" t="s">
        <v>27</v>
      </c>
      <c r="C208" s="19" t="s">
        <v>28</v>
      </c>
      <c r="D208" s="19" t="s">
        <v>71</v>
      </c>
      <c r="E208" s="19" t="s">
        <v>45</v>
      </c>
      <c r="F208" s="19" t="s">
        <v>42</v>
      </c>
      <c r="G208" s="20">
        <v>6666.0</v>
      </c>
      <c r="H208" s="19" t="s">
        <v>35</v>
      </c>
      <c r="I208" s="19" t="s">
        <v>38</v>
      </c>
      <c r="J208" s="13">
        <f>VLOOKUP(C208&amp;I208&amp;E208,Orig_Dest!$A$2:$E$1876,5,FALSE)</f>
        <v>0</v>
      </c>
      <c r="K208" s="14" t="str">
        <f t="shared" si="1"/>
        <v>Dia 11</v>
      </c>
      <c r="L208" s="21" t="str">
        <f>IF(B208="Fornecedor",IF(VLOOKUP(C208,Base_Dados!$E$1:$F$7,2,FALSE)=F208," ","Fornecedor inválido!")," ")</f>
        <v> </v>
      </c>
      <c r="M208" s="22" t="str">
        <f>IF(AND(LEFT(F208,2)="MP",H208&lt;&gt;Base_Dados!$A$1),"Impossível!!!"," ")</f>
        <v> </v>
      </c>
      <c r="N208" s="21" t="str">
        <f>IF(E208="Avião",IF($G208&lt;=VLOOKUP($F208,Base_Dados!$K$1:$O$7,3,FALSE)," ","Limite "&amp;VLOOKUP($F208,Base_Dados!$K$1:$O$11,3,FALSE)&amp;" "&amp;VLOOKUP($F208,Base_Dados!$K$1:$O$11,2,FALSE))," ")</f>
        <v> </v>
      </c>
      <c r="O208" s="21" t="str">
        <f>IF(E208="Caminhão",IF($G208&lt;=VLOOKUP($F208,Base_Dados!$K$1:$O$7,4,FALSE)," ","Limite "&amp;VLOOKUP($F208,Base_Dados!$K$1:$O$11,4,FALSE)&amp;" "&amp;VLOOKUP($F208,Base_Dados!$K$1:$O$11,2,FALSE))," ")</f>
        <v> </v>
      </c>
      <c r="P208" s="21" t="str">
        <f>IF(E208="Navio",IF($G208&lt;=VLOOKUP($F208,Base_Dados!$K$1:$O$7,5,FALSE)," ","Limite "&amp;VLOOKUP($F208,Base_Dados!$K$1:$O$11,5,FALSE)&amp;" "&amp;VLOOKUP($F208,Base_Dados!$K$1:$O$11,2,FALSE))," ")</f>
        <v> </v>
      </c>
      <c r="Q208" s="21" t="str">
        <f t="shared" si="2"/>
        <v/>
      </c>
      <c r="R208" s="1"/>
      <c r="S208" s="1"/>
      <c r="T208" s="1"/>
      <c r="U208" s="1"/>
      <c r="V208" s="1"/>
      <c r="W208" s="1"/>
      <c r="X208" s="1"/>
      <c r="Y208" s="1"/>
      <c r="Z208" s="1"/>
    </row>
    <row r="209" ht="24.0" customHeight="1">
      <c r="A209" s="18" t="s">
        <v>70</v>
      </c>
      <c r="B209" s="18" t="s">
        <v>27</v>
      </c>
      <c r="C209" s="19" t="s">
        <v>28</v>
      </c>
      <c r="D209" s="19" t="s">
        <v>71</v>
      </c>
      <c r="E209" s="19" t="s">
        <v>45</v>
      </c>
      <c r="F209" s="19" t="s">
        <v>42</v>
      </c>
      <c r="G209" s="20">
        <v>6666.0</v>
      </c>
      <c r="H209" s="19" t="s">
        <v>35</v>
      </c>
      <c r="I209" s="19" t="s">
        <v>38</v>
      </c>
      <c r="J209" s="13">
        <f>VLOOKUP(C209&amp;I209&amp;E209,Orig_Dest!$A$2:$E$1876,5,FALSE)</f>
        <v>0</v>
      </c>
      <c r="K209" s="14" t="str">
        <f t="shared" si="1"/>
        <v>Dia 11</v>
      </c>
      <c r="L209" s="21" t="str">
        <f>IF(B209="Fornecedor",IF(VLOOKUP(C209,Base_Dados!$E$1:$F$7,2,FALSE)=F209," ","Fornecedor inválido!")," ")</f>
        <v> </v>
      </c>
      <c r="M209" s="22" t="str">
        <f>IF(AND(LEFT(F209,2)="MP",H209&lt;&gt;Base_Dados!$A$1),"Impossível!!!"," ")</f>
        <v> </v>
      </c>
      <c r="N209" s="21" t="str">
        <f>IF(E209="Avião",IF($G209&lt;=VLOOKUP($F209,Base_Dados!$K$1:$O$7,3,FALSE)," ","Limite "&amp;VLOOKUP($F209,Base_Dados!$K$1:$O$11,3,FALSE)&amp;" "&amp;VLOOKUP($F209,Base_Dados!$K$1:$O$11,2,FALSE))," ")</f>
        <v> </v>
      </c>
      <c r="O209" s="21" t="str">
        <f>IF(E209="Caminhão",IF($G209&lt;=VLOOKUP($F209,Base_Dados!$K$1:$O$7,4,FALSE)," ","Limite "&amp;VLOOKUP($F209,Base_Dados!$K$1:$O$11,4,FALSE)&amp;" "&amp;VLOOKUP($F209,Base_Dados!$K$1:$O$11,2,FALSE))," ")</f>
        <v> </v>
      </c>
      <c r="P209" s="21" t="str">
        <f>IF(E209="Navio",IF($G209&lt;=VLOOKUP($F209,Base_Dados!$K$1:$O$7,5,FALSE)," ","Limite "&amp;VLOOKUP($F209,Base_Dados!$K$1:$O$11,5,FALSE)&amp;" "&amp;VLOOKUP($F209,Base_Dados!$K$1:$O$11,2,FALSE))," ")</f>
        <v> </v>
      </c>
      <c r="Q209" s="21" t="str">
        <f t="shared" si="2"/>
        <v/>
      </c>
      <c r="R209" s="1"/>
      <c r="S209" s="1"/>
      <c r="T209" s="1"/>
      <c r="U209" s="1"/>
      <c r="V209" s="1"/>
      <c r="W209" s="1"/>
      <c r="X209" s="1"/>
      <c r="Y209" s="1"/>
      <c r="Z209" s="1"/>
    </row>
    <row r="210" ht="24.0" customHeight="1">
      <c r="A210" s="18" t="s">
        <v>70</v>
      </c>
      <c r="B210" s="18" t="s">
        <v>27</v>
      </c>
      <c r="C210" s="19" t="s">
        <v>28</v>
      </c>
      <c r="D210" s="19" t="s">
        <v>71</v>
      </c>
      <c r="E210" s="19" t="s">
        <v>45</v>
      </c>
      <c r="F210" s="19" t="s">
        <v>42</v>
      </c>
      <c r="G210" s="20">
        <v>6666.0</v>
      </c>
      <c r="H210" s="19" t="s">
        <v>35</v>
      </c>
      <c r="I210" s="19" t="s">
        <v>38</v>
      </c>
      <c r="J210" s="13">
        <f>VLOOKUP(C210&amp;I210&amp;E210,Orig_Dest!$A$2:$E$1876,5,FALSE)</f>
        <v>0</v>
      </c>
      <c r="K210" s="14" t="str">
        <f t="shared" si="1"/>
        <v>Dia 11</v>
      </c>
      <c r="L210" s="21" t="str">
        <f>IF(B210="Fornecedor",IF(VLOOKUP(C210,Base_Dados!$E$1:$F$7,2,FALSE)=F210," ","Fornecedor inválido!")," ")</f>
        <v> </v>
      </c>
      <c r="M210" s="22" t="str">
        <f>IF(AND(LEFT(F210,2)="MP",H210&lt;&gt;Base_Dados!$A$1),"Impossível!!!"," ")</f>
        <v> </v>
      </c>
      <c r="N210" s="21" t="str">
        <f>IF(E210="Avião",IF($G210&lt;=VLOOKUP($F210,Base_Dados!$K$1:$O$7,3,FALSE)," ","Limite "&amp;VLOOKUP($F210,Base_Dados!$K$1:$O$11,3,FALSE)&amp;" "&amp;VLOOKUP($F210,Base_Dados!$K$1:$O$11,2,FALSE))," ")</f>
        <v> </v>
      </c>
      <c r="O210" s="21" t="str">
        <f>IF(E210="Caminhão",IF($G210&lt;=VLOOKUP($F210,Base_Dados!$K$1:$O$7,4,FALSE)," ","Limite "&amp;VLOOKUP($F210,Base_Dados!$K$1:$O$11,4,FALSE)&amp;" "&amp;VLOOKUP($F210,Base_Dados!$K$1:$O$11,2,FALSE))," ")</f>
        <v> </v>
      </c>
      <c r="P210" s="21" t="str">
        <f>IF(E210="Navio",IF($G210&lt;=VLOOKUP($F210,Base_Dados!$K$1:$O$7,5,FALSE)," ","Limite "&amp;VLOOKUP($F210,Base_Dados!$K$1:$O$11,5,FALSE)&amp;" "&amp;VLOOKUP($F210,Base_Dados!$K$1:$O$11,2,FALSE))," ")</f>
        <v> </v>
      </c>
      <c r="Q210" s="21" t="str">
        <f t="shared" si="2"/>
        <v/>
      </c>
      <c r="R210" s="1"/>
      <c r="S210" s="1"/>
      <c r="T210" s="1"/>
      <c r="U210" s="1"/>
      <c r="V210" s="1"/>
      <c r="W210" s="1"/>
      <c r="X210" s="1"/>
      <c r="Y210" s="1"/>
      <c r="Z210" s="1"/>
    </row>
    <row r="211" ht="24.0" customHeight="1">
      <c r="A211" s="18" t="s">
        <v>70</v>
      </c>
      <c r="B211" s="18" t="s">
        <v>27</v>
      </c>
      <c r="C211" s="19" t="s">
        <v>28</v>
      </c>
      <c r="D211" s="19" t="s">
        <v>71</v>
      </c>
      <c r="E211" s="19" t="s">
        <v>45</v>
      </c>
      <c r="F211" s="19" t="s">
        <v>42</v>
      </c>
      <c r="G211" s="20">
        <v>6666.0</v>
      </c>
      <c r="H211" s="19" t="s">
        <v>35</v>
      </c>
      <c r="I211" s="19" t="s">
        <v>38</v>
      </c>
      <c r="J211" s="13">
        <f>VLOOKUP(C211&amp;I211&amp;E211,Orig_Dest!$A$2:$E$1876,5,FALSE)</f>
        <v>0</v>
      </c>
      <c r="K211" s="14" t="str">
        <f t="shared" si="1"/>
        <v>Dia 11</v>
      </c>
      <c r="L211" s="21" t="str">
        <f>IF(B211="Fornecedor",IF(VLOOKUP(C211,Base_Dados!$E$1:$F$7,2,FALSE)=F211," ","Fornecedor inválido!")," ")</f>
        <v> </v>
      </c>
      <c r="M211" s="22" t="str">
        <f>IF(AND(LEFT(F211,2)="MP",H211&lt;&gt;Base_Dados!$A$1),"Impossível!!!"," ")</f>
        <v> </v>
      </c>
      <c r="N211" s="21" t="str">
        <f>IF(E211="Avião",IF($G211&lt;=VLOOKUP($F211,Base_Dados!$K$1:$O$7,3,FALSE)," ","Limite "&amp;VLOOKUP($F211,Base_Dados!$K$1:$O$11,3,FALSE)&amp;" "&amp;VLOOKUP($F211,Base_Dados!$K$1:$O$11,2,FALSE))," ")</f>
        <v> </v>
      </c>
      <c r="O211" s="21" t="str">
        <f>IF(E211="Caminhão",IF($G211&lt;=VLOOKUP($F211,Base_Dados!$K$1:$O$7,4,FALSE)," ","Limite "&amp;VLOOKUP($F211,Base_Dados!$K$1:$O$11,4,FALSE)&amp;" "&amp;VLOOKUP($F211,Base_Dados!$K$1:$O$11,2,FALSE))," ")</f>
        <v> </v>
      </c>
      <c r="P211" s="21" t="str">
        <f>IF(E211="Navio",IF($G211&lt;=VLOOKUP($F211,Base_Dados!$K$1:$O$7,5,FALSE)," ","Limite "&amp;VLOOKUP($F211,Base_Dados!$K$1:$O$11,5,FALSE)&amp;" "&amp;VLOOKUP($F211,Base_Dados!$K$1:$O$11,2,FALSE))," ")</f>
        <v> </v>
      </c>
      <c r="Q211" s="21" t="str">
        <f t="shared" si="2"/>
        <v/>
      </c>
      <c r="R211" s="1"/>
      <c r="S211" s="1"/>
      <c r="T211" s="1"/>
      <c r="U211" s="1"/>
      <c r="V211" s="1"/>
      <c r="W211" s="1"/>
      <c r="X211" s="1"/>
      <c r="Y211" s="1"/>
      <c r="Z211" s="1"/>
    </row>
    <row r="212" ht="24.0" customHeight="1">
      <c r="A212" s="18" t="s">
        <v>70</v>
      </c>
      <c r="B212" s="18" t="s">
        <v>27</v>
      </c>
      <c r="C212" s="19" t="s">
        <v>28</v>
      </c>
      <c r="D212" s="19" t="s">
        <v>71</v>
      </c>
      <c r="E212" s="19" t="s">
        <v>45</v>
      </c>
      <c r="F212" s="19" t="s">
        <v>42</v>
      </c>
      <c r="G212" s="20">
        <v>6666.0</v>
      </c>
      <c r="H212" s="19" t="s">
        <v>35</v>
      </c>
      <c r="I212" s="19" t="s">
        <v>38</v>
      </c>
      <c r="J212" s="13">
        <f>VLOOKUP(C212&amp;I212&amp;E212,Orig_Dest!$A$2:$E$1876,5,FALSE)</f>
        <v>0</v>
      </c>
      <c r="K212" s="14" t="str">
        <f t="shared" si="1"/>
        <v>Dia 11</v>
      </c>
      <c r="L212" s="21" t="str">
        <f>IF(B212="Fornecedor",IF(VLOOKUP(C212,Base_Dados!$E$1:$F$7,2,FALSE)=F212," ","Fornecedor inválido!")," ")</f>
        <v> </v>
      </c>
      <c r="M212" s="22" t="str">
        <f>IF(AND(LEFT(F212,2)="MP",H212&lt;&gt;Base_Dados!$A$1),"Impossível!!!"," ")</f>
        <v> </v>
      </c>
      <c r="N212" s="21" t="str">
        <f>IF(E212="Avião",IF($G212&lt;=VLOOKUP($F212,Base_Dados!$K$1:$O$7,3,FALSE)," ","Limite "&amp;VLOOKUP($F212,Base_Dados!$K$1:$O$11,3,FALSE)&amp;" "&amp;VLOOKUP($F212,Base_Dados!$K$1:$O$11,2,FALSE))," ")</f>
        <v> </v>
      </c>
      <c r="O212" s="21" t="str">
        <f>IF(E212="Caminhão",IF($G212&lt;=VLOOKUP($F212,Base_Dados!$K$1:$O$7,4,FALSE)," ","Limite "&amp;VLOOKUP($F212,Base_Dados!$K$1:$O$11,4,FALSE)&amp;" "&amp;VLOOKUP($F212,Base_Dados!$K$1:$O$11,2,FALSE))," ")</f>
        <v> </v>
      </c>
      <c r="P212" s="21" t="str">
        <f>IF(E212="Navio",IF($G212&lt;=VLOOKUP($F212,Base_Dados!$K$1:$O$7,5,FALSE)," ","Limite "&amp;VLOOKUP($F212,Base_Dados!$K$1:$O$11,5,FALSE)&amp;" "&amp;VLOOKUP($F212,Base_Dados!$K$1:$O$11,2,FALSE))," ")</f>
        <v> </v>
      </c>
      <c r="Q212" s="21" t="str">
        <f t="shared" si="2"/>
        <v/>
      </c>
      <c r="R212" s="1"/>
      <c r="S212" s="1"/>
      <c r="T212" s="1"/>
      <c r="U212" s="1"/>
      <c r="V212" s="1"/>
      <c r="W212" s="1"/>
      <c r="X212" s="1"/>
      <c r="Y212" s="1"/>
      <c r="Z212" s="1"/>
    </row>
    <row r="213" ht="24.0" customHeight="1">
      <c r="A213" s="18" t="s">
        <v>70</v>
      </c>
      <c r="B213" s="18" t="s">
        <v>27</v>
      </c>
      <c r="C213" s="19" t="s">
        <v>28</v>
      </c>
      <c r="D213" s="19" t="s">
        <v>71</v>
      </c>
      <c r="E213" s="19" t="s">
        <v>45</v>
      </c>
      <c r="F213" s="19" t="s">
        <v>42</v>
      </c>
      <c r="G213" s="20">
        <v>6666.0</v>
      </c>
      <c r="H213" s="19" t="s">
        <v>35</v>
      </c>
      <c r="I213" s="19" t="s">
        <v>38</v>
      </c>
      <c r="J213" s="13">
        <f>VLOOKUP(C213&amp;I213&amp;E213,Orig_Dest!$A$2:$E$1876,5,FALSE)</f>
        <v>0</v>
      </c>
      <c r="K213" s="14" t="str">
        <f t="shared" si="1"/>
        <v>Dia 11</v>
      </c>
      <c r="L213" s="21" t="str">
        <f>IF(B213="Fornecedor",IF(VLOOKUP(C213,Base_Dados!$E$1:$F$7,2,FALSE)=F213," ","Fornecedor inválido!")," ")</f>
        <v> </v>
      </c>
      <c r="M213" s="22" t="str">
        <f>IF(AND(LEFT(F213,2)="MP",H213&lt;&gt;Base_Dados!$A$1),"Impossível!!!"," ")</f>
        <v> </v>
      </c>
      <c r="N213" s="21" t="str">
        <f>IF(E213="Avião",IF($G213&lt;=VLOOKUP($F213,Base_Dados!$K$1:$O$7,3,FALSE)," ","Limite "&amp;VLOOKUP($F213,Base_Dados!$K$1:$O$11,3,FALSE)&amp;" "&amp;VLOOKUP($F213,Base_Dados!$K$1:$O$11,2,FALSE))," ")</f>
        <v> </v>
      </c>
      <c r="O213" s="21" t="str">
        <f>IF(E213="Caminhão",IF($G213&lt;=VLOOKUP($F213,Base_Dados!$K$1:$O$7,4,FALSE)," ","Limite "&amp;VLOOKUP($F213,Base_Dados!$K$1:$O$11,4,FALSE)&amp;" "&amp;VLOOKUP($F213,Base_Dados!$K$1:$O$11,2,FALSE))," ")</f>
        <v> </v>
      </c>
      <c r="P213" s="21" t="str">
        <f>IF(E213="Navio",IF($G213&lt;=VLOOKUP($F213,Base_Dados!$K$1:$O$7,5,FALSE)," ","Limite "&amp;VLOOKUP($F213,Base_Dados!$K$1:$O$11,5,FALSE)&amp;" "&amp;VLOOKUP($F213,Base_Dados!$K$1:$O$11,2,FALSE))," ")</f>
        <v> </v>
      </c>
      <c r="Q213" s="21" t="str">
        <f t="shared" si="2"/>
        <v/>
      </c>
      <c r="R213" s="1"/>
      <c r="S213" s="1"/>
      <c r="T213" s="1"/>
      <c r="U213" s="1"/>
      <c r="V213" s="1"/>
      <c r="W213" s="1"/>
      <c r="X213" s="1"/>
      <c r="Y213" s="1"/>
      <c r="Z213" s="1"/>
    </row>
    <row r="214" ht="24.0" customHeight="1">
      <c r="A214" s="18" t="s">
        <v>70</v>
      </c>
      <c r="B214" s="18" t="s">
        <v>27</v>
      </c>
      <c r="C214" s="19" t="s">
        <v>28</v>
      </c>
      <c r="D214" s="19" t="s">
        <v>71</v>
      </c>
      <c r="E214" s="19" t="s">
        <v>45</v>
      </c>
      <c r="F214" s="19" t="s">
        <v>42</v>
      </c>
      <c r="G214" s="20">
        <v>6666.0</v>
      </c>
      <c r="H214" s="19" t="s">
        <v>35</v>
      </c>
      <c r="I214" s="19" t="s">
        <v>38</v>
      </c>
      <c r="J214" s="13">
        <f>VLOOKUP(C214&amp;I214&amp;E214,Orig_Dest!$A$2:$E$1876,5,FALSE)</f>
        <v>0</v>
      </c>
      <c r="K214" s="14" t="str">
        <f t="shared" si="1"/>
        <v>Dia 11</v>
      </c>
      <c r="L214" s="21" t="str">
        <f>IF(B214="Fornecedor",IF(VLOOKUP(C214,Base_Dados!$E$1:$F$7,2,FALSE)=F214," ","Fornecedor inválido!")," ")</f>
        <v> </v>
      </c>
      <c r="M214" s="22" t="str">
        <f>IF(AND(LEFT(F214,2)="MP",H214&lt;&gt;Base_Dados!$A$1),"Impossível!!!"," ")</f>
        <v> </v>
      </c>
      <c r="N214" s="21" t="str">
        <f>IF(E214="Avião",IF($G214&lt;=VLOOKUP($F214,Base_Dados!$K$1:$O$7,3,FALSE)," ","Limite "&amp;VLOOKUP($F214,Base_Dados!$K$1:$O$11,3,FALSE)&amp;" "&amp;VLOOKUP($F214,Base_Dados!$K$1:$O$11,2,FALSE))," ")</f>
        <v> </v>
      </c>
      <c r="O214" s="21" t="str">
        <f>IF(E214="Caminhão",IF($G214&lt;=VLOOKUP($F214,Base_Dados!$K$1:$O$7,4,FALSE)," ","Limite "&amp;VLOOKUP($F214,Base_Dados!$K$1:$O$11,4,FALSE)&amp;" "&amp;VLOOKUP($F214,Base_Dados!$K$1:$O$11,2,FALSE))," ")</f>
        <v> </v>
      </c>
      <c r="P214" s="21" t="str">
        <f>IF(E214="Navio",IF($G214&lt;=VLOOKUP($F214,Base_Dados!$K$1:$O$7,5,FALSE)," ","Limite "&amp;VLOOKUP($F214,Base_Dados!$K$1:$O$11,5,FALSE)&amp;" "&amp;VLOOKUP($F214,Base_Dados!$K$1:$O$11,2,FALSE))," ")</f>
        <v> </v>
      </c>
      <c r="Q214" s="21" t="str">
        <f t="shared" si="2"/>
        <v/>
      </c>
      <c r="R214" s="1"/>
      <c r="S214" s="1"/>
      <c r="T214" s="1"/>
      <c r="U214" s="1"/>
      <c r="V214" s="1"/>
      <c r="W214" s="1"/>
      <c r="X214" s="1"/>
      <c r="Y214" s="1"/>
      <c r="Z214" s="1"/>
    </row>
    <row r="215" ht="24.0" customHeight="1">
      <c r="A215" s="18" t="s">
        <v>70</v>
      </c>
      <c r="B215" s="18" t="s">
        <v>27</v>
      </c>
      <c r="C215" s="19" t="s">
        <v>28</v>
      </c>
      <c r="D215" s="19" t="s">
        <v>71</v>
      </c>
      <c r="E215" s="19" t="s">
        <v>45</v>
      </c>
      <c r="F215" s="19" t="s">
        <v>42</v>
      </c>
      <c r="G215" s="20">
        <v>6666.0</v>
      </c>
      <c r="H215" s="19" t="s">
        <v>35</v>
      </c>
      <c r="I215" s="19" t="s">
        <v>38</v>
      </c>
      <c r="J215" s="13">
        <f>VLOOKUP(C215&amp;I215&amp;E215,Orig_Dest!$A$2:$E$1876,5,FALSE)</f>
        <v>0</v>
      </c>
      <c r="K215" s="14" t="str">
        <f t="shared" si="1"/>
        <v>Dia 11</v>
      </c>
      <c r="L215" s="21" t="str">
        <f>IF(B215="Fornecedor",IF(VLOOKUP(C215,Base_Dados!$E$1:$F$7,2,FALSE)=F215," ","Fornecedor inválido!")," ")</f>
        <v> </v>
      </c>
      <c r="M215" s="22" t="str">
        <f>IF(AND(LEFT(F215,2)="MP",H215&lt;&gt;Base_Dados!$A$1),"Impossível!!!"," ")</f>
        <v> </v>
      </c>
      <c r="N215" s="21" t="str">
        <f>IF(E215="Avião",IF($G215&lt;=VLOOKUP($F215,Base_Dados!$K$1:$O$7,3,FALSE)," ","Limite "&amp;VLOOKUP($F215,Base_Dados!$K$1:$O$11,3,FALSE)&amp;" "&amp;VLOOKUP($F215,Base_Dados!$K$1:$O$11,2,FALSE))," ")</f>
        <v> </v>
      </c>
      <c r="O215" s="21" t="str">
        <f>IF(E215="Caminhão",IF($G215&lt;=VLOOKUP($F215,Base_Dados!$K$1:$O$7,4,FALSE)," ","Limite "&amp;VLOOKUP($F215,Base_Dados!$K$1:$O$11,4,FALSE)&amp;" "&amp;VLOOKUP($F215,Base_Dados!$K$1:$O$11,2,FALSE))," ")</f>
        <v> </v>
      </c>
      <c r="P215" s="21" t="str">
        <f>IF(E215="Navio",IF($G215&lt;=VLOOKUP($F215,Base_Dados!$K$1:$O$7,5,FALSE)," ","Limite "&amp;VLOOKUP($F215,Base_Dados!$K$1:$O$11,5,FALSE)&amp;" "&amp;VLOOKUP($F215,Base_Dados!$K$1:$O$11,2,FALSE))," ")</f>
        <v> </v>
      </c>
      <c r="Q215" s="21" t="str">
        <f t="shared" si="2"/>
        <v/>
      </c>
      <c r="R215" s="1"/>
      <c r="S215" s="1"/>
      <c r="T215" s="1"/>
      <c r="U215" s="1"/>
      <c r="V215" s="1"/>
      <c r="W215" s="1"/>
      <c r="X215" s="1"/>
      <c r="Y215" s="1"/>
      <c r="Z215" s="1"/>
    </row>
    <row r="216" ht="24.0" customHeight="1">
      <c r="A216" s="18" t="s">
        <v>70</v>
      </c>
      <c r="B216" s="18" t="s">
        <v>27</v>
      </c>
      <c r="C216" s="19" t="s">
        <v>28</v>
      </c>
      <c r="D216" s="19" t="s">
        <v>71</v>
      </c>
      <c r="E216" s="19" t="s">
        <v>45</v>
      </c>
      <c r="F216" s="19" t="s">
        <v>42</v>
      </c>
      <c r="G216" s="20">
        <v>6666.0</v>
      </c>
      <c r="H216" s="19" t="s">
        <v>35</v>
      </c>
      <c r="I216" s="19" t="s">
        <v>38</v>
      </c>
      <c r="J216" s="13">
        <f>VLOOKUP(C216&amp;I216&amp;E216,Orig_Dest!$A$2:$E$1876,5,FALSE)</f>
        <v>0</v>
      </c>
      <c r="K216" s="14" t="str">
        <f t="shared" si="1"/>
        <v>Dia 11</v>
      </c>
      <c r="L216" s="21" t="str">
        <f>IF(B216="Fornecedor",IF(VLOOKUP(C216,Base_Dados!$E$1:$F$7,2,FALSE)=F216," ","Fornecedor inválido!")," ")</f>
        <v> </v>
      </c>
      <c r="M216" s="22" t="str">
        <f>IF(AND(LEFT(F216,2)="MP",H216&lt;&gt;Base_Dados!$A$1),"Impossível!!!"," ")</f>
        <v> </v>
      </c>
      <c r="N216" s="21" t="str">
        <f>IF(E216="Avião",IF($G216&lt;=VLOOKUP($F216,Base_Dados!$K$1:$O$7,3,FALSE)," ","Limite "&amp;VLOOKUP($F216,Base_Dados!$K$1:$O$11,3,FALSE)&amp;" "&amp;VLOOKUP($F216,Base_Dados!$K$1:$O$11,2,FALSE))," ")</f>
        <v> </v>
      </c>
      <c r="O216" s="21" t="str">
        <f>IF(E216="Caminhão",IF($G216&lt;=VLOOKUP($F216,Base_Dados!$K$1:$O$7,4,FALSE)," ","Limite "&amp;VLOOKUP($F216,Base_Dados!$K$1:$O$11,4,FALSE)&amp;" "&amp;VLOOKUP($F216,Base_Dados!$K$1:$O$11,2,FALSE))," ")</f>
        <v> </v>
      </c>
      <c r="P216" s="21" t="str">
        <f>IF(E216="Navio",IF($G216&lt;=VLOOKUP($F216,Base_Dados!$K$1:$O$7,5,FALSE)," ","Limite "&amp;VLOOKUP($F216,Base_Dados!$K$1:$O$11,5,FALSE)&amp;" "&amp;VLOOKUP($F216,Base_Dados!$K$1:$O$11,2,FALSE))," ")</f>
        <v> </v>
      </c>
      <c r="Q216" s="21" t="str">
        <f t="shared" si="2"/>
        <v/>
      </c>
      <c r="R216" s="1"/>
      <c r="S216" s="1"/>
      <c r="T216" s="1"/>
      <c r="U216" s="1"/>
      <c r="V216" s="1"/>
      <c r="W216" s="1"/>
      <c r="X216" s="1"/>
      <c r="Y216" s="1"/>
      <c r="Z216" s="1"/>
    </row>
    <row r="217" ht="24.0" customHeight="1">
      <c r="A217" s="18" t="s">
        <v>70</v>
      </c>
      <c r="B217" s="18" t="s">
        <v>27</v>
      </c>
      <c r="C217" s="19" t="s">
        <v>28</v>
      </c>
      <c r="D217" s="19" t="s">
        <v>71</v>
      </c>
      <c r="E217" s="19" t="s">
        <v>45</v>
      </c>
      <c r="F217" s="19" t="s">
        <v>42</v>
      </c>
      <c r="G217" s="20">
        <v>6666.0</v>
      </c>
      <c r="H217" s="19" t="s">
        <v>35</v>
      </c>
      <c r="I217" s="19" t="s">
        <v>38</v>
      </c>
      <c r="J217" s="13">
        <f>VLOOKUP(C217&amp;I217&amp;E217,Orig_Dest!$A$2:$E$1876,5,FALSE)</f>
        <v>0</v>
      </c>
      <c r="K217" s="14" t="str">
        <f t="shared" si="1"/>
        <v>Dia 11</v>
      </c>
      <c r="L217" s="21" t="str">
        <f>IF(B217="Fornecedor",IF(VLOOKUP(C217,Base_Dados!$E$1:$F$7,2,FALSE)=F217," ","Fornecedor inválido!")," ")</f>
        <v> </v>
      </c>
      <c r="M217" s="22" t="str">
        <f>IF(AND(LEFT(F217,2)="MP",H217&lt;&gt;Base_Dados!$A$1),"Impossível!!!"," ")</f>
        <v> </v>
      </c>
      <c r="N217" s="21" t="str">
        <f>IF(E217="Avião",IF($G217&lt;=VLOOKUP($F217,Base_Dados!$K$1:$O$7,3,FALSE)," ","Limite "&amp;VLOOKUP($F217,Base_Dados!$K$1:$O$11,3,FALSE)&amp;" "&amp;VLOOKUP($F217,Base_Dados!$K$1:$O$11,2,FALSE))," ")</f>
        <v> </v>
      </c>
      <c r="O217" s="21" t="str">
        <f>IF(E217="Caminhão",IF($G217&lt;=VLOOKUP($F217,Base_Dados!$K$1:$O$7,4,FALSE)," ","Limite "&amp;VLOOKUP($F217,Base_Dados!$K$1:$O$11,4,FALSE)&amp;" "&amp;VLOOKUP($F217,Base_Dados!$K$1:$O$11,2,FALSE))," ")</f>
        <v> </v>
      </c>
      <c r="P217" s="21" t="str">
        <f>IF(E217="Navio",IF($G217&lt;=VLOOKUP($F217,Base_Dados!$K$1:$O$7,5,FALSE)," ","Limite "&amp;VLOOKUP($F217,Base_Dados!$K$1:$O$11,5,FALSE)&amp;" "&amp;VLOOKUP($F217,Base_Dados!$K$1:$O$11,2,FALSE))," ")</f>
        <v> </v>
      </c>
      <c r="Q217" s="21" t="str">
        <f t="shared" si="2"/>
        <v/>
      </c>
      <c r="R217" s="1"/>
      <c r="S217" s="1"/>
      <c r="T217" s="1"/>
      <c r="U217" s="1"/>
      <c r="V217" s="1"/>
      <c r="W217" s="1"/>
      <c r="X217" s="1"/>
      <c r="Y217" s="1"/>
      <c r="Z217" s="1"/>
    </row>
    <row r="218" ht="24.0" customHeight="1">
      <c r="A218" s="18" t="s">
        <v>70</v>
      </c>
      <c r="B218" s="18" t="s">
        <v>27</v>
      </c>
      <c r="C218" s="19" t="s">
        <v>28</v>
      </c>
      <c r="D218" s="19" t="s">
        <v>71</v>
      </c>
      <c r="E218" s="19" t="s">
        <v>45</v>
      </c>
      <c r="F218" s="19" t="s">
        <v>42</v>
      </c>
      <c r="G218" s="20">
        <v>6666.0</v>
      </c>
      <c r="H218" s="19" t="s">
        <v>35</v>
      </c>
      <c r="I218" s="19" t="s">
        <v>38</v>
      </c>
      <c r="J218" s="13">
        <f>VLOOKUP(C218&amp;I218&amp;E218,Orig_Dest!$A$2:$E$1876,5,FALSE)</f>
        <v>0</v>
      </c>
      <c r="K218" s="14" t="str">
        <f t="shared" si="1"/>
        <v>Dia 11</v>
      </c>
      <c r="L218" s="21" t="str">
        <f>IF(B218="Fornecedor",IF(VLOOKUP(C218,Base_Dados!$E$1:$F$7,2,FALSE)=F218," ","Fornecedor inválido!")," ")</f>
        <v> </v>
      </c>
      <c r="M218" s="22" t="str">
        <f>IF(AND(LEFT(F218,2)="MP",H218&lt;&gt;Base_Dados!$A$1),"Impossível!!!"," ")</f>
        <v> </v>
      </c>
      <c r="N218" s="21" t="str">
        <f>IF(E218="Avião",IF($G218&lt;=VLOOKUP($F218,Base_Dados!$K$1:$O$7,3,FALSE)," ","Limite "&amp;VLOOKUP($F218,Base_Dados!$K$1:$O$11,3,FALSE)&amp;" "&amp;VLOOKUP($F218,Base_Dados!$K$1:$O$11,2,FALSE))," ")</f>
        <v> </v>
      </c>
      <c r="O218" s="21" t="str">
        <f>IF(E218="Caminhão",IF($G218&lt;=VLOOKUP($F218,Base_Dados!$K$1:$O$7,4,FALSE)," ","Limite "&amp;VLOOKUP($F218,Base_Dados!$K$1:$O$11,4,FALSE)&amp;" "&amp;VLOOKUP($F218,Base_Dados!$K$1:$O$11,2,FALSE))," ")</f>
        <v> </v>
      </c>
      <c r="P218" s="21" t="str">
        <f>IF(E218="Navio",IF($G218&lt;=VLOOKUP($F218,Base_Dados!$K$1:$O$7,5,FALSE)," ","Limite "&amp;VLOOKUP($F218,Base_Dados!$K$1:$O$11,5,FALSE)&amp;" "&amp;VLOOKUP($F218,Base_Dados!$K$1:$O$11,2,FALSE))," ")</f>
        <v> </v>
      </c>
      <c r="Q218" s="21" t="str">
        <f t="shared" si="2"/>
        <v/>
      </c>
      <c r="R218" s="1"/>
      <c r="S218" s="1"/>
      <c r="T218" s="1"/>
      <c r="U218" s="1"/>
      <c r="V218" s="1"/>
      <c r="W218" s="1"/>
      <c r="X218" s="1"/>
      <c r="Y218" s="1"/>
      <c r="Z218" s="1"/>
    </row>
    <row r="219" ht="24.0" customHeight="1">
      <c r="A219" s="18" t="s">
        <v>70</v>
      </c>
      <c r="B219" s="18" t="s">
        <v>27</v>
      </c>
      <c r="C219" s="19" t="s">
        <v>28</v>
      </c>
      <c r="D219" s="19" t="s">
        <v>71</v>
      </c>
      <c r="E219" s="19" t="s">
        <v>45</v>
      </c>
      <c r="F219" s="19" t="s">
        <v>42</v>
      </c>
      <c r="G219" s="20">
        <v>6666.0</v>
      </c>
      <c r="H219" s="19" t="s">
        <v>35</v>
      </c>
      <c r="I219" s="19" t="s">
        <v>38</v>
      </c>
      <c r="J219" s="13">
        <f>VLOOKUP(C219&amp;I219&amp;E219,Orig_Dest!$A$2:$E$1876,5,FALSE)</f>
        <v>0</v>
      </c>
      <c r="K219" s="14" t="str">
        <f t="shared" si="1"/>
        <v>Dia 11</v>
      </c>
      <c r="L219" s="21" t="str">
        <f>IF(B219="Fornecedor",IF(VLOOKUP(C219,Base_Dados!$E$1:$F$7,2,FALSE)=F219," ","Fornecedor inválido!")," ")</f>
        <v> </v>
      </c>
      <c r="M219" s="22" t="str">
        <f>IF(AND(LEFT(F219,2)="MP",H219&lt;&gt;Base_Dados!$A$1),"Impossível!!!"," ")</f>
        <v> </v>
      </c>
      <c r="N219" s="21" t="str">
        <f>IF(E219="Avião",IF($G219&lt;=VLOOKUP($F219,Base_Dados!$K$1:$O$7,3,FALSE)," ","Limite "&amp;VLOOKUP($F219,Base_Dados!$K$1:$O$11,3,FALSE)&amp;" "&amp;VLOOKUP($F219,Base_Dados!$K$1:$O$11,2,FALSE))," ")</f>
        <v> </v>
      </c>
      <c r="O219" s="21" t="str">
        <f>IF(E219="Caminhão",IF($G219&lt;=VLOOKUP($F219,Base_Dados!$K$1:$O$7,4,FALSE)," ","Limite "&amp;VLOOKUP($F219,Base_Dados!$K$1:$O$11,4,FALSE)&amp;" "&amp;VLOOKUP($F219,Base_Dados!$K$1:$O$11,2,FALSE))," ")</f>
        <v> </v>
      </c>
      <c r="P219" s="21" t="str">
        <f>IF(E219="Navio",IF($G219&lt;=VLOOKUP($F219,Base_Dados!$K$1:$O$7,5,FALSE)," ","Limite "&amp;VLOOKUP($F219,Base_Dados!$K$1:$O$11,5,FALSE)&amp;" "&amp;VLOOKUP($F219,Base_Dados!$K$1:$O$11,2,FALSE))," ")</f>
        <v> </v>
      </c>
      <c r="Q219" s="21" t="str">
        <f t="shared" si="2"/>
        <v/>
      </c>
      <c r="R219" s="1"/>
      <c r="S219" s="1"/>
      <c r="T219" s="1"/>
      <c r="U219" s="1"/>
      <c r="V219" s="1"/>
      <c r="W219" s="1"/>
      <c r="X219" s="1"/>
      <c r="Y219" s="1"/>
      <c r="Z219" s="1"/>
    </row>
    <row r="220" ht="24.0" customHeight="1">
      <c r="A220" s="18" t="s">
        <v>70</v>
      </c>
      <c r="B220" s="18" t="s">
        <v>27</v>
      </c>
      <c r="C220" s="19" t="s">
        <v>28</v>
      </c>
      <c r="D220" s="19" t="s">
        <v>71</v>
      </c>
      <c r="E220" s="19" t="s">
        <v>45</v>
      </c>
      <c r="F220" s="19" t="s">
        <v>42</v>
      </c>
      <c r="G220" s="20">
        <v>6666.0</v>
      </c>
      <c r="H220" s="19" t="s">
        <v>35</v>
      </c>
      <c r="I220" s="19" t="s">
        <v>38</v>
      </c>
      <c r="J220" s="13">
        <f>VLOOKUP(C220&amp;I220&amp;E220,Orig_Dest!$A$2:$E$1876,5,FALSE)</f>
        <v>0</v>
      </c>
      <c r="K220" s="14" t="str">
        <f t="shared" si="1"/>
        <v>Dia 11</v>
      </c>
      <c r="L220" s="21" t="str">
        <f>IF(B220="Fornecedor",IF(VLOOKUP(C220,Base_Dados!$E$1:$F$7,2,FALSE)=F220," ","Fornecedor inválido!")," ")</f>
        <v> </v>
      </c>
      <c r="M220" s="22" t="str">
        <f>IF(AND(LEFT(F220,2)="MP",H220&lt;&gt;Base_Dados!$A$1),"Impossível!!!"," ")</f>
        <v> </v>
      </c>
      <c r="N220" s="21" t="str">
        <f>IF(E220="Avião",IF($G220&lt;=VLOOKUP($F220,Base_Dados!$K$1:$O$7,3,FALSE)," ","Limite "&amp;VLOOKUP($F220,Base_Dados!$K$1:$O$11,3,FALSE)&amp;" "&amp;VLOOKUP($F220,Base_Dados!$K$1:$O$11,2,FALSE))," ")</f>
        <v> </v>
      </c>
      <c r="O220" s="21" t="str">
        <f>IF(E220="Caminhão",IF($G220&lt;=VLOOKUP($F220,Base_Dados!$K$1:$O$7,4,FALSE)," ","Limite "&amp;VLOOKUP($F220,Base_Dados!$K$1:$O$11,4,FALSE)&amp;" "&amp;VLOOKUP($F220,Base_Dados!$K$1:$O$11,2,FALSE))," ")</f>
        <v> </v>
      </c>
      <c r="P220" s="21" t="str">
        <f>IF(E220="Navio",IF($G220&lt;=VLOOKUP($F220,Base_Dados!$K$1:$O$7,5,FALSE)," ","Limite "&amp;VLOOKUP($F220,Base_Dados!$K$1:$O$11,5,FALSE)&amp;" "&amp;VLOOKUP($F220,Base_Dados!$K$1:$O$11,2,FALSE))," ")</f>
        <v> </v>
      </c>
      <c r="Q220" s="21" t="str">
        <f t="shared" si="2"/>
        <v/>
      </c>
      <c r="R220" s="1"/>
      <c r="S220" s="1"/>
      <c r="T220" s="1"/>
      <c r="U220" s="1"/>
      <c r="V220" s="1"/>
      <c r="W220" s="1"/>
      <c r="X220" s="1"/>
      <c r="Y220" s="1"/>
      <c r="Z220" s="1"/>
    </row>
    <row r="221" ht="24.0" customHeight="1">
      <c r="A221" s="18" t="s">
        <v>70</v>
      </c>
      <c r="B221" s="18" t="s">
        <v>27</v>
      </c>
      <c r="C221" s="19" t="s">
        <v>28</v>
      </c>
      <c r="D221" s="19" t="s">
        <v>71</v>
      </c>
      <c r="E221" s="19" t="s">
        <v>45</v>
      </c>
      <c r="F221" s="19" t="s">
        <v>42</v>
      </c>
      <c r="G221" s="20">
        <v>3474.0</v>
      </c>
      <c r="H221" s="19" t="s">
        <v>35</v>
      </c>
      <c r="I221" s="19" t="s">
        <v>38</v>
      </c>
      <c r="J221" s="13">
        <f>VLOOKUP(C221&amp;I221&amp;E221,Orig_Dest!$A$2:$E$1876,5,FALSE)</f>
        <v>0</v>
      </c>
      <c r="K221" s="14" t="str">
        <f t="shared" si="1"/>
        <v>Dia 11</v>
      </c>
      <c r="L221" s="21" t="str">
        <f>IF(B221="Fornecedor",IF(VLOOKUP(C221,Base_Dados!$E$1:$F$7,2,FALSE)=F221," ","Fornecedor inválido!")," ")</f>
        <v> </v>
      </c>
      <c r="M221" s="22" t="str">
        <f>IF(AND(LEFT(F221,2)="MP",H221&lt;&gt;Base_Dados!$A$1),"Impossível!!!"," ")</f>
        <v> </v>
      </c>
      <c r="N221" s="21" t="str">
        <f>IF(E221="Avião",IF($G221&lt;=VLOOKUP($F221,Base_Dados!$K$1:$O$7,3,FALSE)," ","Limite "&amp;VLOOKUP($F221,Base_Dados!$K$1:$O$11,3,FALSE)&amp;" "&amp;VLOOKUP($F221,Base_Dados!$K$1:$O$11,2,FALSE))," ")</f>
        <v> </v>
      </c>
      <c r="O221" s="21" t="str">
        <f>IF(E221="Caminhão",IF($G221&lt;=VLOOKUP($F221,Base_Dados!$K$1:$O$7,4,FALSE)," ","Limite "&amp;VLOOKUP($F221,Base_Dados!$K$1:$O$11,4,FALSE)&amp;" "&amp;VLOOKUP($F221,Base_Dados!$K$1:$O$11,2,FALSE))," ")</f>
        <v> </v>
      </c>
      <c r="P221" s="21" t="str">
        <f>IF(E221="Navio",IF($G221&lt;=VLOOKUP($F221,Base_Dados!$K$1:$O$7,5,FALSE)," ","Limite "&amp;VLOOKUP($F221,Base_Dados!$K$1:$O$11,5,FALSE)&amp;" "&amp;VLOOKUP($F221,Base_Dados!$K$1:$O$11,2,FALSE))," ")</f>
        <v> </v>
      </c>
      <c r="Q221" s="21" t="str">
        <f t="shared" si="2"/>
        <v/>
      </c>
      <c r="R221" s="1"/>
      <c r="S221" s="1"/>
      <c r="T221" s="1"/>
      <c r="U221" s="1"/>
      <c r="V221" s="1"/>
      <c r="W221" s="1"/>
      <c r="X221" s="1"/>
      <c r="Y221" s="1"/>
      <c r="Z221" s="1"/>
    </row>
    <row r="222" ht="24.0" customHeight="1">
      <c r="A222" s="18" t="s">
        <v>70</v>
      </c>
      <c r="B222" s="18" t="s">
        <v>27</v>
      </c>
      <c r="C222" s="19" t="s">
        <v>28</v>
      </c>
      <c r="D222" s="19" t="s">
        <v>71</v>
      </c>
      <c r="E222" s="19" t="s">
        <v>37</v>
      </c>
      <c r="F222" s="19" t="s">
        <v>42</v>
      </c>
      <c r="G222" s="20">
        <v>498510.0</v>
      </c>
      <c r="H222" s="19" t="s">
        <v>35</v>
      </c>
      <c r="I222" s="19" t="s">
        <v>38</v>
      </c>
      <c r="J222" s="13">
        <f>VLOOKUP(C222&amp;I222&amp;E222,Orig_Dest!$A$2:$E$1876,5,FALSE)</f>
        <v>1</v>
      </c>
      <c r="K222" s="14" t="str">
        <f t="shared" si="1"/>
        <v>Dia 12</v>
      </c>
      <c r="L222" s="21" t="str">
        <f>IF(B222="Fornecedor",IF(VLOOKUP(C222,Base_Dados!$E$1:$F$7,2,FALSE)=F222," ","Fornecedor inválido!")," ")</f>
        <v> </v>
      </c>
      <c r="M222" s="22" t="str">
        <f>IF(AND(LEFT(F222,2)="MP",H222&lt;&gt;Base_Dados!$A$1),"Impossível!!!"," ")</f>
        <v> </v>
      </c>
      <c r="N222" s="21" t="str">
        <f>IF(E222="Avião",IF($G222&lt;=VLOOKUP($F222,Base_Dados!$K$1:$O$7,3,FALSE)," ","Limite "&amp;VLOOKUP($F222,Base_Dados!$K$1:$O$11,3,FALSE)&amp;" "&amp;VLOOKUP($F222,Base_Dados!$K$1:$O$11,2,FALSE))," ")</f>
        <v> </v>
      </c>
      <c r="O222" s="21" t="str">
        <f>IF(E222="Caminhão",IF($G222&lt;=VLOOKUP($F222,Base_Dados!$K$1:$O$7,4,FALSE)," ","Limite "&amp;VLOOKUP($F222,Base_Dados!$K$1:$O$11,4,FALSE)&amp;" "&amp;VLOOKUP($F222,Base_Dados!$K$1:$O$11,2,FALSE))," ")</f>
        <v> </v>
      </c>
      <c r="P222" s="21" t="str">
        <f>IF(E222="Navio",IF($G222&lt;=VLOOKUP($F222,Base_Dados!$K$1:$O$7,5,FALSE)," ","Limite "&amp;VLOOKUP($F222,Base_Dados!$K$1:$O$11,5,FALSE)&amp;" "&amp;VLOOKUP($F222,Base_Dados!$K$1:$O$11,2,FALSE))," ")</f>
        <v> </v>
      </c>
      <c r="Q222" s="21" t="str">
        <f t="shared" si="2"/>
        <v/>
      </c>
      <c r="R222" s="1"/>
      <c r="S222" s="1"/>
      <c r="T222" s="1"/>
      <c r="U222" s="1"/>
      <c r="V222" s="1"/>
      <c r="W222" s="1"/>
      <c r="X222" s="1"/>
      <c r="Y222" s="1"/>
      <c r="Z222" s="1"/>
    </row>
    <row r="223" ht="24.0" customHeight="1">
      <c r="A223" s="18" t="s">
        <v>70</v>
      </c>
      <c r="B223" s="18" t="s">
        <v>27</v>
      </c>
      <c r="C223" s="19" t="s">
        <v>28</v>
      </c>
      <c r="D223" s="19" t="s">
        <v>72</v>
      </c>
      <c r="E223" s="19" t="s">
        <v>45</v>
      </c>
      <c r="F223" s="19" t="s">
        <v>42</v>
      </c>
      <c r="G223" s="20">
        <v>6666.0</v>
      </c>
      <c r="H223" s="19" t="s">
        <v>35</v>
      </c>
      <c r="I223" s="19" t="s">
        <v>36</v>
      </c>
      <c r="J223" s="13">
        <f>VLOOKUP(C223&amp;I223&amp;E223,Orig_Dest!$A$2:$E$1876,5,FALSE)</f>
        <v>0</v>
      </c>
      <c r="K223" s="14" t="str">
        <f t="shared" si="1"/>
        <v>Dia 12</v>
      </c>
      <c r="L223" s="21" t="str">
        <f>IF(B223="Fornecedor",IF(VLOOKUP(C223,Base_Dados!$E$1:$F$7,2,FALSE)=F223," ","Fornecedor inválido!")," ")</f>
        <v> </v>
      </c>
      <c r="M223" s="22" t="str">
        <f>IF(AND(LEFT(F223,2)="MP",H223&lt;&gt;Base_Dados!$A$1),"Impossível!!!"," ")</f>
        <v> </v>
      </c>
      <c r="N223" s="21" t="str">
        <f>IF(E223="Avião",IF($G223&lt;=VLOOKUP($F223,Base_Dados!$K$1:$O$7,3,FALSE)," ","Limite "&amp;VLOOKUP($F223,Base_Dados!$K$1:$O$11,3,FALSE)&amp;" "&amp;VLOOKUP($F223,Base_Dados!$K$1:$O$11,2,FALSE))," ")</f>
        <v> </v>
      </c>
      <c r="O223" s="21" t="str">
        <f>IF(E223="Caminhão",IF($G223&lt;=VLOOKUP($F223,Base_Dados!$K$1:$O$7,4,FALSE)," ","Limite "&amp;VLOOKUP($F223,Base_Dados!$K$1:$O$11,4,FALSE)&amp;" "&amp;VLOOKUP($F223,Base_Dados!$K$1:$O$11,2,FALSE))," ")</f>
        <v> </v>
      </c>
      <c r="P223" s="21" t="str">
        <f>IF(E223="Navio",IF($G223&lt;=VLOOKUP($F223,Base_Dados!$K$1:$O$7,5,FALSE)," ","Limite "&amp;VLOOKUP($F223,Base_Dados!$K$1:$O$11,5,FALSE)&amp;" "&amp;VLOOKUP($F223,Base_Dados!$K$1:$O$11,2,FALSE))," ")</f>
        <v> </v>
      </c>
      <c r="Q223" s="21" t="str">
        <f t="shared" si="2"/>
        <v/>
      </c>
      <c r="R223" s="1"/>
      <c r="S223" s="1"/>
      <c r="T223" s="1"/>
      <c r="U223" s="1"/>
      <c r="V223" s="1"/>
      <c r="W223" s="1"/>
      <c r="X223" s="1"/>
      <c r="Y223" s="1"/>
      <c r="Z223" s="1"/>
    </row>
    <row r="224" ht="24.0" customHeight="1">
      <c r="A224" s="18" t="s">
        <v>70</v>
      </c>
      <c r="B224" s="18" t="s">
        <v>27</v>
      </c>
      <c r="C224" s="19" t="s">
        <v>28</v>
      </c>
      <c r="D224" s="19" t="s">
        <v>72</v>
      </c>
      <c r="E224" s="19" t="s">
        <v>45</v>
      </c>
      <c r="F224" s="19" t="s">
        <v>42</v>
      </c>
      <c r="G224" s="20">
        <v>6666.0</v>
      </c>
      <c r="H224" s="19" t="s">
        <v>35</v>
      </c>
      <c r="I224" s="19" t="s">
        <v>36</v>
      </c>
      <c r="J224" s="13">
        <f>VLOOKUP(C224&amp;I224&amp;E224,Orig_Dest!$A$2:$E$1876,5,FALSE)</f>
        <v>0</v>
      </c>
      <c r="K224" s="14" t="str">
        <f t="shared" si="1"/>
        <v>Dia 12</v>
      </c>
      <c r="L224" s="21" t="str">
        <f>IF(B224="Fornecedor",IF(VLOOKUP(C224,Base_Dados!$E$1:$F$7,2,FALSE)=F224," ","Fornecedor inválido!")," ")</f>
        <v> </v>
      </c>
      <c r="M224" s="22" t="str">
        <f>IF(AND(LEFT(F224,2)="MP",H224&lt;&gt;Base_Dados!$A$1),"Impossível!!!"," ")</f>
        <v> </v>
      </c>
      <c r="N224" s="21" t="str">
        <f>IF(E224="Avião",IF($G224&lt;=VLOOKUP($F224,Base_Dados!$K$1:$O$7,3,FALSE)," ","Limite "&amp;VLOOKUP($F224,Base_Dados!$K$1:$O$11,3,FALSE)&amp;" "&amp;VLOOKUP($F224,Base_Dados!$K$1:$O$11,2,FALSE))," ")</f>
        <v> </v>
      </c>
      <c r="O224" s="21" t="str">
        <f>IF(E224="Caminhão",IF($G224&lt;=VLOOKUP($F224,Base_Dados!$K$1:$O$7,4,FALSE)," ","Limite "&amp;VLOOKUP($F224,Base_Dados!$K$1:$O$11,4,FALSE)&amp;" "&amp;VLOOKUP($F224,Base_Dados!$K$1:$O$11,2,FALSE))," ")</f>
        <v> </v>
      </c>
      <c r="P224" s="21" t="str">
        <f>IF(E224="Navio",IF($G224&lt;=VLOOKUP($F224,Base_Dados!$K$1:$O$7,5,FALSE)," ","Limite "&amp;VLOOKUP($F224,Base_Dados!$K$1:$O$11,5,FALSE)&amp;" "&amp;VLOOKUP($F224,Base_Dados!$K$1:$O$11,2,FALSE))," ")</f>
        <v> </v>
      </c>
      <c r="Q224" s="21" t="str">
        <f t="shared" si="2"/>
        <v/>
      </c>
      <c r="R224" s="1"/>
      <c r="S224" s="1"/>
      <c r="T224" s="1"/>
      <c r="U224" s="1"/>
      <c r="V224" s="1"/>
      <c r="W224" s="1"/>
      <c r="X224" s="1"/>
      <c r="Y224" s="1"/>
      <c r="Z224" s="1"/>
    </row>
    <row r="225" ht="24.0" customHeight="1">
      <c r="A225" s="18" t="s">
        <v>70</v>
      </c>
      <c r="B225" s="18" t="s">
        <v>27</v>
      </c>
      <c r="C225" s="19" t="s">
        <v>28</v>
      </c>
      <c r="D225" s="19" t="s">
        <v>72</v>
      </c>
      <c r="E225" s="19" t="s">
        <v>45</v>
      </c>
      <c r="F225" s="19" t="s">
        <v>42</v>
      </c>
      <c r="G225" s="20">
        <v>6666.0</v>
      </c>
      <c r="H225" s="19" t="s">
        <v>35</v>
      </c>
      <c r="I225" s="19" t="s">
        <v>36</v>
      </c>
      <c r="J225" s="13">
        <f>VLOOKUP(C225&amp;I225&amp;E225,Orig_Dest!$A$2:$E$1876,5,FALSE)</f>
        <v>0</v>
      </c>
      <c r="K225" s="14" t="str">
        <f t="shared" si="1"/>
        <v>Dia 12</v>
      </c>
      <c r="L225" s="21" t="str">
        <f>IF(B225="Fornecedor",IF(VLOOKUP(C225,Base_Dados!$E$1:$F$7,2,FALSE)=F225," ","Fornecedor inválido!")," ")</f>
        <v> </v>
      </c>
      <c r="M225" s="22" t="str">
        <f>IF(AND(LEFT(F225,2)="MP",H225&lt;&gt;Base_Dados!$A$1),"Impossível!!!"," ")</f>
        <v> </v>
      </c>
      <c r="N225" s="21" t="str">
        <f>IF(E225="Avião",IF($G225&lt;=VLOOKUP($F225,Base_Dados!$K$1:$O$7,3,FALSE)," ","Limite "&amp;VLOOKUP($F225,Base_Dados!$K$1:$O$11,3,FALSE)&amp;" "&amp;VLOOKUP($F225,Base_Dados!$K$1:$O$11,2,FALSE))," ")</f>
        <v> </v>
      </c>
      <c r="O225" s="21" t="str">
        <f>IF(E225="Caminhão",IF($G225&lt;=VLOOKUP($F225,Base_Dados!$K$1:$O$7,4,FALSE)," ","Limite "&amp;VLOOKUP($F225,Base_Dados!$K$1:$O$11,4,FALSE)&amp;" "&amp;VLOOKUP($F225,Base_Dados!$K$1:$O$11,2,FALSE))," ")</f>
        <v> </v>
      </c>
      <c r="P225" s="21" t="str">
        <f>IF(E225="Navio",IF($G225&lt;=VLOOKUP($F225,Base_Dados!$K$1:$O$7,5,FALSE)," ","Limite "&amp;VLOOKUP($F225,Base_Dados!$K$1:$O$11,5,FALSE)&amp;" "&amp;VLOOKUP($F225,Base_Dados!$K$1:$O$11,2,FALSE))," ")</f>
        <v> </v>
      </c>
      <c r="Q225" s="21" t="str">
        <f t="shared" si="2"/>
        <v/>
      </c>
      <c r="R225" s="1"/>
      <c r="S225" s="1"/>
      <c r="T225" s="1"/>
      <c r="U225" s="1"/>
      <c r="V225" s="1"/>
      <c r="W225" s="1"/>
      <c r="X225" s="1"/>
      <c r="Y225" s="1"/>
      <c r="Z225" s="1"/>
    </row>
    <row r="226" ht="24.0" customHeight="1">
      <c r="A226" s="18" t="s">
        <v>70</v>
      </c>
      <c r="B226" s="18" t="s">
        <v>27</v>
      </c>
      <c r="C226" s="19" t="s">
        <v>28</v>
      </c>
      <c r="D226" s="19" t="s">
        <v>72</v>
      </c>
      <c r="E226" s="19" t="s">
        <v>45</v>
      </c>
      <c r="F226" s="19" t="s">
        <v>42</v>
      </c>
      <c r="G226" s="20">
        <v>6666.0</v>
      </c>
      <c r="H226" s="19" t="s">
        <v>35</v>
      </c>
      <c r="I226" s="19" t="s">
        <v>36</v>
      </c>
      <c r="J226" s="13">
        <f>VLOOKUP(C226&amp;I226&amp;E226,Orig_Dest!$A$2:$E$1876,5,FALSE)</f>
        <v>0</v>
      </c>
      <c r="K226" s="14" t="str">
        <f t="shared" si="1"/>
        <v>Dia 12</v>
      </c>
      <c r="L226" s="21" t="str">
        <f>IF(B226="Fornecedor",IF(VLOOKUP(C226,Base_Dados!$E$1:$F$7,2,FALSE)=F226," ","Fornecedor inválido!")," ")</f>
        <v> </v>
      </c>
      <c r="M226" s="22" t="str">
        <f>IF(AND(LEFT(F226,2)="MP",H226&lt;&gt;Base_Dados!$A$1),"Impossível!!!"," ")</f>
        <v> </v>
      </c>
      <c r="N226" s="21" t="str">
        <f>IF(E226="Avião",IF($G226&lt;=VLOOKUP($F226,Base_Dados!$K$1:$O$7,3,FALSE)," ","Limite "&amp;VLOOKUP($F226,Base_Dados!$K$1:$O$11,3,FALSE)&amp;" "&amp;VLOOKUP($F226,Base_Dados!$K$1:$O$11,2,FALSE))," ")</f>
        <v> </v>
      </c>
      <c r="O226" s="21" t="str">
        <f>IF(E226="Caminhão",IF($G226&lt;=VLOOKUP($F226,Base_Dados!$K$1:$O$7,4,FALSE)," ","Limite "&amp;VLOOKUP($F226,Base_Dados!$K$1:$O$11,4,FALSE)&amp;" "&amp;VLOOKUP($F226,Base_Dados!$K$1:$O$11,2,FALSE))," ")</f>
        <v> </v>
      </c>
      <c r="P226" s="21" t="str">
        <f>IF(E226="Navio",IF($G226&lt;=VLOOKUP($F226,Base_Dados!$K$1:$O$7,5,FALSE)," ","Limite "&amp;VLOOKUP($F226,Base_Dados!$K$1:$O$11,5,FALSE)&amp;" "&amp;VLOOKUP($F226,Base_Dados!$K$1:$O$11,2,FALSE))," ")</f>
        <v> </v>
      </c>
      <c r="Q226" s="21" t="str">
        <f t="shared" si="2"/>
        <v/>
      </c>
      <c r="R226" s="1"/>
      <c r="S226" s="1"/>
      <c r="T226" s="1"/>
      <c r="U226" s="1"/>
      <c r="V226" s="1"/>
      <c r="W226" s="1"/>
      <c r="X226" s="1"/>
      <c r="Y226" s="1"/>
      <c r="Z226" s="1"/>
    </row>
    <row r="227" ht="24.0" customHeight="1">
      <c r="A227" s="18" t="s">
        <v>70</v>
      </c>
      <c r="B227" s="18" t="s">
        <v>27</v>
      </c>
      <c r="C227" s="19" t="s">
        <v>28</v>
      </c>
      <c r="D227" s="19" t="s">
        <v>72</v>
      </c>
      <c r="E227" s="19" t="s">
        <v>45</v>
      </c>
      <c r="F227" s="19" t="s">
        <v>42</v>
      </c>
      <c r="G227" s="20">
        <v>6666.0</v>
      </c>
      <c r="H227" s="19" t="s">
        <v>35</v>
      </c>
      <c r="I227" s="19" t="s">
        <v>36</v>
      </c>
      <c r="J227" s="13">
        <f>VLOOKUP(C227&amp;I227&amp;E227,Orig_Dest!$A$2:$E$1876,5,FALSE)</f>
        <v>0</v>
      </c>
      <c r="K227" s="14" t="str">
        <f t="shared" si="1"/>
        <v>Dia 12</v>
      </c>
      <c r="L227" s="21" t="str">
        <f>IF(B227="Fornecedor",IF(VLOOKUP(C227,Base_Dados!$E$1:$F$7,2,FALSE)=F227," ","Fornecedor inválido!")," ")</f>
        <v> </v>
      </c>
      <c r="M227" s="22" t="str">
        <f>IF(AND(LEFT(F227,2)="MP",H227&lt;&gt;Base_Dados!$A$1),"Impossível!!!"," ")</f>
        <v> </v>
      </c>
      <c r="N227" s="21" t="str">
        <f>IF(E227="Avião",IF($G227&lt;=VLOOKUP($F227,Base_Dados!$K$1:$O$7,3,FALSE)," ","Limite "&amp;VLOOKUP($F227,Base_Dados!$K$1:$O$11,3,FALSE)&amp;" "&amp;VLOOKUP($F227,Base_Dados!$K$1:$O$11,2,FALSE))," ")</f>
        <v> </v>
      </c>
      <c r="O227" s="21" t="str">
        <f>IF(E227="Caminhão",IF($G227&lt;=VLOOKUP($F227,Base_Dados!$K$1:$O$7,4,FALSE)," ","Limite "&amp;VLOOKUP($F227,Base_Dados!$K$1:$O$11,4,FALSE)&amp;" "&amp;VLOOKUP($F227,Base_Dados!$K$1:$O$11,2,FALSE))," ")</f>
        <v> </v>
      </c>
      <c r="P227" s="21" t="str">
        <f>IF(E227="Navio",IF($G227&lt;=VLOOKUP($F227,Base_Dados!$K$1:$O$7,5,FALSE)," ","Limite "&amp;VLOOKUP($F227,Base_Dados!$K$1:$O$11,5,FALSE)&amp;" "&amp;VLOOKUP($F227,Base_Dados!$K$1:$O$11,2,FALSE))," ")</f>
        <v> </v>
      </c>
      <c r="Q227" s="21" t="str">
        <f t="shared" si="2"/>
        <v/>
      </c>
      <c r="R227" s="1"/>
      <c r="S227" s="1"/>
      <c r="T227" s="1"/>
      <c r="U227" s="1"/>
      <c r="V227" s="1"/>
      <c r="W227" s="1"/>
      <c r="X227" s="1"/>
      <c r="Y227" s="1"/>
      <c r="Z227" s="1"/>
    </row>
    <row r="228" ht="24.0" customHeight="1">
      <c r="A228" s="18" t="s">
        <v>70</v>
      </c>
      <c r="B228" s="18" t="s">
        <v>27</v>
      </c>
      <c r="C228" s="19" t="s">
        <v>28</v>
      </c>
      <c r="D228" s="19" t="s">
        <v>72</v>
      </c>
      <c r="E228" s="19" t="s">
        <v>45</v>
      </c>
      <c r="F228" s="19" t="s">
        <v>42</v>
      </c>
      <c r="G228" s="20">
        <v>6666.0</v>
      </c>
      <c r="H228" s="19" t="s">
        <v>35</v>
      </c>
      <c r="I228" s="19" t="s">
        <v>36</v>
      </c>
      <c r="J228" s="13">
        <f>VLOOKUP(C228&amp;I228&amp;E228,Orig_Dest!$A$2:$E$1876,5,FALSE)</f>
        <v>0</v>
      </c>
      <c r="K228" s="14" t="str">
        <f t="shared" si="1"/>
        <v>Dia 12</v>
      </c>
      <c r="L228" s="21" t="str">
        <f>IF(B228="Fornecedor",IF(VLOOKUP(C228,Base_Dados!$E$1:$F$7,2,FALSE)=F228," ","Fornecedor inválido!")," ")</f>
        <v> </v>
      </c>
      <c r="M228" s="22" t="str">
        <f>IF(AND(LEFT(F228,2)="MP",H228&lt;&gt;Base_Dados!$A$1),"Impossível!!!"," ")</f>
        <v> </v>
      </c>
      <c r="N228" s="21" t="str">
        <f>IF(E228="Avião",IF($G228&lt;=VLOOKUP($F228,Base_Dados!$K$1:$O$7,3,FALSE)," ","Limite "&amp;VLOOKUP($F228,Base_Dados!$K$1:$O$11,3,FALSE)&amp;" "&amp;VLOOKUP($F228,Base_Dados!$K$1:$O$11,2,FALSE))," ")</f>
        <v> </v>
      </c>
      <c r="O228" s="21" t="str">
        <f>IF(E228="Caminhão",IF($G228&lt;=VLOOKUP($F228,Base_Dados!$K$1:$O$7,4,FALSE)," ","Limite "&amp;VLOOKUP($F228,Base_Dados!$K$1:$O$11,4,FALSE)&amp;" "&amp;VLOOKUP($F228,Base_Dados!$K$1:$O$11,2,FALSE))," ")</f>
        <v> </v>
      </c>
      <c r="P228" s="21" t="str">
        <f>IF(E228="Navio",IF($G228&lt;=VLOOKUP($F228,Base_Dados!$K$1:$O$7,5,FALSE)," ","Limite "&amp;VLOOKUP($F228,Base_Dados!$K$1:$O$11,5,FALSE)&amp;" "&amp;VLOOKUP($F228,Base_Dados!$K$1:$O$11,2,FALSE))," ")</f>
        <v> </v>
      </c>
      <c r="Q228" s="21" t="str">
        <f t="shared" si="2"/>
        <v/>
      </c>
      <c r="R228" s="1"/>
      <c r="S228" s="1"/>
      <c r="T228" s="1"/>
      <c r="U228" s="1"/>
      <c r="V228" s="1"/>
      <c r="W228" s="1"/>
      <c r="X228" s="1"/>
      <c r="Y228" s="1"/>
      <c r="Z228" s="1"/>
    </row>
    <row r="229" ht="24.0" customHeight="1">
      <c r="A229" s="18" t="s">
        <v>70</v>
      </c>
      <c r="B229" s="18" t="s">
        <v>27</v>
      </c>
      <c r="C229" s="19" t="s">
        <v>28</v>
      </c>
      <c r="D229" s="19" t="s">
        <v>72</v>
      </c>
      <c r="E229" s="19" t="s">
        <v>45</v>
      </c>
      <c r="F229" s="19" t="s">
        <v>42</v>
      </c>
      <c r="G229" s="20">
        <v>6666.0</v>
      </c>
      <c r="H229" s="19" t="s">
        <v>35</v>
      </c>
      <c r="I229" s="19" t="s">
        <v>36</v>
      </c>
      <c r="J229" s="13">
        <f>VLOOKUP(C229&amp;I229&amp;E229,Orig_Dest!$A$2:$E$1876,5,FALSE)</f>
        <v>0</v>
      </c>
      <c r="K229" s="14" t="str">
        <f t="shared" si="1"/>
        <v>Dia 12</v>
      </c>
      <c r="L229" s="21" t="str">
        <f>IF(B229="Fornecedor",IF(VLOOKUP(C229,Base_Dados!$E$1:$F$7,2,FALSE)=F229," ","Fornecedor inválido!")," ")</f>
        <v> </v>
      </c>
      <c r="M229" s="22" t="str">
        <f>IF(AND(LEFT(F229,2)="MP",H229&lt;&gt;Base_Dados!$A$1),"Impossível!!!"," ")</f>
        <v> </v>
      </c>
      <c r="N229" s="21" t="str">
        <f>IF(E229="Avião",IF($G229&lt;=VLOOKUP($F229,Base_Dados!$K$1:$O$7,3,FALSE)," ","Limite "&amp;VLOOKUP($F229,Base_Dados!$K$1:$O$11,3,FALSE)&amp;" "&amp;VLOOKUP($F229,Base_Dados!$K$1:$O$11,2,FALSE))," ")</f>
        <v> </v>
      </c>
      <c r="O229" s="21" t="str">
        <f>IF(E229="Caminhão",IF($G229&lt;=VLOOKUP($F229,Base_Dados!$K$1:$O$7,4,FALSE)," ","Limite "&amp;VLOOKUP($F229,Base_Dados!$K$1:$O$11,4,FALSE)&amp;" "&amp;VLOOKUP($F229,Base_Dados!$K$1:$O$11,2,FALSE))," ")</f>
        <v> </v>
      </c>
      <c r="P229" s="21" t="str">
        <f>IF(E229="Navio",IF($G229&lt;=VLOOKUP($F229,Base_Dados!$K$1:$O$7,5,FALSE)," ","Limite "&amp;VLOOKUP($F229,Base_Dados!$K$1:$O$11,5,FALSE)&amp;" "&amp;VLOOKUP($F229,Base_Dados!$K$1:$O$11,2,FALSE))," ")</f>
        <v> </v>
      </c>
      <c r="Q229" s="21" t="str">
        <f t="shared" si="2"/>
        <v/>
      </c>
      <c r="R229" s="1"/>
      <c r="S229" s="1"/>
      <c r="T229" s="1"/>
      <c r="U229" s="1"/>
      <c r="V229" s="1"/>
      <c r="W229" s="1"/>
      <c r="X229" s="1"/>
      <c r="Y229" s="1"/>
      <c r="Z229" s="1"/>
    </row>
    <row r="230" ht="24.0" customHeight="1">
      <c r="A230" s="18" t="s">
        <v>70</v>
      </c>
      <c r="B230" s="18" t="s">
        <v>27</v>
      </c>
      <c r="C230" s="19" t="s">
        <v>28</v>
      </c>
      <c r="D230" s="19" t="s">
        <v>72</v>
      </c>
      <c r="E230" s="19" t="s">
        <v>45</v>
      </c>
      <c r="F230" s="19" t="s">
        <v>42</v>
      </c>
      <c r="G230" s="20">
        <v>367.0</v>
      </c>
      <c r="H230" s="19" t="s">
        <v>35</v>
      </c>
      <c r="I230" s="19" t="s">
        <v>36</v>
      </c>
      <c r="J230" s="13">
        <f>VLOOKUP(C230&amp;I230&amp;E230,Orig_Dest!$A$2:$E$1876,5,FALSE)</f>
        <v>0</v>
      </c>
      <c r="K230" s="14" t="str">
        <f t="shared" si="1"/>
        <v>Dia 12</v>
      </c>
      <c r="L230" s="21" t="str">
        <f>IF(B230="Fornecedor",IF(VLOOKUP(C230,Base_Dados!$E$1:$F$7,2,FALSE)=F230," ","Fornecedor inválido!")," ")</f>
        <v> </v>
      </c>
      <c r="M230" s="22" t="str">
        <f>IF(AND(LEFT(F230,2)="MP",H230&lt;&gt;Base_Dados!$A$1),"Impossível!!!"," ")</f>
        <v> </v>
      </c>
      <c r="N230" s="21" t="str">
        <f>IF(E230="Avião",IF($G230&lt;=VLOOKUP($F230,Base_Dados!$K$1:$O$7,3,FALSE)," ","Limite "&amp;VLOOKUP($F230,Base_Dados!$K$1:$O$11,3,FALSE)&amp;" "&amp;VLOOKUP($F230,Base_Dados!$K$1:$O$11,2,FALSE))," ")</f>
        <v> </v>
      </c>
      <c r="O230" s="21" t="str">
        <f>IF(E230="Caminhão",IF($G230&lt;=VLOOKUP($F230,Base_Dados!$K$1:$O$7,4,FALSE)," ","Limite "&amp;VLOOKUP($F230,Base_Dados!$K$1:$O$11,4,FALSE)&amp;" "&amp;VLOOKUP($F230,Base_Dados!$K$1:$O$11,2,FALSE))," ")</f>
        <v> </v>
      </c>
      <c r="P230" s="21" t="str">
        <f>IF(E230="Navio",IF($G230&lt;=VLOOKUP($F230,Base_Dados!$K$1:$O$7,5,FALSE)," ","Limite "&amp;VLOOKUP($F230,Base_Dados!$K$1:$O$11,5,FALSE)&amp;" "&amp;VLOOKUP($F230,Base_Dados!$K$1:$O$11,2,FALSE))," ")</f>
        <v> </v>
      </c>
      <c r="Q230" s="21" t="str">
        <f t="shared" si="2"/>
        <v/>
      </c>
      <c r="R230" s="1"/>
      <c r="S230" s="1"/>
      <c r="T230" s="1"/>
      <c r="U230" s="1"/>
      <c r="V230" s="1"/>
      <c r="W230" s="1"/>
      <c r="X230" s="1"/>
      <c r="Y230" s="1"/>
      <c r="Z230" s="1"/>
    </row>
    <row r="231" ht="24.0" customHeight="1">
      <c r="A231" s="18" t="s">
        <v>70</v>
      </c>
      <c r="B231" s="18" t="s">
        <v>27</v>
      </c>
      <c r="C231" s="19" t="s">
        <v>28</v>
      </c>
      <c r="D231" s="19" t="s">
        <v>72</v>
      </c>
      <c r="E231" s="19" t="s">
        <v>37</v>
      </c>
      <c r="F231" s="19" t="s">
        <v>40</v>
      </c>
      <c r="G231" s="20">
        <v>6000.0</v>
      </c>
      <c r="H231" s="19" t="s">
        <v>35</v>
      </c>
      <c r="I231" s="19" t="s">
        <v>38</v>
      </c>
      <c r="J231" s="13">
        <f>VLOOKUP(C231&amp;I231&amp;E231,Orig_Dest!$A$2:$E$1876,5,FALSE)</f>
        <v>1</v>
      </c>
      <c r="K231" s="14" t="str">
        <f t="shared" si="1"/>
        <v>Dia 13</v>
      </c>
      <c r="L231" s="21" t="str">
        <f>IF(B231="Fornecedor",IF(VLOOKUP(C231,Base_Dados!$E$1:$F$7,2,FALSE)=F231," ","Fornecedor inválido!")," ")</f>
        <v> </v>
      </c>
      <c r="M231" s="22" t="str">
        <f>IF(AND(LEFT(F231,2)="MP",H231&lt;&gt;Base_Dados!$A$1),"Impossível!!!"," ")</f>
        <v> </v>
      </c>
      <c r="N231" s="21" t="str">
        <f>IF(E231="Avião",IF($G231&lt;=VLOOKUP($F231,Base_Dados!$K$1:$O$7,3,FALSE)," ","Limite "&amp;VLOOKUP($F231,Base_Dados!$K$1:$O$11,3,FALSE)&amp;" "&amp;VLOOKUP($F231,Base_Dados!$K$1:$O$11,2,FALSE))," ")</f>
        <v> </v>
      </c>
      <c r="O231" s="21" t="str">
        <f>IF(E231="Caminhão",IF($G231&lt;=VLOOKUP($F231,Base_Dados!$K$1:$O$7,4,FALSE)," ","Limite "&amp;VLOOKUP($F231,Base_Dados!$K$1:$O$11,4,FALSE)&amp;" "&amp;VLOOKUP($F231,Base_Dados!$K$1:$O$11,2,FALSE))," ")</f>
        <v> </v>
      </c>
      <c r="P231" s="21" t="str">
        <f>IF(E231="Navio",IF($G231&lt;=VLOOKUP($F231,Base_Dados!$K$1:$O$7,5,FALSE)," ","Limite "&amp;VLOOKUP($F231,Base_Dados!$K$1:$O$11,5,FALSE)&amp;" "&amp;VLOOKUP($F231,Base_Dados!$K$1:$O$11,2,FALSE))," ")</f>
        <v> </v>
      </c>
      <c r="Q231" s="21" t="str">
        <f t="shared" si="2"/>
        <v/>
      </c>
      <c r="R231" s="1"/>
      <c r="S231" s="1"/>
      <c r="T231" s="1"/>
      <c r="U231" s="1"/>
      <c r="V231" s="1"/>
      <c r="W231" s="1"/>
      <c r="X231" s="1"/>
      <c r="Y231" s="1"/>
      <c r="Z231" s="1"/>
    </row>
    <row r="232" ht="24.0" customHeight="1">
      <c r="A232" s="18" t="s">
        <v>70</v>
      </c>
      <c r="B232" s="18" t="s">
        <v>27</v>
      </c>
      <c r="C232" s="19" t="s">
        <v>28</v>
      </c>
      <c r="D232" s="19" t="s">
        <v>72</v>
      </c>
      <c r="E232" s="19" t="s">
        <v>45</v>
      </c>
      <c r="F232" s="19" t="s">
        <v>42</v>
      </c>
      <c r="G232" s="20">
        <v>6666.0</v>
      </c>
      <c r="H232" s="19" t="s">
        <v>35</v>
      </c>
      <c r="I232" s="19" t="s">
        <v>38</v>
      </c>
      <c r="J232" s="13">
        <f>VLOOKUP(C232&amp;I232&amp;E232,Orig_Dest!$A$2:$E$1876,5,FALSE)</f>
        <v>0</v>
      </c>
      <c r="K232" s="14" t="str">
        <f t="shared" si="1"/>
        <v>Dia 12</v>
      </c>
      <c r="L232" s="21" t="str">
        <f>IF(B232="Fornecedor",IF(VLOOKUP(C232,Base_Dados!$E$1:$F$7,2,FALSE)=F232," ","Fornecedor inválido!")," ")</f>
        <v> </v>
      </c>
      <c r="M232" s="22" t="str">
        <f>IF(AND(LEFT(F232,2)="MP",H232&lt;&gt;Base_Dados!$A$1),"Impossível!!!"," ")</f>
        <v> </v>
      </c>
      <c r="N232" s="21" t="str">
        <f>IF(E232="Avião",IF($G232&lt;=VLOOKUP($F232,Base_Dados!$K$1:$O$7,3,FALSE)," ","Limite "&amp;VLOOKUP($F232,Base_Dados!$K$1:$O$11,3,FALSE)&amp;" "&amp;VLOOKUP($F232,Base_Dados!$K$1:$O$11,2,FALSE))," ")</f>
        <v> </v>
      </c>
      <c r="O232" s="21" t="str">
        <f>IF(E232="Caminhão",IF($G232&lt;=VLOOKUP($F232,Base_Dados!$K$1:$O$7,4,FALSE)," ","Limite "&amp;VLOOKUP($F232,Base_Dados!$K$1:$O$11,4,FALSE)&amp;" "&amp;VLOOKUP($F232,Base_Dados!$K$1:$O$11,2,FALSE))," ")</f>
        <v> </v>
      </c>
      <c r="P232" s="21" t="str">
        <f>IF(E232="Navio",IF($G232&lt;=VLOOKUP($F232,Base_Dados!$K$1:$O$7,5,FALSE)," ","Limite "&amp;VLOOKUP($F232,Base_Dados!$K$1:$O$11,5,FALSE)&amp;" "&amp;VLOOKUP($F232,Base_Dados!$K$1:$O$11,2,FALSE))," ")</f>
        <v> </v>
      </c>
      <c r="Q232" s="21" t="str">
        <f t="shared" si="2"/>
        <v/>
      </c>
      <c r="R232" s="1"/>
      <c r="S232" s="1"/>
      <c r="T232" s="1"/>
      <c r="U232" s="1"/>
      <c r="V232" s="1"/>
      <c r="W232" s="1"/>
      <c r="X232" s="1"/>
      <c r="Y232" s="1"/>
      <c r="Z232" s="1"/>
    </row>
    <row r="233" ht="24.0" customHeight="1">
      <c r="A233" s="18" t="s">
        <v>70</v>
      </c>
      <c r="B233" s="18" t="s">
        <v>27</v>
      </c>
      <c r="C233" s="19" t="s">
        <v>28</v>
      </c>
      <c r="D233" s="19" t="s">
        <v>72</v>
      </c>
      <c r="E233" s="19" t="s">
        <v>45</v>
      </c>
      <c r="F233" s="19" t="s">
        <v>42</v>
      </c>
      <c r="G233" s="20">
        <v>6666.0</v>
      </c>
      <c r="H233" s="19" t="s">
        <v>35</v>
      </c>
      <c r="I233" s="19" t="s">
        <v>38</v>
      </c>
      <c r="J233" s="13">
        <f>VLOOKUP(C233&amp;I233&amp;E233,Orig_Dest!$A$2:$E$1876,5,FALSE)</f>
        <v>0</v>
      </c>
      <c r="K233" s="14" t="str">
        <f t="shared" si="1"/>
        <v>Dia 12</v>
      </c>
      <c r="L233" s="21" t="str">
        <f>IF(B233="Fornecedor",IF(VLOOKUP(C233,Base_Dados!$E$1:$F$7,2,FALSE)=F233," ","Fornecedor inválido!")," ")</f>
        <v> </v>
      </c>
      <c r="M233" s="22" t="str">
        <f>IF(AND(LEFT(F233,2)="MP",H233&lt;&gt;Base_Dados!$A$1),"Impossível!!!"," ")</f>
        <v> </v>
      </c>
      <c r="N233" s="21" t="str">
        <f>IF(E233="Avião",IF($G233&lt;=VLOOKUP($F233,Base_Dados!$K$1:$O$7,3,FALSE)," ","Limite "&amp;VLOOKUP($F233,Base_Dados!$K$1:$O$11,3,FALSE)&amp;" "&amp;VLOOKUP($F233,Base_Dados!$K$1:$O$11,2,FALSE))," ")</f>
        <v> </v>
      </c>
      <c r="O233" s="21" t="str">
        <f>IF(E233="Caminhão",IF($G233&lt;=VLOOKUP($F233,Base_Dados!$K$1:$O$7,4,FALSE)," ","Limite "&amp;VLOOKUP($F233,Base_Dados!$K$1:$O$11,4,FALSE)&amp;" "&amp;VLOOKUP($F233,Base_Dados!$K$1:$O$11,2,FALSE))," ")</f>
        <v> </v>
      </c>
      <c r="P233" s="21" t="str">
        <f>IF(E233="Navio",IF($G233&lt;=VLOOKUP($F233,Base_Dados!$K$1:$O$7,5,FALSE)," ","Limite "&amp;VLOOKUP($F233,Base_Dados!$K$1:$O$11,5,FALSE)&amp;" "&amp;VLOOKUP($F233,Base_Dados!$K$1:$O$11,2,FALSE))," ")</f>
        <v> </v>
      </c>
      <c r="Q233" s="21" t="str">
        <f t="shared" si="2"/>
        <v/>
      </c>
      <c r="R233" s="1"/>
      <c r="S233" s="1"/>
      <c r="T233" s="1"/>
      <c r="U233" s="1"/>
      <c r="V233" s="1"/>
      <c r="W233" s="1"/>
      <c r="X233" s="1"/>
      <c r="Y233" s="1"/>
      <c r="Z233" s="1"/>
    </row>
    <row r="234" ht="24.0" customHeight="1">
      <c r="A234" s="18" t="s">
        <v>70</v>
      </c>
      <c r="B234" s="18" t="s">
        <v>27</v>
      </c>
      <c r="C234" s="19" t="s">
        <v>28</v>
      </c>
      <c r="D234" s="19" t="s">
        <v>72</v>
      </c>
      <c r="E234" s="19" t="s">
        <v>45</v>
      </c>
      <c r="F234" s="19" t="s">
        <v>42</v>
      </c>
      <c r="G234" s="20">
        <v>6666.0</v>
      </c>
      <c r="H234" s="19" t="s">
        <v>35</v>
      </c>
      <c r="I234" s="19" t="s">
        <v>38</v>
      </c>
      <c r="J234" s="13">
        <f>VLOOKUP(C234&amp;I234&amp;E234,Orig_Dest!$A$2:$E$1876,5,FALSE)</f>
        <v>0</v>
      </c>
      <c r="K234" s="14" t="str">
        <f t="shared" si="1"/>
        <v>Dia 12</v>
      </c>
      <c r="L234" s="21" t="str">
        <f>IF(B234="Fornecedor",IF(VLOOKUP(C234,Base_Dados!$E$1:$F$7,2,FALSE)=F234," ","Fornecedor inválido!")," ")</f>
        <v> </v>
      </c>
      <c r="M234" s="22" t="str">
        <f>IF(AND(LEFT(F234,2)="MP",H234&lt;&gt;Base_Dados!$A$1),"Impossível!!!"," ")</f>
        <v> </v>
      </c>
      <c r="N234" s="21" t="str">
        <f>IF(E234="Avião",IF($G234&lt;=VLOOKUP($F234,Base_Dados!$K$1:$O$7,3,FALSE)," ","Limite "&amp;VLOOKUP($F234,Base_Dados!$K$1:$O$11,3,FALSE)&amp;" "&amp;VLOOKUP($F234,Base_Dados!$K$1:$O$11,2,FALSE))," ")</f>
        <v> </v>
      </c>
      <c r="O234" s="21" t="str">
        <f>IF(E234="Caminhão",IF($G234&lt;=VLOOKUP($F234,Base_Dados!$K$1:$O$7,4,FALSE)," ","Limite "&amp;VLOOKUP($F234,Base_Dados!$K$1:$O$11,4,FALSE)&amp;" "&amp;VLOOKUP($F234,Base_Dados!$K$1:$O$11,2,FALSE))," ")</f>
        <v> </v>
      </c>
      <c r="P234" s="21" t="str">
        <f>IF(E234="Navio",IF($G234&lt;=VLOOKUP($F234,Base_Dados!$K$1:$O$7,5,FALSE)," ","Limite "&amp;VLOOKUP($F234,Base_Dados!$K$1:$O$11,5,FALSE)&amp;" "&amp;VLOOKUP($F234,Base_Dados!$K$1:$O$11,2,FALSE))," ")</f>
        <v> </v>
      </c>
      <c r="Q234" s="21" t="str">
        <f t="shared" si="2"/>
        <v/>
      </c>
      <c r="R234" s="1"/>
      <c r="S234" s="1"/>
      <c r="T234" s="1"/>
      <c r="U234" s="1"/>
      <c r="V234" s="1"/>
      <c r="W234" s="1"/>
      <c r="X234" s="1"/>
      <c r="Y234" s="1"/>
      <c r="Z234" s="1"/>
    </row>
    <row r="235" ht="24.0" customHeight="1">
      <c r="A235" s="18" t="s">
        <v>70</v>
      </c>
      <c r="B235" s="18" t="s">
        <v>27</v>
      </c>
      <c r="C235" s="19" t="s">
        <v>28</v>
      </c>
      <c r="D235" s="19" t="s">
        <v>72</v>
      </c>
      <c r="E235" s="19" t="s">
        <v>45</v>
      </c>
      <c r="F235" s="19" t="s">
        <v>42</v>
      </c>
      <c r="G235" s="20">
        <v>6666.0</v>
      </c>
      <c r="H235" s="19" t="s">
        <v>35</v>
      </c>
      <c r="I235" s="19" t="s">
        <v>38</v>
      </c>
      <c r="J235" s="13">
        <f>VLOOKUP(C235&amp;I235&amp;E235,Orig_Dest!$A$2:$E$1876,5,FALSE)</f>
        <v>0</v>
      </c>
      <c r="K235" s="14" t="str">
        <f t="shared" si="1"/>
        <v>Dia 12</v>
      </c>
      <c r="L235" s="21" t="str">
        <f>IF(B235="Fornecedor",IF(VLOOKUP(C235,Base_Dados!$E$1:$F$7,2,FALSE)=F235," ","Fornecedor inválido!")," ")</f>
        <v> </v>
      </c>
      <c r="M235" s="22" t="str">
        <f>IF(AND(LEFT(F235,2)="MP",H235&lt;&gt;Base_Dados!$A$1),"Impossível!!!"," ")</f>
        <v> </v>
      </c>
      <c r="N235" s="21" t="str">
        <f>IF(E235="Avião",IF($G235&lt;=VLOOKUP($F235,Base_Dados!$K$1:$O$7,3,FALSE)," ","Limite "&amp;VLOOKUP($F235,Base_Dados!$K$1:$O$11,3,FALSE)&amp;" "&amp;VLOOKUP($F235,Base_Dados!$K$1:$O$11,2,FALSE))," ")</f>
        <v> </v>
      </c>
      <c r="O235" s="21" t="str">
        <f>IF(E235="Caminhão",IF($G235&lt;=VLOOKUP($F235,Base_Dados!$K$1:$O$7,4,FALSE)," ","Limite "&amp;VLOOKUP($F235,Base_Dados!$K$1:$O$11,4,FALSE)&amp;" "&amp;VLOOKUP($F235,Base_Dados!$K$1:$O$11,2,FALSE))," ")</f>
        <v> </v>
      </c>
      <c r="P235" s="21" t="str">
        <f>IF(E235="Navio",IF($G235&lt;=VLOOKUP($F235,Base_Dados!$K$1:$O$7,5,FALSE)," ","Limite "&amp;VLOOKUP($F235,Base_Dados!$K$1:$O$11,5,FALSE)&amp;" "&amp;VLOOKUP($F235,Base_Dados!$K$1:$O$11,2,FALSE))," ")</f>
        <v> </v>
      </c>
      <c r="Q235" s="21" t="str">
        <f t="shared" si="2"/>
        <v/>
      </c>
      <c r="R235" s="1"/>
      <c r="S235" s="1"/>
      <c r="T235" s="1"/>
      <c r="U235" s="1"/>
      <c r="V235" s="1"/>
      <c r="W235" s="1"/>
      <c r="X235" s="1"/>
      <c r="Y235" s="1"/>
      <c r="Z235" s="1"/>
    </row>
    <row r="236" ht="24.0" customHeight="1">
      <c r="A236" s="18" t="s">
        <v>70</v>
      </c>
      <c r="B236" s="18" t="s">
        <v>27</v>
      </c>
      <c r="C236" s="19" t="s">
        <v>28</v>
      </c>
      <c r="D236" s="19" t="s">
        <v>72</v>
      </c>
      <c r="E236" s="19" t="s">
        <v>45</v>
      </c>
      <c r="F236" s="19" t="s">
        <v>42</v>
      </c>
      <c r="G236" s="20">
        <v>6666.0</v>
      </c>
      <c r="H236" s="19" t="s">
        <v>35</v>
      </c>
      <c r="I236" s="19" t="s">
        <v>38</v>
      </c>
      <c r="J236" s="13">
        <f>VLOOKUP(C236&amp;I236&amp;E236,Orig_Dest!$A$2:$E$1876,5,FALSE)</f>
        <v>0</v>
      </c>
      <c r="K236" s="14" t="str">
        <f t="shared" si="1"/>
        <v>Dia 12</v>
      </c>
      <c r="L236" s="21" t="str">
        <f>IF(B236="Fornecedor",IF(VLOOKUP(C236,Base_Dados!$E$1:$F$7,2,FALSE)=F236," ","Fornecedor inválido!")," ")</f>
        <v> </v>
      </c>
      <c r="M236" s="22" t="str">
        <f>IF(AND(LEFT(F236,2)="MP",H236&lt;&gt;Base_Dados!$A$1),"Impossível!!!"," ")</f>
        <v> </v>
      </c>
      <c r="N236" s="21" t="str">
        <f>IF(E236="Avião",IF($G236&lt;=VLOOKUP($F236,Base_Dados!$K$1:$O$7,3,FALSE)," ","Limite "&amp;VLOOKUP($F236,Base_Dados!$K$1:$O$11,3,FALSE)&amp;" "&amp;VLOOKUP($F236,Base_Dados!$K$1:$O$11,2,FALSE))," ")</f>
        <v> </v>
      </c>
      <c r="O236" s="21" t="str">
        <f>IF(E236="Caminhão",IF($G236&lt;=VLOOKUP($F236,Base_Dados!$K$1:$O$7,4,FALSE)," ","Limite "&amp;VLOOKUP($F236,Base_Dados!$K$1:$O$11,4,FALSE)&amp;" "&amp;VLOOKUP($F236,Base_Dados!$K$1:$O$11,2,FALSE))," ")</f>
        <v> </v>
      </c>
      <c r="P236" s="21" t="str">
        <f>IF(E236="Navio",IF($G236&lt;=VLOOKUP($F236,Base_Dados!$K$1:$O$7,5,FALSE)," ","Limite "&amp;VLOOKUP($F236,Base_Dados!$K$1:$O$11,5,FALSE)&amp;" "&amp;VLOOKUP($F236,Base_Dados!$K$1:$O$11,2,FALSE))," ")</f>
        <v> </v>
      </c>
      <c r="Q236" s="21" t="str">
        <f t="shared" si="2"/>
        <v/>
      </c>
      <c r="R236" s="1"/>
      <c r="S236" s="1"/>
      <c r="T236" s="1"/>
      <c r="U236" s="1"/>
      <c r="V236" s="1"/>
      <c r="W236" s="1"/>
      <c r="X236" s="1"/>
      <c r="Y236" s="1"/>
      <c r="Z236" s="1"/>
    </row>
    <row r="237" ht="24.0" customHeight="1">
      <c r="A237" s="18" t="s">
        <v>70</v>
      </c>
      <c r="B237" s="18" t="s">
        <v>27</v>
      </c>
      <c r="C237" s="19" t="s">
        <v>28</v>
      </c>
      <c r="D237" s="19" t="s">
        <v>72</v>
      </c>
      <c r="E237" s="19" t="s">
        <v>45</v>
      </c>
      <c r="F237" s="19" t="s">
        <v>42</v>
      </c>
      <c r="G237" s="20">
        <v>6666.0</v>
      </c>
      <c r="H237" s="19" t="s">
        <v>35</v>
      </c>
      <c r="I237" s="19" t="s">
        <v>38</v>
      </c>
      <c r="J237" s="13">
        <f>VLOOKUP(C237&amp;I237&amp;E237,Orig_Dest!$A$2:$E$1876,5,FALSE)</f>
        <v>0</v>
      </c>
      <c r="K237" s="14" t="str">
        <f t="shared" si="1"/>
        <v>Dia 12</v>
      </c>
      <c r="L237" s="21" t="str">
        <f>IF(B237="Fornecedor",IF(VLOOKUP(C237,Base_Dados!$E$1:$F$7,2,FALSE)=F237," ","Fornecedor inválido!")," ")</f>
        <v> </v>
      </c>
      <c r="M237" s="22" t="str">
        <f>IF(AND(LEFT(F237,2)="MP",H237&lt;&gt;Base_Dados!$A$1),"Impossível!!!"," ")</f>
        <v> </v>
      </c>
      <c r="N237" s="21" t="str">
        <f>IF(E237="Avião",IF($G237&lt;=VLOOKUP($F237,Base_Dados!$K$1:$O$7,3,FALSE)," ","Limite "&amp;VLOOKUP($F237,Base_Dados!$K$1:$O$11,3,FALSE)&amp;" "&amp;VLOOKUP($F237,Base_Dados!$K$1:$O$11,2,FALSE))," ")</f>
        <v> </v>
      </c>
      <c r="O237" s="21" t="str">
        <f>IF(E237="Caminhão",IF($G237&lt;=VLOOKUP($F237,Base_Dados!$K$1:$O$7,4,FALSE)," ","Limite "&amp;VLOOKUP($F237,Base_Dados!$K$1:$O$11,4,FALSE)&amp;" "&amp;VLOOKUP($F237,Base_Dados!$K$1:$O$11,2,FALSE))," ")</f>
        <v> </v>
      </c>
      <c r="P237" s="21" t="str">
        <f>IF(E237="Navio",IF($G237&lt;=VLOOKUP($F237,Base_Dados!$K$1:$O$7,5,FALSE)," ","Limite "&amp;VLOOKUP($F237,Base_Dados!$K$1:$O$11,5,FALSE)&amp;" "&amp;VLOOKUP($F237,Base_Dados!$K$1:$O$11,2,FALSE))," ")</f>
        <v> </v>
      </c>
      <c r="Q237" s="21" t="str">
        <f t="shared" si="2"/>
        <v/>
      </c>
      <c r="R237" s="1"/>
      <c r="S237" s="1"/>
      <c r="T237" s="1"/>
      <c r="U237" s="1"/>
      <c r="V237" s="1"/>
      <c r="W237" s="1"/>
      <c r="X237" s="1"/>
      <c r="Y237" s="1"/>
      <c r="Z237" s="1"/>
    </row>
    <row r="238" ht="24.0" customHeight="1">
      <c r="A238" s="18" t="s">
        <v>70</v>
      </c>
      <c r="B238" s="18" t="s">
        <v>27</v>
      </c>
      <c r="C238" s="19" t="s">
        <v>28</v>
      </c>
      <c r="D238" s="19" t="s">
        <v>72</v>
      </c>
      <c r="E238" s="19" t="s">
        <v>45</v>
      </c>
      <c r="F238" s="19" t="s">
        <v>42</v>
      </c>
      <c r="G238" s="20">
        <v>6666.0</v>
      </c>
      <c r="H238" s="19" t="s">
        <v>35</v>
      </c>
      <c r="I238" s="19" t="s">
        <v>38</v>
      </c>
      <c r="J238" s="13">
        <f>VLOOKUP(C238&amp;I238&amp;E238,Orig_Dest!$A$2:$E$1876,5,FALSE)</f>
        <v>0</v>
      </c>
      <c r="K238" s="14" t="str">
        <f t="shared" si="1"/>
        <v>Dia 12</v>
      </c>
      <c r="L238" s="21" t="str">
        <f>IF(B238="Fornecedor",IF(VLOOKUP(C238,Base_Dados!$E$1:$F$7,2,FALSE)=F238," ","Fornecedor inválido!")," ")</f>
        <v> </v>
      </c>
      <c r="M238" s="22" t="str">
        <f>IF(AND(LEFT(F238,2)="MP",H238&lt;&gt;Base_Dados!$A$1),"Impossível!!!"," ")</f>
        <v> </v>
      </c>
      <c r="N238" s="21" t="str">
        <f>IF(E238="Avião",IF($G238&lt;=VLOOKUP($F238,Base_Dados!$K$1:$O$7,3,FALSE)," ","Limite "&amp;VLOOKUP($F238,Base_Dados!$K$1:$O$11,3,FALSE)&amp;" "&amp;VLOOKUP($F238,Base_Dados!$K$1:$O$11,2,FALSE))," ")</f>
        <v> </v>
      </c>
      <c r="O238" s="21" t="str">
        <f>IF(E238="Caminhão",IF($G238&lt;=VLOOKUP($F238,Base_Dados!$K$1:$O$7,4,FALSE)," ","Limite "&amp;VLOOKUP($F238,Base_Dados!$K$1:$O$11,4,FALSE)&amp;" "&amp;VLOOKUP($F238,Base_Dados!$K$1:$O$11,2,FALSE))," ")</f>
        <v> </v>
      </c>
      <c r="P238" s="21" t="str">
        <f>IF(E238="Navio",IF($G238&lt;=VLOOKUP($F238,Base_Dados!$K$1:$O$7,5,FALSE)," ","Limite "&amp;VLOOKUP($F238,Base_Dados!$K$1:$O$11,5,FALSE)&amp;" "&amp;VLOOKUP($F238,Base_Dados!$K$1:$O$11,2,FALSE))," ")</f>
        <v> </v>
      </c>
      <c r="Q238" s="21" t="str">
        <f t="shared" si="2"/>
        <v/>
      </c>
      <c r="R238" s="1"/>
      <c r="S238" s="1"/>
      <c r="T238" s="1"/>
      <c r="U238" s="1"/>
      <c r="V238" s="1"/>
      <c r="W238" s="1"/>
      <c r="X238" s="1"/>
      <c r="Y238" s="1"/>
      <c r="Z238" s="1"/>
    </row>
    <row r="239" ht="24.0" customHeight="1">
      <c r="A239" s="18" t="s">
        <v>70</v>
      </c>
      <c r="B239" s="18" t="s">
        <v>27</v>
      </c>
      <c r="C239" s="19" t="s">
        <v>28</v>
      </c>
      <c r="D239" s="19" t="s">
        <v>72</v>
      </c>
      <c r="E239" s="19" t="s">
        <v>45</v>
      </c>
      <c r="F239" s="19" t="s">
        <v>42</v>
      </c>
      <c r="G239" s="20">
        <v>6666.0</v>
      </c>
      <c r="H239" s="19" t="s">
        <v>35</v>
      </c>
      <c r="I239" s="19" t="s">
        <v>38</v>
      </c>
      <c r="J239" s="13">
        <f>VLOOKUP(C239&amp;I239&amp;E239,Orig_Dest!$A$2:$E$1876,5,FALSE)</f>
        <v>0</v>
      </c>
      <c r="K239" s="14" t="str">
        <f t="shared" si="1"/>
        <v>Dia 12</v>
      </c>
      <c r="L239" s="21" t="str">
        <f>IF(B239="Fornecedor",IF(VLOOKUP(C239,Base_Dados!$E$1:$F$7,2,FALSE)=F239," ","Fornecedor inválido!")," ")</f>
        <v> </v>
      </c>
      <c r="M239" s="22" t="str">
        <f>IF(AND(LEFT(F239,2)="MP",H239&lt;&gt;Base_Dados!$A$1),"Impossível!!!"," ")</f>
        <v> </v>
      </c>
      <c r="N239" s="21" t="str">
        <f>IF(E239="Avião",IF($G239&lt;=VLOOKUP($F239,Base_Dados!$K$1:$O$7,3,FALSE)," ","Limite "&amp;VLOOKUP($F239,Base_Dados!$K$1:$O$11,3,FALSE)&amp;" "&amp;VLOOKUP($F239,Base_Dados!$K$1:$O$11,2,FALSE))," ")</f>
        <v> </v>
      </c>
      <c r="O239" s="21" t="str">
        <f>IF(E239="Caminhão",IF($G239&lt;=VLOOKUP($F239,Base_Dados!$K$1:$O$7,4,FALSE)," ","Limite "&amp;VLOOKUP($F239,Base_Dados!$K$1:$O$11,4,FALSE)&amp;" "&amp;VLOOKUP($F239,Base_Dados!$K$1:$O$11,2,FALSE))," ")</f>
        <v> </v>
      </c>
      <c r="P239" s="21" t="str">
        <f>IF(E239="Navio",IF($G239&lt;=VLOOKUP($F239,Base_Dados!$K$1:$O$7,5,FALSE)," ","Limite "&amp;VLOOKUP($F239,Base_Dados!$K$1:$O$11,5,FALSE)&amp;" "&amp;VLOOKUP($F239,Base_Dados!$K$1:$O$11,2,FALSE))," ")</f>
        <v> </v>
      </c>
      <c r="Q239" s="21" t="str">
        <f t="shared" si="2"/>
        <v/>
      </c>
      <c r="R239" s="1"/>
      <c r="S239" s="1"/>
      <c r="T239" s="1"/>
      <c r="U239" s="1"/>
      <c r="V239" s="1"/>
      <c r="W239" s="1"/>
      <c r="X239" s="1"/>
      <c r="Y239" s="1"/>
      <c r="Z239" s="1"/>
    </row>
    <row r="240" ht="24.0" customHeight="1">
      <c r="A240" s="18" t="s">
        <v>70</v>
      </c>
      <c r="B240" s="18" t="s">
        <v>27</v>
      </c>
      <c r="C240" s="19" t="s">
        <v>28</v>
      </c>
      <c r="D240" s="19" t="s">
        <v>72</v>
      </c>
      <c r="E240" s="19" t="s">
        <v>45</v>
      </c>
      <c r="F240" s="19" t="s">
        <v>42</v>
      </c>
      <c r="G240" s="20">
        <v>6666.0</v>
      </c>
      <c r="H240" s="19" t="s">
        <v>35</v>
      </c>
      <c r="I240" s="19" t="s">
        <v>38</v>
      </c>
      <c r="J240" s="13">
        <f>VLOOKUP(C240&amp;I240&amp;E240,Orig_Dest!$A$2:$E$1876,5,FALSE)</f>
        <v>0</v>
      </c>
      <c r="K240" s="14" t="str">
        <f t="shared" si="1"/>
        <v>Dia 12</v>
      </c>
      <c r="L240" s="21" t="str">
        <f>IF(B240="Fornecedor",IF(VLOOKUP(C240,Base_Dados!$E$1:$F$7,2,FALSE)=F240," ","Fornecedor inválido!")," ")</f>
        <v> </v>
      </c>
      <c r="M240" s="22" t="str">
        <f>IF(AND(LEFT(F240,2)="MP",H240&lt;&gt;Base_Dados!$A$1),"Impossível!!!"," ")</f>
        <v> </v>
      </c>
      <c r="N240" s="21" t="str">
        <f>IF(E240="Avião",IF($G240&lt;=VLOOKUP($F240,Base_Dados!$K$1:$O$7,3,FALSE)," ","Limite "&amp;VLOOKUP($F240,Base_Dados!$K$1:$O$11,3,FALSE)&amp;" "&amp;VLOOKUP($F240,Base_Dados!$K$1:$O$11,2,FALSE))," ")</f>
        <v> </v>
      </c>
      <c r="O240" s="21" t="str">
        <f>IF(E240="Caminhão",IF($G240&lt;=VLOOKUP($F240,Base_Dados!$K$1:$O$7,4,FALSE)," ","Limite "&amp;VLOOKUP($F240,Base_Dados!$K$1:$O$11,4,FALSE)&amp;" "&amp;VLOOKUP($F240,Base_Dados!$K$1:$O$11,2,FALSE))," ")</f>
        <v> </v>
      </c>
      <c r="P240" s="21" t="str">
        <f>IF(E240="Navio",IF($G240&lt;=VLOOKUP($F240,Base_Dados!$K$1:$O$7,5,FALSE)," ","Limite "&amp;VLOOKUP($F240,Base_Dados!$K$1:$O$11,5,FALSE)&amp;" "&amp;VLOOKUP($F240,Base_Dados!$K$1:$O$11,2,FALSE))," ")</f>
        <v> </v>
      </c>
      <c r="Q240" s="21" t="str">
        <f t="shared" si="2"/>
        <v/>
      </c>
      <c r="R240" s="1"/>
      <c r="S240" s="1"/>
      <c r="T240" s="1"/>
      <c r="U240" s="1"/>
      <c r="V240" s="1"/>
      <c r="W240" s="1"/>
      <c r="X240" s="1"/>
      <c r="Y240" s="1"/>
      <c r="Z240" s="1"/>
    </row>
    <row r="241" ht="24.0" customHeight="1">
      <c r="A241" s="18" t="s">
        <v>70</v>
      </c>
      <c r="B241" s="18" t="s">
        <v>27</v>
      </c>
      <c r="C241" s="19" t="s">
        <v>28</v>
      </c>
      <c r="D241" s="19" t="s">
        <v>72</v>
      </c>
      <c r="E241" s="19" t="s">
        <v>45</v>
      </c>
      <c r="F241" s="19" t="s">
        <v>42</v>
      </c>
      <c r="G241" s="20">
        <v>6666.0</v>
      </c>
      <c r="H241" s="19" t="s">
        <v>35</v>
      </c>
      <c r="I241" s="19" t="s">
        <v>38</v>
      </c>
      <c r="J241" s="13">
        <f>VLOOKUP(C241&amp;I241&amp;E241,Orig_Dest!$A$2:$E$1876,5,FALSE)</f>
        <v>0</v>
      </c>
      <c r="K241" s="14" t="str">
        <f t="shared" si="1"/>
        <v>Dia 12</v>
      </c>
      <c r="L241" s="21" t="str">
        <f>IF(B241="Fornecedor",IF(VLOOKUP(C241,Base_Dados!$E$1:$F$7,2,FALSE)=F241," ","Fornecedor inválido!")," ")</f>
        <v> </v>
      </c>
      <c r="M241" s="22" t="str">
        <f>IF(AND(LEFT(F241,2)="MP",H241&lt;&gt;Base_Dados!$A$1),"Impossível!!!"," ")</f>
        <v> </v>
      </c>
      <c r="N241" s="21" t="str">
        <f>IF(E241="Avião",IF($G241&lt;=VLOOKUP($F241,Base_Dados!$K$1:$O$7,3,FALSE)," ","Limite "&amp;VLOOKUP($F241,Base_Dados!$K$1:$O$11,3,FALSE)&amp;" "&amp;VLOOKUP($F241,Base_Dados!$K$1:$O$11,2,FALSE))," ")</f>
        <v> </v>
      </c>
      <c r="O241" s="21" t="str">
        <f>IF(E241="Caminhão",IF($G241&lt;=VLOOKUP($F241,Base_Dados!$K$1:$O$7,4,FALSE)," ","Limite "&amp;VLOOKUP($F241,Base_Dados!$K$1:$O$11,4,FALSE)&amp;" "&amp;VLOOKUP($F241,Base_Dados!$K$1:$O$11,2,FALSE))," ")</f>
        <v> </v>
      </c>
      <c r="P241" s="21" t="str">
        <f>IF(E241="Navio",IF($G241&lt;=VLOOKUP($F241,Base_Dados!$K$1:$O$7,5,FALSE)," ","Limite "&amp;VLOOKUP($F241,Base_Dados!$K$1:$O$11,5,FALSE)&amp;" "&amp;VLOOKUP($F241,Base_Dados!$K$1:$O$11,2,FALSE))," ")</f>
        <v> </v>
      </c>
      <c r="Q241" s="21" t="str">
        <f t="shared" si="2"/>
        <v/>
      </c>
      <c r="R241" s="1"/>
      <c r="S241" s="1"/>
      <c r="T241" s="1"/>
      <c r="U241" s="1"/>
      <c r="V241" s="1"/>
      <c r="W241" s="1"/>
      <c r="X241" s="1"/>
      <c r="Y241" s="1"/>
      <c r="Z241" s="1"/>
    </row>
    <row r="242" ht="24.0" customHeight="1">
      <c r="A242" s="18" t="s">
        <v>70</v>
      </c>
      <c r="B242" s="18" t="s">
        <v>27</v>
      </c>
      <c r="C242" s="19" t="s">
        <v>28</v>
      </c>
      <c r="D242" s="19" t="s">
        <v>72</v>
      </c>
      <c r="E242" s="19" t="s">
        <v>45</v>
      </c>
      <c r="F242" s="19" t="s">
        <v>42</v>
      </c>
      <c r="G242" s="20">
        <v>6666.0</v>
      </c>
      <c r="H242" s="19" t="s">
        <v>35</v>
      </c>
      <c r="I242" s="19" t="s">
        <v>38</v>
      </c>
      <c r="J242" s="13">
        <f>VLOOKUP(C242&amp;I242&amp;E242,Orig_Dest!$A$2:$E$1876,5,FALSE)</f>
        <v>0</v>
      </c>
      <c r="K242" s="14" t="str">
        <f t="shared" si="1"/>
        <v>Dia 12</v>
      </c>
      <c r="L242" s="21" t="str">
        <f>IF(B242="Fornecedor",IF(VLOOKUP(C242,Base_Dados!$E$1:$F$7,2,FALSE)=F242," ","Fornecedor inválido!")," ")</f>
        <v> </v>
      </c>
      <c r="M242" s="22" t="str">
        <f>IF(AND(LEFT(F242,2)="MP",H242&lt;&gt;Base_Dados!$A$1),"Impossível!!!"," ")</f>
        <v> </v>
      </c>
      <c r="N242" s="21" t="str">
        <f>IF(E242="Avião",IF($G242&lt;=VLOOKUP($F242,Base_Dados!$K$1:$O$7,3,FALSE)," ","Limite "&amp;VLOOKUP($F242,Base_Dados!$K$1:$O$11,3,FALSE)&amp;" "&amp;VLOOKUP($F242,Base_Dados!$K$1:$O$11,2,FALSE))," ")</f>
        <v> </v>
      </c>
      <c r="O242" s="21" t="str">
        <f>IF(E242="Caminhão",IF($G242&lt;=VLOOKUP($F242,Base_Dados!$K$1:$O$7,4,FALSE)," ","Limite "&amp;VLOOKUP($F242,Base_Dados!$K$1:$O$11,4,FALSE)&amp;" "&amp;VLOOKUP($F242,Base_Dados!$K$1:$O$11,2,FALSE))," ")</f>
        <v> </v>
      </c>
      <c r="P242" s="21" t="str">
        <f>IF(E242="Navio",IF($G242&lt;=VLOOKUP($F242,Base_Dados!$K$1:$O$7,5,FALSE)," ","Limite "&amp;VLOOKUP($F242,Base_Dados!$K$1:$O$11,5,FALSE)&amp;" "&amp;VLOOKUP($F242,Base_Dados!$K$1:$O$11,2,FALSE))," ")</f>
        <v> </v>
      </c>
      <c r="Q242" s="21" t="str">
        <f t="shared" si="2"/>
        <v/>
      </c>
      <c r="R242" s="1"/>
      <c r="S242" s="1"/>
      <c r="T242" s="1"/>
      <c r="U242" s="1"/>
      <c r="V242" s="1"/>
      <c r="W242" s="1"/>
      <c r="X242" s="1"/>
      <c r="Y242" s="1"/>
      <c r="Z242" s="1"/>
    </row>
    <row r="243" ht="24.0" customHeight="1">
      <c r="A243" s="18" t="s">
        <v>70</v>
      </c>
      <c r="B243" s="18" t="s">
        <v>27</v>
      </c>
      <c r="C243" s="19" t="s">
        <v>28</v>
      </c>
      <c r="D243" s="19" t="s">
        <v>72</v>
      </c>
      <c r="E243" s="19" t="s">
        <v>45</v>
      </c>
      <c r="F243" s="19" t="s">
        <v>42</v>
      </c>
      <c r="G243" s="20">
        <v>6666.0</v>
      </c>
      <c r="H243" s="19" t="s">
        <v>35</v>
      </c>
      <c r="I243" s="19" t="s">
        <v>38</v>
      </c>
      <c r="J243" s="13">
        <f>VLOOKUP(C243&amp;I243&amp;E243,Orig_Dest!$A$2:$E$1876,5,FALSE)</f>
        <v>0</v>
      </c>
      <c r="K243" s="14" t="str">
        <f t="shared" si="1"/>
        <v>Dia 12</v>
      </c>
      <c r="L243" s="21" t="str">
        <f>IF(B243="Fornecedor",IF(VLOOKUP(C243,Base_Dados!$E$1:$F$7,2,FALSE)=F243," ","Fornecedor inválido!")," ")</f>
        <v> </v>
      </c>
      <c r="M243" s="22" t="str">
        <f>IF(AND(LEFT(F243,2)="MP",H243&lt;&gt;Base_Dados!$A$1),"Impossível!!!"," ")</f>
        <v> </v>
      </c>
      <c r="N243" s="21" t="str">
        <f>IF(E243="Avião",IF($G243&lt;=VLOOKUP($F243,Base_Dados!$K$1:$O$7,3,FALSE)," ","Limite "&amp;VLOOKUP($F243,Base_Dados!$K$1:$O$11,3,FALSE)&amp;" "&amp;VLOOKUP($F243,Base_Dados!$K$1:$O$11,2,FALSE))," ")</f>
        <v> </v>
      </c>
      <c r="O243" s="21" t="str">
        <f>IF(E243="Caminhão",IF($G243&lt;=VLOOKUP($F243,Base_Dados!$K$1:$O$7,4,FALSE)," ","Limite "&amp;VLOOKUP($F243,Base_Dados!$K$1:$O$11,4,FALSE)&amp;" "&amp;VLOOKUP($F243,Base_Dados!$K$1:$O$11,2,FALSE))," ")</f>
        <v> </v>
      </c>
      <c r="P243" s="21" t="str">
        <f>IF(E243="Navio",IF($G243&lt;=VLOOKUP($F243,Base_Dados!$K$1:$O$7,5,FALSE)," ","Limite "&amp;VLOOKUP($F243,Base_Dados!$K$1:$O$11,5,FALSE)&amp;" "&amp;VLOOKUP($F243,Base_Dados!$K$1:$O$11,2,FALSE))," ")</f>
        <v> </v>
      </c>
      <c r="Q243" s="21" t="str">
        <f t="shared" si="2"/>
        <v/>
      </c>
      <c r="R243" s="1"/>
      <c r="S243" s="1"/>
      <c r="T243" s="1"/>
      <c r="U243" s="1"/>
      <c r="V243" s="1"/>
      <c r="W243" s="1"/>
      <c r="X243" s="1"/>
      <c r="Y243" s="1"/>
      <c r="Z243" s="1"/>
    </row>
    <row r="244" ht="24.0" customHeight="1">
      <c r="A244" s="18" t="s">
        <v>70</v>
      </c>
      <c r="B244" s="18" t="s">
        <v>27</v>
      </c>
      <c r="C244" s="19" t="s">
        <v>28</v>
      </c>
      <c r="D244" s="19" t="s">
        <v>72</v>
      </c>
      <c r="E244" s="19" t="s">
        <v>45</v>
      </c>
      <c r="F244" s="19" t="s">
        <v>42</v>
      </c>
      <c r="G244" s="20">
        <v>6666.0</v>
      </c>
      <c r="H244" s="19" t="s">
        <v>35</v>
      </c>
      <c r="I244" s="19" t="s">
        <v>38</v>
      </c>
      <c r="J244" s="13">
        <f>VLOOKUP(C244&amp;I244&amp;E244,Orig_Dest!$A$2:$E$1876,5,FALSE)</f>
        <v>0</v>
      </c>
      <c r="K244" s="14" t="str">
        <f t="shared" si="1"/>
        <v>Dia 12</v>
      </c>
      <c r="L244" s="21" t="str">
        <f>IF(B244="Fornecedor",IF(VLOOKUP(C244,Base_Dados!$E$1:$F$7,2,FALSE)=F244," ","Fornecedor inválido!")," ")</f>
        <v> </v>
      </c>
      <c r="M244" s="22" t="str">
        <f>IF(AND(LEFT(F244,2)="MP",H244&lt;&gt;Base_Dados!$A$1),"Impossível!!!"," ")</f>
        <v> </v>
      </c>
      <c r="N244" s="21" t="str">
        <f>IF(E244="Avião",IF($G244&lt;=VLOOKUP($F244,Base_Dados!$K$1:$O$7,3,FALSE)," ","Limite "&amp;VLOOKUP($F244,Base_Dados!$K$1:$O$11,3,FALSE)&amp;" "&amp;VLOOKUP($F244,Base_Dados!$K$1:$O$11,2,FALSE))," ")</f>
        <v> </v>
      </c>
      <c r="O244" s="21" t="str">
        <f>IF(E244="Caminhão",IF($G244&lt;=VLOOKUP($F244,Base_Dados!$K$1:$O$7,4,FALSE)," ","Limite "&amp;VLOOKUP($F244,Base_Dados!$K$1:$O$11,4,FALSE)&amp;" "&amp;VLOOKUP($F244,Base_Dados!$K$1:$O$11,2,FALSE))," ")</f>
        <v> </v>
      </c>
      <c r="P244" s="21" t="str">
        <f>IF(E244="Navio",IF($G244&lt;=VLOOKUP($F244,Base_Dados!$K$1:$O$7,5,FALSE)," ","Limite "&amp;VLOOKUP($F244,Base_Dados!$K$1:$O$11,5,FALSE)&amp;" "&amp;VLOOKUP($F244,Base_Dados!$K$1:$O$11,2,FALSE))," ")</f>
        <v> </v>
      </c>
      <c r="Q244" s="21" t="str">
        <f t="shared" si="2"/>
        <v/>
      </c>
      <c r="R244" s="1"/>
      <c r="S244" s="1"/>
      <c r="T244" s="1"/>
      <c r="U244" s="1"/>
      <c r="V244" s="1"/>
      <c r="W244" s="1"/>
      <c r="X244" s="1"/>
      <c r="Y244" s="1"/>
      <c r="Z244" s="1"/>
    </row>
    <row r="245" ht="24.0" customHeight="1">
      <c r="A245" s="18" t="s">
        <v>70</v>
      </c>
      <c r="B245" s="18" t="s">
        <v>27</v>
      </c>
      <c r="C245" s="19" t="s">
        <v>28</v>
      </c>
      <c r="D245" s="19" t="s">
        <v>72</v>
      </c>
      <c r="E245" s="19" t="s">
        <v>45</v>
      </c>
      <c r="F245" s="19" t="s">
        <v>42</v>
      </c>
      <c r="G245" s="20">
        <v>6666.0</v>
      </c>
      <c r="H245" s="19" t="s">
        <v>35</v>
      </c>
      <c r="I245" s="19" t="s">
        <v>38</v>
      </c>
      <c r="J245" s="13">
        <f>VLOOKUP(C245&amp;I245&amp;E245,Orig_Dest!$A$2:$E$1876,5,FALSE)</f>
        <v>0</v>
      </c>
      <c r="K245" s="14" t="str">
        <f t="shared" si="1"/>
        <v>Dia 12</v>
      </c>
      <c r="L245" s="21" t="str">
        <f>IF(B245="Fornecedor",IF(VLOOKUP(C245,Base_Dados!$E$1:$F$7,2,FALSE)=F245," ","Fornecedor inválido!")," ")</f>
        <v> </v>
      </c>
      <c r="M245" s="22" t="str">
        <f>IF(AND(LEFT(F245,2)="MP",H245&lt;&gt;Base_Dados!$A$1),"Impossível!!!"," ")</f>
        <v> </v>
      </c>
      <c r="N245" s="21" t="str">
        <f>IF(E245="Avião",IF($G245&lt;=VLOOKUP($F245,Base_Dados!$K$1:$O$7,3,FALSE)," ","Limite "&amp;VLOOKUP($F245,Base_Dados!$K$1:$O$11,3,FALSE)&amp;" "&amp;VLOOKUP($F245,Base_Dados!$K$1:$O$11,2,FALSE))," ")</f>
        <v> </v>
      </c>
      <c r="O245" s="21" t="str">
        <f>IF(E245="Caminhão",IF($G245&lt;=VLOOKUP($F245,Base_Dados!$K$1:$O$7,4,FALSE)," ","Limite "&amp;VLOOKUP($F245,Base_Dados!$K$1:$O$11,4,FALSE)&amp;" "&amp;VLOOKUP($F245,Base_Dados!$K$1:$O$11,2,FALSE))," ")</f>
        <v> </v>
      </c>
      <c r="P245" s="21" t="str">
        <f>IF(E245="Navio",IF($G245&lt;=VLOOKUP($F245,Base_Dados!$K$1:$O$7,5,FALSE)," ","Limite "&amp;VLOOKUP($F245,Base_Dados!$K$1:$O$11,5,FALSE)&amp;" "&amp;VLOOKUP($F245,Base_Dados!$K$1:$O$11,2,FALSE))," ")</f>
        <v> </v>
      </c>
      <c r="Q245" s="21" t="str">
        <f t="shared" si="2"/>
        <v/>
      </c>
      <c r="R245" s="1"/>
      <c r="S245" s="1"/>
      <c r="T245" s="1"/>
      <c r="U245" s="1"/>
      <c r="V245" s="1"/>
      <c r="W245" s="1"/>
      <c r="X245" s="1"/>
      <c r="Y245" s="1"/>
      <c r="Z245" s="1"/>
    </row>
    <row r="246" ht="24.0" customHeight="1">
      <c r="A246" s="18" t="s">
        <v>70</v>
      </c>
      <c r="B246" s="18" t="s">
        <v>27</v>
      </c>
      <c r="C246" s="19" t="s">
        <v>28</v>
      </c>
      <c r="D246" s="19" t="s">
        <v>72</v>
      </c>
      <c r="E246" s="19" t="s">
        <v>45</v>
      </c>
      <c r="F246" s="19" t="s">
        <v>42</v>
      </c>
      <c r="G246" s="20">
        <v>6666.0</v>
      </c>
      <c r="H246" s="19" t="s">
        <v>35</v>
      </c>
      <c r="I246" s="19" t="s">
        <v>38</v>
      </c>
      <c r="J246" s="13">
        <f>VLOOKUP(C246&amp;I246&amp;E246,Orig_Dest!$A$2:$E$1876,5,FALSE)</f>
        <v>0</v>
      </c>
      <c r="K246" s="14" t="str">
        <f t="shared" si="1"/>
        <v>Dia 12</v>
      </c>
      <c r="L246" s="21" t="str">
        <f>IF(B246="Fornecedor",IF(VLOOKUP(C246,Base_Dados!$E$1:$F$7,2,FALSE)=F246," ","Fornecedor inválido!")," ")</f>
        <v> </v>
      </c>
      <c r="M246" s="22" t="str">
        <f>IF(AND(LEFT(F246,2)="MP",H246&lt;&gt;Base_Dados!$A$1),"Impossível!!!"," ")</f>
        <v> </v>
      </c>
      <c r="N246" s="21" t="str">
        <f>IF(E246="Avião",IF($G246&lt;=VLOOKUP($F246,Base_Dados!$K$1:$O$7,3,FALSE)," ","Limite "&amp;VLOOKUP($F246,Base_Dados!$K$1:$O$11,3,FALSE)&amp;" "&amp;VLOOKUP($F246,Base_Dados!$K$1:$O$11,2,FALSE))," ")</f>
        <v> </v>
      </c>
      <c r="O246" s="21" t="str">
        <f>IF(E246="Caminhão",IF($G246&lt;=VLOOKUP($F246,Base_Dados!$K$1:$O$7,4,FALSE)," ","Limite "&amp;VLOOKUP($F246,Base_Dados!$K$1:$O$11,4,FALSE)&amp;" "&amp;VLOOKUP($F246,Base_Dados!$K$1:$O$11,2,FALSE))," ")</f>
        <v> </v>
      </c>
      <c r="P246" s="21" t="str">
        <f>IF(E246="Navio",IF($G246&lt;=VLOOKUP($F246,Base_Dados!$K$1:$O$7,5,FALSE)," ","Limite "&amp;VLOOKUP($F246,Base_Dados!$K$1:$O$11,5,FALSE)&amp;" "&amp;VLOOKUP($F246,Base_Dados!$K$1:$O$11,2,FALSE))," ")</f>
        <v> </v>
      </c>
      <c r="Q246" s="21" t="str">
        <f t="shared" si="2"/>
        <v/>
      </c>
      <c r="R246" s="1"/>
      <c r="S246" s="1"/>
      <c r="T246" s="1"/>
      <c r="U246" s="1"/>
      <c r="V246" s="1"/>
      <c r="W246" s="1"/>
      <c r="X246" s="1"/>
      <c r="Y246" s="1"/>
      <c r="Z246" s="1"/>
    </row>
    <row r="247" ht="24.0" customHeight="1">
      <c r="A247" s="18" t="s">
        <v>70</v>
      </c>
      <c r="B247" s="18" t="s">
        <v>27</v>
      </c>
      <c r="C247" s="19" t="s">
        <v>28</v>
      </c>
      <c r="D247" s="19" t="s">
        <v>72</v>
      </c>
      <c r="E247" s="19" t="s">
        <v>45</v>
      </c>
      <c r="F247" s="19" t="s">
        <v>42</v>
      </c>
      <c r="G247" s="20">
        <v>6666.0</v>
      </c>
      <c r="H247" s="19" t="s">
        <v>35</v>
      </c>
      <c r="I247" s="19" t="s">
        <v>38</v>
      </c>
      <c r="J247" s="13">
        <f>VLOOKUP(C247&amp;I247&amp;E247,Orig_Dest!$A$2:$E$1876,5,FALSE)</f>
        <v>0</v>
      </c>
      <c r="K247" s="14" t="str">
        <f t="shared" si="1"/>
        <v>Dia 12</v>
      </c>
      <c r="L247" s="21" t="str">
        <f>IF(B247="Fornecedor",IF(VLOOKUP(C247,Base_Dados!$E$1:$F$7,2,FALSE)=F247," ","Fornecedor inválido!")," ")</f>
        <v> </v>
      </c>
      <c r="M247" s="22" t="str">
        <f>IF(AND(LEFT(F247,2)="MP",H247&lt;&gt;Base_Dados!$A$1),"Impossível!!!"," ")</f>
        <v> </v>
      </c>
      <c r="N247" s="21" t="str">
        <f>IF(E247="Avião",IF($G247&lt;=VLOOKUP($F247,Base_Dados!$K$1:$O$7,3,FALSE)," ","Limite "&amp;VLOOKUP($F247,Base_Dados!$K$1:$O$11,3,FALSE)&amp;" "&amp;VLOOKUP($F247,Base_Dados!$K$1:$O$11,2,FALSE))," ")</f>
        <v> </v>
      </c>
      <c r="O247" s="21" t="str">
        <f>IF(E247="Caminhão",IF($G247&lt;=VLOOKUP($F247,Base_Dados!$K$1:$O$7,4,FALSE)," ","Limite "&amp;VLOOKUP($F247,Base_Dados!$K$1:$O$11,4,FALSE)&amp;" "&amp;VLOOKUP($F247,Base_Dados!$K$1:$O$11,2,FALSE))," ")</f>
        <v> </v>
      </c>
      <c r="P247" s="21" t="str">
        <f>IF(E247="Navio",IF($G247&lt;=VLOOKUP($F247,Base_Dados!$K$1:$O$7,5,FALSE)," ","Limite "&amp;VLOOKUP($F247,Base_Dados!$K$1:$O$11,5,FALSE)&amp;" "&amp;VLOOKUP($F247,Base_Dados!$K$1:$O$11,2,FALSE))," ")</f>
        <v> </v>
      </c>
      <c r="Q247" s="21" t="str">
        <f t="shared" si="2"/>
        <v/>
      </c>
      <c r="R247" s="1"/>
      <c r="S247" s="1"/>
      <c r="T247" s="1"/>
      <c r="U247" s="1"/>
      <c r="V247" s="1"/>
      <c r="W247" s="1"/>
      <c r="X247" s="1"/>
      <c r="Y247" s="1"/>
      <c r="Z247" s="1"/>
    </row>
    <row r="248" ht="24.0" customHeight="1">
      <c r="A248" s="18" t="s">
        <v>70</v>
      </c>
      <c r="B248" s="18" t="s">
        <v>27</v>
      </c>
      <c r="C248" s="19" t="s">
        <v>28</v>
      </c>
      <c r="D248" s="19" t="s">
        <v>72</v>
      </c>
      <c r="E248" s="19" t="s">
        <v>45</v>
      </c>
      <c r="F248" s="19" t="s">
        <v>42</v>
      </c>
      <c r="G248" s="20">
        <v>6666.0</v>
      </c>
      <c r="H248" s="19" t="s">
        <v>35</v>
      </c>
      <c r="I248" s="19" t="s">
        <v>38</v>
      </c>
      <c r="J248" s="13">
        <f>VLOOKUP(C248&amp;I248&amp;E248,Orig_Dest!$A$2:$E$1876,5,FALSE)</f>
        <v>0</v>
      </c>
      <c r="K248" s="14" t="str">
        <f t="shared" si="1"/>
        <v>Dia 12</v>
      </c>
      <c r="L248" s="21" t="str">
        <f>IF(B248="Fornecedor",IF(VLOOKUP(C248,Base_Dados!$E$1:$F$7,2,FALSE)=F248," ","Fornecedor inválido!")," ")</f>
        <v> </v>
      </c>
      <c r="M248" s="22" t="str">
        <f>IF(AND(LEFT(F248,2)="MP",H248&lt;&gt;Base_Dados!$A$1),"Impossível!!!"," ")</f>
        <v> </v>
      </c>
      <c r="N248" s="21" t="str">
        <f>IF(E248="Avião",IF($G248&lt;=VLOOKUP($F248,Base_Dados!$K$1:$O$7,3,FALSE)," ","Limite "&amp;VLOOKUP($F248,Base_Dados!$K$1:$O$11,3,FALSE)&amp;" "&amp;VLOOKUP($F248,Base_Dados!$K$1:$O$11,2,FALSE))," ")</f>
        <v> </v>
      </c>
      <c r="O248" s="21" t="str">
        <f>IF(E248="Caminhão",IF($G248&lt;=VLOOKUP($F248,Base_Dados!$K$1:$O$7,4,FALSE)," ","Limite "&amp;VLOOKUP($F248,Base_Dados!$K$1:$O$11,4,FALSE)&amp;" "&amp;VLOOKUP($F248,Base_Dados!$K$1:$O$11,2,FALSE))," ")</f>
        <v> </v>
      </c>
      <c r="P248" s="21" t="str">
        <f>IF(E248="Navio",IF($G248&lt;=VLOOKUP($F248,Base_Dados!$K$1:$O$7,5,FALSE)," ","Limite "&amp;VLOOKUP($F248,Base_Dados!$K$1:$O$11,5,FALSE)&amp;" "&amp;VLOOKUP($F248,Base_Dados!$K$1:$O$11,2,FALSE))," ")</f>
        <v> </v>
      </c>
      <c r="Q248" s="21" t="str">
        <f t="shared" si="2"/>
        <v/>
      </c>
      <c r="R248" s="1"/>
      <c r="S248" s="1"/>
      <c r="T248" s="1"/>
      <c r="U248" s="1"/>
      <c r="V248" s="1"/>
      <c r="W248" s="1"/>
      <c r="X248" s="1"/>
      <c r="Y248" s="1"/>
      <c r="Z248" s="1"/>
    </row>
    <row r="249" ht="24.0" customHeight="1">
      <c r="A249" s="18" t="s">
        <v>70</v>
      </c>
      <c r="B249" s="18" t="s">
        <v>27</v>
      </c>
      <c r="C249" s="19" t="s">
        <v>28</v>
      </c>
      <c r="D249" s="19" t="s">
        <v>72</v>
      </c>
      <c r="E249" s="19" t="s">
        <v>45</v>
      </c>
      <c r="F249" s="19" t="s">
        <v>42</v>
      </c>
      <c r="G249" s="20">
        <v>6666.0</v>
      </c>
      <c r="H249" s="19" t="s">
        <v>35</v>
      </c>
      <c r="I249" s="19" t="s">
        <v>38</v>
      </c>
      <c r="J249" s="13">
        <f>VLOOKUP(C249&amp;I249&amp;E249,Orig_Dest!$A$2:$E$1876,5,FALSE)</f>
        <v>0</v>
      </c>
      <c r="K249" s="14" t="str">
        <f t="shared" si="1"/>
        <v>Dia 12</v>
      </c>
      <c r="L249" s="21" t="str">
        <f>IF(B249="Fornecedor",IF(VLOOKUP(C249,Base_Dados!$E$1:$F$7,2,FALSE)=F249," ","Fornecedor inválido!")," ")</f>
        <v> </v>
      </c>
      <c r="M249" s="22" t="str">
        <f>IF(AND(LEFT(F249,2)="MP",H249&lt;&gt;Base_Dados!$A$1),"Impossível!!!"," ")</f>
        <v> </v>
      </c>
      <c r="N249" s="21" t="str">
        <f>IF(E249="Avião",IF($G249&lt;=VLOOKUP($F249,Base_Dados!$K$1:$O$7,3,FALSE)," ","Limite "&amp;VLOOKUP($F249,Base_Dados!$K$1:$O$11,3,FALSE)&amp;" "&amp;VLOOKUP($F249,Base_Dados!$K$1:$O$11,2,FALSE))," ")</f>
        <v> </v>
      </c>
      <c r="O249" s="21" t="str">
        <f>IF(E249="Caminhão",IF($G249&lt;=VLOOKUP($F249,Base_Dados!$K$1:$O$7,4,FALSE)," ","Limite "&amp;VLOOKUP($F249,Base_Dados!$K$1:$O$11,4,FALSE)&amp;" "&amp;VLOOKUP($F249,Base_Dados!$K$1:$O$11,2,FALSE))," ")</f>
        <v> </v>
      </c>
      <c r="P249" s="21" t="str">
        <f>IF(E249="Navio",IF($G249&lt;=VLOOKUP($F249,Base_Dados!$K$1:$O$7,5,FALSE)," ","Limite "&amp;VLOOKUP($F249,Base_Dados!$K$1:$O$11,5,FALSE)&amp;" "&amp;VLOOKUP($F249,Base_Dados!$K$1:$O$11,2,FALSE))," ")</f>
        <v> </v>
      </c>
      <c r="Q249" s="21" t="str">
        <f t="shared" si="2"/>
        <v/>
      </c>
      <c r="R249" s="1"/>
      <c r="S249" s="1"/>
      <c r="T249" s="1"/>
      <c r="U249" s="1"/>
      <c r="V249" s="1"/>
      <c r="W249" s="1"/>
      <c r="X249" s="1"/>
      <c r="Y249" s="1"/>
      <c r="Z249" s="1"/>
    </row>
    <row r="250" ht="24.0" customHeight="1">
      <c r="A250" s="18" t="s">
        <v>70</v>
      </c>
      <c r="B250" s="18" t="s">
        <v>27</v>
      </c>
      <c r="C250" s="19" t="s">
        <v>28</v>
      </c>
      <c r="D250" s="19" t="s">
        <v>72</v>
      </c>
      <c r="E250" s="19" t="s">
        <v>45</v>
      </c>
      <c r="F250" s="19" t="s">
        <v>42</v>
      </c>
      <c r="G250" s="20">
        <v>6666.0</v>
      </c>
      <c r="H250" s="19" t="s">
        <v>35</v>
      </c>
      <c r="I250" s="19" t="s">
        <v>38</v>
      </c>
      <c r="J250" s="13">
        <f>VLOOKUP(C250&amp;I250&amp;E250,Orig_Dest!$A$2:$E$1876,5,FALSE)</f>
        <v>0</v>
      </c>
      <c r="K250" s="14" t="str">
        <f t="shared" si="1"/>
        <v>Dia 12</v>
      </c>
      <c r="L250" s="21" t="str">
        <f>IF(B250="Fornecedor",IF(VLOOKUP(C250,Base_Dados!$E$1:$F$7,2,FALSE)=F250," ","Fornecedor inválido!")," ")</f>
        <v> </v>
      </c>
      <c r="M250" s="22" t="str">
        <f>IF(AND(LEFT(F250,2)="MP",H250&lt;&gt;Base_Dados!$A$1),"Impossível!!!"," ")</f>
        <v> </v>
      </c>
      <c r="N250" s="21" t="str">
        <f>IF(E250="Avião",IF($G250&lt;=VLOOKUP($F250,Base_Dados!$K$1:$O$7,3,FALSE)," ","Limite "&amp;VLOOKUP($F250,Base_Dados!$K$1:$O$11,3,FALSE)&amp;" "&amp;VLOOKUP($F250,Base_Dados!$K$1:$O$11,2,FALSE))," ")</f>
        <v> </v>
      </c>
      <c r="O250" s="21" t="str">
        <f>IF(E250="Caminhão",IF($G250&lt;=VLOOKUP($F250,Base_Dados!$K$1:$O$7,4,FALSE)," ","Limite "&amp;VLOOKUP($F250,Base_Dados!$K$1:$O$11,4,FALSE)&amp;" "&amp;VLOOKUP($F250,Base_Dados!$K$1:$O$11,2,FALSE))," ")</f>
        <v> </v>
      </c>
      <c r="P250" s="21" t="str">
        <f>IF(E250="Navio",IF($G250&lt;=VLOOKUP($F250,Base_Dados!$K$1:$O$7,5,FALSE)," ","Limite "&amp;VLOOKUP($F250,Base_Dados!$K$1:$O$11,5,FALSE)&amp;" "&amp;VLOOKUP($F250,Base_Dados!$K$1:$O$11,2,FALSE))," ")</f>
        <v> </v>
      </c>
      <c r="Q250" s="21" t="str">
        <f t="shared" si="2"/>
        <v/>
      </c>
      <c r="R250" s="1"/>
      <c r="S250" s="1"/>
      <c r="T250" s="1"/>
      <c r="U250" s="1"/>
      <c r="V250" s="1"/>
      <c r="W250" s="1"/>
      <c r="X250" s="1"/>
      <c r="Y250" s="1"/>
      <c r="Z250" s="1"/>
    </row>
    <row r="251" ht="24.0" customHeight="1">
      <c r="A251" s="18" t="s">
        <v>70</v>
      </c>
      <c r="B251" s="18" t="s">
        <v>27</v>
      </c>
      <c r="C251" s="19" t="s">
        <v>28</v>
      </c>
      <c r="D251" s="19" t="s">
        <v>72</v>
      </c>
      <c r="E251" s="19" t="s">
        <v>45</v>
      </c>
      <c r="F251" s="19" t="s">
        <v>42</v>
      </c>
      <c r="G251" s="20">
        <v>6666.0</v>
      </c>
      <c r="H251" s="19" t="s">
        <v>35</v>
      </c>
      <c r="I251" s="19" t="s">
        <v>38</v>
      </c>
      <c r="J251" s="13">
        <f>VLOOKUP(C251&amp;I251&amp;E251,Orig_Dest!$A$2:$E$1876,5,FALSE)</f>
        <v>0</v>
      </c>
      <c r="K251" s="14" t="str">
        <f t="shared" si="1"/>
        <v>Dia 12</v>
      </c>
      <c r="L251" s="21" t="str">
        <f>IF(B251="Fornecedor",IF(VLOOKUP(C251,Base_Dados!$E$1:$F$7,2,FALSE)=F251," ","Fornecedor inválido!")," ")</f>
        <v> </v>
      </c>
      <c r="M251" s="22" t="str">
        <f>IF(AND(LEFT(F251,2)="MP",H251&lt;&gt;Base_Dados!$A$1),"Impossível!!!"," ")</f>
        <v> </v>
      </c>
      <c r="N251" s="21" t="str">
        <f>IF(E251="Avião",IF($G251&lt;=VLOOKUP($F251,Base_Dados!$K$1:$O$7,3,FALSE)," ","Limite "&amp;VLOOKUP($F251,Base_Dados!$K$1:$O$11,3,FALSE)&amp;" "&amp;VLOOKUP($F251,Base_Dados!$K$1:$O$11,2,FALSE))," ")</f>
        <v> </v>
      </c>
      <c r="O251" s="21" t="str">
        <f>IF(E251="Caminhão",IF($G251&lt;=VLOOKUP($F251,Base_Dados!$K$1:$O$7,4,FALSE)," ","Limite "&amp;VLOOKUP($F251,Base_Dados!$K$1:$O$11,4,FALSE)&amp;" "&amp;VLOOKUP($F251,Base_Dados!$K$1:$O$11,2,FALSE))," ")</f>
        <v> </v>
      </c>
      <c r="P251" s="21" t="str">
        <f>IF(E251="Navio",IF($G251&lt;=VLOOKUP($F251,Base_Dados!$K$1:$O$7,5,FALSE)," ","Limite "&amp;VLOOKUP($F251,Base_Dados!$K$1:$O$11,5,FALSE)&amp;" "&amp;VLOOKUP($F251,Base_Dados!$K$1:$O$11,2,FALSE))," ")</f>
        <v> </v>
      </c>
      <c r="Q251" s="21" t="str">
        <f t="shared" si="2"/>
        <v/>
      </c>
      <c r="R251" s="1"/>
      <c r="S251" s="1"/>
      <c r="T251" s="1"/>
      <c r="U251" s="1"/>
      <c r="V251" s="1"/>
      <c r="W251" s="1"/>
      <c r="X251" s="1"/>
      <c r="Y251" s="1"/>
      <c r="Z251" s="1"/>
    </row>
    <row r="252" ht="24.0" customHeight="1">
      <c r="A252" s="18" t="s">
        <v>70</v>
      </c>
      <c r="B252" s="18" t="s">
        <v>27</v>
      </c>
      <c r="C252" s="19" t="s">
        <v>28</v>
      </c>
      <c r="D252" s="19" t="s">
        <v>72</v>
      </c>
      <c r="E252" s="19" t="s">
        <v>45</v>
      </c>
      <c r="F252" s="19" t="s">
        <v>42</v>
      </c>
      <c r="G252" s="20">
        <v>6666.0</v>
      </c>
      <c r="H252" s="19" t="s">
        <v>35</v>
      </c>
      <c r="I252" s="19" t="s">
        <v>38</v>
      </c>
      <c r="J252" s="13">
        <f>VLOOKUP(C252&amp;I252&amp;E252,Orig_Dest!$A$2:$E$1876,5,FALSE)</f>
        <v>0</v>
      </c>
      <c r="K252" s="14" t="str">
        <f t="shared" si="1"/>
        <v>Dia 12</v>
      </c>
      <c r="L252" s="21" t="str">
        <f>IF(B252="Fornecedor",IF(VLOOKUP(C252,Base_Dados!$E$1:$F$7,2,FALSE)=F252," ","Fornecedor inválido!")," ")</f>
        <v> </v>
      </c>
      <c r="M252" s="22" t="str">
        <f>IF(AND(LEFT(F252,2)="MP",H252&lt;&gt;Base_Dados!$A$1),"Impossível!!!"," ")</f>
        <v> </v>
      </c>
      <c r="N252" s="21" t="str">
        <f>IF(E252="Avião",IF($G252&lt;=VLOOKUP($F252,Base_Dados!$K$1:$O$7,3,FALSE)," ","Limite "&amp;VLOOKUP($F252,Base_Dados!$K$1:$O$11,3,FALSE)&amp;" "&amp;VLOOKUP($F252,Base_Dados!$K$1:$O$11,2,FALSE))," ")</f>
        <v> </v>
      </c>
      <c r="O252" s="21" t="str">
        <f>IF(E252="Caminhão",IF($G252&lt;=VLOOKUP($F252,Base_Dados!$K$1:$O$7,4,FALSE)," ","Limite "&amp;VLOOKUP($F252,Base_Dados!$K$1:$O$11,4,FALSE)&amp;" "&amp;VLOOKUP($F252,Base_Dados!$K$1:$O$11,2,FALSE))," ")</f>
        <v> </v>
      </c>
      <c r="P252" s="21" t="str">
        <f>IF(E252="Navio",IF($G252&lt;=VLOOKUP($F252,Base_Dados!$K$1:$O$7,5,FALSE)," ","Limite "&amp;VLOOKUP($F252,Base_Dados!$K$1:$O$11,5,FALSE)&amp;" "&amp;VLOOKUP($F252,Base_Dados!$K$1:$O$11,2,FALSE))," ")</f>
        <v> </v>
      </c>
      <c r="Q252" s="21" t="str">
        <f t="shared" si="2"/>
        <v/>
      </c>
      <c r="R252" s="1"/>
      <c r="S252" s="1"/>
      <c r="T252" s="1"/>
      <c r="U252" s="1"/>
      <c r="V252" s="1"/>
      <c r="W252" s="1"/>
      <c r="X252" s="1"/>
      <c r="Y252" s="1"/>
      <c r="Z252" s="1"/>
    </row>
    <row r="253" ht="24.0" customHeight="1">
      <c r="A253" s="18" t="s">
        <v>70</v>
      </c>
      <c r="B253" s="18" t="s">
        <v>27</v>
      </c>
      <c r="C253" s="19" t="s">
        <v>28</v>
      </c>
      <c r="D253" s="19" t="s">
        <v>72</v>
      </c>
      <c r="E253" s="19" t="s">
        <v>45</v>
      </c>
      <c r="F253" s="19" t="s">
        <v>42</v>
      </c>
      <c r="G253" s="20">
        <v>6666.0</v>
      </c>
      <c r="H253" s="19" t="s">
        <v>35</v>
      </c>
      <c r="I253" s="19" t="s">
        <v>38</v>
      </c>
      <c r="J253" s="13">
        <f>VLOOKUP(C253&amp;I253&amp;E253,Orig_Dest!$A$2:$E$1876,5,FALSE)</f>
        <v>0</v>
      </c>
      <c r="K253" s="14" t="str">
        <f t="shared" si="1"/>
        <v>Dia 12</v>
      </c>
      <c r="L253" s="21" t="str">
        <f>IF(B253="Fornecedor",IF(VLOOKUP(C253,Base_Dados!$E$1:$F$7,2,FALSE)=F253," ","Fornecedor inválido!")," ")</f>
        <v> </v>
      </c>
      <c r="M253" s="22" t="str">
        <f>IF(AND(LEFT(F253,2)="MP",H253&lt;&gt;Base_Dados!$A$1),"Impossível!!!"," ")</f>
        <v> </v>
      </c>
      <c r="N253" s="21" t="str">
        <f>IF(E253="Avião",IF($G253&lt;=VLOOKUP($F253,Base_Dados!$K$1:$O$7,3,FALSE)," ","Limite "&amp;VLOOKUP($F253,Base_Dados!$K$1:$O$11,3,FALSE)&amp;" "&amp;VLOOKUP($F253,Base_Dados!$K$1:$O$11,2,FALSE))," ")</f>
        <v> </v>
      </c>
      <c r="O253" s="21" t="str">
        <f>IF(E253="Caminhão",IF($G253&lt;=VLOOKUP($F253,Base_Dados!$K$1:$O$7,4,FALSE)," ","Limite "&amp;VLOOKUP($F253,Base_Dados!$K$1:$O$11,4,FALSE)&amp;" "&amp;VLOOKUP($F253,Base_Dados!$K$1:$O$11,2,FALSE))," ")</f>
        <v> </v>
      </c>
      <c r="P253" s="21" t="str">
        <f>IF(E253="Navio",IF($G253&lt;=VLOOKUP($F253,Base_Dados!$K$1:$O$7,5,FALSE)," ","Limite "&amp;VLOOKUP($F253,Base_Dados!$K$1:$O$11,5,FALSE)&amp;" "&amp;VLOOKUP($F253,Base_Dados!$K$1:$O$11,2,FALSE))," ")</f>
        <v> </v>
      </c>
      <c r="Q253" s="21" t="str">
        <f t="shared" si="2"/>
        <v/>
      </c>
      <c r="R253" s="1"/>
      <c r="S253" s="1"/>
      <c r="T253" s="1"/>
      <c r="U253" s="1"/>
      <c r="V253" s="1"/>
      <c r="W253" s="1"/>
      <c r="X253" s="1"/>
      <c r="Y253" s="1"/>
      <c r="Z253" s="1"/>
    </row>
    <row r="254" ht="24.0" customHeight="1">
      <c r="A254" s="18" t="s">
        <v>70</v>
      </c>
      <c r="B254" s="18" t="s">
        <v>27</v>
      </c>
      <c r="C254" s="19" t="s">
        <v>28</v>
      </c>
      <c r="D254" s="19" t="s">
        <v>72</v>
      </c>
      <c r="E254" s="19" t="s">
        <v>45</v>
      </c>
      <c r="F254" s="19" t="s">
        <v>42</v>
      </c>
      <c r="G254" s="20">
        <v>6666.0</v>
      </c>
      <c r="H254" s="19" t="s">
        <v>35</v>
      </c>
      <c r="I254" s="19" t="s">
        <v>38</v>
      </c>
      <c r="J254" s="13">
        <f>VLOOKUP(C254&amp;I254&amp;E254,Orig_Dest!$A$2:$E$1876,5,FALSE)</f>
        <v>0</v>
      </c>
      <c r="K254" s="14" t="str">
        <f t="shared" si="1"/>
        <v>Dia 12</v>
      </c>
      <c r="L254" s="21" t="str">
        <f>IF(B254="Fornecedor",IF(VLOOKUP(C254,Base_Dados!$E$1:$F$7,2,FALSE)=F254," ","Fornecedor inválido!")," ")</f>
        <v> </v>
      </c>
      <c r="M254" s="22" t="str">
        <f>IF(AND(LEFT(F254,2)="MP",H254&lt;&gt;Base_Dados!$A$1),"Impossível!!!"," ")</f>
        <v> </v>
      </c>
      <c r="N254" s="21" t="str">
        <f>IF(E254="Avião",IF($G254&lt;=VLOOKUP($F254,Base_Dados!$K$1:$O$7,3,FALSE)," ","Limite "&amp;VLOOKUP($F254,Base_Dados!$K$1:$O$11,3,FALSE)&amp;" "&amp;VLOOKUP($F254,Base_Dados!$K$1:$O$11,2,FALSE))," ")</f>
        <v> </v>
      </c>
      <c r="O254" s="21" t="str">
        <f>IF(E254="Caminhão",IF($G254&lt;=VLOOKUP($F254,Base_Dados!$K$1:$O$7,4,FALSE)," ","Limite "&amp;VLOOKUP($F254,Base_Dados!$K$1:$O$11,4,FALSE)&amp;" "&amp;VLOOKUP($F254,Base_Dados!$K$1:$O$11,2,FALSE))," ")</f>
        <v> </v>
      </c>
      <c r="P254" s="21" t="str">
        <f>IF(E254="Navio",IF($G254&lt;=VLOOKUP($F254,Base_Dados!$K$1:$O$7,5,FALSE)," ","Limite "&amp;VLOOKUP($F254,Base_Dados!$K$1:$O$11,5,FALSE)&amp;" "&amp;VLOOKUP($F254,Base_Dados!$K$1:$O$11,2,FALSE))," ")</f>
        <v> </v>
      </c>
      <c r="Q254" s="21" t="str">
        <f t="shared" si="2"/>
        <v/>
      </c>
      <c r="R254" s="1"/>
      <c r="S254" s="1"/>
      <c r="T254" s="1"/>
      <c r="U254" s="1"/>
      <c r="V254" s="1"/>
      <c r="W254" s="1"/>
      <c r="X254" s="1"/>
      <c r="Y254" s="1"/>
      <c r="Z254" s="1"/>
    </row>
    <row r="255" ht="24.0" customHeight="1">
      <c r="A255" s="18" t="s">
        <v>70</v>
      </c>
      <c r="B255" s="18" t="s">
        <v>27</v>
      </c>
      <c r="C255" s="19" t="s">
        <v>28</v>
      </c>
      <c r="D255" s="19" t="s">
        <v>72</v>
      </c>
      <c r="E255" s="19" t="s">
        <v>45</v>
      </c>
      <c r="F255" s="19" t="s">
        <v>42</v>
      </c>
      <c r="G255" s="20">
        <v>6666.0</v>
      </c>
      <c r="H255" s="19" t="s">
        <v>35</v>
      </c>
      <c r="I255" s="19" t="s">
        <v>38</v>
      </c>
      <c r="J255" s="13">
        <f>VLOOKUP(C255&amp;I255&amp;E255,Orig_Dest!$A$2:$E$1876,5,FALSE)</f>
        <v>0</v>
      </c>
      <c r="K255" s="14" t="str">
        <f t="shared" si="1"/>
        <v>Dia 12</v>
      </c>
      <c r="L255" s="21" t="str">
        <f>IF(B255="Fornecedor",IF(VLOOKUP(C255,Base_Dados!$E$1:$F$7,2,FALSE)=F255," ","Fornecedor inválido!")," ")</f>
        <v> </v>
      </c>
      <c r="M255" s="22" t="str">
        <f>IF(AND(LEFT(F255,2)="MP",H255&lt;&gt;Base_Dados!$A$1),"Impossível!!!"," ")</f>
        <v> </v>
      </c>
      <c r="N255" s="21" t="str">
        <f>IF(E255="Avião",IF($G255&lt;=VLOOKUP($F255,Base_Dados!$K$1:$O$7,3,FALSE)," ","Limite "&amp;VLOOKUP($F255,Base_Dados!$K$1:$O$11,3,FALSE)&amp;" "&amp;VLOOKUP($F255,Base_Dados!$K$1:$O$11,2,FALSE))," ")</f>
        <v> </v>
      </c>
      <c r="O255" s="21" t="str">
        <f>IF(E255="Caminhão",IF($G255&lt;=VLOOKUP($F255,Base_Dados!$K$1:$O$7,4,FALSE)," ","Limite "&amp;VLOOKUP($F255,Base_Dados!$K$1:$O$11,4,FALSE)&amp;" "&amp;VLOOKUP($F255,Base_Dados!$K$1:$O$11,2,FALSE))," ")</f>
        <v> </v>
      </c>
      <c r="P255" s="21" t="str">
        <f>IF(E255="Navio",IF($G255&lt;=VLOOKUP($F255,Base_Dados!$K$1:$O$7,5,FALSE)," ","Limite "&amp;VLOOKUP($F255,Base_Dados!$K$1:$O$11,5,FALSE)&amp;" "&amp;VLOOKUP($F255,Base_Dados!$K$1:$O$11,2,FALSE))," ")</f>
        <v> </v>
      </c>
      <c r="Q255" s="21" t="str">
        <f t="shared" si="2"/>
        <v/>
      </c>
      <c r="R255" s="1"/>
      <c r="S255" s="1"/>
      <c r="T255" s="1"/>
      <c r="U255" s="1"/>
      <c r="V255" s="1"/>
      <c r="W255" s="1"/>
      <c r="X255" s="1"/>
      <c r="Y255" s="1"/>
      <c r="Z255" s="1"/>
    </row>
    <row r="256" ht="24.0" customHeight="1">
      <c r="A256" s="18" t="s">
        <v>70</v>
      </c>
      <c r="B256" s="18" t="s">
        <v>27</v>
      </c>
      <c r="C256" s="19" t="s">
        <v>28</v>
      </c>
      <c r="D256" s="19" t="s">
        <v>72</v>
      </c>
      <c r="E256" s="19" t="s">
        <v>45</v>
      </c>
      <c r="F256" s="19" t="s">
        <v>42</v>
      </c>
      <c r="G256" s="20">
        <v>6666.0</v>
      </c>
      <c r="H256" s="19" t="s">
        <v>35</v>
      </c>
      <c r="I256" s="19" t="s">
        <v>38</v>
      </c>
      <c r="J256" s="13">
        <f>VLOOKUP(C256&amp;I256&amp;E256,Orig_Dest!$A$2:$E$1876,5,FALSE)</f>
        <v>0</v>
      </c>
      <c r="K256" s="14" t="str">
        <f t="shared" si="1"/>
        <v>Dia 12</v>
      </c>
      <c r="L256" s="21" t="str">
        <f>IF(B256="Fornecedor",IF(VLOOKUP(C256,Base_Dados!$E$1:$F$7,2,FALSE)=F256," ","Fornecedor inválido!")," ")</f>
        <v> </v>
      </c>
      <c r="M256" s="22" t="str">
        <f>IF(AND(LEFT(F256,2)="MP",H256&lt;&gt;Base_Dados!$A$1),"Impossível!!!"," ")</f>
        <v> </v>
      </c>
      <c r="N256" s="21" t="str">
        <f>IF(E256="Avião",IF($G256&lt;=VLOOKUP($F256,Base_Dados!$K$1:$O$7,3,FALSE)," ","Limite "&amp;VLOOKUP($F256,Base_Dados!$K$1:$O$11,3,FALSE)&amp;" "&amp;VLOOKUP($F256,Base_Dados!$K$1:$O$11,2,FALSE))," ")</f>
        <v> </v>
      </c>
      <c r="O256" s="21" t="str">
        <f>IF(E256="Caminhão",IF($G256&lt;=VLOOKUP($F256,Base_Dados!$K$1:$O$7,4,FALSE)," ","Limite "&amp;VLOOKUP($F256,Base_Dados!$K$1:$O$11,4,FALSE)&amp;" "&amp;VLOOKUP($F256,Base_Dados!$K$1:$O$11,2,FALSE))," ")</f>
        <v> </v>
      </c>
      <c r="P256" s="21" t="str">
        <f>IF(E256="Navio",IF($G256&lt;=VLOOKUP($F256,Base_Dados!$K$1:$O$7,5,FALSE)," ","Limite "&amp;VLOOKUP($F256,Base_Dados!$K$1:$O$11,5,FALSE)&amp;" "&amp;VLOOKUP($F256,Base_Dados!$K$1:$O$11,2,FALSE))," ")</f>
        <v> </v>
      </c>
      <c r="Q256" s="21" t="str">
        <f t="shared" si="2"/>
        <v/>
      </c>
      <c r="R256" s="1"/>
      <c r="S256" s="1"/>
      <c r="T256" s="1"/>
      <c r="U256" s="1"/>
      <c r="V256" s="1"/>
      <c r="W256" s="1"/>
      <c r="X256" s="1"/>
      <c r="Y256" s="1"/>
      <c r="Z256" s="1"/>
    </row>
    <row r="257" ht="24.0" customHeight="1">
      <c r="A257" s="18" t="s">
        <v>70</v>
      </c>
      <c r="B257" s="18" t="s">
        <v>27</v>
      </c>
      <c r="C257" s="19" t="s">
        <v>28</v>
      </c>
      <c r="D257" s="19" t="s">
        <v>72</v>
      </c>
      <c r="E257" s="19" t="s">
        <v>45</v>
      </c>
      <c r="F257" s="19" t="s">
        <v>42</v>
      </c>
      <c r="G257" s="20">
        <v>6666.0</v>
      </c>
      <c r="H257" s="19" t="s">
        <v>35</v>
      </c>
      <c r="I257" s="19" t="s">
        <v>38</v>
      </c>
      <c r="J257" s="13">
        <f>VLOOKUP(C257&amp;I257&amp;E257,Orig_Dest!$A$2:$E$1876,5,FALSE)</f>
        <v>0</v>
      </c>
      <c r="K257" s="14" t="str">
        <f t="shared" si="1"/>
        <v>Dia 12</v>
      </c>
      <c r="L257" s="21" t="str">
        <f>IF(B257="Fornecedor",IF(VLOOKUP(C257,Base_Dados!$E$1:$F$7,2,FALSE)=F257," ","Fornecedor inválido!")," ")</f>
        <v> </v>
      </c>
      <c r="M257" s="22" t="str">
        <f>IF(AND(LEFT(F257,2)="MP",H257&lt;&gt;Base_Dados!$A$1),"Impossível!!!"," ")</f>
        <v> </v>
      </c>
      <c r="N257" s="21" t="str">
        <f>IF(E257="Avião",IF($G257&lt;=VLOOKUP($F257,Base_Dados!$K$1:$O$7,3,FALSE)," ","Limite "&amp;VLOOKUP($F257,Base_Dados!$K$1:$O$11,3,FALSE)&amp;" "&amp;VLOOKUP($F257,Base_Dados!$K$1:$O$11,2,FALSE))," ")</f>
        <v> </v>
      </c>
      <c r="O257" s="21" t="str">
        <f>IF(E257="Caminhão",IF($G257&lt;=VLOOKUP($F257,Base_Dados!$K$1:$O$7,4,FALSE)," ","Limite "&amp;VLOOKUP($F257,Base_Dados!$K$1:$O$11,4,FALSE)&amp;" "&amp;VLOOKUP($F257,Base_Dados!$K$1:$O$11,2,FALSE))," ")</f>
        <v> </v>
      </c>
      <c r="P257" s="21" t="str">
        <f>IF(E257="Navio",IF($G257&lt;=VLOOKUP($F257,Base_Dados!$K$1:$O$7,5,FALSE)," ","Limite "&amp;VLOOKUP($F257,Base_Dados!$K$1:$O$11,5,FALSE)&amp;" "&amp;VLOOKUP($F257,Base_Dados!$K$1:$O$11,2,FALSE))," ")</f>
        <v> </v>
      </c>
      <c r="Q257" s="21" t="str">
        <f t="shared" si="2"/>
        <v/>
      </c>
      <c r="R257" s="1"/>
      <c r="S257" s="1"/>
      <c r="T257" s="1"/>
      <c r="U257" s="1"/>
      <c r="V257" s="1"/>
      <c r="W257" s="1"/>
      <c r="X257" s="1"/>
      <c r="Y257" s="1"/>
      <c r="Z257" s="1"/>
    </row>
    <row r="258" ht="24.0" customHeight="1">
      <c r="A258" s="18" t="s">
        <v>70</v>
      </c>
      <c r="B258" s="18" t="s">
        <v>27</v>
      </c>
      <c r="C258" s="19" t="s">
        <v>28</v>
      </c>
      <c r="D258" s="19" t="s">
        <v>72</v>
      </c>
      <c r="E258" s="19" t="s">
        <v>45</v>
      </c>
      <c r="F258" s="19" t="s">
        <v>42</v>
      </c>
      <c r="G258" s="20">
        <v>6666.0</v>
      </c>
      <c r="H258" s="19" t="s">
        <v>35</v>
      </c>
      <c r="I258" s="19" t="s">
        <v>38</v>
      </c>
      <c r="J258" s="13">
        <f>VLOOKUP(C258&amp;I258&amp;E258,Orig_Dest!$A$2:$E$1876,5,FALSE)</f>
        <v>0</v>
      </c>
      <c r="K258" s="14" t="str">
        <f t="shared" si="1"/>
        <v>Dia 12</v>
      </c>
      <c r="L258" s="21" t="str">
        <f>IF(B258="Fornecedor",IF(VLOOKUP(C258,Base_Dados!$E$1:$F$7,2,FALSE)=F258," ","Fornecedor inválido!")," ")</f>
        <v> </v>
      </c>
      <c r="M258" s="22" t="str">
        <f>IF(AND(LEFT(F258,2)="MP",H258&lt;&gt;Base_Dados!$A$1),"Impossível!!!"," ")</f>
        <v> </v>
      </c>
      <c r="N258" s="21" t="str">
        <f>IF(E258="Avião",IF($G258&lt;=VLOOKUP($F258,Base_Dados!$K$1:$O$7,3,FALSE)," ","Limite "&amp;VLOOKUP($F258,Base_Dados!$K$1:$O$11,3,FALSE)&amp;" "&amp;VLOOKUP($F258,Base_Dados!$K$1:$O$11,2,FALSE))," ")</f>
        <v> </v>
      </c>
      <c r="O258" s="21" t="str">
        <f>IF(E258="Caminhão",IF($G258&lt;=VLOOKUP($F258,Base_Dados!$K$1:$O$7,4,FALSE)," ","Limite "&amp;VLOOKUP($F258,Base_Dados!$K$1:$O$11,4,FALSE)&amp;" "&amp;VLOOKUP($F258,Base_Dados!$K$1:$O$11,2,FALSE))," ")</f>
        <v> </v>
      </c>
      <c r="P258" s="21" t="str">
        <f>IF(E258="Navio",IF($G258&lt;=VLOOKUP($F258,Base_Dados!$K$1:$O$7,5,FALSE)," ","Limite "&amp;VLOOKUP($F258,Base_Dados!$K$1:$O$11,5,FALSE)&amp;" "&amp;VLOOKUP($F258,Base_Dados!$K$1:$O$11,2,FALSE))," ")</f>
        <v> </v>
      </c>
      <c r="Q258" s="21" t="str">
        <f t="shared" si="2"/>
        <v/>
      </c>
      <c r="R258" s="1"/>
      <c r="S258" s="1"/>
      <c r="T258" s="1"/>
      <c r="U258" s="1"/>
      <c r="V258" s="1"/>
      <c r="W258" s="1"/>
      <c r="X258" s="1"/>
      <c r="Y258" s="1"/>
      <c r="Z258" s="1"/>
    </row>
    <row r="259" ht="24.0" customHeight="1">
      <c r="A259" s="18" t="s">
        <v>70</v>
      </c>
      <c r="B259" s="18" t="s">
        <v>27</v>
      </c>
      <c r="C259" s="19" t="s">
        <v>28</v>
      </c>
      <c r="D259" s="19" t="s">
        <v>72</v>
      </c>
      <c r="E259" s="19" t="s">
        <v>45</v>
      </c>
      <c r="F259" s="19" t="s">
        <v>42</v>
      </c>
      <c r="G259" s="20">
        <v>6666.0</v>
      </c>
      <c r="H259" s="19" t="s">
        <v>35</v>
      </c>
      <c r="I259" s="19" t="s">
        <v>38</v>
      </c>
      <c r="J259" s="13">
        <f>VLOOKUP(C259&amp;I259&amp;E259,Orig_Dest!$A$2:$E$1876,5,FALSE)</f>
        <v>0</v>
      </c>
      <c r="K259" s="14" t="str">
        <f t="shared" si="1"/>
        <v>Dia 12</v>
      </c>
      <c r="L259" s="21" t="str">
        <f>IF(B259="Fornecedor",IF(VLOOKUP(C259,Base_Dados!$E$1:$F$7,2,FALSE)=F259," ","Fornecedor inválido!")," ")</f>
        <v> </v>
      </c>
      <c r="M259" s="22" t="str">
        <f>IF(AND(LEFT(F259,2)="MP",H259&lt;&gt;Base_Dados!$A$1),"Impossível!!!"," ")</f>
        <v> </v>
      </c>
      <c r="N259" s="21" t="str">
        <f>IF(E259="Avião",IF($G259&lt;=VLOOKUP($F259,Base_Dados!$K$1:$O$7,3,FALSE)," ","Limite "&amp;VLOOKUP($F259,Base_Dados!$K$1:$O$11,3,FALSE)&amp;" "&amp;VLOOKUP($F259,Base_Dados!$K$1:$O$11,2,FALSE))," ")</f>
        <v> </v>
      </c>
      <c r="O259" s="21" t="str">
        <f>IF(E259="Caminhão",IF($G259&lt;=VLOOKUP($F259,Base_Dados!$K$1:$O$7,4,FALSE)," ","Limite "&amp;VLOOKUP($F259,Base_Dados!$K$1:$O$11,4,FALSE)&amp;" "&amp;VLOOKUP($F259,Base_Dados!$K$1:$O$11,2,FALSE))," ")</f>
        <v> </v>
      </c>
      <c r="P259" s="21" t="str">
        <f>IF(E259="Navio",IF($G259&lt;=VLOOKUP($F259,Base_Dados!$K$1:$O$7,5,FALSE)," ","Limite "&amp;VLOOKUP($F259,Base_Dados!$K$1:$O$11,5,FALSE)&amp;" "&amp;VLOOKUP($F259,Base_Dados!$K$1:$O$11,2,FALSE))," ")</f>
        <v> </v>
      </c>
      <c r="Q259" s="21" t="str">
        <f t="shared" si="2"/>
        <v/>
      </c>
      <c r="R259" s="1"/>
      <c r="S259" s="1"/>
      <c r="T259" s="1"/>
      <c r="U259" s="1"/>
      <c r="V259" s="1"/>
      <c r="W259" s="1"/>
      <c r="X259" s="1"/>
      <c r="Y259" s="1"/>
      <c r="Z259" s="1"/>
    </row>
    <row r="260" ht="24.0" customHeight="1">
      <c r="A260" s="18" t="s">
        <v>70</v>
      </c>
      <c r="B260" s="18" t="s">
        <v>27</v>
      </c>
      <c r="C260" s="19" t="s">
        <v>28</v>
      </c>
      <c r="D260" s="19" t="s">
        <v>72</v>
      </c>
      <c r="E260" s="19" t="s">
        <v>45</v>
      </c>
      <c r="F260" s="19" t="s">
        <v>42</v>
      </c>
      <c r="G260" s="20">
        <v>6666.0</v>
      </c>
      <c r="H260" s="19" t="s">
        <v>35</v>
      </c>
      <c r="I260" s="19" t="s">
        <v>38</v>
      </c>
      <c r="J260" s="13">
        <f>VLOOKUP(C260&amp;I260&amp;E260,Orig_Dest!$A$2:$E$1876,5,FALSE)</f>
        <v>0</v>
      </c>
      <c r="K260" s="14" t="str">
        <f t="shared" si="1"/>
        <v>Dia 12</v>
      </c>
      <c r="L260" s="21" t="str">
        <f>IF(B260="Fornecedor",IF(VLOOKUP(C260,Base_Dados!$E$1:$F$7,2,FALSE)=F260," ","Fornecedor inválido!")," ")</f>
        <v> </v>
      </c>
      <c r="M260" s="22" t="str">
        <f>IF(AND(LEFT(F260,2)="MP",H260&lt;&gt;Base_Dados!$A$1),"Impossível!!!"," ")</f>
        <v> </v>
      </c>
      <c r="N260" s="21" t="str">
        <f>IF(E260="Avião",IF($G260&lt;=VLOOKUP($F260,Base_Dados!$K$1:$O$7,3,FALSE)," ","Limite "&amp;VLOOKUP($F260,Base_Dados!$K$1:$O$11,3,FALSE)&amp;" "&amp;VLOOKUP($F260,Base_Dados!$K$1:$O$11,2,FALSE))," ")</f>
        <v> </v>
      </c>
      <c r="O260" s="21" t="str">
        <f>IF(E260="Caminhão",IF($G260&lt;=VLOOKUP($F260,Base_Dados!$K$1:$O$7,4,FALSE)," ","Limite "&amp;VLOOKUP($F260,Base_Dados!$K$1:$O$11,4,FALSE)&amp;" "&amp;VLOOKUP($F260,Base_Dados!$K$1:$O$11,2,FALSE))," ")</f>
        <v> </v>
      </c>
      <c r="P260" s="21" t="str">
        <f>IF(E260="Navio",IF($G260&lt;=VLOOKUP($F260,Base_Dados!$K$1:$O$7,5,FALSE)," ","Limite "&amp;VLOOKUP($F260,Base_Dados!$K$1:$O$11,5,FALSE)&amp;" "&amp;VLOOKUP($F260,Base_Dados!$K$1:$O$11,2,FALSE))," ")</f>
        <v> </v>
      </c>
      <c r="Q260" s="21" t="str">
        <f t="shared" si="2"/>
        <v/>
      </c>
      <c r="R260" s="1"/>
      <c r="S260" s="1"/>
      <c r="T260" s="1"/>
      <c r="U260" s="1"/>
      <c r="V260" s="1"/>
      <c r="W260" s="1"/>
      <c r="X260" s="1"/>
      <c r="Y260" s="1"/>
      <c r="Z260" s="1"/>
    </row>
    <row r="261" ht="24.0" customHeight="1">
      <c r="A261" s="18" t="s">
        <v>70</v>
      </c>
      <c r="B261" s="18" t="s">
        <v>27</v>
      </c>
      <c r="C261" s="19" t="s">
        <v>28</v>
      </c>
      <c r="D261" s="19" t="s">
        <v>72</v>
      </c>
      <c r="E261" s="19" t="s">
        <v>45</v>
      </c>
      <c r="F261" s="19" t="s">
        <v>42</v>
      </c>
      <c r="G261" s="20">
        <v>6666.0</v>
      </c>
      <c r="H261" s="19" t="s">
        <v>35</v>
      </c>
      <c r="I261" s="19" t="s">
        <v>38</v>
      </c>
      <c r="J261" s="13">
        <f>VLOOKUP(C261&amp;I261&amp;E261,Orig_Dest!$A$2:$E$1876,5,FALSE)</f>
        <v>0</v>
      </c>
      <c r="K261" s="14" t="str">
        <f t="shared" si="1"/>
        <v>Dia 12</v>
      </c>
      <c r="L261" s="21" t="str">
        <f>IF(B261="Fornecedor",IF(VLOOKUP(C261,Base_Dados!$E$1:$F$7,2,FALSE)=F261," ","Fornecedor inválido!")," ")</f>
        <v> </v>
      </c>
      <c r="M261" s="22" t="str">
        <f>IF(AND(LEFT(F261,2)="MP",H261&lt;&gt;Base_Dados!$A$1),"Impossível!!!"," ")</f>
        <v> </v>
      </c>
      <c r="N261" s="21" t="str">
        <f>IF(E261="Avião",IF($G261&lt;=VLOOKUP($F261,Base_Dados!$K$1:$O$7,3,FALSE)," ","Limite "&amp;VLOOKUP($F261,Base_Dados!$K$1:$O$11,3,FALSE)&amp;" "&amp;VLOOKUP($F261,Base_Dados!$K$1:$O$11,2,FALSE))," ")</f>
        <v> </v>
      </c>
      <c r="O261" s="21" t="str">
        <f>IF(E261="Caminhão",IF($G261&lt;=VLOOKUP($F261,Base_Dados!$K$1:$O$7,4,FALSE)," ","Limite "&amp;VLOOKUP($F261,Base_Dados!$K$1:$O$11,4,FALSE)&amp;" "&amp;VLOOKUP($F261,Base_Dados!$K$1:$O$11,2,FALSE))," ")</f>
        <v> </v>
      </c>
      <c r="P261" s="21" t="str">
        <f>IF(E261="Navio",IF($G261&lt;=VLOOKUP($F261,Base_Dados!$K$1:$O$7,5,FALSE)," ","Limite "&amp;VLOOKUP($F261,Base_Dados!$K$1:$O$11,5,FALSE)&amp;" "&amp;VLOOKUP($F261,Base_Dados!$K$1:$O$11,2,FALSE))," ")</f>
        <v> </v>
      </c>
      <c r="Q261" s="21" t="str">
        <f t="shared" si="2"/>
        <v/>
      </c>
      <c r="R261" s="1"/>
      <c r="S261" s="1"/>
      <c r="T261" s="1"/>
      <c r="U261" s="1"/>
      <c r="V261" s="1"/>
      <c r="W261" s="1"/>
      <c r="X261" s="1"/>
      <c r="Y261" s="1"/>
      <c r="Z261" s="1"/>
    </row>
    <row r="262" ht="24.0" customHeight="1">
      <c r="A262" s="18" t="s">
        <v>70</v>
      </c>
      <c r="B262" s="18" t="s">
        <v>27</v>
      </c>
      <c r="C262" s="19" t="s">
        <v>28</v>
      </c>
      <c r="D262" s="19" t="s">
        <v>72</v>
      </c>
      <c r="E262" s="19" t="s">
        <v>45</v>
      </c>
      <c r="F262" s="19" t="s">
        <v>42</v>
      </c>
      <c r="G262" s="20">
        <v>6666.0</v>
      </c>
      <c r="H262" s="19" t="s">
        <v>35</v>
      </c>
      <c r="I262" s="19" t="s">
        <v>38</v>
      </c>
      <c r="J262" s="13">
        <f>VLOOKUP(C262&amp;I262&amp;E262,Orig_Dest!$A$2:$E$1876,5,FALSE)</f>
        <v>0</v>
      </c>
      <c r="K262" s="14" t="str">
        <f t="shared" si="1"/>
        <v>Dia 12</v>
      </c>
      <c r="L262" s="21" t="str">
        <f>IF(B262="Fornecedor",IF(VLOOKUP(C262,Base_Dados!$E$1:$F$7,2,FALSE)=F262," ","Fornecedor inválido!")," ")</f>
        <v> </v>
      </c>
      <c r="M262" s="22" t="str">
        <f>IF(AND(LEFT(F262,2)="MP",H262&lt;&gt;Base_Dados!$A$1),"Impossível!!!"," ")</f>
        <v> </v>
      </c>
      <c r="N262" s="21" t="str">
        <f>IF(E262="Avião",IF($G262&lt;=VLOOKUP($F262,Base_Dados!$K$1:$O$7,3,FALSE)," ","Limite "&amp;VLOOKUP($F262,Base_Dados!$K$1:$O$11,3,FALSE)&amp;" "&amp;VLOOKUP($F262,Base_Dados!$K$1:$O$11,2,FALSE))," ")</f>
        <v> </v>
      </c>
      <c r="O262" s="21" t="str">
        <f>IF(E262="Caminhão",IF($G262&lt;=VLOOKUP($F262,Base_Dados!$K$1:$O$7,4,FALSE)," ","Limite "&amp;VLOOKUP($F262,Base_Dados!$K$1:$O$11,4,FALSE)&amp;" "&amp;VLOOKUP($F262,Base_Dados!$K$1:$O$11,2,FALSE))," ")</f>
        <v> </v>
      </c>
      <c r="P262" s="21" t="str">
        <f>IF(E262="Navio",IF($G262&lt;=VLOOKUP($F262,Base_Dados!$K$1:$O$7,5,FALSE)," ","Limite "&amp;VLOOKUP($F262,Base_Dados!$K$1:$O$11,5,FALSE)&amp;" "&amp;VLOOKUP($F262,Base_Dados!$K$1:$O$11,2,FALSE))," ")</f>
        <v> </v>
      </c>
      <c r="Q262" s="21" t="str">
        <f t="shared" si="2"/>
        <v/>
      </c>
      <c r="R262" s="1"/>
      <c r="S262" s="1"/>
      <c r="T262" s="1"/>
      <c r="U262" s="1"/>
      <c r="V262" s="1"/>
      <c r="W262" s="1"/>
      <c r="X262" s="1"/>
      <c r="Y262" s="1"/>
      <c r="Z262" s="1"/>
    </row>
    <row r="263" ht="24.0" customHeight="1">
      <c r="A263" s="18" t="s">
        <v>70</v>
      </c>
      <c r="B263" s="18" t="s">
        <v>27</v>
      </c>
      <c r="C263" s="19" t="s">
        <v>28</v>
      </c>
      <c r="D263" s="19" t="s">
        <v>72</v>
      </c>
      <c r="E263" s="19" t="s">
        <v>45</v>
      </c>
      <c r="F263" s="19" t="s">
        <v>42</v>
      </c>
      <c r="G263" s="20">
        <v>6666.0</v>
      </c>
      <c r="H263" s="19" t="s">
        <v>35</v>
      </c>
      <c r="I263" s="19" t="s">
        <v>38</v>
      </c>
      <c r="J263" s="13">
        <f>VLOOKUP(C263&amp;I263&amp;E263,Orig_Dest!$A$2:$E$1876,5,FALSE)</f>
        <v>0</v>
      </c>
      <c r="K263" s="14" t="str">
        <f t="shared" si="1"/>
        <v>Dia 12</v>
      </c>
      <c r="L263" s="21" t="str">
        <f>IF(B263="Fornecedor",IF(VLOOKUP(C263,Base_Dados!$E$1:$F$7,2,FALSE)=F263," ","Fornecedor inválido!")," ")</f>
        <v> </v>
      </c>
      <c r="M263" s="22" t="str">
        <f>IF(AND(LEFT(F263,2)="MP",H263&lt;&gt;Base_Dados!$A$1),"Impossível!!!"," ")</f>
        <v> </v>
      </c>
      <c r="N263" s="21" t="str">
        <f>IF(E263="Avião",IF($G263&lt;=VLOOKUP($F263,Base_Dados!$K$1:$O$7,3,FALSE)," ","Limite "&amp;VLOOKUP($F263,Base_Dados!$K$1:$O$11,3,FALSE)&amp;" "&amp;VLOOKUP($F263,Base_Dados!$K$1:$O$11,2,FALSE))," ")</f>
        <v> </v>
      </c>
      <c r="O263" s="21" t="str">
        <f>IF(E263="Caminhão",IF($G263&lt;=VLOOKUP($F263,Base_Dados!$K$1:$O$7,4,FALSE)," ","Limite "&amp;VLOOKUP($F263,Base_Dados!$K$1:$O$11,4,FALSE)&amp;" "&amp;VLOOKUP($F263,Base_Dados!$K$1:$O$11,2,FALSE))," ")</f>
        <v> </v>
      </c>
      <c r="P263" s="21" t="str">
        <f>IF(E263="Navio",IF($G263&lt;=VLOOKUP($F263,Base_Dados!$K$1:$O$7,5,FALSE)," ","Limite "&amp;VLOOKUP($F263,Base_Dados!$K$1:$O$11,5,FALSE)&amp;" "&amp;VLOOKUP($F263,Base_Dados!$K$1:$O$11,2,FALSE))," ")</f>
        <v> </v>
      </c>
      <c r="Q263" s="21" t="str">
        <f t="shared" si="2"/>
        <v/>
      </c>
      <c r="R263" s="1"/>
      <c r="S263" s="1"/>
      <c r="T263" s="1"/>
      <c r="U263" s="1"/>
      <c r="V263" s="1"/>
      <c r="W263" s="1"/>
      <c r="X263" s="1"/>
      <c r="Y263" s="1"/>
      <c r="Z263" s="1"/>
    </row>
    <row r="264" ht="24.0" customHeight="1">
      <c r="A264" s="18" t="s">
        <v>70</v>
      </c>
      <c r="B264" s="18" t="s">
        <v>27</v>
      </c>
      <c r="C264" s="19" t="s">
        <v>28</v>
      </c>
      <c r="D264" s="19" t="s">
        <v>72</v>
      </c>
      <c r="E264" s="19" t="s">
        <v>45</v>
      </c>
      <c r="F264" s="19" t="s">
        <v>42</v>
      </c>
      <c r="G264" s="20">
        <v>6666.0</v>
      </c>
      <c r="H264" s="19" t="s">
        <v>35</v>
      </c>
      <c r="I264" s="19" t="s">
        <v>38</v>
      </c>
      <c r="J264" s="13">
        <f>VLOOKUP(C264&amp;I264&amp;E264,Orig_Dest!$A$2:$E$1876,5,FALSE)</f>
        <v>0</v>
      </c>
      <c r="K264" s="14" t="str">
        <f t="shared" si="1"/>
        <v>Dia 12</v>
      </c>
      <c r="L264" s="21" t="str">
        <f>IF(B264="Fornecedor",IF(VLOOKUP(C264,Base_Dados!$E$1:$F$7,2,FALSE)=F264," ","Fornecedor inválido!")," ")</f>
        <v> </v>
      </c>
      <c r="M264" s="22" t="str">
        <f>IF(AND(LEFT(F264,2)="MP",H264&lt;&gt;Base_Dados!$A$1),"Impossível!!!"," ")</f>
        <v> </v>
      </c>
      <c r="N264" s="21" t="str">
        <f>IF(E264="Avião",IF($G264&lt;=VLOOKUP($F264,Base_Dados!$K$1:$O$7,3,FALSE)," ","Limite "&amp;VLOOKUP($F264,Base_Dados!$K$1:$O$11,3,FALSE)&amp;" "&amp;VLOOKUP($F264,Base_Dados!$K$1:$O$11,2,FALSE))," ")</f>
        <v> </v>
      </c>
      <c r="O264" s="21" t="str">
        <f>IF(E264="Caminhão",IF($G264&lt;=VLOOKUP($F264,Base_Dados!$K$1:$O$7,4,FALSE)," ","Limite "&amp;VLOOKUP($F264,Base_Dados!$K$1:$O$11,4,FALSE)&amp;" "&amp;VLOOKUP($F264,Base_Dados!$K$1:$O$11,2,FALSE))," ")</f>
        <v> </v>
      </c>
      <c r="P264" s="21" t="str">
        <f>IF(E264="Navio",IF($G264&lt;=VLOOKUP($F264,Base_Dados!$K$1:$O$7,5,FALSE)," ","Limite "&amp;VLOOKUP($F264,Base_Dados!$K$1:$O$11,5,FALSE)&amp;" "&amp;VLOOKUP($F264,Base_Dados!$K$1:$O$11,2,FALSE))," ")</f>
        <v> </v>
      </c>
      <c r="Q264" s="21" t="str">
        <f t="shared" si="2"/>
        <v/>
      </c>
      <c r="R264" s="1"/>
      <c r="S264" s="1"/>
      <c r="T264" s="1"/>
      <c r="U264" s="1"/>
      <c r="V264" s="1"/>
      <c r="W264" s="1"/>
      <c r="X264" s="1"/>
      <c r="Y264" s="1"/>
      <c r="Z264" s="1"/>
    </row>
    <row r="265" ht="24.0" customHeight="1">
      <c r="A265" s="18" t="s">
        <v>70</v>
      </c>
      <c r="B265" s="18" t="s">
        <v>27</v>
      </c>
      <c r="C265" s="19" t="s">
        <v>28</v>
      </c>
      <c r="D265" s="19" t="s">
        <v>72</v>
      </c>
      <c r="E265" s="19" t="s">
        <v>45</v>
      </c>
      <c r="F265" s="19" t="s">
        <v>42</v>
      </c>
      <c r="G265" s="20">
        <v>6666.0</v>
      </c>
      <c r="H265" s="19" t="s">
        <v>35</v>
      </c>
      <c r="I265" s="19" t="s">
        <v>38</v>
      </c>
      <c r="J265" s="13">
        <f>VLOOKUP(C265&amp;I265&amp;E265,Orig_Dest!$A$2:$E$1876,5,FALSE)</f>
        <v>0</v>
      </c>
      <c r="K265" s="14" t="str">
        <f t="shared" si="1"/>
        <v>Dia 12</v>
      </c>
      <c r="L265" s="21" t="str">
        <f>IF(B265="Fornecedor",IF(VLOOKUP(C265,Base_Dados!$E$1:$F$7,2,FALSE)=F265," ","Fornecedor inválido!")," ")</f>
        <v> </v>
      </c>
      <c r="M265" s="22" t="str">
        <f>IF(AND(LEFT(F265,2)="MP",H265&lt;&gt;Base_Dados!$A$1),"Impossível!!!"," ")</f>
        <v> </v>
      </c>
      <c r="N265" s="21" t="str">
        <f>IF(E265="Avião",IF($G265&lt;=VLOOKUP($F265,Base_Dados!$K$1:$O$7,3,FALSE)," ","Limite "&amp;VLOOKUP($F265,Base_Dados!$K$1:$O$11,3,FALSE)&amp;" "&amp;VLOOKUP($F265,Base_Dados!$K$1:$O$11,2,FALSE))," ")</f>
        <v> </v>
      </c>
      <c r="O265" s="21" t="str">
        <f>IF(E265="Caminhão",IF($G265&lt;=VLOOKUP($F265,Base_Dados!$K$1:$O$7,4,FALSE)," ","Limite "&amp;VLOOKUP($F265,Base_Dados!$K$1:$O$11,4,FALSE)&amp;" "&amp;VLOOKUP($F265,Base_Dados!$K$1:$O$11,2,FALSE))," ")</f>
        <v> </v>
      </c>
      <c r="P265" s="21" t="str">
        <f>IF(E265="Navio",IF($G265&lt;=VLOOKUP($F265,Base_Dados!$K$1:$O$7,5,FALSE)," ","Limite "&amp;VLOOKUP($F265,Base_Dados!$K$1:$O$11,5,FALSE)&amp;" "&amp;VLOOKUP($F265,Base_Dados!$K$1:$O$11,2,FALSE))," ")</f>
        <v> </v>
      </c>
      <c r="Q265" s="21" t="str">
        <f t="shared" si="2"/>
        <v/>
      </c>
      <c r="R265" s="1"/>
      <c r="S265" s="1"/>
      <c r="T265" s="1"/>
      <c r="U265" s="1"/>
      <c r="V265" s="1"/>
      <c r="W265" s="1"/>
      <c r="X265" s="1"/>
      <c r="Y265" s="1"/>
      <c r="Z265" s="1"/>
    </row>
    <row r="266" ht="24.0" customHeight="1">
      <c r="A266" s="18" t="s">
        <v>70</v>
      </c>
      <c r="B266" s="18" t="s">
        <v>27</v>
      </c>
      <c r="C266" s="19" t="s">
        <v>28</v>
      </c>
      <c r="D266" s="19" t="s">
        <v>72</v>
      </c>
      <c r="E266" s="19" t="s">
        <v>45</v>
      </c>
      <c r="F266" s="19" t="s">
        <v>42</v>
      </c>
      <c r="G266" s="20">
        <v>6666.0</v>
      </c>
      <c r="H266" s="19" t="s">
        <v>35</v>
      </c>
      <c r="I266" s="19" t="s">
        <v>38</v>
      </c>
      <c r="J266" s="13">
        <f>VLOOKUP(C266&amp;I266&amp;E266,Orig_Dest!$A$2:$E$1876,5,FALSE)</f>
        <v>0</v>
      </c>
      <c r="K266" s="14" t="str">
        <f t="shared" si="1"/>
        <v>Dia 12</v>
      </c>
      <c r="L266" s="21" t="str">
        <f>IF(B266="Fornecedor",IF(VLOOKUP(C266,Base_Dados!$E$1:$F$7,2,FALSE)=F266," ","Fornecedor inválido!")," ")</f>
        <v> </v>
      </c>
      <c r="M266" s="22" t="str">
        <f>IF(AND(LEFT(F266,2)="MP",H266&lt;&gt;Base_Dados!$A$1),"Impossível!!!"," ")</f>
        <v> </v>
      </c>
      <c r="N266" s="21" t="str">
        <f>IF(E266="Avião",IF($G266&lt;=VLOOKUP($F266,Base_Dados!$K$1:$O$7,3,FALSE)," ","Limite "&amp;VLOOKUP($F266,Base_Dados!$K$1:$O$11,3,FALSE)&amp;" "&amp;VLOOKUP($F266,Base_Dados!$K$1:$O$11,2,FALSE))," ")</f>
        <v> </v>
      </c>
      <c r="O266" s="21" t="str">
        <f>IF(E266="Caminhão",IF($G266&lt;=VLOOKUP($F266,Base_Dados!$K$1:$O$7,4,FALSE)," ","Limite "&amp;VLOOKUP($F266,Base_Dados!$K$1:$O$11,4,FALSE)&amp;" "&amp;VLOOKUP($F266,Base_Dados!$K$1:$O$11,2,FALSE))," ")</f>
        <v> </v>
      </c>
      <c r="P266" s="21" t="str">
        <f>IF(E266="Navio",IF($G266&lt;=VLOOKUP($F266,Base_Dados!$K$1:$O$7,5,FALSE)," ","Limite "&amp;VLOOKUP($F266,Base_Dados!$K$1:$O$11,5,FALSE)&amp;" "&amp;VLOOKUP($F266,Base_Dados!$K$1:$O$11,2,FALSE))," ")</f>
        <v> </v>
      </c>
      <c r="Q266" s="21" t="str">
        <f t="shared" si="2"/>
        <v/>
      </c>
      <c r="R266" s="1"/>
      <c r="S266" s="1"/>
      <c r="T266" s="1"/>
      <c r="U266" s="1"/>
      <c r="V266" s="1"/>
      <c r="W266" s="1"/>
      <c r="X266" s="1"/>
      <c r="Y266" s="1"/>
      <c r="Z266" s="1"/>
    </row>
    <row r="267" ht="24.0" customHeight="1">
      <c r="A267" s="18" t="s">
        <v>70</v>
      </c>
      <c r="B267" s="18" t="s">
        <v>27</v>
      </c>
      <c r="C267" s="19" t="s">
        <v>28</v>
      </c>
      <c r="D267" s="19" t="s">
        <v>72</v>
      </c>
      <c r="E267" s="19" t="s">
        <v>45</v>
      </c>
      <c r="F267" s="19" t="s">
        <v>42</v>
      </c>
      <c r="G267" s="20">
        <v>6666.0</v>
      </c>
      <c r="H267" s="19" t="s">
        <v>35</v>
      </c>
      <c r="I267" s="19" t="s">
        <v>38</v>
      </c>
      <c r="J267" s="13">
        <f>VLOOKUP(C267&amp;I267&amp;E267,Orig_Dest!$A$2:$E$1876,5,FALSE)</f>
        <v>0</v>
      </c>
      <c r="K267" s="14" t="str">
        <f t="shared" si="1"/>
        <v>Dia 12</v>
      </c>
      <c r="L267" s="21" t="str">
        <f>IF(B267="Fornecedor",IF(VLOOKUP(C267,Base_Dados!$E$1:$F$7,2,FALSE)=F267," ","Fornecedor inválido!")," ")</f>
        <v> </v>
      </c>
      <c r="M267" s="22" t="str">
        <f>IF(AND(LEFT(F267,2)="MP",H267&lt;&gt;Base_Dados!$A$1),"Impossível!!!"," ")</f>
        <v> </v>
      </c>
      <c r="N267" s="21" t="str">
        <f>IF(E267="Avião",IF($G267&lt;=VLOOKUP($F267,Base_Dados!$K$1:$O$7,3,FALSE)," ","Limite "&amp;VLOOKUP($F267,Base_Dados!$K$1:$O$11,3,FALSE)&amp;" "&amp;VLOOKUP($F267,Base_Dados!$K$1:$O$11,2,FALSE))," ")</f>
        <v> </v>
      </c>
      <c r="O267" s="21" t="str">
        <f>IF(E267="Caminhão",IF($G267&lt;=VLOOKUP($F267,Base_Dados!$K$1:$O$7,4,FALSE)," ","Limite "&amp;VLOOKUP($F267,Base_Dados!$K$1:$O$11,4,FALSE)&amp;" "&amp;VLOOKUP($F267,Base_Dados!$K$1:$O$11,2,FALSE))," ")</f>
        <v> </v>
      </c>
      <c r="P267" s="21" t="str">
        <f>IF(E267="Navio",IF($G267&lt;=VLOOKUP($F267,Base_Dados!$K$1:$O$7,5,FALSE)," ","Limite "&amp;VLOOKUP($F267,Base_Dados!$K$1:$O$11,5,FALSE)&amp;" "&amp;VLOOKUP($F267,Base_Dados!$K$1:$O$11,2,FALSE))," ")</f>
        <v> </v>
      </c>
      <c r="Q267" s="21" t="str">
        <f t="shared" si="2"/>
        <v/>
      </c>
      <c r="R267" s="1"/>
      <c r="S267" s="1"/>
      <c r="T267" s="1"/>
      <c r="U267" s="1"/>
      <c r="V267" s="1"/>
      <c r="W267" s="1"/>
      <c r="X267" s="1"/>
      <c r="Y267" s="1"/>
      <c r="Z267" s="1"/>
    </row>
    <row r="268" ht="24.0" customHeight="1">
      <c r="A268" s="18" t="s">
        <v>70</v>
      </c>
      <c r="B268" s="18" t="s">
        <v>27</v>
      </c>
      <c r="C268" s="19" t="s">
        <v>28</v>
      </c>
      <c r="D268" s="19" t="s">
        <v>72</v>
      </c>
      <c r="E268" s="19" t="s">
        <v>45</v>
      </c>
      <c r="F268" s="19" t="s">
        <v>42</v>
      </c>
      <c r="G268" s="20">
        <v>6666.0</v>
      </c>
      <c r="H268" s="19" t="s">
        <v>35</v>
      </c>
      <c r="I268" s="19" t="s">
        <v>38</v>
      </c>
      <c r="J268" s="13">
        <f>VLOOKUP(C268&amp;I268&amp;E268,Orig_Dest!$A$2:$E$1876,5,FALSE)</f>
        <v>0</v>
      </c>
      <c r="K268" s="14" t="str">
        <f t="shared" si="1"/>
        <v>Dia 12</v>
      </c>
      <c r="L268" s="21" t="str">
        <f>IF(B268="Fornecedor",IF(VLOOKUP(C268,Base_Dados!$E$1:$F$7,2,FALSE)=F268," ","Fornecedor inválido!")," ")</f>
        <v> </v>
      </c>
      <c r="M268" s="22" t="str">
        <f>IF(AND(LEFT(F268,2)="MP",H268&lt;&gt;Base_Dados!$A$1),"Impossível!!!"," ")</f>
        <v> </v>
      </c>
      <c r="N268" s="21" t="str">
        <f>IF(E268="Avião",IF($G268&lt;=VLOOKUP($F268,Base_Dados!$K$1:$O$7,3,FALSE)," ","Limite "&amp;VLOOKUP($F268,Base_Dados!$K$1:$O$11,3,FALSE)&amp;" "&amp;VLOOKUP($F268,Base_Dados!$K$1:$O$11,2,FALSE))," ")</f>
        <v> </v>
      </c>
      <c r="O268" s="21" t="str">
        <f>IF(E268="Caminhão",IF($G268&lt;=VLOOKUP($F268,Base_Dados!$K$1:$O$7,4,FALSE)," ","Limite "&amp;VLOOKUP($F268,Base_Dados!$K$1:$O$11,4,FALSE)&amp;" "&amp;VLOOKUP($F268,Base_Dados!$K$1:$O$11,2,FALSE))," ")</f>
        <v> </v>
      </c>
      <c r="P268" s="21" t="str">
        <f>IF(E268="Navio",IF($G268&lt;=VLOOKUP($F268,Base_Dados!$K$1:$O$7,5,FALSE)," ","Limite "&amp;VLOOKUP($F268,Base_Dados!$K$1:$O$11,5,FALSE)&amp;" "&amp;VLOOKUP($F268,Base_Dados!$K$1:$O$11,2,FALSE))," ")</f>
        <v> </v>
      </c>
      <c r="Q268" s="21" t="str">
        <f t="shared" si="2"/>
        <v/>
      </c>
      <c r="R268" s="1"/>
      <c r="S268" s="1"/>
      <c r="T268" s="1"/>
      <c r="U268" s="1"/>
      <c r="V268" s="1"/>
      <c r="W268" s="1"/>
      <c r="X268" s="1"/>
      <c r="Y268" s="1"/>
      <c r="Z268" s="1"/>
    </row>
    <row r="269" ht="24.0" customHeight="1">
      <c r="A269" s="18" t="s">
        <v>70</v>
      </c>
      <c r="B269" s="18" t="s">
        <v>27</v>
      </c>
      <c r="C269" s="19" t="s">
        <v>28</v>
      </c>
      <c r="D269" s="19" t="s">
        <v>72</v>
      </c>
      <c r="E269" s="19" t="s">
        <v>45</v>
      </c>
      <c r="F269" s="19" t="s">
        <v>42</v>
      </c>
      <c r="G269" s="20">
        <v>6666.0</v>
      </c>
      <c r="H269" s="19" t="s">
        <v>35</v>
      </c>
      <c r="I269" s="19" t="s">
        <v>38</v>
      </c>
      <c r="J269" s="13">
        <f>VLOOKUP(C269&amp;I269&amp;E269,Orig_Dest!$A$2:$E$1876,5,FALSE)</f>
        <v>0</v>
      </c>
      <c r="K269" s="14" t="str">
        <f t="shared" si="1"/>
        <v>Dia 12</v>
      </c>
      <c r="L269" s="21" t="str">
        <f>IF(B269="Fornecedor",IF(VLOOKUP(C269,Base_Dados!$E$1:$F$7,2,FALSE)=F269," ","Fornecedor inválido!")," ")</f>
        <v> </v>
      </c>
      <c r="M269" s="22" t="str">
        <f>IF(AND(LEFT(F269,2)="MP",H269&lt;&gt;Base_Dados!$A$1),"Impossível!!!"," ")</f>
        <v> </v>
      </c>
      <c r="N269" s="21" t="str">
        <f>IF(E269="Avião",IF($G269&lt;=VLOOKUP($F269,Base_Dados!$K$1:$O$7,3,FALSE)," ","Limite "&amp;VLOOKUP($F269,Base_Dados!$K$1:$O$11,3,FALSE)&amp;" "&amp;VLOOKUP($F269,Base_Dados!$K$1:$O$11,2,FALSE))," ")</f>
        <v> </v>
      </c>
      <c r="O269" s="21" t="str">
        <f>IF(E269="Caminhão",IF($G269&lt;=VLOOKUP($F269,Base_Dados!$K$1:$O$7,4,FALSE)," ","Limite "&amp;VLOOKUP($F269,Base_Dados!$K$1:$O$11,4,FALSE)&amp;" "&amp;VLOOKUP($F269,Base_Dados!$K$1:$O$11,2,FALSE))," ")</f>
        <v> </v>
      </c>
      <c r="P269" s="21" t="str">
        <f>IF(E269="Navio",IF($G269&lt;=VLOOKUP($F269,Base_Dados!$K$1:$O$7,5,FALSE)," ","Limite "&amp;VLOOKUP($F269,Base_Dados!$K$1:$O$11,5,FALSE)&amp;" "&amp;VLOOKUP($F269,Base_Dados!$K$1:$O$11,2,FALSE))," ")</f>
        <v> </v>
      </c>
      <c r="Q269" s="21" t="str">
        <f t="shared" si="2"/>
        <v/>
      </c>
      <c r="R269" s="1"/>
      <c r="S269" s="1"/>
      <c r="T269" s="1"/>
      <c r="U269" s="1"/>
      <c r="V269" s="1"/>
      <c r="W269" s="1"/>
      <c r="X269" s="1"/>
      <c r="Y269" s="1"/>
      <c r="Z269" s="1"/>
    </row>
    <row r="270" ht="24.0" customHeight="1">
      <c r="A270" s="18" t="s">
        <v>70</v>
      </c>
      <c r="B270" s="18" t="s">
        <v>27</v>
      </c>
      <c r="C270" s="19" t="s">
        <v>28</v>
      </c>
      <c r="D270" s="19" t="s">
        <v>72</v>
      </c>
      <c r="E270" s="19" t="s">
        <v>45</v>
      </c>
      <c r="F270" s="19" t="s">
        <v>42</v>
      </c>
      <c r="G270" s="20">
        <v>6666.0</v>
      </c>
      <c r="H270" s="19" t="s">
        <v>35</v>
      </c>
      <c r="I270" s="19" t="s">
        <v>38</v>
      </c>
      <c r="J270" s="13">
        <f>VLOOKUP(C270&amp;I270&amp;E270,Orig_Dest!$A$2:$E$1876,5,FALSE)</f>
        <v>0</v>
      </c>
      <c r="K270" s="14" t="str">
        <f t="shared" si="1"/>
        <v>Dia 12</v>
      </c>
      <c r="L270" s="21" t="str">
        <f>IF(B270="Fornecedor",IF(VLOOKUP(C270,Base_Dados!$E$1:$F$7,2,FALSE)=F270," ","Fornecedor inválido!")," ")</f>
        <v> </v>
      </c>
      <c r="M270" s="22" t="str">
        <f>IF(AND(LEFT(F270,2)="MP",H270&lt;&gt;Base_Dados!$A$1),"Impossível!!!"," ")</f>
        <v> </v>
      </c>
      <c r="N270" s="21" t="str">
        <f>IF(E270="Avião",IF($G270&lt;=VLOOKUP($F270,Base_Dados!$K$1:$O$7,3,FALSE)," ","Limite "&amp;VLOOKUP($F270,Base_Dados!$K$1:$O$11,3,FALSE)&amp;" "&amp;VLOOKUP($F270,Base_Dados!$K$1:$O$11,2,FALSE))," ")</f>
        <v> </v>
      </c>
      <c r="O270" s="21" t="str">
        <f>IF(E270="Caminhão",IF($G270&lt;=VLOOKUP($F270,Base_Dados!$K$1:$O$7,4,FALSE)," ","Limite "&amp;VLOOKUP($F270,Base_Dados!$K$1:$O$11,4,FALSE)&amp;" "&amp;VLOOKUP($F270,Base_Dados!$K$1:$O$11,2,FALSE))," ")</f>
        <v> </v>
      </c>
      <c r="P270" s="21" t="str">
        <f>IF(E270="Navio",IF($G270&lt;=VLOOKUP($F270,Base_Dados!$K$1:$O$7,5,FALSE)," ","Limite "&amp;VLOOKUP($F270,Base_Dados!$K$1:$O$11,5,FALSE)&amp;" "&amp;VLOOKUP($F270,Base_Dados!$K$1:$O$11,2,FALSE))," ")</f>
        <v> </v>
      </c>
      <c r="Q270" s="21" t="str">
        <f t="shared" si="2"/>
        <v/>
      </c>
      <c r="R270" s="1"/>
      <c r="S270" s="1"/>
      <c r="T270" s="1"/>
      <c r="U270" s="1"/>
      <c r="V270" s="1"/>
      <c r="W270" s="1"/>
      <c r="X270" s="1"/>
      <c r="Y270" s="1"/>
      <c r="Z270" s="1"/>
    </row>
    <row r="271" ht="24.0" customHeight="1">
      <c r="A271" s="18" t="s">
        <v>70</v>
      </c>
      <c r="B271" s="18" t="s">
        <v>27</v>
      </c>
      <c r="C271" s="19" t="s">
        <v>28</v>
      </c>
      <c r="D271" s="19" t="s">
        <v>72</v>
      </c>
      <c r="E271" s="19" t="s">
        <v>45</v>
      </c>
      <c r="F271" s="19" t="s">
        <v>42</v>
      </c>
      <c r="G271" s="20">
        <v>6666.0</v>
      </c>
      <c r="H271" s="19" t="s">
        <v>35</v>
      </c>
      <c r="I271" s="19" t="s">
        <v>38</v>
      </c>
      <c r="J271" s="13">
        <f>VLOOKUP(C271&amp;I271&amp;E271,Orig_Dest!$A$2:$E$1876,5,FALSE)</f>
        <v>0</v>
      </c>
      <c r="K271" s="14" t="str">
        <f t="shared" si="1"/>
        <v>Dia 12</v>
      </c>
      <c r="L271" s="21" t="str">
        <f>IF(B271="Fornecedor",IF(VLOOKUP(C271,Base_Dados!$E$1:$F$7,2,FALSE)=F271," ","Fornecedor inválido!")," ")</f>
        <v> </v>
      </c>
      <c r="M271" s="22" t="str">
        <f>IF(AND(LEFT(F271,2)="MP",H271&lt;&gt;Base_Dados!$A$1),"Impossível!!!"," ")</f>
        <v> </v>
      </c>
      <c r="N271" s="21" t="str">
        <f>IF(E271="Avião",IF($G271&lt;=VLOOKUP($F271,Base_Dados!$K$1:$O$7,3,FALSE)," ","Limite "&amp;VLOOKUP($F271,Base_Dados!$K$1:$O$11,3,FALSE)&amp;" "&amp;VLOOKUP($F271,Base_Dados!$K$1:$O$11,2,FALSE))," ")</f>
        <v> </v>
      </c>
      <c r="O271" s="21" t="str">
        <f>IF(E271="Caminhão",IF($G271&lt;=VLOOKUP($F271,Base_Dados!$K$1:$O$7,4,FALSE)," ","Limite "&amp;VLOOKUP($F271,Base_Dados!$K$1:$O$11,4,FALSE)&amp;" "&amp;VLOOKUP($F271,Base_Dados!$K$1:$O$11,2,FALSE))," ")</f>
        <v> </v>
      </c>
      <c r="P271" s="21" t="str">
        <f>IF(E271="Navio",IF($G271&lt;=VLOOKUP($F271,Base_Dados!$K$1:$O$7,5,FALSE)," ","Limite "&amp;VLOOKUP($F271,Base_Dados!$K$1:$O$11,5,FALSE)&amp;" "&amp;VLOOKUP($F271,Base_Dados!$K$1:$O$11,2,FALSE))," ")</f>
        <v> </v>
      </c>
      <c r="Q271" s="21" t="str">
        <f t="shared" si="2"/>
        <v/>
      </c>
      <c r="R271" s="1"/>
      <c r="S271" s="1"/>
      <c r="T271" s="1"/>
      <c r="U271" s="1"/>
      <c r="V271" s="1"/>
      <c r="W271" s="1"/>
      <c r="X271" s="1"/>
      <c r="Y271" s="1"/>
      <c r="Z271" s="1"/>
    </row>
    <row r="272" ht="24.0" customHeight="1">
      <c r="A272" s="18" t="s">
        <v>70</v>
      </c>
      <c r="B272" s="18" t="s">
        <v>27</v>
      </c>
      <c r="C272" s="19" t="s">
        <v>28</v>
      </c>
      <c r="D272" s="19" t="s">
        <v>72</v>
      </c>
      <c r="E272" s="19" t="s">
        <v>45</v>
      </c>
      <c r="F272" s="19" t="s">
        <v>42</v>
      </c>
      <c r="G272" s="20">
        <v>6666.0</v>
      </c>
      <c r="H272" s="19" t="s">
        <v>35</v>
      </c>
      <c r="I272" s="19" t="s">
        <v>38</v>
      </c>
      <c r="J272" s="13">
        <f>VLOOKUP(C272&amp;I272&amp;E272,Orig_Dest!$A$2:$E$1876,5,FALSE)</f>
        <v>0</v>
      </c>
      <c r="K272" s="14" t="str">
        <f t="shared" si="1"/>
        <v>Dia 12</v>
      </c>
      <c r="L272" s="21" t="str">
        <f>IF(B272="Fornecedor",IF(VLOOKUP(C272,Base_Dados!$E$1:$F$7,2,FALSE)=F272," ","Fornecedor inválido!")," ")</f>
        <v> </v>
      </c>
      <c r="M272" s="22" t="str">
        <f>IF(AND(LEFT(F272,2)="MP",H272&lt;&gt;Base_Dados!$A$1),"Impossível!!!"," ")</f>
        <v> </v>
      </c>
      <c r="N272" s="21" t="str">
        <f>IF(E272="Avião",IF($G272&lt;=VLOOKUP($F272,Base_Dados!$K$1:$O$7,3,FALSE)," ","Limite "&amp;VLOOKUP($F272,Base_Dados!$K$1:$O$11,3,FALSE)&amp;" "&amp;VLOOKUP($F272,Base_Dados!$K$1:$O$11,2,FALSE))," ")</f>
        <v> </v>
      </c>
      <c r="O272" s="21" t="str">
        <f>IF(E272="Caminhão",IF($G272&lt;=VLOOKUP($F272,Base_Dados!$K$1:$O$7,4,FALSE)," ","Limite "&amp;VLOOKUP($F272,Base_Dados!$K$1:$O$11,4,FALSE)&amp;" "&amp;VLOOKUP($F272,Base_Dados!$K$1:$O$11,2,FALSE))," ")</f>
        <v> </v>
      </c>
      <c r="P272" s="21" t="str">
        <f>IF(E272="Navio",IF($G272&lt;=VLOOKUP($F272,Base_Dados!$K$1:$O$7,5,FALSE)," ","Limite "&amp;VLOOKUP($F272,Base_Dados!$K$1:$O$11,5,FALSE)&amp;" "&amp;VLOOKUP($F272,Base_Dados!$K$1:$O$11,2,FALSE))," ")</f>
        <v> </v>
      </c>
      <c r="Q272" s="21" t="str">
        <f t="shared" si="2"/>
        <v/>
      </c>
      <c r="R272" s="1"/>
      <c r="S272" s="1"/>
      <c r="T272" s="1"/>
      <c r="U272" s="1"/>
      <c r="V272" s="1"/>
      <c r="W272" s="1"/>
      <c r="X272" s="1"/>
      <c r="Y272" s="1"/>
      <c r="Z272" s="1"/>
    </row>
    <row r="273" ht="24.0" customHeight="1">
      <c r="A273" s="18" t="s">
        <v>70</v>
      </c>
      <c r="B273" s="18" t="s">
        <v>27</v>
      </c>
      <c r="C273" s="19" t="s">
        <v>28</v>
      </c>
      <c r="D273" s="19" t="s">
        <v>72</v>
      </c>
      <c r="E273" s="19" t="s">
        <v>45</v>
      </c>
      <c r="F273" s="19" t="s">
        <v>42</v>
      </c>
      <c r="G273" s="20">
        <v>6666.0</v>
      </c>
      <c r="H273" s="19" t="s">
        <v>35</v>
      </c>
      <c r="I273" s="19" t="s">
        <v>38</v>
      </c>
      <c r="J273" s="13">
        <f>VLOOKUP(C273&amp;I273&amp;E273,Orig_Dest!$A$2:$E$1876,5,FALSE)</f>
        <v>0</v>
      </c>
      <c r="K273" s="14" t="str">
        <f t="shared" si="1"/>
        <v>Dia 12</v>
      </c>
      <c r="L273" s="21" t="str">
        <f>IF(B273="Fornecedor",IF(VLOOKUP(C273,Base_Dados!$E$1:$F$7,2,FALSE)=F273," ","Fornecedor inválido!")," ")</f>
        <v> </v>
      </c>
      <c r="M273" s="22" t="str">
        <f>IF(AND(LEFT(F273,2)="MP",H273&lt;&gt;Base_Dados!$A$1),"Impossível!!!"," ")</f>
        <v> </v>
      </c>
      <c r="N273" s="21" t="str">
        <f>IF(E273="Avião",IF($G273&lt;=VLOOKUP($F273,Base_Dados!$K$1:$O$7,3,FALSE)," ","Limite "&amp;VLOOKUP($F273,Base_Dados!$K$1:$O$11,3,FALSE)&amp;" "&amp;VLOOKUP($F273,Base_Dados!$K$1:$O$11,2,FALSE))," ")</f>
        <v> </v>
      </c>
      <c r="O273" s="21" t="str">
        <f>IF(E273="Caminhão",IF($G273&lt;=VLOOKUP($F273,Base_Dados!$K$1:$O$7,4,FALSE)," ","Limite "&amp;VLOOKUP($F273,Base_Dados!$K$1:$O$11,4,FALSE)&amp;" "&amp;VLOOKUP($F273,Base_Dados!$K$1:$O$11,2,FALSE))," ")</f>
        <v> </v>
      </c>
      <c r="P273" s="21" t="str">
        <f>IF(E273="Navio",IF($G273&lt;=VLOOKUP($F273,Base_Dados!$K$1:$O$7,5,FALSE)," ","Limite "&amp;VLOOKUP($F273,Base_Dados!$K$1:$O$11,5,FALSE)&amp;" "&amp;VLOOKUP($F273,Base_Dados!$K$1:$O$11,2,FALSE))," ")</f>
        <v> </v>
      </c>
      <c r="Q273" s="21" t="str">
        <f t="shared" si="2"/>
        <v/>
      </c>
      <c r="R273" s="1"/>
      <c r="S273" s="1"/>
      <c r="T273" s="1"/>
      <c r="U273" s="1"/>
      <c r="V273" s="1"/>
      <c r="W273" s="1"/>
      <c r="X273" s="1"/>
      <c r="Y273" s="1"/>
      <c r="Z273" s="1"/>
    </row>
    <row r="274" ht="24.0" customHeight="1">
      <c r="A274" s="18" t="s">
        <v>70</v>
      </c>
      <c r="B274" s="18" t="s">
        <v>27</v>
      </c>
      <c r="C274" s="19" t="s">
        <v>28</v>
      </c>
      <c r="D274" s="19" t="s">
        <v>72</v>
      </c>
      <c r="E274" s="19" t="s">
        <v>45</v>
      </c>
      <c r="F274" s="19" t="s">
        <v>42</v>
      </c>
      <c r="G274" s="20">
        <v>6666.0</v>
      </c>
      <c r="H274" s="19" t="s">
        <v>35</v>
      </c>
      <c r="I274" s="19" t="s">
        <v>38</v>
      </c>
      <c r="J274" s="13">
        <f>VLOOKUP(C274&amp;I274&amp;E274,Orig_Dest!$A$2:$E$1876,5,FALSE)</f>
        <v>0</v>
      </c>
      <c r="K274" s="14" t="str">
        <f t="shared" si="1"/>
        <v>Dia 12</v>
      </c>
      <c r="L274" s="21" t="str">
        <f>IF(B274="Fornecedor",IF(VLOOKUP(C274,Base_Dados!$E$1:$F$7,2,FALSE)=F274," ","Fornecedor inválido!")," ")</f>
        <v> </v>
      </c>
      <c r="M274" s="22" t="str">
        <f>IF(AND(LEFT(F274,2)="MP",H274&lt;&gt;Base_Dados!$A$1),"Impossível!!!"," ")</f>
        <v> </v>
      </c>
      <c r="N274" s="21" t="str">
        <f>IF(E274="Avião",IF($G274&lt;=VLOOKUP($F274,Base_Dados!$K$1:$O$7,3,FALSE)," ","Limite "&amp;VLOOKUP($F274,Base_Dados!$K$1:$O$11,3,FALSE)&amp;" "&amp;VLOOKUP($F274,Base_Dados!$K$1:$O$11,2,FALSE))," ")</f>
        <v> </v>
      </c>
      <c r="O274" s="21" t="str">
        <f>IF(E274="Caminhão",IF($G274&lt;=VLOOKUP($F274,Base_Dados!$K$1:$O$7,4,FALSE)," ","Limite "&amp;VLOOKUP($F274,Base_Dados!$K$1:$O$11,4,FALSE)&amp;" "&amp;VLOOKUP($F274,Base_Dados!$K$1:$O$11,2,FALSE))," ")</f>
        <v> </v>
      </c>
      <c r="P274" s="21" t="str">
        <f>IF(E274="Navio",IF($G274&lt;=VLOOKUP($F274,Base_Dados!$K$1:$O$7,5,FALSE)," ","Limite "&amp;VLOOKUP($F274,Base_Dados!$K$1:$O$11,5,FALSE)&amp;" "&amp;VLOOKUP($F274,Base_Dados!$K$1:$O$11,2,FALSE))," ")</f>
        <v> </v>
      </c>
      <c r="Q274" s="21" t="str">
        <f t="shared" si="2"/>
        <v/>
      </c>
      <c r="R274" s="1"/>
      <c r="S274" s="1"/>
      <c r="T274" s="1"/>
      <c r="U274" s="1"/>
      <c r="V274" s="1"/>
      <c r="W274" s="1"/>
      <c r="X274" s="1"/>
      <c r="Y274" s="1"/>
      <c r="Z274" s="1"/>
    </row>
    <row r="275" ht="24.0" customHeight="1">
      <c r="A275" s="18" t="s">
        <v>70</v>
      </c>
      <c r="B275" s="18" t="s">
        <v>27</v>
      </c>
      <c r="C275" s="19" t="s">
        <v>28</v>
      </c>
      <c r="D275" s="19" t="s">
        <v>72</v>
      </c>
      <c r="E275" s="19" t="s">
        <v>45</v>
      </c>
      <c r="F275" s="19" t="s">
        <v>42</v>
      </c>
      <c r="G275" s="20">
        <v>6666.0</v>
      </c>
      <c r="H275" s="19" t="s">
        <v>35</v>
      </c>
      <c r="I275" s="19" t="s">
        <v>38</v>
      </c>
      <c r="J275" s="13">
        <f>VLOOKUP(C275&amp;I275&amp;E275,Orig_Dest!$A$2:$E$1876,5,FALSE)</f>
        <v>0</v>
      </c>
      <c r="K275" s="14" t="str">
        <f t="shared" si="1"/>
        <v>Dia 12</v>
      </c>
      <c r="L275" s="21" t="str">
        <f>IF(B275="Fornecedor",IF(VLOOKUP(C275,Base_Dados!$E$1:$F$7,2,FALSE)=F275," ","Fornecedor inválido!")," ")</f>
        <v> </v>
      </c>
      <c r="M275" s="22" t="str">
        <f>IF(AND(LEFT(F275,2)="MP",H275&lt;&gt;Base_Dados!$A$1),"Impossível!!!"," ")</f>
        <v> </v>
      </c>
      <c r="N275" s="21" t="str">
        <f>IF(E275="Avião",IF($G275&lt;=VLOOKUP($F275,Base_Dados!$K$1:$O$7,3,FALSE)," ","Limite "&amp;VLOOKUP($F275,Base_Dados!$K$1:$O$11,3,FALSE)&amp;" "&amp;VLOOKUP($F275,Base_Dados!$K$1:$O$11,2,FALSE))," ")</f>
        <v> </v>
      </c>
      <c r="O275" s="21" t="str">
        <f>IF(E275="Caminhão",IF($G275&lt;=VLOOKUP($F275,Base_Dados!$K$1:$O$7,4,FALSE)," ","Limite "&amp;VLOOKUP($F275,Base_Dados!$K$1:$O$11,4,FALSE)&amp;" "&amp;VLOOKUP($F275,Base_Dados!$K$1:$O$11,2,FALSE))," ")</f>
        <v> </v>
      </c>
      <c r="P275" s="21" t="str">
        <f>IF(E275="Navio",IF($G275&lt;=VLOOKUP($F275,Base_Dados!$K$1:$O$7,5,FALSE)," ","Limite "&amp;VLOOKUP($F275,Base_Dados!$K$1:$O$11,5,FALSE)&amp;" "&amp;VLOOKUP($F275,Base_Dados!$K$1:$O$11,2,FALSE))," ")</f>
        <v> </v>
      </c>
      <c r="Q275" s="21" t="str">
        <f t="shared" si="2"/>
        <v/>
      </c>
      <c r="R275" s="1"/>
      <c r="S275" s="1"/>
      <c r="T275" s="1"/>
      <c r="U275" s="1"/>
      <c r="V275" s="1"/>
      <c r="W275" s="1"/>
      <c r="X275" s="1"/>
      <c r="Y275" s="1"/>
      <c r="Z275" s="1"/>
    </row>
    <row r="276" ht="24.0" customHeight="1">
      <c r="A276" s="18" t="s">
        <v>70</v>
      </c>
      <c r="B276" s="18" t="s">
        <v>27</v>
      </c>
      <c r="C276" s="19" t="s">
        <v>28</v>
      </c>
      <c r="D276" s="19" t="s">
        <v>72</v>
      </c>
      <c r="E276" s="19" t="s">
        <v>45</v>
      </c>
      <c r="F276" s="19" t="s">
        <v>42</v>
      </c>
      <c r="G276" s="20">
        <v>6666.0</v>
      </c>
      <c r="H276" s="19" t="s">
        <v>35</v>
      </c>
      <c r="I276" s="19" t="s">
        <v>38</v>
      </c>
      <c r="J276" s="13">
        <f>VLOOKUP(C276&amp;I276&amp;E276,Orig_Dest!$A$2:$E$1876,5,FALSE)</f>
        <v>0</v>
      </c>
      <c r="K276" s="14" t="str">
        <f t="shared" si="1"/>
        <v>Dia 12</v>
      </c>
      <c r="L276" s="21" t="str">
        <f>IF(B276="Fornecedor",IF(VLOOKUP(C276,Base_Dados!$E$1:$F$7,2,FALSE)=F276," ","Fornecedor inválido!")," ")</f>
        <v> </v>
      </c>
      <c r="M276" s="22" t="str">
        <f>IF(AND(LEFT(F276,2)="MP",H276&lt;&gt;Base_Dados!$A$1),"Impossível!!!"," ")</f>
        <v> </v>
      </c>
      <c r="N276" s="21" t="str">
        <f>IF(E276="Avião",IF($G276&lt;=VLOOKUP($F276,Base_Dados!$K$1:$O$7,3,FALSE)," ","Limite "&amp;VLOOKUP($F276,Base_Dados!$K$1:$O$11,3,FALSE)&amp;" "&amp;VLOOKUP($F276,Base_Dados!$K$1:$O$11,2,FALSE))," ")</f>
        <v> </v>
      </c>
      <c r="O276" s="21" t="str">
        <f>IF(E276="Caminhão",IF($G276&lt;=VLOOKUP($F276,Base_Dados!$K$1:$O$7,4,FALSE)," ","Limite "&amp;VLOOKUP($F276,Base_Dados!$K$1:$O$11,4,FALSE)&amp;" "&amp;VLOOKUP($F276,Base_Dados!$K$1:$O$11,2,FALSE))," ")</f>
        <v> </v>
      </c>
      <c r="P276" s="21" t="str">
        <f>IF(E276="Navio",IF($G276&lt;=VLOOKUP($F276,Base_Dados!$K$1:$O$7,5,FALSE)," ","Limite "&amp;VLOOKUP($F276,Base_Dados!$K$1:$O$11,5,FALSE)&amp;" "&amp;VLOOKUP($F276,Base_Dados!$K$1:$O$11,2,FALSE))," ")</f>
        <v> </v>
      </c>
      <c r="Q276" s="21" t="str">
        <f t="shared" si="2"/>
        <v/>
      </c>
      <c r="R276" s="1"/>
      <c r="S276" s="1"/>
      <c r="T276" s="1"/>
      <c r="U276" s="1"/>
      <c r="V276" s="1"/>
      <c r="W276" s="1"/>
      <c r="X276" s="1"/>
      <c r="Y276" s="1"/>
      <c r="Z276" s="1"/>
    </row>
    <row r="277" ht="24.0" customHeight="1">
      <c r="A277" s="18" t="s">
        <v>70</v>
      </c>
      <c r="B277" s="18" t="s">
        <v>27</v>
      </c>
      <c r="C277" s="19" t="s">
        <v>28</v>
      </c>
      <c r="D277" s="19" t="s">
        <v>72</v>
      </c>
      <c r="E277" s="19" t="s">
        <v>45</v>
      </c>
      <c r="F277" s="19" t="s">
        <v>42</v>
      </c>
      <c r="G277" s="20">
        <v>6666.0</v>
      </c>
      <c r="H277" s="19" t="s">
        <v>35</v>
      </c>
      <c r="I277" s="19" t="s">
        <v>38</v>
      </c>
      <c r="J277" s="13">
        <f>VLOOKUP(C277&amp;I277&amp;E277,Orig_Dest!$A$2:$E$1876,5,FALSE)</f>
        <v>0</v>
      </c>
      <c r="K277" s="14" t="str">
        <f t="shared" si="1"/>
        <v>Dia 12</v>
      </c>
      <c r="L277" s="21" t="str">
        <f>IF(B277="Fornecedor",IF(VLOOKUP(C277,Base_Dados!$E$1:$F$7,2,FALSE)=F277," ","Fornecedor inválido!")," ")</f>
        <v> </v>
      </c>
      <c r="M277" s="22" t="str">
        <f>IF(AND(LEFT(F277,2)="MP",H277&lt;&gt;Base_Dados!$A$1),"Impossível!!!"," ")</f>
        <v> </v>
      </c>
      <c r="N277" s="21" t="str">
        <f>IF(E277="Avião",IF($G277&lt;=VLOOKUP($F277,Base_Dados!$K$1:$O$7,3,FALSE)," ","Limite "&amp;VLOOKUP($F277,Base_Dados!$K$1:$O$11,3,FALSE)&amp;" "&amp;VLOOKUP($F277,Base_Dados!$K$1:$O$11,2,FALSE))," ")</f>
        <v> </v>
      </c>
      <c r="O277" s="21" t="str">
        <f>IF(E277="Caminhão",IF($G277&lt;=VLOOKUP($F277,Base_Dados!$K$1:$O$7,4,FALSE)," ","Limite "&amp;VLOOKUP($F277,Base_Dados!$K$1:$O$11,4,FALSE)&amp;" "&amp;VLOOKUP($F277,Base_Dados!$K$1:$O$11,2,FALSE))," ")</f>
        <v> </v>
      </c>
      <c r="P277" s="21" t="str">
        <f>IF(E277="Navio",IF($G277&lt;=VLOOKUP($F277,Base_Dados!$K$1:$O$7,5,FALSE)," ","Limite "&amp;VLOOKUP($F277,Base_Dados!$K$1:$O$11,5,FALSE)&amp;" "&amp;VLOOKUP($F277,Base_Dados!$K$1:$O$11,2,FALSE))," ")</f>
        <v> </v>
      </c>
      <c r="Q277" s="21" t="str">
        <f t="shared" si="2"/>
        <v/>
      </c>
      <c r="R277" s="1"/>
      <c r="S277" s="1"/>
      <c r="T277" s="1"/>
      <c r="U277" s="1"/>
      <c r="V277" s="1"/>
      <c r="W277" s="1"/>
      <c r="X277" s="1"/>
      <c r="Y277" s="1"/>
      <c r="Z277" s="1"/>
    </row>
    <row r="278" ht="24.0" customHeight="1">
      <c r="A278" s="18" t="s">
        <v>70</v>
      </c>
      <c r="B278" s="18" t="s">
        <v>27</v>
      </c>
      <c r="C278" s="19" t="s">
        <v>28</v>
      </c>
      <c r="D278" s="19" t="s">
        <v>72</v>
      </c>
      <c r="E278" s="19" t="s">
        <v>45</v>
      </c>
      <c r="F278" s="19" t="s">
        <v>42</v>
      </c>
      <c r="G278" s="20">
        <v>6666.0</v>
      </c>
      <c r="H278" s="19" t="s">
        <v>35</v>
      </c>
      <c r="I278" s="19" t="s">
        <v>38</v>
      </c>
      <c r="J278" s="13">
        <f>VLOOKUP(C278&amp;I278&amp;E278,Orig_Dest!$A$2:$E$1876,5,FALSE)</f>
        <v>0</v>
      </c>
      <c r="K278" s="14" t="str">
        <f t="shared" si="1"/>
        <v>Dia 12</v>
      </c>
      <c r="L278" s="21" t="str">
        <f>IF(B278="Fornecedor",IF(VLOOKUP(C278,Base_Dados!$E$1:$F$7,2,FALSE)=F278," ","Fornecedor inválido!")," ")</f>
        <v> </v>
      </c>
      <c r="M278" s="22" t="str">
        <f>IF(AND(LEFT(F278,2)="MP",H278&lt;&gt;Base_Dados!$A$1),"Impossível!!!"," ")</f>
        <v> </v>
      </c>
      <c r="N278" s="21" t="str">
        <f>IF(E278="Avião",IF($G278&lt;=VLOOKUP($F278,Base_Dados!$K$1:$O$7,3,FALSE)," ","Limite "&amp;VLOOKUP($F278,Base_Dados!$K$1:$O$11,3,FALSE)&amp;" "&amp;VLOOKUP($F278,Base_Dados!$K$1:$O$11,2,FALSE))," ")</f>
        <v> </v>
      </c>
      <c r="O278" s="21" t="str">
        <f>IF(E278="Caminhão",IF($G278&lt;=VLOOKUP($F278,Base_Dados!$K$1:$O$7,4,FALSE)," ","Limite "&amp;VLOOKUP($F278,Base_Dados!$K$1:$O$11,4,FALSE)&amp;" "&amp;VLOOKUP($F278,Base_Dados!$K$1:$O$11,2,FALSE))," ")</f>
        <v> </v>
      </c>
      <c r="P278" s="21" t="str">
        <f>IF(E278="Navio",IF($G278&lt;=VLOOKUP($F278,Base_Dados!$K$1:$O$7,5,FALSE)," ","Limite "&amp;VLOOKUP($F278,Base_Dados!$K$1:$O$11,5,FALSE)&amp;" "&amp;VLOOKUP($F278,Base_Dados!$K$1:$O$11,2,FALSE))," ")</f>
        <v> </v>
      </c>
      <c r="Q278" s="21" t="str">
        <f t="shared" si="2"/>
        <v/>
      </c>
      <c r="R278" s="1"/>
      <c r="S278" s="1"/>
      <c r="T278" s="1"/>
      <c r="U278" s="1"/>
      <c r="V278" s="1"/>
      <c r="W278" s="1"/>
      <c r="X278" s="1"/>
      <c r="Y278" s="1"/>
      <c r="Z278" s="1"/>
    </row>
    <row r="279" ht="24.0" customHeight="1">
      <c r="A279" s="18" t="s">
        <v>70</v>
      </c>
      <c r="B279" s="18" t="s">
        <v>27</v>
      </c>
      <c r="C279" s="19" t="s">
        <v>28</v>
      </c>
      <c r="D279" s="19" t="s">
        <v>72</v>
      </c>
      <c r="E279" s="19" t="s">
        <v>45</v>
      </c>
      <c r="F279" s="19" t="s">
        <v>42</v>
      </c>
      <c r="G279" s="20">
        <v>6666.0</v>
      </c>
      <c r="H279" s="19" t="s">
        <v>35</v>
      </c>
      <c r="I279" s="19" t="s">
        <v>38</v>
      </c>
      <c r="J279" s="13">
        <f>VLOOKUP(C279&amp;I279&amp;E279,Orig_Dest!$A$2:$E$1876,5,FALSE)</f>
        <v>0</v>
      </c>
      <c r="K279" s="14" t="str">
        <f t="shared" si="1"/>
        <v>Dia 12</v>
      </c>
      <c r="L279" s="21" t="str">
        <f>IF(B279="Fornecedor",IF(VLOOKUP(C279,Base_Dados!$E$1:$F$7,2,FALSE)=F279," ","Fornecedor inválido!")," ")</f>
        <v> </v>
      </c>
      <c r="M279" s="22" t="str">
        <f>IF(AND(LEFT(F279,2)="MP",H279&lt;&gt;Base_Dados!$A$1),"Impossível!!!"," ")</f>
        <v> </v>
      </c>
      <c r="N279" s="21" t="str">
        <f>IF(E279="Avião",IF($G279&lt;=VLOOKUP($F279,Base_Dados!$K$1:$O$7,3,FALSE)," ","Limite "&amp;VLOOKUP($F279,Base_Dados!$K$1:$O$11,3,FALSE)&amp;" "&amp;VLOOKUP($F279,Base_Dados!$K$1:$O$11,2,FALSE))," ")</f>
        <v> </v>
      </c>
      <c r="O279" s="21" t="str">
        <f>IF(E279="Caminhão",IF($G279&lt;=VLOOKUP($F279,Base_Dados!$K$1:$O$7,4,FALSE)," ","Limite "&amp;VLOOKUP($F279,Base_Dados!$K$1:$O$11,4,FALSE)&amp;" "&amp;VLOOKUP($F279,Base_Dados!$K$1:$O$11,2,FALSE))," ")</f>
        <v> </v>
      </c>
      <c r="P279" s="21" t="str">
        <f>IF(E279="Navio",IF($G279&lt;=VLOOKUP($F279,Base_Dados!$K$1:$O$7,5,FALSE)," ","Limite "&amp;VLOOKUP($F279,Base_Dados!$K$1:$O$11,5,FALSE)&amp;" "&amp;VLOOKUP($F279,Base_Dados!$K$1:$O$11,2,FALSE))," ")</f>
        <v> </v>
      </c>
      <c r="Q279" s="21" t="str">
        <f t="shared" si="2"/>
        <v/>
      </c>
      <c r="R279" s="1"/>
      <c r="S279" s="1"/>
      <c r="T279" s="1"/>
      <c r="U279" s="1"/>
      <c r="V279" s="1"/>
      <c r="W279" s="1"/>
      <c r="X279" s="1"/>
      <c r="Y279" s="1"/>
      <c r="Z279" s="1"/>
    </row>
    <row r="280" ht="24.0" customHeight="1">
      <c r="A280" s="18" t="s">
        <v>70</v>
      </c>
      <c r="B280" s="18" t="s">
        <v>27</v>
      </c>
      <c r="C280" s="19" t="s">
        <v>28</v>
      </c>
      <c r="D280" s="19" t="s">
        <v>72</v>
      </c>
      <c r="E280" s="19" t="s">
        <v>45</v>
      </c>
      <c r="F280" s="19" t="s">
        <v>42</v>
      </c>
      <c r="G280" s="20">
        <v>6666.0</v>
      </c>
      <c r="H280" s="19" t="s">
        <v>35</v>
      </c>
      <c r="I280" s="19" t="s">
        <v>38</v>
      </c>
      <c r="J280" s="13">
        <f>VLOOKUP(C280&amp;I280&amp;E280,Orig_Dest!$A$2:$E$1876,5,FALSE)</f>
        <v>0</v>
      </c>
      <c r="K280" s="14" t="str">
        <f t="shared" si="1"/>
        <v>Dia 12</v>
      </c>
      <c r="L280" s="21" t="str">
        <f>IF(B280="Fornecedor",IF(VLOOKUP(C280,Base_Dados!$E$1:$F$7,2,FALSE)=F280," ","Fornecedor inválido!")," ")</f>
        <v> </v>
      </c>
      <c r="M280" s="22" t="str">
        <f>IF(AND(LEFT(F280,2)="MP",H280&lt;&gt;Base_Dados!$A$1),"Impossível!!!"," ")</f>
        <v> </v>
      </c>
      <c r="N280" s="21" t="str">
        <f>IF(E280="Avião",IF($G280&lt;=VLOOKUP($F280,Base_Dados!$K$1:$O$7,3,FALSE)," ","Limite "&amp;VLOOKUP($F280,Base_Dados!$K$1:$O$11,3,FALSE)&amp;" "&amp;VLOOKUP($F280,Base_Dados!$K$1:$O$11,2,FALSE))," ")</f>
        <v> </v>
      </c>
      <c r="O280" s="21" t="str">
        <f>IF(E280="Caminhão",IF($G280&lt;=VLOOKUP($F280,Base_Dados!$K$1:$O$7,4,FALSE)," ","Limite "&amp;VLOOKUP($F280,Base_Dados!$K$1:$O$11,4,FALSE)&amp;" "&amp;VLOOKUP($F280,Base_Dados!$K$1:$O$11,2,FALSE))," ")</f>
        <v> </v>
      </c>
      <c r="P280" s="21" t="str">
        <f>IF(E280="Navio",IF($G280&lt;=VLOOKUP($F280,Base_Dados!$K$1:$O$7,5,FALSE)," ","Limite "&amp;VLOOKUP($F280,Base_Dados!$K$1:$O$11,5,FALSE)&amp;" "&amp;VLOOKUP($F280,Base_Dados!$K$1:$O$11,2,FALSE))," ")</f>
        <v> </v>
      </c>
      <c r="Q280" s="21" t="str">
        <f t="shared" si="2"/>
        <v/>
      </c>
      <c r="R280" s="1"/>
      <c r="S280" s="1"/>
      <c r="T280" s="1"/>
      <c r="U280" s="1"/>
      <c r="V280" s="1"/>
      <c r="W280" s="1"/>
      <c r="X280" s="1"/>
      <c r="Y280" s="1"/>
      <c r="Z280" s="1"/>
    </row>
    <row r="281" ht="24.0" customHeight="1">
      <c r="A281" s="18" t="s">
        <v>70</v>
      </c>
      <c r="B281" s="18" t="s">
        <v>27</v>
      </c>
      <c r="C281" s="19" t="s">
        <v>28</v>
      </c>
      <c r="D281" s="19" t="s">
        <v>72</v>
      </c>
      <c r="E281" s="19" t="s">
        <v>45</v>
      </c>
      <c r="F281" s="19" t="s">
        <v>42</v>
      </c>
      <c r="G281" s="20">
        <v>6666.0</v>
      </c>
      <c r="H281" s="19" t="s">
        <v>35</v>
      </c>
      <c r="I281" s="19" t="s">
        <v>38</v>
      </c>
      <c r="J281" s="13">
        <f>VLOOKUP(C281&amp;I281&amp;E281,Orig_Dest!$A$2:$E$1876,5,FALSE)</f>
        <v>0</v>
      </c>
      <c r="K281" s="14" t="str">
        <f t="shared" si="1"/>
        <v>Dia 12</v>
      </c>
      <c r="L281" s="21" t="str">
        <f>IF(B281="Fornecedor",IF(VLOOKUP(C281,Base_Dados!$E$1:$F$7,2,FALSE)=F281," ","Fornecedor inválido!")," ")</f>
        <v> </v>
      </c>
      <c r="M281" s="22" t="str">
        <f>IF(AND(LEFT(F281,2)="MP",H281&lt;&gt;Base_Dados!$A$1),"Impossível!!!"," ")</f>
        <v> </v>
      </c>
      <c r="N281" s="21" t="str">
        <f>IF(E281="Avião",IF($G281&lt;=VLOOKUP($F281,Base_Dados!$K$1:$O$7,3,FALSE)," ","Limite "&amp;VLOOKUP($F281,Base_Dados!$K$1:$O$11,3,FALSE)&amp;" "&amp;VLOOKUP($F281,Base_Dados!$K$1:$O$11,2,FALSE))," ")</f>
        <v> </v>
      </c>
      <c r="O281" s="21" t="str">
        <f>IF(E281="Caminhão",IF($G281&lt;=VLOOKUP($F281,Base_Dados!$K$1:$O$7,4,FALSE)," ","Limite "&amp;VLOOKUP($F281,Base_Dados!$K$1:$O$11,4,FALSE)&amp;" "&amp;VLOOKUP($F281,Base_Dados!$K$1:$O$11,2,FALSE))," ")</f>
        <v> </v>
      </c>
      <c r="P281" s="21" t="str">
        <f>IF(E281="Navio",IF($G281&lt;=VLOOKUP($F281,Base_Dados!$K$1:$O$7,5,FALSE)," ","Limite "&amp;VLOOKUP($F281,Base_Dados!$K$1:$O$11,5,FALSE)&amp;" "&amp;VLOOKUP($F281,Base_Dados!$K$1:$O$11,2,FALSE))," ")</f>
        <v> </v>
      </c>
      <c r="Q281" s="21" t="str">
        <f t="shared" si="2"/>
        <v/>
      </c>
      <c r="R281" s="1"/>
      <c r="S281" s="1"/>
      <c r="T281" s="1"/>
      <c r="U281" s="1"/>
      <c r="V281" s="1"/>
      <c r="W281" s="1"/>
      <c r="X281" s="1"/>
      <c r="Y281" s="1"/>
      <c r="Z281" s="1"/>
    </row>
    <row r="282" ht="24.0" customHeight="1">
      <c r="A282" s="18" t="s">
        <v>70</v>
      </c>
      <c r="B282" s="18" t="s">
        <v>27</v>
      </c>
      <c r="C282" s="19" t="s">
        <v>28</v>
      </c>
      <c r="D282" s="19" t="s">
        <v>72</v>
      </c>
      <c r="E282" s="19" t="s">
        <v>45</v>
      </c>
      <c r="F282" s="19" t="s">
        <v>42</v>
      </c>
      <c r="G282" s="20">
        <v>6666.0</v>
      </c>
      <c r="H282" s="19" t="s">
        <v>35</v>
      </c>
      <c r="I282" s="19" t="s">
        <v>38</v>
      </c>
      <c r="J282" s="13">
        <f>VLOOKUP(C282&amp;I282&amp;E282,Orig_Dest!$A$2:$E$1876,5,FALSE)</f>
        <v>0</v>
      </c>
      <c r="K282" s="14" t="str">
        <f t="shared" si="1"/>
        <v>Dia 12</v>
      </c>
      <c r="L282" s="21" t="str">
        <f>IF(B282="Fornecedor",IF(VLOOKUP(C282,Base_Dados!$E$1:$F$7,2,FALSE)=F282," ","Fornecedor inválido!")," ")</f>
        <v> </v>
      </c>
      <c r="M282" s="22" t="str">
        <f>IF(AND(LEFT(F282,2)="MP",H282&lt;&gt;Base_Dados!$A$1),"Impossível!!!"," ")</f>
        <v> </v>
      </c>
      <c r="N282" s="21" t="str">
        <f>IF(E282="Avião",IF($G282&lt;=VLOOKUP($F282,Base_Dados!$K$1:$O$7,3,FALSE)," ","Limite "&amp;VLOOKUP($F282,Base_Dados!$K$1:$O$11,3,FALSE)&amp;" "&amp;VLOOKUP($F282,Base_Dados!$K$1:$O$11,2,FALSE))," ")</f>
        <v> </v>
      </c>
      <c r="O282" s="21" t="str">
        <f>IF(E282="Caminhão",IF($G282&lt;=VLOOKUP($F282,Base_Dados!$K$1:$O$7,4,FALSE)," ","Limite "&amp;VLOOKUP($F282,Base_Dados!$K$1:$O$11,4,FALSE)&amp;" "&amp;VLOOKUP($F282,Base_Dados!$K$1:$O$11,2,FALSE))," ")</f>
        <v> </v>
      </c>
      <c r="P282" s="21" t="str">
        <f>IF(E282="Navio",IF($G282&lt;=VLOOKUP($F282,Base_Dados!$K$1:$O$7,5,FALSE)," ","Limite "&amp;VLOOKUP($F282,Base_Dados!$K$1:$O$11,5,FALSE)&amp;" "&amp;VLOOKUP($F282,Base_Dados!$K$1:$O$11,2,FALSE))," ")</f>
        <v> </v>
      </c>
      <c r="Q282" s="21" t="str">
        <f t="shared" si="2"/>
        <v/>
      </c>
      <c r="R282" s="1"/>
      <c r="S282" s="1"/>
      <c r="T282" s="1"/>
      <c r="U282" s="1"/>
      <c r="V282" s="1"/>
      <c r="W282" s="1"/>
      <c r="X282" s="1"/>
      <c r="Y282" s="1"/>
      <c r="Z282" s="1"/>
    </row>
    <row r="283" ht="24.0" customHeight="1">
      <c r="A283" s="18" t="s">
        <v>70</v>
      </c>
      <c r="B283" s="18" t="s">
        <v>27</v>
      </c>
      <c r="C283" s="19" t="s">
        <v>28</v>
      </c>
      <c r="D283" s="19" t="s">
        <v>72</v>
      </c>
      <c r="E283" s="19" t="s">
        <v>45</v>
      </c>
      <c r="F283" s="19" t="s">
        <v>42</v>
      </c>
      <c r="G283" s="20">
        <v>6666.0</v>
      </c>
      <c r="H283" s="19" t="s">
        <v>35</v>
      </c>
      <c r="I283" s="19" t="s">
        <v>38</v>
      </c>
      <c r="J283" s="13">
        <f>VLOOKUP(C283&amp;I283&amp;E283,Orig_Dest!$A$2:$E$1876,5,FALSE)</f>
        <v>0</v>
      </c>
      <c r="K283" s="14" t="str">
        <f t="shared" si="1"/>
        <v>Dia 12</v>
      </c>
      <c r="L283" s="21" t="str">
        <f>IF(B283="Fornecedor",IF(VLOOKUP(C283,Base_Dados!$E$1:$F$7,2,FALSE)=F283," ","Fornecedor inválido!")," ")</f>
        <v> </v>
      </c>
      <c r="M283" s="22" t="str">
        <f>IF(AND(LEFT(F283,2)="MP",H283&lt;&gt;Base_Dados!$A$1),"Impossível!!!"," ")</f>
        <v> </v>
      </c>
      <c r="N283" s="21" t="str">
        <f>IF(E283="Avião",IF($G283&lt;=VLOOKUP($F283,Base_Dados!$K$1:$O$7,3,FALSE)," ","Limite "&amp;VLOOKUP($F283,Base_Dados!$K$1:$O$11,3,FALSE)&amp;" "&amp;VLOOKUP($F283,Base_Dados!$K$1:$O$11,2,FALSE))," ")</f>
        <v> </v>
      </c>
      <c r="O283" s="21" t="str">
        <f>IF(E283="Caminhão",IF($G283&lt;=VLOOKUP($F283,Base_Dados!$K$1:$O$7,4,FALSE)," ","Limite "&amp;VLOOKUP($F283,Base_Dados!$K$1:$O$11,4,FALSE)&amp;" "&amp;VLOOKUP($F283,Base_Dados!$K$1:$O$11,2,FALSE))," ")</f>
        <v> </v>
      </c>
      <c r="P283" s="21" t="str">
        <f>IF(E283="Navio",IF($G283&lt;=VLOOKUP($F283,Base_Dados!$K$1:$O$7,5,FALSE)," ","Limite "&amp;VLOOKUP($F283,Base_Dados!$K$1:$O$11,5,FALSE)&amp;" "&amp;VLOOKUP($F283,Base_Dados!$K$1:$O$11,2,FALSE))," ")</f>
        <v> </v>
      </c>
      <c r="Q283" s="21" t="str">
        <f t="shared" si="2"/>
        <v/>
      </c>
      <c r="R283" s="1"/>
      <c r="S283" s="1"/>
      <c r="T283" s="1"/>
      <c r="U283" s="1"/>
      <c r="V283" s="1"/>
      <c r="W283" s="1"/>
      <c r="X283" s="1"/>
      <c r="Y283" s="1"/>
      <c r="Z283" s="1"/>
    </row>
    <row r="284" ht="24.0" customHeight="1">
      <c r="A284" s="18" t="s">
        <v>70</v>
      </c>
      <c r="B284" s="18" t="s">
        <v>27</v>
      </c>
      <c r="C284" s="19" t="s">
        <v>28</v>
      </c>
      <c r="D284" s="19" t="s">
        <v>72</v>
      </c>
      <c r="E284" s="19" t="s">
        <v>45</v>
      </c>
      <c r="F284" s="19" t="s">
        <v>42</v>
      </c>
      <c r="G284" s="20">
        <v>6666.0</v>
      </c>
      <c r="H284" s="19" t="s">
        <v>35</v>
      </c>
      <c r="I284" s="19" t="s">
        <v>38</v>
      </c>
      <c r="J284" s="13">
        <f>VLOOKUP(C284&amp;I284&amp;E284,Orig_Dest!$A$2:$E$1876,5,FALSE)</f>
        <v>0</v>
      </c>
      <c r="K284" s="14" t="str">
        <f t="shared" si="1"/>
        <v>Dia 12</v>
      </c>
      <c r="L284" s="21" t="str">
        <f>IF(B284="Fornecedor",IF(VLOOKUP(C284,Base_Dados!$E$1:$F$7,2,FALSE)=F284," ","Fornecedor inválido!")," ")</f>
        <v> </v>
      </c>
      <c r="M284" s="22" t="str">
        <f>IF(AND(LEFT(F284,2)="MP",H284&lt;&gt;Base_Dados!$A$1),"Impossível!!!"," ")</f>
        <v> </v>
      </c>
      <c r="N284" s="21" t="str">
        <f>IF(E284="Avião",IF($G284&lt;=VLOOKUP($F284,Base_Dados!$K$1:$O$7,3,FALSE)," ","Limite "&amp;VLOOKUP($F284,Base_Dados!$K$1:$O$11,3,FALSE)&amp;" "&amp;VLOOKUP($F284,Base_Dados!$K$1:$O$11,2,FALSE))," ")</f>
        <v> </v>
      </c>
      <c r="O284" s="21" t="str">
        <f>IF(E284="Caminhão",IF($G284&lt;=VLOOKUP($F284,Base_Dados!$K$1:$O$7,4,FALSE)," ","Limite "&amp;VLOOKUP($F284,Base_Dados!$K$1:$O$11,4,FALSE)&amp;" "&amp;VLOOKUP($F284,Base_Dados!$K$1:$O$11,2,FALSE))," ")</f>
        <v> </v>
      </c>
      <c r="P284" s="21" t="str">
        <f>IF(E284="Navio",IF($G284&lt;=VLOOKUP($F284,Base_Dados!$K$1:$O$7,5,FALSE)," ","Limite "&amp;VLOOKUP($F284,Base_Dados!$K$1:$O$11,5,FALSE)&amp;" "&amp;VLOOKUP($F284,Base_Dados!$K$1:$O$11,2,FALSE))," ")</f>
        <v> </v>
      </c>
      <c r="Q284" s="21" t="str">
        <f t="shared" si="2"/>
        <v/>
      </c>
      <c r="R284" s="1"/>
      <c r="S284" s="1"/>
      <c r="T284" s="1"/>
      <c r="U284" s="1"/>
      <c r="V284" s="1"/>
      <c r="W284" s="1"/>
      <c r="X284" s="1"/>
      <c r="Y284" s="1"/>
      <c r="Z284" s="1"/>
    </row>
    <row r="285" ht="24.0" customHeight="1">
      <c r="A285" s="18" t="s">
        <v>70</v>
      </c>
      <c r="B285" s="18" t="s">
        <v>27</v>
      </c>
      <c r="C285" s="19" t="s">
        <v>28</v>
      </c>
      <c r="D285" s="19" t="s">
        <v>72</v>
      </c>
      <c r="E285" s="19" t="s">
        <v>45</v>
      </c>
      <c r="F285" s="19" t="s">
        <v>42</v>
      </c>
      <c r="G285" s="20">
        <v>6666.0</v>
      </c>
      <c r="H285" s="19" t="s">
        <v>35</v>
      </c>
      <c r="I285" s="19" t="s">
        <v>38</v>
      </c>
      <c r="J285" s="13">
        <f>VLOOKUP(C285&amp;I285&amp;E285,Orig_Dest!$A$2:$E$1876,5,FALSE)</f>
        <v>0</v>
      </c>
      <c r="K285" s="14" t="str">
        <f t="shared" si="1"/>
        <v>Dia 12</v>
      </c>
      <c r="L285" s="21" t="str">
        <f>IF(B285="Fornecedor",IF(VLOOKUP(C285,Base_Dados!$E$1:$F$7,2,FALSE)=F285," ","Fornecedor inválido!")," ")</f>
        <v> </v>
      </c>
      <c r="M285" s="22" t="str">
        <f>IF(AND(LEFT(F285,2)="MP",H285&lt;&gt;Base_Dados!$A$1),"Impossível!!!"," ")</f>
        <v> </v>
      </c>
      <c r="N285" s="21" t="str">
        <f>IF(E285="Avião",IF($G285&lt;=VLOOKUP($F285,Base_Dados!$K$1:$O$7,3,FALSE)," ","Limite "&amp;VLOOKUP($F285,Base_Dados!$K$1:$O$11,3,FALSE)&amp;" "&amp;VLOOKUP($F285,Base_Dados!$K$1:$O$11,2,FALSE))," ")</f>
        <v> </v>
      </c>
      <c r="O285" s="21" t="str">
        <f>IF(E285="Caminhão",IF($G285&lt;=VLOOKUP($F285,Base_Dados!$K$1:$O$7,4,FALSE)," ","Limite "&amp;VLOOKUP($F285,Base_Dados!$K$1:$O$11,4,FALSE)&amp;" "&amp;VLOOKUP($F285,Base_Dados!$K$1:$O$11,2,FALSE))," ")</f>
        <v> </v>
      </c>
      <c r="P285" s="21" t="str">
        <f>IF(E285="Navio",IF($G285&lt;=VLOOKUP($F285,Base_Dados!$K$1:$O$7,5,FALSE)," ","Limite "&amp;VLOOKUP($F285,Base_Dados!$K$1:$O$11,5,FALSE)&amp;" "&amp;VLOOKUP($F285,Base_Dados!$K$1:$O$11,2,FALSE))," ")</f>
        <v> </v>
      </c>
      <c r="Q285" s="21" t="str">
        <f t="shared" si="2"/>
        <v/>
      </c>
      <c r="R285" s="1"/>
      <c r="S285" s="1"/>
      <c r="T285" s="1"/>
      <c r="U285" s="1"/>
      <c r="V285" s="1"/>
      <c r="W285" s="1"/>
      <c r="X285" s="1"/>
      <c r="Y285" s="1"/>
      <c r="Z285" s="1"/>
    </row>
    <row r="286" ht="24.0" customHeight="1">
      <c r="A286" s="18" t="s">
        <v>70</v>
      </c>
      <c r="B286" s="18" t="s">
        <v>27</v>
      </c>
      <c r="C286" s="19" t="s">
        <v>28</v>
      </c>
      <c r="D286" s="19" t="s">
        <v>72</v>
      </c>
      <c r="E286" s="19" t="s">
        <v>45</v>
      </c>
      <c r="F286" s="19" t="s">
        <v>42</v>
      </c>
      <c r="G286" s="20">
        <v>6666.0</v>
      </c>
      <c r="H286" s="19" t="s">
        <v>35</v>
      </c>
      <c r="I286" s="19" t="s">
        <v>38</v>
      </c>
      <c r="J286" s="13">
        <f>VLOOKUP(C286&amp;I286&amp;E286,Orig_Dest!$A$2:$E$1876,5,FALSE)</f>
        <v>0</v>
      </c>
      <c r="K286" s="14" t="str">
        <f t="shared" si="1"/>
        <v>Dia 12</v>
      </c>
      <c r="L286" s="21" t="str">
        <f>IF(B286="Fornecedor",IF(VLOOKUP(C286,Base_Dados!$E$1:$F$7,2,FALSE)=F286," ","Fornecedor inválido!")," ")</f>
        <v> </v>
      </c>
      <c r="M286" s="22" t="str">
        <f>IF(AND(LEFT(F286,2)="MP",H286&lt;&gt;Base_Dados!$A$1),"Impossível!!!"," ")</f>
        <v> </v>
      </c>
      <c r="N286" s="21" t="str">
        <f>IF(E286="Avião",IF($G286&lt;=VLOOKUP($F286,Base_Dados!$K$1:$O$7,3,FALSE)," ","Limite "&amp;VLOOKUP($F286,Base_Dados!$K$1:$O$11,3,FALSE)&amp;" "&amp;VLOOKUP($F286,Base_Dados!$K$1:$O$11,2,FALSE))," ")</f>
        <v> </v>
      </c>
      <c r="O286" s="21" t="str">
        <f>IF(E286="Caminhão",IF($G286&lt;=VLOOKUP($F286,Base_Dados!$K$1:$O$7,4,FALSE)," ","Limite "&amp;VLOOKUP($F286,Base_Dados!$K$1:$O$11,4,FALSE)&amp;" "&amp;VLOOKUP($F286,Base_Dados!$K$1:$O$11,2,FALSE))," ")</f>
        <v> </v>
      </c>
      <c r="P286" s="21" t="str">
        <f>IF(E286="Navio",IF($G286&lt;=VLOOKUP($F286,Base_Dados!$K$1:$O$7,5,FALSE)," ","Limite "&amp;VLOOKUP($F286,Base_Dados!$K$1:$O$11,5,FALSE)&amp;" "&amp;VLOOKUP($F286,Base_Dados!$K$1:$O$11,2,FALSE))," ")</f>
        <v> </v>
      </c>
      <c r="Q286" s="21" t="str">
        <f t="shared" si="2"/>
        <v/>
      </c>
      <c r="R286" s="1"/>
      <c r="S286" s="1"/>
      <c r="T286" s="1"/>
      <c r="U286" s="1"/>
      <c r="V286" s="1"/>
      <c r="W286" s="1"/>
      <c r="X286" s="1"/>
      <c r="Y286" s="1"/>
      <c r="Z286" s="1"/>
    </row>
    <row r="287" ht="24.0" customHeight="1">
      <c r="A287" s="18" t="s">
        <v>70</v>
      </c>
      <c r="B287" s="18" t="s">
        <v>27</v>
      </c>
      <c r="C287" s="19" t="s">
        <v>28</v>
      </c>
      <c r="D287" s="19" t="s">
        <v>72</v>
      </c>
      <c r="E287" s="19" t="s">
        <v>45</v>
      </c>
      <c r="F287" s="19" t="s">
        <v>42</v>
      </c>
      <c r="G287" s="20">
        <v>6666.0</v>
      </c>
      <c r="H287" s="19" t="s">
        <v>35</v>
      </c>
      <c r="I287" s="19" t="s">
        <v>38</v>
      </c>
      <c r="J287" s="13">
        <f>VLOOKUP(C287&amp;I287&amp;E287,Orig_Dest!$A$2:$E$1876,5,FALSE)</f>
        <v>0</v>
      </c>
      <c r="K287" s="14" t="str">
        <f t="shared" si="1"/>
        <v>Dia 12</v>
      </c>
      <c r="L287" s="21" t="str">
        <f>IF(B287="Fornecedor",IF(VLOOKUP(C287,Base_Dados!$E$1:$F$7,2,FALSE)=F287," ","Fornecedor inválido!")," ")</f>
        <v> </v>
      </c>
      <c r="M287" s="22" t="str">
        <f>IF(AND(LEFT(F287,2)="MP",H287&lt;&gt;Base_Dados!$A$1),"Impossível!!!"," ")</f>
        <v> </v>
      </c>
      <c r="N287" s="21" t="str">
        <f>IF(E287="Avião",IF($G287&lt;=VLOOKUP($F287,Base_Dados!$K$1:$O$7,3,FALSE)," ","Limite "&amp;VLOOKUP($F287,Base_Dados!$K$1:$O$11,3,FALSE)&amp;" "&amp;VLOOKUP($F287,Base_Dados!$K$1:$O$11,2,FALSE))," ")</f>
        <v> </v>
      </c>
      <c r="O287" s="21" t="str">
        <f>IF(E287="Caminhão",IF($G287&lt;=VLOOKUP($F287,Base_Dados!$K$1:$O$7,4,FALSE)," ","Limite "&amp;VLOOKUP($F287,Base_Dados!$K$1:$O$11,4,FALSE)&amp;" "&amp;VLOOKUP($F287,Base_Dados!$K$1:$O$11,2,FALSE))," ")</f>
        <v> </v>
      </c>
      <c r="P287" s="21" t="str">
        <f>IF(E287="Navio",IF($G287&lt;=VLOOKUP($F287,Base_Dados!$K$1:$O$7,5,FALSE)," ","Limite "&amp;VLOOKUP($F287,Base_Dados!$K$1:$O$11,5,FALSE)&amp;" "&amp;VLOOKUP($F287,Base_Dados!$K$1:$O$11,2,FALSE))," ")</f>
        <v> </v>
      </c>
      <c r="Q287" s="21" t="str">
        <f t="shared" si="2"/>
        <v/>
      </c>
      <c r="R287" s="1"/>
      <c r="S287" s="1"/>
      <c r="T287" s="1"/>
      <c r="U287" s="1"/>
      <c r="V287" s="1"/>
      <c r="W287" s="1"/>
      <c r="X287" s="1"/>
      <c r="Y287" s="1"/>
      <c r="Z287" s="1"/>
    </row>
    <row r="288" ht="24.0" customHeight="1">
      <c r="A288" s="18" t="s">
        <v>70</v>
      </c>
      <c r="B288" s="18" t="s">
        <v>27</v>
      </c>
      <c r="C288" s="19" t="s">
        <v>28</v>
      </c>
      <c r="D288" s="19" t="s">
        <v>72</v>
      </c>
      <c r="E288" s="19" t="s">
        <v>45</v>
      </c>
      <c r="F288" s="19" t="s">
        <v>42</v>
      </c>
      <c r="G288" s="20">
        <v>6666.0</v>
      </c>
      <c r="H288" s="19" t="s">
        <v>35</v>
      </c>
      <c r="I288" s="19" t="s">
        <v>38</v>
      </c>
      <c r="J288" s="13">
        <f>VLOOKUP(C288&amp;I288&amp;E288,Orig_Dest!$A$2:$E$1876,5,FALSE)</f>
        <v>0</v>
      </c>
      <c r="K288" s="14" t="str">
        <f t="shared" si="1"/>
        <v>Dia 12</v>
      </c>
      <c r="L288" s="21" t="str">
        <f>IF(B288="Fornecedor",IF(VLOOKUP(C288,Base_Dados!$E$1:$F$7,2,FALSE)=F288," ","Fornecedor inválido!")," ")</f>
        <v> </v>
      </c>
      <c r="M288" s="22" t="str">
        <f>IF(AND(LEFT(F288,2)="MP",H288&lt;&gt;Base_Dados!$A$1),"Impossível!!!"," ")</f>
        <v> </v>
      </c>
      <c r="N288" s="21" t="str">
        <f>IF(E288="Avião",IF($G288&lt;=VLOOKUP($F288,Base_Dados!$K$1:$O$7,3,FALSE)," ","Limite "&amp;VLOOKUP($F288,Base_Dados!$K$1:$O$11,3,FALSE)&amp;" "&amp;VLOOKUP($F288,Base_Dados!$K$1:$O$11,2,FALSE))," ")</f>
        <v> </v>
      </c>
      <c r="O288" s="21" t="str">
        <f>IF(E288="Caminhão",IF($G288&lt;=VLOOKUP($F288,Base_Dados!$K$1:$O$7,4,FALSE)," ","Limite "&amp;VLOOKUP($F288,Base_Dados!$K$1:$O$11,4,FALSE)&amp;" "&amp;VLOOKUP($F288,Base_Dados!$K$1:$O$11,2,FALSE))," ")</f>
        <v> </v>
      </c>
      <c r="P288" s="21" t="str">
        <f>IF(E288="Navio",IF($G288&lt;=VLOOKUP($F288,Base_Dados!$K$1:$O$7,5,FALSE)," ","Limite "&amp;VLOOKUP($F288,Base_Dados!$K$1:$O$11,5,FALSE)&amp;" "&amp;VLOOKUP($F288,Base_Dados!$K$1:$O$11,2,FALSE))," ")</f>
        <v> </v>
      </c>
      <c r="Q288" s="21" t="str">
        <f t="shared" si="2"/>
        <v/>
      </c>
      <c r="R288" s="1"/>
      <c r="S288" s="1"/>
      <c r="T288" s="1"/>
      <c r="U288" s="1"/>
      <c r="V288" s="1"/>
      <c r="W288" s="1"/>
      <c r="X288" s="1"/>
      <c r="Y288" s="1"/>
      <c r="Z288" s="1"/>
    </row>
    <row r="289" ht="24.0" customHeight="1">
      <c r="A289" s="18" t="s">
        <v>70</v>
      </c>
      <c r="B289" s="18" t="s">
        <v>27</v>
      </c>
      <c r="C289" s="19" t="s">
        <v>28</v>
      </c>
      <c r="D289" s="19" t="s">
        <v>72</v>
      </c>
      <c r="E289" s="19" t="s">
        <v>45</v>
      </c>
      <c r="F289" s="19" t="s">
        <v>42</v>
      </c>
      <c r="G289" s="20">
        <v>6666.0</v>
      </c>
      <c r="H289" s="19" t="s">
        <v>35</v>
      </c>
      <c r="I289" s="19" t="s">
        <v>38</v>
      </c>
      <c r="J289" s="13">
        <f>VLOOKUP(C289&amp;I289&amp;E289,Orig_Dest!$A$2:$E$1876,5,FALSE)</f>
        <v>0</v>
      </c>
      <c r="K289" s="14" t="str">
        <f t="shared" si="1"/>
        <v>Dia 12</v>
      </c>
      <c r="L289" s="21" t="str">
        <f>IF(B289="Fornecedor",IF(VLOOKUP(C289,Base_Dados!$E$1:$F$7,2,FALSE)=F289," ","Fornecedor inválido!")," ")</f>
        <v> </v>
      </c>
      <c r="M289" s="22" t="str">
        <f>IF(AND(LEFT(F289,2)="MP",H289&lt;&gt;Base_Dados!$A$1),"Impossível!!!"," ")</f>
        <v> </v>
      </c>
      <c r="N289" s="21" t="str">
        <f>IF(E289="Avião",IF($G289&lt;=VLOOKUP($F289,Base_Dados!$K$1:$O$7,3,FALSE)," ","Limite "&amp;VLOOKUP($F289,Base_Dados!$K$1:$O$11,3,FALSE)&amp;" "&amp;VLOOKUP($F289,Base_Dados!$K$1:$O$11,2,FALSE))," ")</f>
        <v> </v>
      </c>
      <c r="O289" s="21" t="str">
        <f>IF(E289="Caminhão",IF($G289&lt;=VLOOKUP($F289,Base_Dados!$K$1:$O$7,4,FALSE)," ","Limite "&amp;VLOOKUP($F289,Base_Dados!$K$1:$O$11,4,FALSE)&amp;" "&amp;VLOOKUP($F289,Base_Dados!$K$1:$O$11,2,FALSE))," ")</f>
        <v> </v>
      </c>
      <c r="P289" s="21" t="str">
        <f>IF(E289="Navio",IF($G289&lt;=VLOOKUP($F289,Base_Dados!$K$1:$O$7,5,FALSE)," ","Limite "&amp;VLOOKUP($F289,Base_Dados!$K$1:$O$11,5,FALSE)&amp;" "&amp;VLOOKUP($F289,Base_Dados!$K$1:$O$11,2,FALSE))," ")</f>
        <v> </v>
      </c>
      <c r="Q289" s="21" t="str">
        <f t="shared" si="2"/>
        <v/>
      </c>
      <c r="R289" s="1"/>
      <c r="S289" s="1"/>
      <c r="T289" s="1"/>
      <c r="U289" s="1"/>
      <c r="V289" s="1"/>
      <c r="W289" s="1"/>
      <c r="X289" s="1"/>
      <c r="Y289" s="1"/>
      <c r="Z289" s="1"/>
    </row>
    <row r="290" ht="24.0" customHeight="1">
      <c r="A290" s="18" t="s">
        <v>70</v>
      </c>
      <c r="B290" s="18" t="s">
        <v>27</v>
      </c>
      <c r="C290" s="19" t="s">
        <v>28</v>
      </c>
      <c r="D290" s="19" t="s">
        <v>72</v>
      </c>
      <c r="E290" s="19" t="s">
        <v>45</v>
      </c>
      <c r="F290" s="19" t="s">
        <v>42</v>
      </c>
      <c r="G290" s="20">
        <v>6666.0</v>
      </c>
      <c r="H290" s="19" t="s">
        <v>35</v>
      </c>
      <c r="I290" s="19" t="s">
        <v>38</v>
      </c>
      <c r="J290" s="13">
        <f>VLOOKUP(C290&amp;I290&amp;E290,Orig_Dest!$A$2:$E$1876,5,FALSE)</f>
        <v>0</v>
      </c>
      <c r="K290" s="14" t="str">
        <f t="shared" si="1"/>
        <v>Dia 12</v>
      </c>
      <c r="L290" s="21" t="str">
        <f>IF(B290="Fornecedor",IF(VLOOKUP(C290,Base_Dados!$E$1:$F$7,2,FALSE)=F290," ","Fornecedor inválido!")," ")</f>
        <v> </v>
      </c>
      <c r="M290" s="22" t="str">
        <f>IF(AND(LEFT(F290,2)="MP",H290&lt;&gt;Base_Dados!$A$1),"Impossível!!!"," ")</f>
        <v> </v>
      </c>
      <c r="N290" s="21" t="str">
        <f>IF(E290="Avião",IF($G290&lt;=VLOOKUP($F290,Base_Dados!$K$1:$O$7,3,FALSE)," ","Limite "&amp;VLOOKUP($F290,Base_Dados!$K$1:$O$11,3,FALSE)&amp;" "&amp;VLOOKUP($F290,Base_Dados!$K$1:$O$11,2,FALSE))," ")</f>
        <v> </v>
      </c>
      <c r="O290" s="21" t="str">
        <f>IF(E290="Caminhão",IF($G290&lt;=VLOOKUP($F290,Base_Dados!$K$1:$O$7,4,FALSE)," ","Limite "&amp;VLOOKUP($F290,Base_Dados!$K$1:$O$11,4,FALSE)&amp;" "&amp;VLOOKUP($F290,Base_Dados!$K$1:$O$11,2,FALSE))," ")</f>
        <v> </v>
      </c>
      <c r="P290" s="21" t="str">
        <f>IF(E290="Navio",IF($G290&lt;=VLOOKUP($F290,Base_Dados!$K$1:$O$7,5,FALSE)," ","Limite "&amp;VLOOKUP($F290,Base_Dados!$K$1:$O$11,5,FALSE)&amp;" "&amp;VLOOKUP($F290,Base_Dados!$K$1:$O$11,2,FALSE))," ")</f>
        <v> </v>
      </c>
      <c r="Q290" s="21" t="str">
        <f t="shared" si="2"/>
        <v/>
      </c>
      <c r="R290" s="1"/>
      <c r="S290" s="1"/>
      <c r="T290" s="1"/>
      <c r="U290" s="1"/>
      <c r="V290" s="1"/>
      <c r="W290" s="1"/>
      <c r="X290" s="1"/>
      <c r="Y290" s="1"/>
      <c r="Z290" s="1"/>
    </row>
    <row r="291" ht="24.0" customHeight="1">
      <c r="A291" s="18" t="s">
        <v>70</v>
      </c>
      <c r="B291" s="18" t="s">
        <v>27</v>
      </c>
      <c r="C291" s="19" t="s">
        <v>28</v>
      </c>
      <c r="D291" s="19" t="s">
        <v>72</v>
      </c>
      <c r="E291" s="19" t="s">
        <v>45</v>
      </c>
      <c r="F291" s="19" t="s">
        <v>42</v>
      </c>
      <c r="G291" s="20">
        <v>6666.0</v>
      </c>
      <c r="H291" s="19" t="s">
        <v>35</v>
      </c>
      <c r="I291" s="19" t="s">
        <v>38</v>
      </c>
      <c r="J291" s="13">
        <f>VLOOKUP(C291&amp;I291&amp;E291,Orig_Dest!$A$2:$E$1876,5,FALSE)</f>
        <v>0</v>
      </c>
      <c r="K291" s="14" t="str">
        <f t="shared" si="1"/>
        <v>Dia 12</v>
      </c>
      <c r="L291" s="21" t="str">
        <f>IF(B291="Fornecedor",IF(VLOOKUP(C291,Base_Dados!$E$1:$F$7,2,FALSE)=F291," ","Fornecedor inválido!")," ")</f>
        <v> </v>
      </c>
      <c r="M291" s="22" t="str">
        <f>IF(AND(LEFT(F291,2)="MP",H291&lt;&gt;Base_Dados!$A$1),"Impossível!!!"," ")</f>
        <v> </v>
      </c>
      <c r="N291" s="21" t="str">
        <f>IF(E291="Avião",IF($G291&lt;=VLOOKUP($F291,Base_Dados!$K$1:$O$7,3,FALSE)," ","Limite "&amp;VLOOKUP($F291,Base_Dados!$K$1:$O$11,3,FALSE)&amp;" "&amp;VLOOKUP($F291,Base_Dados!$K$1:$O$11,2,FALSE))," ")</f>
        <v> </v>
      </c>
      <c r="O291" s="21" t="str">
        <f>IF(E291="Caminhão",IF($G291&lt;=VLOOKUP($F291,Base_Dados!$K$1:$O$7,4,FALSE)," ","Limite "&amp;VLOOKUP($F291,Base_Dados!$K$1:$O$11,4,FALSE)&amp;" "&amp;VLOOKUP($F291,Base_Dados!$K$1:$O$11,2,FALSE))," ")</f>
        <v> </v>
      </c>
      <c r="P291" s="21" t="str">
        <f>IF(E291="Navio",IF($G291&lt;=VLOOKUP($F291,Base_Dados!$K$1:$O$7,5,FALSE)," ","Limite "&amp;VLOOKUP($F291,Base_Dados!$K$1:$O$11,5,FALSE)&amp;" "&amp;VLOOKUP($F291,Base_Dados!$K$1:$O$11,2,FALSE))," ")</f>
        <v> </v>
      </c>
      <c r="Q291" s="21" t="str">
        <f t="shared" si="2"/>
        <v/>
      </c>
      <c r="R291" s="1"/>
      <c r="S291" s="1"/>
      <c r="T291" s="1"/>
      <c r="U291" s="1"/>
      <c r="V291" s="1"/>
      <c r="W291" s="1"/>
      <c r="X291" s="1"/>
      <c r="Y291" s="1"/>
      <c r="Z291" s="1"/>
    </row>
    <row r="292" ht="24.0" customHeight="1">
      <c r="A292" s="18" t="s">
        <v>70</v>
      </c>
      <c r="B292" s="18" t="s">
        <v>27</v>
      </c>
      <c r="C292" s="19" t="s">
        <v>28</v>
      </c>
      <c r="D292" s="19" t="s">
        <v>72</v>
      </c>
      <c r="E292" s="19" t="s">
        <v>45</v>
      </c>
      <c r="F292" s="19" t="s">
        <v>42</v>
      </c>
      <c r="G292" s="20">
        <v>6666.0</v>
      </c>
      <c r="H292" s="19" t="s">
        <v>35</v>
      </c>
      <c r="I292" s="19" t="s">
        <v>38</v>
      </c>
      <c r="J292" s="13">
        <f>VLOOKUP(C292&amp;I292&amp;E292,Orig_Dest!$A$2:$E$1876,5,FALSE)</f>
        <v>0</v>
      </c>
      <c r="K292" s="14" t="str">
        <f t="shared" si="1"/>
        <v>Dia 12</v>
      </c>
      <c r="L292" s="21" t="str">
        <f>IF(B292="Fornecedor",IF(VLOOKUP(C292,Base_Dados!$E$1:$F$7,2,FALSE)=F292," ","Fornecedor inválido!")," ")</f>
        <v> </v>
      </c>
      <c r="M292" s="22" t="str">
        <f>IF(AND(LEFT(F292,2)="MP",H292&lt;&gt;Base_Dados!$A$1),"Impossível!!!"," ")</f>
        <v> </v>
      </c>
      <c r="N292" s="21" t="str">
        <f>IF(E292="Avião",IF($G292&lt;=VLOOKUP($F292,Base_Dados!$K$1:$O$7,3,FALSE)," ","Limite "&amp;VLOOKUP($F292,Base_Dados!$K$1:$O$11,3,FALSE)&amp;" "&amp;VLOOKUP($F292,Base_Dados!$K$1:$O$11,2,FALSE))," ")</f>
        <v> </v>
      </c>
      <c r="O292" s="21" t="str">
        <f>IF(E292="Caminhão",IF($G292&lt;=VLOOKUP($F292,Base_Dados!$K$1:$O$7,4,FALSE)," ","Limite "&amp;VLOOKUP($F292,Base_Dados!$K$1:$O$11,4,FALSE)&amp;" "&amp;VLOOKUP($F292,Base_Dados!$K$1:$O$11,2,FALSE))," ")</f>
        <v> </v>
      </c>
      <c r="P292" s="21" t="str">
        <f>IF(E292="Navio",IF($G292&lt;=VLOOKUP($F292,Base_Dados!$K$1:$O$7,5,FALSE)," ","Limite "&amp;VLOOKUP($F292,Base_Dados!$K$1:$O$11,5,FALSE)&amp;" "&amp;VLOOKUP($F292,Base_Dados!$K$1:$O$11,2,FALSE))," ")</f>
        <v> </v>
      </c>
      <c r="Q292" s="21" t="str">
        <f t="shared" si="2"/>
        <v/>
      </c>
      <c r="R292" s="1"/>
      <c r="S292" s="1"/>
      <c r="T292" s="1"/>
      <c r="U292" s="1"/>
      <c r="V292" s="1"/>
      <c r="W292" s="1"/>
      <c r="X292" s="1"/>
      <c r="Y292" s="1"/>
      <c r="Z292" s="1"/>
    </row>
    <row r="293" ht="24.0" customHeight="1">
      <c r="A293" s="18" t="s">
        <v>70</v>
      </c>
      <c r="B293" s="18" t="s">
        <v>27</v>
      </c>
      <c r="C293" s="19" t="s">
        <v>28</v>
      </c>
      <c r="D293" s="19" t="s">
        <v>72</v>
      </c>
      <c r="E293" s="19" t="s">
        <v>45</v>
      </c>
      <c r="F293" s="19" t="s">
        <v>42</v>
      </c>
      <c r="G293" s="20">
        <v>6666.0</v>
      </c>
      <c r="H293" s="19" t="s">
        <v>35</v>
      </c>
      <c r="I293" s="19" t="s">
        <v>38</v>
      </c>
      <c r="J293" s="13">
        <f>VLOOKUP(C293&amp;I293&amp;E293,Orig_Dest!$A$2:$E$1876,5,FALSE)</f>
        <v>0</v>
      </c>
      <c r="K293" s="14" t="str">
        <f t="shared" si="1"/>
        <v>Dia 12</v>
      </c>
      <c r="L293" s="21" t="str">
        <f>IF(B293="Fornecedor",IF(VLOOKUP(C293,Base_Dados!$E$1:$F$7,2,FALSE)=F293," ","Fornecedor inválido!")," ")</f>
        <v> </v>
      </c>
      <c r="M293" s="22" t="str">
        <f>IF(AND(LEFT(F293,2)="MP",H293&lt;&gt;Base_Dados!$A$1),"Impossível!!!"," ")</f>
        <v> </v>
      </c>
      <c r="N293" s="21" t="str">
        <f>IF(E293="Avião",IF($G293&lt;=VLOOKUP($F293,Base_Dados!$K$1:$O$7,3,FALSE)," ","Limite "&amp;VLOOKUP($F293,Base_Dados!$K$1:$O$11,3,FALSE)&amp;" "&amp;VLOOKUP($F293,Base_Dados!$K$1:$O$11,2,FALSE))," ")</f>
        <v> </v>
      </c>
      <c r="O293" s="21" t="str">
        <f>IF(E293="Caminhão",IF($G293&lt;=VLOOKUP($F293,Base_Dados!$K$1:$O$7,4,FALSE)," ","Limite "&amp;VLOOKUP($F293,Base_Dados!$K$1:$O$11,4,FALSE)&amp;" "&amp;VLOOKUP($F293,Base_Dados!$K$1:$O$11,2,FALSE))," ")</f>
        <v> </v>
      </c>
      <c r="P293" s="21" t="str">
        <f>IF(E293="Navio",IF($G293&lt;=VLOOKUP($F293,Base_Dados!$K$1:$O$7,5,FALSE)," ","Limite "&amp;VLOOKUP($F293,Base_Dados!$K$1:$O$11,5,FALSE)&amp;" "&amp;VLOOKUP($F293,Base_Dados!$K$1:$O$11,2,FALSE))," ")</f>
        <v> </v>
      </c>
      <c r="Q293" s="21" t="str">
        <f t="shared" si="2"/>
        <v/>
      </c>
      <c r="R293" s="1"/>
      <c r="S293" s="1"/>
      <c r="T293" s="1"/>
      <c r="U293" s="1"/>
      <c r="V293" s="1"/>
      <c r="W293" s="1"/>
      <c r="X293" s="1"/>
      <c r="Y293" s="1"/>
      <c r="Z293" s="1"/>
    </row>
    <row r="294" ht="24.0" customHeight="1">
      <c r="A294" s="18" t="s">
        <v>70</v>
      </c>
      <c r="B294" s="18" t="s">
        <v>27</v>
      </c>
      <c r="C294" s="19" t="s">
        <v>28</v>
      </c>
      <c r="D294" s="19" t="s">
        <v>72</v>
      </c>
      <c r="E294" s="19" t="s">
        <v>45</v>
      </c>
      <c r="F294" s="19" t="s">
        <v>42</v>
      </c>
      <c r="G294" s="20">
        <v>6666.0</v>
      </c>
      <c r="H294" s="19" t="s">
        <v>35</v>
      </c>
      <c r="I294" s="19" t="s">
        <v>38</v>
      </c>
      <c r="J294" s="13">
        <f>VLOOKUP(C294&amp;I294&amp;E294,Orig_Dest!$A$2:$E$1876,5,FALSE)</f>
        <v>0</v>
      </c>
      <c r="K294" s="14" t="str">
        <f t="shared" si="1"/>
        <v>Dia 12</v>
      </c>
      <c r="L294" s="21" t="str">
        <f>IF(B294="Fornecedor",IF(VLOOKUP(C294,Base_Dados!$E$1:$F$7,2,FALSE)=F294," ","Fornecedor inválido!")," ")</f>
        <v> </v>
      </c>
      <c r="M294" s="22" t="str">
        <f>IF(AND(LEFT(F294,2)="MP",H294&lt;&gt;Base_Dados!$A$1),"Impossível!!!"," ")</f>
        <v> </v>
      </c>
      <c r="N294" s="21" t="str">
        <f>IF(E294="Avião",IF($G294&lt;=VLOOKUP($F294,Base_Dados!$K$1:$O$7,3,FALSE)," ","Limite "&amp;VLOOKUP($F294,Base_Dados!$K$1:$O$11,3,FALSE)&amp;" "&amp;VLOOKUP($F294,Base_Dados!$K$1:$O$11,2,FALSE))," ")</f>
        <v> </v>
      </c>
      <c r="O294" s="21" t="str">
        <f>IF(E294="Caminhão",IF($G294&lt;=VLOOKUP($F294,Base_Dados!$K$1:$O$7,4,FALSE)," ","Limite "&amp;VLOOKUP($F294,Base_Dados!$K$1:$O$11,4,FALSE)&amp;" "&amp;VLOOKUP($F294,Base_Dados!$K$1:$O$11,2,FALSE))," ")</f>
        <v> </v>
      </c>
      <c r="P294" s="21" t="str">
        <f>IF(E294="Navio",IF($G294&lt;=VLOOKUP($F294,Base_Dados!$K$1:$O$7,5,FALSE)," ","Limite "&amp;VLOOKUP($F294,Base_Dados!$K$1:$O$11,5,FALSE)&amp;" "&amp;VLOOKUP($F294,Base_Dados!$K$1:$O$11,2,FALSE))," ")</f>
        <v> </v>
      </c>
      <c r="Q294" s="21" t="str">
        <f t="shared" si="2"/>
        <v/>
      </c>
      <c r="R294" s="1"/>
      <c r="S294" s="1"/>
      <c r="T294" s="1"/>
      <c r="U294" s="1"/>
      <c r="V294" s="1"/>
      <c r="W294" s="1"/>
      <c r="X294" s="1"/>
      <c r="Y294" s="1"/>
      <c r="Z294" s="1"/>
    </row>
    <row r="295" ht="24.0" customHeight="1">
      <c r="A295" s="18" t="s">
        <v>70</v>
      </c>
      <c r="B295" s="18" t="s">
        <v>27</v>
      </c>
      <c r="C295" s="19" t="s">
        <v>28</v>
      </c>
      <c r="D295" s="19" t="s">
        <v>72</v>
      </c>
      <c r="E295" s="19" t="s">
        <v>45</v>
      </c>
      <c r="F295" s="19" t="s">
        <v>42</v>
      </c>
      <c r="G295" s="20">
        <v>6666.0</v>
      </c>
      <c r="H295" s="19" t="s">
        <v>35</v>
      </c>
      <c r="I295" s="19" t="s">
        <v>38</v>
      </c>
      <c r="J295" s="13">
        <f>VLOOKUP(C295&amp;I295&amp;E295,Orig_Dest!$A$2:$E$1876,5,FALSE)</f>
        <v>0</v>
      </c>
      <c r="K295" s="14" t="str">
        <f t="shared" si="1"/>
        <v>Dia 12</v>
      </c>
      <c r="L295" s="21" t="str">
        <f>IF(B295="Fornecedor",IF(VLOOKUP(C295,Base_Dados!$E$1:$F$7,2,FALSE)=F295," ","Fornecedor inválido!")," ")</f>
        <v> </v>
      </c>
      <c r="M295" s="22" t="str">
        <f>IF(AND(LEFT(F295,2)="MP",H295&lt;&gt;Base_Dados!$A$1),"Impossível!!!"," ")</f>
        <v> </v>
      </c>
      <c r="N295" s="21" t="str">
        <f>IF(E295="Avião",IF($G295&lt;=VLOOKUP($F295,Base_Dados!$K$1:$O$7,3,FALSE)," ","Limite "&amp;VLOOKUP($F295,Base_Dados!$K$1:$O$11,3,FALSE)&amp;" "&amp;VLOOKUP($F295,Base_Dados!$K$1:$O$11,2,FALSE))," ")</f>
        <v> </v>
      </c>
      <c r="O295" s="21" t="str">
        <f>IF(E295="Caminhão",IF($G295&lt;=VLOOKUP($F295,Base_Dados!$K$1:$O$7,4,FALSE)," ","Limite "&amp;VLOOKUP($F295,Base_Dados!$K$1:$O$11,4,FALSE)&amp;" "&amp;VLOOKUP($F295,Base_Dados!$K$1:$O$11,2,FALSE))," ")</f>
        <v> </v>
      </c>
      <c r="P295" s="21" t="str">
        <f>IF(E295="Navio",IF($G295&lt;=VLOOKUP($F295,Base_Dados!$K$1:$O$7,5,FALSE)," ","Limite "&amp;VLOOKUP($F295,Base_Dados!$K$1:$O$11,5,FALSE)&amp;" "&amp;VLOOKUP($F295,Base_Dados!$K$1:$O$11,2,FALSE))," ")</f>
        <v> </v>
      </c>
      <c r="Q295" s="21" t="str">
        <f t="shared" si="2"/>
        <v/>
      </c>
      <c r="R295" s="1"/>
      <c r="S295" s="1"/>
      <c r="T295" s="1"/>
      <c r="U295" s="1"/>
      <c r="V295" s="1"/>
      <c r="W295" s="1"/>
      <c r="X295" s="1"/>
      <c r="Y295" s="1"/>
      <c r="Z295" s="1"/>
    </row>
    <row r="296" ht="24.0" customHeight="1">
      <c r="A296" s="18" t="s">
        <v>70</v>
      </c>
      <c r="B296" s="18" t="s">
        <v>27</v>
      </c>
      <c r="C296" s="19" t="s">
        <v>28</v>
      </c>
      <c r="D296" s="19" t="s">
        <v>72</v>
      </c>
      <c r="E296" s="19" t="s">
        <v>45</v>
      </c>
      <c r="F296" s="19" t="s">
        <v>42</v>
      </c>
      <c r="G296" s="20">
        <v>6666.0</v>
      </c>
      <c r="H296" s="19" t="s">
        <v>35</v>
      </c>
      <c r="I296" s="19" t="s">
        <v>38</v>
      </c>
      <c r="J296" s="13">
        <f>VLOOKUP(C296&amp;I296&amp;E296,Orig_Dest!$A$2:$E$1876,5,FALSE)</f>
        <v>0</v>
      </c>
      <c r="K296" s="14" t="str">
        <f t="shared" si="1"/>
        <v>Dia 12</v>
      </c>
      <c r="L296" s="21" t="str">
        <f>IF(B296="Fornecedor",IF(VLOOKUP(C296,Base_Dados!$E$1:$F$7,2,FALSE)=F296," ","Fornecedor inválido!")," ")</f>
        <v> </v>
      </c>
      <c r="M296" s="22" t="str">
        <f>IF(AND(LEFT(F296,2)="MP",H296&lt;&gt;Base_Dados!$A$1),"Impossível!!!"," ")</f>
        <v> </v>
      </c>
      <c r="N296" s="21" t="str">
        <f>IF(E296="Avião",IF($G296&lt;=VLOOKUP($F296,Base_Dados!$K$1:$O$7,3,FALSE)," ","Limite "&amp;VLOOKUP($F296,Base_Dados!$K$1:$O$11,3,FALSE)&amp;" "&amp;VLOOKUP($F296,Base_Dados!$K$1:$O$11,2,FALSE))," ")</f>
        <v> </v>
      </c>
      <c r="O296" s="21" t="str">
        <f>IF(E296="Caminhão",IF($G296&lt;=VLOOKUP($F296,Base_Dados!$K$1:$O$7,4,FALSE)," ","Limite "&amp;VLOOKUP($F296,Base_Dados!$K$1:$O$11,4,FALSE)&amp;" "&amp;VLOOKUP($F296,Base_Dados!$K$1:$O$11,2,FALSE))," ")</f>
        <v> </v>
      </c>
      <c r="P296" s="21" t="str">
        <f>IF(E296="Navio",IF($G296&lt;=VLOOKUP($F296,Base_Dados!$K$1:$O$7,5,FALSE)," ","Limite "&amp;VLOOKUP($F296,Base_Dados!$K$1:$O$11,5,FALSE)&amp;" "&amp;VLOOKUP($F296,Base_Dados!$K$1:$O$11,2,FALSE))," ")</f>
        <v> </v>
      </c>
      <c r="Q296" s="21" t="str">
        <f t="shared" si="2"/>
        <v/>
      </c>
      <c r="R296" s="1"/>
      <c r="S296" s="1"/>
      <c r="T296" s="1"/>
      <c r="U296" s="1"/>
      <c r="V296" s="1"/>
      <c r="W296" s="1"/>
      <c r="X296" s="1"/>
      <c r="Y296" s="1"/>
      <c r="Z296" s="1"/>
    </row>
    <row r="297" ht="24.0" customHeight="1">
      <c r="A297" s="18" t="s">
        <v>70</v>
      </c>
      <c r="B297" s="18" t="s">
        <v>27</v>
      </c>
      <c r="C297" s="19" t="s">
        <v>28</v>
      </c>
      <c r="D297" s="19" t="s">
        <v>72</v>
      </c>
      <c r="E297" s="19" t="s">
        <v>45</v>
      </c>
      <c r="F297" s="19" t="s">
        <v>42</v>
      </c>
      <c r="G297" s="20">
        <v>6099.0</v>
      </c>
      <c r="H297" s="19" t="s">
        <v>35</v>
      </c>
      <c r="I297" s="19" t="s">
        <v>38</v>
      </c>
      <c r="J297" s="13">
        <f>VLOOKUP(C297&amp;I297&amp;E297,Orig_Dest!$A$2:$E$1876,5,FALSE)</f>
        <v>0</v>
      </c>
      <c r="K297" s="14" t="str">
        <f t="shared" si="1"/>
        <v>Dia 12</v>
      </c>
      <c r="L297" s="21" t="str">
        <f>IF(B297="Fornecedor",IF(VLOOKUP(C297,Base_Dados!$E$1:$F$7,2,FALSE)=F297," ","Fornecedor inválido!")," ")</f>
        <v> </v>
      </c>
      <c r="M297" s="22" t="str">
        <f>IF(AND(LEFT(F297,2)="MP",H297&lt;&gt;Base_Dados!$A$1),"Impossível!!!"," ")</f>
        <v> </v>
      </c>
      <c r="N297" s="21" t="str">
        <f>IF(E297="Avião",IF($G297&lt;=VLOOKUP($F297,Base_Dados!$K$1:$O$7,3,FALSE)," ","Limite "&amp;VLOOKUP($F297,Base_Dados!$K$1:$O$11,3,FALSE)&amp;" "&amp;VLOOKUP($F297,Base_Dados!$K$1:$O$11,2,FALSE))," ")</f>
        <v> </v>
      </c>
      <c r="O297" s="21" t="str">
        <f>IF(E297="Caminhão",IF($G297&lt;=VLOOKUP($F297,Base_Dados!$K$1:$O$7,4,FALSE)," ","Limite "&amp;VLOOKUP($F297,Base_Dados!$K$1:$O$11,4,FALSE)&amp;" "&amp;VLOOKUP($F297,Base_Dados!$K$1:$O$11,2,FALSE))," ")</f>
        <v> </v>
      </c>
      <c r="P297" s="21" t="str">
        <f>IF(E297="Navio",IF($G297&lt;=VLOOKUP($F297,Base_Dados!$K$1:$O$7,5,FALSE)," ","Limite "&amp;VLOOKUP($F297,Base_Dados!$K$1:$O$11,5,FALSE)&amp;" "&amp;VLOOKUP($F297,Base_Dados!$K$1:$O$11,2,FALSE))," ")</f>
        <v> </v>
      </c>
      <c r="Q297" s="21" t="str">
        <f t="shared" si="2"/>
        <v/>
      </c>
      <c r="R297" s="1"/>
      <c r="S297" s="1"/>
      <c r="T297" s="1"/>
      <c r="U297" s="1"/>
      <c r="V297" s="1"/>
      <c r="W297" s="1"/>
      <c r="X297" s="1"/>
      <c r="Y297" s="1"/>
      <c r="Z297" s="1"/>
    </row>
    <row r="298" ht="24.0" customHeight="1">
      <c r="A298" s="18" t="s">
        <v>70</v>
      </c>
      <c r="B298" s="18" t="s">
        <v>27</v>
      </c>
      <c r="C298" s="19" t="s">
        <v>28</v>
      </c>
      <c r="D298" s="19" t="s">
        <v>72</v>
      </c>
      <c r="E298" s="19" t="s">
        <v>37</v>
      </c>
      <c r="F298" s="19" t="s">
        <v>42</v>
      </c>
      <c r="G298" s="20">
        <v>106152.0</v>
      </c>
      <c r="H298" s="19" t="s">
        <v>35</v>
      </c>
      <c r="I298" s="19" t="s">
        <v>38</v>
      </c>
      <c r="J298" s="13">
        <f>VLOOKUP(C298&amp;I298&amp;E298,Orig_Dest!$A$2:$E$1876,5,FALSE)</f>
        <v>1</v>
      </c>
      <c r="K298" s="14" t="str">
        <f t="shared" si="1"/>
        <v>Dia 13</v>
      </c>
      <c r="L298" s="21" t="str">
        <f>IF(B298="Fornecedor",IF(VLOOKUP(C298,Base_Dados!$E$1:$F$7,2,FALSE)=F298," ","Fornecedor inválido!")," ")</f>
        <v> </v>
      </c>
      <c r="M298" s="22" t="str">
        <f>IF(AND(LEFT(F298,2)="MP",H298&lt;&gt;Base_Dados!$A$1),"Impossível!!!"," ")</f>
        <v> </v>
      </c>
      <c r="N298" s="21" t="str">
        <f>IF(E298="Avião",IF($G298&lt;=VLOOKUP($F298,Base_Dados!$K$1:$O$7,3,FALSE)," ","Limite "&amp;VLOOKUP($F298,Base_Dados!$K$1:$O$11,3,FALSE)&amp;" "&amp;VLOOKUP($F298,Base_Dados!$K$1:$O$11,2,FALSE))," ")</f>
        <v> </v>
      </c>
      <c r="O298" s="21" t="str">
        <f>IF(E298="Caminhão",IF($G298&lt;=VLOOKUP($F298,Base_Dados!$K$1:$O$7,4,FALSE)," ","Limite "&amp;VLOOKUP($F298,Base_Dados!$K$1:$O$11,4,FALSE)&amp;" "&amp;VLOOKUP($F298,Base_Dados!$K$1:$O$11,2,FALSE))," ")</f>
        <v> </v>
      </c>
      <c r="P298" s="21" t="str">
        <f>IF(E298="Navio",IF($G298&lt;=VLOOKUP($F298,Base_Dados!$K$1:$O$7,5,FALSE)," ","Limite "&amp;VLOOKUP($F298,Base_Dados!$K$1:$O$11,5,FALSE)&amp;" "&amp;VLOOKUP($F298,Base_Dados!$K$1:$O$11,2,FALSE))," ")</f>
        <v> </v>
      </c>
      <c r="Q298" s="21" t="str">
        <f t="shared" si="2"/>
        <v/>
      </c>
      <c r="R298" s="1"/>
      <c r="S298" s="1"/>
      <c r="T298" s="1"/>
      <c r="U298" s="1"/>
      <c r="V298" s="1"/>
      <c r="W298" s="1"/>
      <c r="X298" s="1"/>
      <c r="Y298" s="1"/>
      <c r="Z298" s="1"/>
    </row>
    <row r="299" ht="24.0" customHeight="1">
      <c r="A299" s="18" t="s">
        <v>70</v>
      </c>
      <c r="B299" s="18" t="s">
        <v>27</v>
      </c>
      <c r="C299" s="19" t="s">
        <v>28</v>
      </c>
      <c r="D299" s="19" t="s">
        <v>73</v>
      </c>
      <c r="E299" s="19" t="s">
        <v>37</v>
      </c>
      <c r="F299" s="19" t="s">
        <v>40</v>
      </c>
      <c r="G299" s="20">
        <v>302400.0</v>
      </c>
      <c r="H299" s="19" t="s">
        <v>35</v>
      </c>
      <c r="I299" s="19" t="s">
        <v>38</v>
      </c>
      <c r="J299" s="13">
        <f>VLOOKUP(C299&amp;I299&amp;E299,Orig_Dest!$A$2:$E$1876,5,FALSE)</f>
        <v>1</v>
      </c>
      <c r="K299" s="14" t="str">
        <f t="shared" si="1"/>
        <v>Dia 14</v>
      </c>
      <c r="L299" s="21" t="str">
        <f>IF(B299="Fornecedor",IF(VLOOKUP(C299,Base_Dados!$E$1:$F$7,2,FALSE)=F299," ","Fornecedor inválido!")," ")</f>
        <v> </v>
      </c>
      <c r="M299" s="22" t="str">
        <f>IF(AND(LEFT(F299,2)="MP",H299&lt;&gt;Base_Dados!$A$1),"Impossível!!!"," ")</f>
        <v> </v>
      </c>
      <c r="N299" s="21" t="str">
        <f>IF(E299="Avião",IF($G299&lt;=VLOOKUP($F299,Base_Dados!$K$1:$O$7,3,FALSE)," ","Limite "&amp;VLOOKUP($F299,Base_Dados!$K$1:$O$11,3,FALSE)&amp;" "&amp;VLOOKUP($F299,Base_Dados!$K$1:$O$11,2,FALSE))," ")</f>
        <v> </v>
      </c>
      <c r="O299" s="21" t="str">
        <f>IF(E299="Caminhão",IF($G299&lt;=VLOOKUP($F299,Base_Dados!$K$1:$O$7,4,FALSE)," ","Limite "&amp;VLOOKUP($F299,Base_Dados!$K$1:$O$11,4,FALSE)&amp;" "&amp;VLOOKUP($F299,Base_Dados!$K$1:$O$11,2,FALSE))," ")</f>
        <v> </v>
      </c>
      <c r="P299" s="21" t="str">
        <f>IF(E299="Navio",IF($G299&lt;=VLOOKUP($F299,Base_Dados!$K$1:$O$7,5,FALSE)," ","Limite "&amp;VLOOKUP($F299,Base_Dados!$K$1:$O$11,5,FALSE)&amp;" "&amp;VLOOKUP($F299,Base_Dados!$K$1:$O$11,2,FALSE))," ")</f>
        <v> </v>
      </c>
      <c r="Q299" s="21" t="str">
        <f t="shared" si="2"/>
        <v/>
      </c>
      <c r="R299" s="1"/>
      <c r="S299" s="1"/>
      <c r="T299" s="1"/>
      <c r="U299" s="1"/>
      <c r="V299" s="1"/>
      <c r="W299" s="1"/>
      <c r="X299" s="1"/>
      <c r="Y299" s="1"/>
      <c r="Z299" s="1"/>
    </row>
    <row r="300" ht="24.0" customHeight="1">
      <c r="A300" s="18" t="s">
        <v>70</v>
      </c>
      <c r="B300" s="18" t="s">
        <v>27</v>
      </c>
      <c r="C300" s="19" t="s">
        <v>28</v>
      </c>
      <c r="D300" s="19" t="s">
        <v>74</v>
      </c>
      <c r="E300" s="19" t="s">
        <v>37</v>
      </c>
      <c r="F300" s="19" t="s">
        <v>40</v>
      </c>
      <c r="G300" s="20">
        <v>90310.0</v>
      </c>
      <c r="H300" s="19" t="s">
        <v>35</v>
      </c>
      <c r="I300" s="19" t="s">
        <v>38</v>
      </c>
      <c r="J300" s="13">
        <f>VLOOKUP(C300&amp;I300&amp;E300,Orig_Dest!$A$2:$E$1876,5,FALSE)</f>
        <v>1</v>
      </c>
      <c r="K300" s="14" t="str">
        <f t="shared" si="1"/>
        <v>Dia 15</v>
      </c>
      <c r="L300" s="21" t="str">
        <f>IF(B300="Fornecedor",IF(VLOOKUP(C300,Base_Dados!$E$1:$F$7,2,FALSE)=F300," ","Fornecedor inválido!")," ")</f>
        <v> </v>
      </c>
      <c r="M300" s="22" t="str">
        <f>IF(AND(LEFT(F300,2)="MP",H300&lt;&gt;Base_Dados!$A$1),"Impossível!!!"," ")</f>
        <v> </v>
      </c>
      <c r="N300" s="21" t="str">
        <f>IF(E300="Avião",IF($G300&lt;=VLOOKUP($F300,Base_Dados!$K$1:$O$7,3,FALSE)," ","Limite "&amp;VLOOKUP($F300,Base_Dados!$K$1:$O$11,3,FALSE)&amp;" "&amp;VLOOKUP($F300,Base_Dados!$K$1:$O$11,2,FALSE))," ")</f>
        <v> </v>
      </c>
      <c r="O300" s="21" t="str">
        <f>IF(E300="Caminhão",IF($G300&lt;=VLOOKUP($F300,Base_Dados!$K$1:$O$7,4,FALSE)," ","Limite "&amp;VLOOKUP($F300,Base_Dados!$K$1:$O$11,4,FALSE)&amp;" "&amp;VLOOKUP($F300,Base_Dados!$K$1:$O$11,2,FALSE))," ")</f>
        <v> </v>
      </c>
      <c r="P300" s="21" t="str">
        <f>IF(E300="Navio",IF($G300&lt;=VLOOKUP($F300,Base_Dados!$K$1:$O$7,5,FALSE)," ","Limite "&amp;VLOOKUP($F300,Base_Dados!$K$1:$O$11,5,FALSE)&amp;" "&amp;VLOOKUP($F300,Base_Dados!$K$1:$O$11,2,FALSE))," ")</f>
        <v> </v>
      </c>
      <c r="Q300" s="21" t="str">
        <f t="shared" si="2"/>
        <v/>
      </c>
      <c r="R300" s="1"/>
      <c r="S300" s="1"/>
      <c r="T300" s="1"/>
      <c r="U300" s="1"/>
      <c r="V300" s="1"/>
      <c r="W300" s="1"/>
      <c r="X300" s="1"/>
      <c r="Y300" s="1"/>
      <c r="Z300" s="1"/>
    </row>
    <row r="301" ht="24.0" customHeight="1">
      <c r="A301" s="18" t="s">
        <v>70</v>
      </c>
      <c r="B301" s="18" t="s">
        <v>27</v>
      </c>
      <c r="C301" s="19" t="s">
        <v>28</v>
      </c>
      <c r="D301" s="19" t="s">
        <v>74</v>
      </c>
      <c r="E301" s="19" t="s">
        <v>37</v>
      </c>
      <c r="F301" s="19" t="s">
        <v>42</v>
      </c>
      <c r="G301" s="20">
        <v>149149.0</v>
      </c>
      <c r="H301" s="19" t="s">
        <v>35</v>
      </c>
      <c r="I301" s="19" t="s">
        <v>38</v>
      </c>
      <c r="J301" s="13">
        <f>VLOOKUP(C301&amp;I301&amp;E301,Orig_Dest!$A$2:$E$1876,5,FALSE)</f>
        <v>1</v>
      </c>
      <c r="K301" s="14" t="str">
        <f t="shared" si="1"/>
        <v>Dia 15</v>
      </c>
      <c r="L301" s="21" t="str">
        <f>IF(B301="Fornecedor",IF(VLOOKUP(C301,Base_Dados!$E$1:$F$7,2,FALSE)=F301," ","Fornecedor inválido!")," ")</f>
        <v> </v>
      </c>
      <c r="M301" s="22" t="str">
        <f>IF(AND(LEFT(F301,2)="MP",H301&lt;&gt;Base_Dados!$A$1),"Impossível!!!"," ")</f>
        <v> </v>
      </c>
      <c r="N301" s="21" t="str">
        <f>IF(E301="Avião",IF($G301&lt;=VLOOKUP($F301,Base_Dados!$K$1:$O$7,3,FALSE)," ","Limite "&amp;VLOOKUP($F301,Base_Dados!$K$1:$O$11,3,FALSE)&amp;" "&amp;VLOOKUP($F301,Base_Dados!$K$1:$O$11,2,FALSE))," ")</f>
        <v> </v>
      </c>
      <c r="O301" s="21" t="str">
        <f>IF(E301="Caminhão",IF($G301&lt;=VLOOKUP($F301,Base_Dados!$K$1:$O$7,4,FALSE)," ","Limite "&amp;VLOOKUP($F301,Base_Dados!$K$1:$O$11,4,FALSE)&amp;" "&amp;VLOOKUP($F301,Base_Dados!$K$1:$O$11,2,FALSE))," ")</f>
        <v> </v>
      </c>
      <c r="P301" s="21" t="str">
        <f>IF(E301="Navio",IF($G301&lt;=VLOOKUP($F301,Base_Dados!$K$1:$O$7,5,FALSE)," ","Limite "&amp;VLOOKUP($F301,Base_Dados!$K$1:$O$11,5,FALSE)&amp;" "&amp;VLOOKUP($F301,Base_Dados!$K$1:$O$11,2,FALSE))," ")</f>
        <v> </v>
      </c>
      <c r="Q301" s="21" t="str">
        <f t="shared" si="2"/>
        <v/>
      </c>
      <c r="R301" s="1"/>
      <c r="S301" s="1"/>
      <c r="T301" s="1"/>
      <c r="U301" s="1"/>
      <c r="V301" s="1"/>
      <c r="W301" s="1"/>
      <c r="X301" s="1"/>
      <c r="Y301" s="1"/>
      <c r="Z301" s="1"/>
    </row>
    <row r="302" ht="24.0" customHeight="1">
      <c r="A302" s="18" t="s">
        <v>70</v>
      </c>
      <c r="B302" s="18" t="s">
        <v>35</v>
      </c>
      <c r="C302" s="19" t="s">
        <v>38</v>
      </c>
      <c r="D302" s="19" t="s">
        <v>72</v>
      </c>
      <c r="E302" s="19" t="s">
        <v>25</v>
      </c>
      <c r="F302" s="19" t="s">
        <v>42</v>
      </c>
      <c r="G302" s="20">
        <v>117573.0</v>
      </c>
      <c r="H302" s="19" t="s">
        <v>56</v>
      </c>
      <c r="I302" s="19" t="s">
        <v>75</v>
      </c>
      <c r="J302" s="13">
        <f>VLOOKUP(C302&amp;I302&amp;E302,Orig_Dest!$A$2:$E$1876,5,FALSE)</f>
        <v>0</v>
      </c>
      <c r="K302" s="14" t="str">
        <f t="shared" si="1"/>
        <v>Dia 12</v>
      </c>
      <c r="L302" s="21" t="str">
        <f>IF(B302="Fornecedor",IF(VLOOKUP(C302,Base_Dados!$E$1:$F$7,2,FALSE)=F302," ","Fornecedor inválido!")," ")</f>
        <v> </v>
      </c>
      <c r="M302" s="22" t="str">
        <f>IF(AND(LEFT(F302,2)="MP",H302&lt;&gt;Base_Dados!$A$1),"Impossível!!!"," ")</f>
        <v> </v>
      </c>
      <c r="N302" s="21" t="str">
        <f>IF(E302="Avião",IF($G302&lt;=VLOOKUP($F302,Base_Dados!$K$1:$O$7,3,FALSE)," ","Limite "&amp;VLOOKUP($F302,Base_Dados!$K$1:$O$11,3,FALSE)&amp;" "&amp;VLOOKUP($F302,Base_Dados!$K$1:$O$11,2,FALSE))," ")</f>
        <v> </v>
      </c>
      <c r="O302" s="21" t="str">
        <f>IF(E302="Caminhão",IF($G302&lt;=VLOOKUP($F302,Base_Dados!$K$1:$O$7,4,FALSE)," ","Limite "&amp;VLOOKUP($F302,Base_Dados!$K$1:$O$11,4,FALSE)&amp;" "&amp;VLOOKUP($F302,Base_Dados!$K$1:$O$11,2,FALSE))," ")</f>
        <v> </v>
      </c>
      <c r="P302" s="21" t="str">
        <f>IF(E302="Navio",IF($G302&lt;=VLOOKUP($F302,Base_Dados!$K$1:$O$7,5,FALSE)," ","Limite "&amp;VLOOKUP($F302,Base_Dados!$K$1:$O$11,5,FALSE)&amp;" "&amp;VLOOKUP($F302,Base_Dados!$K$1:$O$11,2,FALSE))," ")</f>
        <v> </v>
      </c>
      <c r="Q302" s="21" t="str">
        <f t="shared" si="2"/>
        <v/>
      </c>
      <c r="R302" s="1"/>
      <c r="S302" s="1"/>
      <c r="T302" s="1"/>
      <c r="U302" s="1"/>
      <c r="V302" s="1"/>
      <c r="W302" s="1"/>
      <c r="X302" s="1"/>
      <c r="Y302" s="1"/>
      <c r="Z302" s="1"/>
    </row>
    <row r="303" ht="24.0" customHeight="1">
      <c r="A303" s="18" t="s">
        <v>70</v>
      </c>
      <c r="B303" s="18" t="s">
        <v>35</v>
      </c>
      <c r="C303" s="19" t="s">
        <v>38</v>
      </c>
      <c r="D303" s="19" t="s">
        <v>72</v>
      </c>
      <c r="E303" s="19" t="s">
        <v>37</v>
      </c>
      <c r="F303" s="19" t="s">
        <v>42</v>
      </c>
      <c r="G303" s="20">
        <v>103464.0</v>
      </c>
      <c r="H303" s="19" t="s">
        <v>56</v>
      </c>
      <c r="I303" s="19" t="s">
        <v>76</v>
      </c>
      <c r="J303" s="13">
        <f>VLOOKUP(C303&amp;I303&amp;E303,Orig_Dest!$A$2:$E$1876,5,FALSE)</f>
        <v>0</v>
      </c>
      <c r="K303" s="14" t="str">
        <f t="shared" si="1"/>
        <v>Dia 12</v>
      </c>
      <c r="L303" s="21" t="str">
        <f>IF(B303="Fornecedor",IF(VLOOKUP(C303,Base_Dados!$E$1:$F$7,2,FALSE)=F303," ","Fornecedor inválido!")," ")</f>
        <v> </v>
      </c>
      <c r="M303" s="22" t="str">
        <f>IF(AND(LEFT(F303,2)="MP",H303&lt;&gt;Base_Dados!$A$1),"Impossível!!!"," ")</f>
        <v> </v>
      </c>
      <c r="N303" s="21" t="str">
        <f>IF(E303="Avião",IF($G303&lt;=VLOOKUP($F303,Base_Dados!$K$1:$O$7,3,FALSE)," ","Limite "&amp;VLOOKUP($F303,Base_Dados!$K$1:$O$11,3,FALSE)&amp;" "&amp;VLOOKUP($F303,Base_Dados!$K$1:$O$11,2,FALSE))," ")</f>
        <v> </v>
      </c>
      <c r="O303" s="21" t="str">
        <f>IF(E303="Caminhão",IF($G303&lt;=VLOOKUP($F303,Base_Dados!$K$1:$O$7,4,FALSE)," ","Limite "&amp;VLOOKUP($F303,Base_Dados!$K$1:$O$11,4,FALSE)&amp;" "&amp;VLOOKUP($F303,Base_Dados!$K$1:$O$11,2,FALSE))," ")</f>
        <v> </v>
      </c>
      <c r="P303" s="21" t="str">
        <f>IF(E303="Navio",IF($G303&lt;=VLOOKUP($F303,Base_Dados!$K$1:$O$7,5,FALSE)," ","Limite "&amp;VLOOKUP($F303,Base_Dados!$K$1:$O$11,5,FALSE)&amp;" "&amp;VLOOKUP($F303,Base_Dados!$K$1:$O$11,2,FALSE))," ")</f>
        <v> </v>
      </c>
      <c r="Q303" s="21" t="str">
        <f t="shared" si="2"/>
        <v/>
      </c>
      <c r="R303" s="1"/>
      <c r="S303" s="1"/>
      <c r="T303" s="1"/>
      <c r="U303" s="1"/>
      <c r="V303" s="1"/>
      <c r="W303" s="1"/>
      <c r="X303" s="1"/>
      <c r="Y303" s="1"/>
      <c r="Z303" s="1"/>
    </row>
    <row r="304" ht="24.0" customHeight="1">
      <c r="A304" s="18" t="s">
        <v>70</v>
      </c>
      <c r="B304" s="18" t="s">
        <v>35</v>
      </c>
      <c r="C304" s="19" t="s">
        <v>38</v>
      </c>
      <c r="D304" s="19" t="s">
        <v>71</v>
      </c>
      <c r="E304" s="19" t="s">
        <v>25</v>
      </c>
      <c r="F304" s="19" t="s">
        <v>42</v>
      </c>
      <c r="G304" s="20">
        <v>103464.0</v>
      </c>
      <c r="H304" s="19" t="s">
        <v>56</v>
      </c>
      <c r="I304" s="19" t="s">
        <v>31</v>
      </c>
      <c r="J304" s="13">
        <f>VLOOKUP(C304&amp;I304&amp;E304,Orig_Dest!$A$2:$E$1876,5,FALSE)</f>
        <v>1</v>
      </c>
      <c r="K304" s="14" t="str">
        <f t="shared" si="1"/>
        <v>Dia 12</v>
      </c>
      <c r="L304" s="21" t="str">
        <f>IF(B304="Fornecedor",IF(VLOOKUP(C304,Base_Dados!$E$1:$F$7,2,FALSE)=F304," ","Fornecedor inválido!")," ")</f>
        <v> </v>
      </c>
      <c r="M304" s="22" t="str">
        <f>IF(AND(LEFT(F304,2)="MP",H304&lt;&gt;Base_Dados!$A$1),"Impossível!!!"," ")</f>
        <v> </v>
      </c>
      <c r="N304" s="21" t="str">
        <f>IF(E304="Avião",IF($G304&lt;=VLOOKUP($F304,Base_Dados!$K$1:$O$7,3,FALSE)," ","Limite "&amp;VLOOKUP($F304,Base_Dados!$K$1:$O$11,3,FALSE)&amp;" "&amp;VLOOKUP($F304,Base_Dados!$K$1:$O$11,2,FALSE))," ")</f>
        <v> </v>
      </c>
      <c r="O304" s="21" t="str">
        <f>IF(E304="Caminhão",IF($G304&lt;=VLOOKUP($F304,Base_Dados!$K$1:$O$7,4,FALSE)," ","Limite "&amp;VLOOKUP($F304,Base_Dados!$K$1:$O$11,4,FALSE)&amp;" "&amp;VLOOKUP($F304,Base_Dados!$K$1:$O$11,2,FALSE))," ")</f>
        <v> </v>
      </c>
      <c r="P304" s="21" t="str">
        <f>IF(E304="Navio",IF($G304&lt;=VLOOKUP($F304,Base_Dados!$K$1:$O$7,5,FALSE)," ","Limite "&amp;VLOOKUP($F304,Base_Dados!$K$1:$O$11,5,FALSE)&amp;" "&amp;VLOOKUP($F304,Base_Dados!$K$1:$O$11,2,FALSE))," ")</f>
        <v> </v>
      </c>
      <c r="Q304" s="21" t="str">
        <f t="shared" si="2"/>
        <v/>
      </c>
      <c r="R304" s="1"/>
      <c r="S304" s="1"/>
      <c r="T304" s="1"/>
      <c r="U304" s="1"/>
      <c r="V304" s="1"/>
      <c r="W304" s="1"/>
      <c r="X304" s="1"/>
      <c r="Y304" s="1"/>
      <c r="Z304" s="1"/>
    </row>
    <row r="305" ht="24.0" customHeight="1">
      <c r="A305" s="18" t="s">
        <v>70</v>
      </c>
      <c r="B305" s="18" t="s">
        <v>35</v>
      </c>
      <c r="C305" s="19" t="s">
        <v>38</v>
      </c>
      <c r="D305" s="19" t="s">
        <v>72</v>
      </c>
      <c r="E305" s="19" t="s">
        <v>25</v>
      </c>
      <c r="F305" s="19" t="s">
        <v>42</v>
      </c>
      <c r="G305" s="20">
        <v>56435.0</v>
      </c>
      <c r="H305" s="19" t="s">
        <v>56</v>
      </c>
      <c r="I305" s="19" t="s">
        <v>77</v>
      </c>
      <c r="J305" s="13">
        <f>VLOOKUP(C305&amp;I305&amp;E305,Orig_Dest!$A$2:$E$1876,5,FALSE)</f>
        <v>0</v>
      </c>
      <c r="K305" s="14" t="str">
        <f t="shared" si="1"/>
        <v>Dia 12</v>
      </c>
      <c r="L305" s="21" t="str">
        <f>IF(B305="Fornecedor",IF(VLOOKUP(C305,Base_Dados!$E$1:$F$7,2,FALSE)=F305," ","Fornecedor inválido!")," ")</f>
        <v> </v>
      </c>
      <c r="M305" s="22" t="str">
        <f>IF(AND(LEFT(F305,2)="MP",H305&lt;&gt;Base_Dados!$A$1),"Impossível!!!"," ")</f>
        <v> </v>
      </c>
      <c r="N305" s="21" t="str">
        <f>IF(E305="Avião",IF($G305&lt;=VLOOKUP($F305,Base_Dados!$K$1:$O$7,3,FALSE)," ","Limite "&amp;VLOOKUP($F305,Base_Dados!$K$1:$O$11,3,FALSE)&amp;" "&amp;VLOOKUP($F305,Base_Dados!$K$1:$O$11,2,FALSE))," ")</f>
        <v> </v>
      </c>
      <c r="O305" s="21" t="str">
        <f>IF(E305="Caminhão",IF($G305&lt;=VLOOKUP($F305,Base_Dados!$K$1:$O$7,4,FALSE)," ","Limite "&amp;VLOOKUP($F305,Base_Dados!$K$1:$O$11,4,FALSE)&amp;" "&amp;VLOOKUP($F305,Base_Dados!$K$1:$O$11,2,FALSE))," ")</f>
        <v> </v>
      </c>
      <c r="P305" s="21" t="str">
        <f>IF(E305="Navio",IF($G305&lt;=VLOOKUP($F305,Base_Dados!$K$1:$O$7,5,FALSE)," ","Limite "&amp;VLOOKUP($F305,Base_Dados!$K$1:$O$11,5,FALSE)&amp;" "&amp;VLOOKUP($F305,Base_Dados!$K$1:$O$11,2,FALSE))," ")</f>
        <v> </v>
      </c>
      <c r="Q305" s="21" t="str">
        <f t="shared" si="2"/>
        <v/>
      </c>
      <c r="R305" s="1"/>
      <c r="S305" s="1"/>
      <c r="T305" s="1"/>
      <c r="U305" s="1"/>
      <c r="V305" s="1"/>
      <c r="W305" s="1"/>
      <c r="X305" s="1"/>
      <c r="Y305" s="1"/>
      <c r="Z305" s="1"/>
    </row>
    <row r="306" ht="24.0" customHeight="1">
      <c r="A306" s="18" t="s">
        <v>70</v>
      </c>
      <c r="B306" s="18" t="s">
        <v>35</v>
      </c>
      <c r="C306" s="19" t="s">
        <v>38</v>
      </c>
      <c r="D306" s="19" t="s">
        <v>72</v>
      </c>
      <c r="E306" s="19" t="s">
        <v>25</v>
      </c>
      <c r="F306" s="19" t="s">
        <v>42</v>
      </c>
      <c r="G306" s="20">
        <v>47029.0</v>
      </c>
      <c r="H306" s="19" t="s">
        <v>56</v>
      </c>
      <c r="I306" s="19" t="s">
        <v>78</v>
      </c>
      <c r="J306" s="13">
        <f>VLOOKUP(C306&amp;I306&amp;E306,Orig_Dest!$A$2:$E$1876,5,FALSE)</f>
        <v>0</v>
      </c>
      <c r="K306" s="14" t="str">
        <f t="shared" si="1"/>
        <v>Dia 12</v>
      </c>
      <c r="L306" s="21" t="str">
        <f>IF(B306="Fornecedor",IF(VLOOKUP(C306,Base_Dados!$E$1:$F$7,2,FALSE)=F306," ","Fornecedor inválido!")," ")</f>
        <v> </v>
      </c>
      <c r="M306" s="22" t="str">
        <f>IF(AND(LEFT(F306,2)="MP",H306&lt;&gt;Base_Dados!$A$1),"Impossível!!!"," ")</f>
        <v> </v>
      </c>
      <c r="N306" s="21" t="str">
        <f>IF(E306="Avião",IF($G306&lt;=VLOOKUP($F306,Base_Dados!$K$1:$O$7,3,FALSE)," ","Limite "&amp;VLOOKUP($F306,Base_Dados!$K$1:$O$11,3,FALSE)&amp;" "&amp;VLOOKUP($F306,Base_Dados!$K$1:$O$11,2,FALSE))," ")</f>
        <v> </v>
      </c>
      <c r="O306" s="21" t="str">
        <f>IF(E306="Caminhão",IF($G306&lt;=VLOOKUP($F306,Base_Dados!$K$1:$O$7,4,FALSE)," ","Limite "&amp;VLOOKUP($F306,Base_Dados!$K$1:$O$11,4,FALSE)&amp;" "&amp;VLOOKUP($F306,Base_Dados!$K$1:$O$11,2,FALSE))," ")</f>
        <v> </v>
      </c>
      <c r="P306" s="21" t="str">
        <f>IF(E306="Navio",IF($G306&lt;=VLOOKUP($F306,Base_Dados!$K$1:$O$7,5,FALSE)," ","Limite "&amp;VLOOKUP($F306,Base_Dados!$K$1:$O$11,5,FALSE)&amp;" "&amp;VLOOKUP($F306,Base_Dados!$K$1:$O$11,2,FALSE))," ")</f>
        <v> </v>
      </c>
      <c r="Q306" s="21" t="str">
        <f t="shared" si="2"/>
        <v/>
      </c>
      <c r="R306" s="1"/>
      <c r="S306" s="1"/>
      <c r="T306" s="1"/>
      <c r="U306" s="1"/>
      <c r="V306" s="1"/>
      <c r="W306" s="1"/>
      <c r="X306" s="1"/>
      <c r="Y306" s="1"/>
      <c r="Z306" s="1"/>
    </row>
    <row r="307" ht="24.0" customHeight="1">
      <c r="A307" s="18" t="s">
        <v>70</v>
      </c>
      <c r="B307" s="18" t="s">
        <v>35</v>
      </c>
      <c r="C307" s="19" t="s">
        <v>36</v>
      </c>
      <c r="D307" s="19" t="s">
        <v>72</v>
      </c>
      <c r="E307" s="19" t="s">
        <v>45</v>
      </c>
      <c r="F307" s="19" t="s">
        <v>42</v>
      </c>
      <c r="G307" s="20">
        <v>6666.0</v>
      </c>
      <c r="H307" s="19" t="s">
        <v>56</v>
      </c>
      <c r="I307" s="19" t="s">
        <v>38</v>
      </c>
      <c r="J307" s="13">
        <f>VLOOKUP(C307&amp;I307&amp;E307,Orig_Dest!$A$2:$E$1876,5,FALSE)</f>
        <v>0</v>
      </c>
      <c r="K307" s="14" t="str">
        <f t="shared" si="1"/>
        <v>Dia 12</v>
      </c>
      <c r="L307" s="21" t="str">
        <f>IF(B307="Fornecedor",IF(VLOOKUP(C307,Base_Dados!$E$1:$F$7,2,FALSE)=F307," ","Fornecedor inválido!")," ")</f>
        <v> </v>
      </c>
      <c r="M307" s="22" t="str">
        <f>IF(AND(LEFT(F307,2)="MP",H307&lt;&gt;Base_Dados!$A$1),"Impossível!!!"," ")</f>
        <v> </v>
      </c>
      <c r="N307" s="21" t="str">
        <f>IF(E307="Avião",IF($G307&lt;=VLOOKUP($F307,Base_Dados!$K$1:$O$7,3,FALSE)," ","Limite "&amp;VLOOKUP($F307,Base_Dados!$K$1:$O$11,3,FALSE)&amp;" "&amp;VLOOKUP($F307,Base_Dados!$K$1:$O$11,2,FALSE))," ")</f>
        <v> </v>
      </c>
      <c r="O307" s="21" t="str">
        <f>IF(E307="Caminhão",IF($G307&lt;=VLOOKUP($F307,Base_Dados!$K$1:$O$7,4,FALSE)," ","Limite "&amp;VLOOKUP($F307,Base_Dados!$K$1:$O$11,4,FALSE)&amp;" "&amp;VLOOKUP($F307,Base_Dados!$K$1:$O$11,2,FALSE))," ")</f>
        <v> </v>
      </c>
      <c r="P307" s="21" t="str">
        <f>IF(E307="Navio",IF($G307&lt;=VLOOKUP($F307,Base_Dados!$K$1:$O$7,5,FALSE)," ","Limite "&amp;VLOOKUP($F307,Base_Dados!$K$1:$O$11,5,FALSE)&amp;" "&amp;VLOOKUP($F307,Base_Dados!$K$1:$O$11,2,FALSE))," ")</f>
        <v> </v>
      </c>
      <c r="Q307" s="21" t="str">
        <f t="shared" si="2"/>
        <v/>
      </c>
      <c r="R307" s="1"/>
      <c r="S307" s="1"/>
      <c r="T307" s="1"/>
      <c r="U307" s="1"/>
      <c r="V307" s="1"/>
      <c r="W307" s="1"/>
      <c r="X307" s="1"/>
      <c r="Y307" s="1"/>
      <c r="Z307" s="1"/>
    </row>
    <row r="308" ht="24.0" customHeight="1">
      <c r="A308" s="18" t="s">
        <v>70</v>
      </c>
      <c r="B308" s="18" t="s">
        <v>35</v>
      </c>
      <c r="C308" s="19" t="s">
        <v>36</v>
      </c>
      <c r="D308" s="19" t="s">
        <v>72</v>
      </c>
      <c r="E308" s="19" t="s">
        <v>45</v>
      </c>
      <c r="F308" s="19" t="s">
        <v>42</v>
      </c>
      <c r="G308" s="20">
        <v>6666.0</v>
      </c>
      <c r="H308" s="19" t="s">
        <v>56</v>
      </c>
      <c r="I308" s="19" t="s">
        <v>38</v>
      </c>
      <c r="J308" s="13">
        <f>VLOOKUP(C308&amp;I308&amp;E308,Orig_Dest!$A$2:$E$1876,5,FALSE)</f>
        <v>0</v>
      </c>
      <c r="K308" s="14" t="str">
        <f t="shared" si="1"/>
        <v>Dia 12</v>
      </c>
      <c r="L308" s="21" t="str">
        <f>IF(B308="Fornecedor",IF(VLOOKUP(C308,Base_Dados!$E$1:$F$7,2,FALSE)=F308," ","Fornecedor inválido!")," ")</f>
        <v> </v>
      </c>
      <c r="M308" s="22" t="str">
        <f>IF(AND(LEFT(F308,2)="MP",H308&lt;&gt;Base_Dados!$A$1),"Impossível!!!"," ")</f>
        <v> </v>
      </c>
      <c r="N308" s="21" t="str">
        <f>IF(E308="Avião",IF($G308&lt;=VLOOKUP($F308,Base_Dados!$K$1:$O$7,3,FALSE)," ","Limite "&amp;VLOOKUP($F308,Base_Dados!$K$1:$O$11,3,FALSE)&amp;" "&amp;VLOOKUP($F308,Base_Dados!$K$1:$O$11,2,FALSE))," ")</f>
        <v> </v>
      </c>
      <c r="O308" s="21" t="str">
        <f>IF(E308="Caminhão",IF($G308&lt;=VLOOKUP($F308,Base_Dados!$K$1:$O$7,4,FALSE)," ","Limite "&amp;VLOOKUP($F308,Base_Dados!$K$1:$O$11,4,FALSE)&amp;" "&amp;VLOOKUP($F308,Base_Dados!$K$1:$O$11,2,FALSE))," ")</f>
        <v> </v>
      </c>
      <c r="P308" s="21" t="str">
        <f>IF(E308="Navio",IF($G308&lt;=VLOOKUP($F308,Base_Dados!$K$1:$O$7,5,FALSE)," ","Limite "&amp;VLOOKUP($F308,Base_Dados!$K$1:$O$11,5,FALSE)&amp;" "&amp;VLOOKUP($F308,Base_Dados!$K$1:$O$11,2,FALSE))," ")</f>
        <v> </v>
      </c>
      <c r="Q308" s="21" t="str">
        <f t="shared" si="2"/>
        <v/>
      </c>
      <c r="R308" s="1"/>
      <c r="S308" s="1"/>
      <c r="T308" s="1"/>
      <c r="U308" s="1"/>
      <c r="V308" s="1"/>
      <c r="W308" s="1"/>
      <c r="X308" s="1"/>
      <c r="Y308" s="1"/>
      <c r="Z308" s="1"/>
    </row>
    <row r="309" ht="24.0" customHeight="1">
      <c r="A309" s="18" t="s">
        <v>70</v>
      </c>
      <c r="B309" s="18" t="s">
        <v>35</v>
      </c>
      <c r="C309" s="19" t="s">
        <v>36</v>
      </c>
      <c r="D309" s="19" t="s">
        <v>72</v>
      </c>
      <c r="E309" s="19" t="s">
        <v>45</v>
      </c>
      <c r="F309" s="19" t="s">
        <v>42</v>
      </c>
      <c r="G309" s="20">
        <v>6666.0</v>
      </c>
      <c r="H309" s="19" t="s">
        <v>56</v>
      </c>
      <c r="I309" s="19" t="s">
        <v>38</v>
      </c>
      <c r="J309" s="13">
        <f>VLOOKUP(C309&amp;I309&amp;E309,Orig_Dest!$A$2:$E$1876,5,FALSE)</f>
        <v>0</v>
      </c>
      <c r="K309" s="14" t="str">
        <f t="shared" si="1"/>
        <v>Dia 12</v>
      </c>
      <c r="L309" s="21" t="str">
        <f>IF(B309="Fornecedor",IF(VLOOKUP(C309,Base_Dados!$E$1:$F$7,2,FALSE)=F309," ","Fornecedor inválido!")," ")</f>
        <v> </v>
      </c>
      <c r="M309" s="22" t="str">
        <f>IF(AND(LEFT(F309,2)="MP",H309&lt;&gt;Base_Dados!$A$1),"Impossível!!!"," ")</f>
        <v> </v>
      </c>
      <c r="N309" s="21" t="str">
        <f>IF(E309="Avião",IF($G309&lt;=VLOOKUP($F309,Base_Dados!$K$1:$O$7,3,FALSE)," ","Limite "&amp;VLOOKUP($F309,Base_Dados!$K$1:$O$11,3,FALSE)&amp;" "&amp;VLOOKUP($F309,Base_Dados!$K$1:$O$11,2,FALSE))," ")</f>
        <v> </v>
      </c>
      <c r="O309" s="21" t="str">
        <f>IF(E309="Caminhão",IF($G309&lt;=VLOOKUP($F309,Base_Dados!$K$1:$O$7,4,FALSE)," ","Limite "&amp;VLOOKUP($F309,Base_Dados!$K$1:$O$11,4,FALSE)&amp;" "&amp;VLOOKUP($F309,Base_Dados!$K$1:$O$11,2,FALSE))," ")</f>
        <v> </v>
      </c>
      <c r="P309" s="21" t="str">
        <f>IF(E309="Navio",IF($G309&lt;=VLOOKUP($F309,Base_Dados!$K$1:$O$7,5,FALSE)," ","Limite "&amp;VLOOKUP($F309,Base_Dados!$K$1:$O$11,5,FALSE)&amp;" "&amp;VLOOKUP($F309,Base_Dados!$K$1:$O$11,2,FALSE))," ")</f>
        <v> </v>
      </c>
      <c r="Q309" s="21" t="str">
        <f t="shared" si="2"/>
        <v/>
      </c>
      <c r="R309" s="1"/>
      <c r="S309" s="1"/>
      <c r="T309" s="1"/>
      <c r="U309" s="1"/>
      <c r="V309" s="1"/>
      <c r="W309" s="1"/>
      <c r="X309" s="1"/>
      <c r="Y309" s="1"/>
      <c r="Z309" s="1"/>
    </row>
    <row r="310" ht="24.0" customHeight="1">
      <c r="A310" s="18" t="s">
        <v>70</v>
      </c>
      <c r="B310" s="18" t="s">
        <v>35</v>
      </c>
      <c r="C310" s="19" t="s">
        <v>36</v>
      </c>
      <c r="D310" s="19" t="s">
        <v>72</v>
      </c>
      <c r="E310" s="19" t="s">
        <v>45</v>
      </c>
      <c r="F310" s="19" t="s">
        <v>42</v>
      </c>
      <c r="G310" s="20">
        <v>6666.0</v>
      </c>
      <c r="H310" s="19" t="s">
        <v>56</v>
      </c>
      <c r="I310" s="19" t="s">
        <v>38</v>
      </c>
      <c r="J310" s="13">
        <f>VLOOKUP(C310&amp;I310&amp;E310,Orig_Dest!$A$2:$E$1876,5,FALSE)</f>
        <v>0</v>
      </c>
      <c r="K310" s="14" t="str">
        <f t="shared" si="1"/>
        <v>Dia 12</v>
      </c>
      <c r="L310" s="21" t="str">
        <f>IF(B310="Fornecedor",IF(VLOOKUP(C310,Base_Dados!$E$1:$F$7,2,FALSE)=F310," ","Fornecedor inválido!")," ")</f>
        <v> </v>
      </c>
      <c r="M310" s="22" t="str">
        <f>IF(AND(LEFT(F310,2)="MP",H310&lt;&gt;Base_Dados!$A$1),"Impossível!!!"," ")</f>
        <v> </v>
      </c>
      <c r="N310" s="21" t="str">
        <f>IF(E310="Avião",IF($G310&lt;=VLOOKUP($F310,Base_Dados!$K$1:$O$7,3,FALSE)," ","Limite "&amp;VLOOKUP($F310,Base_Dados!$K$1:$O$11,3,FALSE)&amp;" "&amp;VLOOKUP($F310,Base_Dados!$K$1:$O$11,2,FALSE))," ")</f>
        <v> </v>
      </c>
      <c r="O310" s="21" t="str">
        <f>IF(E310="Caminhão",IF($G310&lt;=VLOOKUP($F310,Base_Dados!$K$1:$O$7,4,FALSE)," ","Limite "&amp;VLOOKUP($F310,Base_Dados!$K$1:$O$11,4,FALSE)&amp;" "&amp;VLOOKUP($F310,Base_Dados!$K$1:$O$11,2,FALSE))," ")</f>
        <v> </v>
      </c>
      <c r="P310" s="21" t="str">
        <f>IF(E310="Navio",IF($G310&lt;=VLOOKUP($F310,Base_Dados!$K$1:$O$7,5,FALSE)," ","Limite "&amp;VLOOKUP($F310,Base_Dados!$K$1:$O$11,5,FALSE)&amp;" "&amp;VLOOKUP($F310,Base_Dados!$K$1:$O$11,2,FALSE))," ")</f>
        <v> </v>
      </c>
      <c r="Q310" s="21" t="str">
        <f t="shared" si="2"/>
        <v/>
      </c>
      <c r="R310" s="1"/>
      <c r="S310" s="1"/>
      <c r="T310" s="1"/>
      <c r="U310" s="1"/>
      <c r="V310" s="1"/>
      <c r="W310" s="1"/>
      <c r="X310" s="1"/>
      <c r="Y310" s="1"/>
      <c r="Z310" s="1"/>
    </row>
    <row r="311" ht="24.0" customHeight="1">
      <c r="A311" s="18" t="s">
        <v>70</v>
      </c>
      <c r="B311" s="18" t="s">
        <v>35</v>
      </c>
      <c r="C311" s="19" t="s">
        <v>36</v>
      </c>
      <c r="D311" s="19" t="s">
        <v>72</v>
      </c>
      <c r="E311" s="19" t="s">
        <v>45</v>
      </c>
      <c r="F311" s="19" t="s">
        <v>42</v>
      </c>
      <c r="G311" s="20">
        <v>6666.0</v>
      </c>
      <c r="H311" s="19" t="s">
        <v>56</v>
      </c>
      <c r="I311" s="19" t="s">
        <v>38</v>
      </c>
      <c r="J311" s="13">
        <f>VLOOKUP(C311&amp;I311&amp;E311,Orig_Dest!$A$2:$E$1876,5,FALSE)</f>
        <v>0</v>
      </c>
      <c r="K311" s="14" t="str">
        <f t="shared" si="1"/>
        <v>Dia 12</v>
      </c>
      <c r="L311" s="21" t="str">
        <f>IF(B311="Fornecedor",IF(VLOOKUP(C311,Base_Dados!$E$1:$F$7,2,FALSE)=F311," ","Fornecedor inválido!")," ")</f>
        <v> </v>
      </c>
      <c r="M311" s="22" t="str">
        <f>IF(AND(LEFT(F311,2)="MP",H311&lt;&gt;Base_Dados!$A$1),"Impossível!!!"," ")</f>
        <v> </v>
      </c>
      <c r="N311" s="21" t="str">
        <f>IF(E311="Avião",IF($G311&lt;=VLOOKUP($F311,Base_Dados!$K$1:$O$7,3,FALSE)," ","Limite "&amp;VLOOKUP($F311,Base_Dados!$K$1:$O$11,3,FALSE)&amp;" "&amp;VLOOKUP($F311,Base_Dados!$K$1:$O$11,2,FALSE))," ")</f>
        <v> </v>
      </c>
      <c r="O311" s="21" t="str">
        <f>IF(E311="Caminhão",IF($G311&lt;=VLOOKUP($F311,Base_Dados!$K$1:$O$7,4,FALSE)," ","Limite "&amp;VLOOKUP($F311,Base_Dados!$K$1:$O$11,4,FALSE)&amp;" "&amp;VLOOKUP($F311,Base_Dados!$K$1:$O$11,2,FALSE))," ")</f>
        <v> </v>
      </c>
      <c r="P311" s="21" t="str">
        <f>IF(E311="Navio",IF($G311&lt;=VLOOKUP($F311,Base_Dados!$K$1:$O$7,5,FALSE)," ","Limite "&amp;VLOOKUP($F311,Base_Dados!$K$1:$O$11,5,FALSE)&amp;" "&amp;VLOOKUP($F311,Base_Dados!$K$1:$O$11,2,FALSE))," ")</f>
        <v> </v>
      </c>
      <c r="Q311" s="21" t="str">
        <f t="shared" si="2"/>
        <v/>
      </c>
      <c r="R311" s="1"/>
      <c r="S311" s="1"/>
      <c r="T311" s="1"/>
      <c r="U311" s="1"/>
      <c r="V311" s="1"/>
      <c r="W311" s="1"/>
      <c r="X311" s="1"/>
      <c r="Y311" s="1"/>
      <c r="Z311" s="1"/>
    </row>
    <row r="312" ht="24.0" customHeight="1">
      <c r="A312" s="18" t="s">
        <v>70</v>
      </c>
      <c r="B312" s="18" t="s">
        <v>35</v>
      </c>
      <c r="C312" s="19" t="s">
        <v>36</v>
      </c>
      <c r="D312" s="19" t="s">
        <v>72</v>
      </c>
      <c r="E312" s="19" t="s">
        <v>45</v>
      </c>
      <c r="F312" s="19" t="s">
        <v>42</v>
      </c>
      <c r="G312" s="20">
        <v>6666.0</v>
      </c>
      <c r="H312" s="19" t="s">
        <v>56</v>
      </c>
      <c r="I312" s="19" t="s">
        <v>38</v>
      </c>
      <c r="J312" s="13">
        <f>VLOOKUP(C312&amp;I312&amp;E312,Orig_Dest!$A$2:$E$1876,5,FALSE)</f>
        <v>0</v>
      </c>
      <c r="K312" s="14" t="str">
        <f t="shared" si="1"/>
        <v>Dia 12</v>
      </c>
      <c r="L312" s="21" t="str">
        <f>IF(B312="Fornecedor",IF(VLOOKUP(C312,Base_Dados!$E$1:$F$7,2,FALSE)=F312," ","Fornecedor inválido!")," ")</f>
        <v> </v>
      </c>
      <c r="M312" s="22" t="str">
        <f>IF(AND(LEFT(F312,2)="MP",H312&lt;&gt;Base_Dados!$A$1),"Impossível!!!"," ")</f>
        <v> </v>
      </c>
      <c r="N312" s="21" t="str">
        <f>IF(E312="Avião",IF($G312&lt;=VLOOKUP($F312,Base_Dados!$K$1:$O$7,3,FALSE)," ","Limite "&amp;VLOOKUP($F312,Base_Dados!$K$1:$O$11,3,FALSE)&amp;" "&amp;VLOOKUP($F312,Base_Dados!$K$1:$O$11,2,FALSE))," ")</f>
        <v> </v>
      </c>
      <c r="O312" s="21" t="str">
        <f>IF(E312="Caminhão",IF($G312&lt;=VLOOKUP($F312,Base_Dados!$K$1:$O$7,4,FALSE)," ","Limite "&amp;VLOOKUP($F312,Base_Dados!$K$1:$O$11,4,FALSE)&amp;" "&amp;VLOOKUP($F312,Base_Dados!$K$1:$O$11,2,FALSE))," ")</f>
        <v> </v>
      </c>
      <c r="P312" s="21" t="str">
        <f>IF(E312="Navio",IF($G312&lt;=VLOOKUP($F312,Base_Dados!$K$1:$O$7,5,FALSE)," ","Limite "&amp;VLOOKUP($F312,Base_Dados!$K$1:$O$11,5,FALSE)&amp;" "&amp;VLOOKUP($F312,Base_Dados!$K$1:$O$11,2,FALSE))," ")</f>
        <v> </v>
      </c>
      <c r="Q312" s="21" t="str">
        <f t="shared" si="2"/>
        <v/>
      </c>
      <c r="R312" s="1"/>
      <c r="S312" s="1"/>
      <c r="T312" s="1"/>
      <c r="U312" s="1"/>
      <c r="V312" s="1"/>
      <c r="W312" s="1"/>
      <c r="X312" s="1"/>
      <c r="Y312" s="1"/>
      <c r="Z312" s="1"/>
    </row>
    <row r="313" ht="24.0" customHeight="1">
      <c r="A313" s="18" t="s">
        <v>70</v>
      </c>
      <c r="B313" s="18" t="s">
        <v>35</v>
      </c>
      <c r="C313" s="19" t="s">
        <v>36</v>
      </c>
      <c r="D313" s="19" t="s">
        <v>72</v>
      </c>
      <c r="E313" s="19" t="s">
        <v>45</v>
      </c>
      <c r="F313" s="19" t="s">
        <v>42</v>
      </c>
      <c r="G313" s="20">
        <v>6666.0</v>
      </c>
      <c r="H313" s="19" t="s">
        <v>56</v>
      </c>
      <c r="I313" s="19" t="s">
        <v>38</v>
      </c>
      <c r="J313" s="13">
        <f>VLOOKUP(C313&amp;I313&amp;E313,Orig_Dest!$A$2:$E$1876,5,FALSE)</f>
        <v>0</v>
      </c>
      <c r="K313" s="14" t="str">
        <f t="shared" si="1"/>
        <v>Dia 12</v>
      </c>
      <c r="L313" s="21" t="str">
        <f>IF(B313="Fornecedor",IF(VLOOKUP(C313,Base_Dados!$E$1:$F$7,2,FALSE)=F313," ","Fornecedor inválido!")," ")</f>
        <v> </v>
      </c>
      <c r="M313" s="22" t="str">
        <f>IF(AND(LEFT(F313,2)="MP",H313&lt;&gt;Base_Dados!$A$1),"Impossível!!!"," ")</f>
        <v> </v>
      </c>
      <c r="N313" s="21" t="str">
        <f>IF(E313="Avião",IF($G313&lt;=VLOOKUP($F313,Base_Dados!$K$1:$O$7,3,FALSE)," ","Limite "&amp;VLOOKUP($F313,Base_Dados!$K$1:$O$11,3,FALSE)&amp;" "&amp;VLOOKUP($F313,Base_Dados!$K$1:$O$11,2,FALSE))," ")</f>
        <v> </v>
      </c>
      <c r="O313" s="21" t="str">
        <f>IF(E313="Caminhão",IF($G313&lt;=VLOOKUP($F313,Base_Dados!$K$1:$O$7,4,FALSE)," ","Limite "&amp;VLOOKUP($F313,Base_Dados!$K$1:$O$11,4,FALSE)&amp;" "&amp;VLOOKUP($F313,Base_Dados!$K$1:$O$11,2,FALSE))," ")</f>
        <v> </v>
      </c>
      <c r="P313" s="21" t="str">
        <f>IF(E313="Navio",IF($G313&lt;=VLOOKUP($F313,Base_Dados!$K$1:$O$7,5,FALSE)," ","Limite "&amp;VLOOKUP($F313,Base_Dados!$K$1:$O$11,5,FALSE)&amp;" "&amp;VLOOKUP($F313,Base_Dados!$K$1:$O$11,2,FALSE))," ")</f>
        <v> </v>
      </c>
      <c r="Q313" s="21" t="str">
        <f t="shared" si="2"/>
        <v/>
      </c>
      <c r="R313" s="1"/>
      <c r="S313" s="1"/>
      <c r="T313" s="1"/>
      <c r="U313" s="1"/>
      <c r="V313" s="1"/>
      <c r="W313" s="1"/>
      <c r="X313" s="1"/>
      <c r="Y313" s="1"/>
      <c r="Z313" s="1"/>
    </row>
    <row r="314" ht="24.0" customHeight="1">
      <c r="A314" s="18" t="s">
        <v>70</v>
      </c>
      <c r="B314" s="18" t="s">
        <v>35</v>
      </c>
      <c r="C314" s="19" t="s">
        <v>36</v>
      </c>
      <c r="D314" s="19" t="s">
        <v>72</v>
      </c>
      <c r="E314" s="19" t="s">
        <v>45</v>
      </c>
      <c r="F314" s="19" t="s">
        <v>42</v>
      </c>
      <c r="G314" s="20">
        <v>367.0</v>
      </c>
      <c r="H314" s="19" t="s">
        <v>56</v>
      </c>
      <c r="I314" s="19" t="s">
        <v>38</v>
      </c>
      <c r="J314" s="13">
        <f>VLOOKUP(C314&amp;I314&amp;E314,Orig_Dest!$A$2:$E$1876,5,FALSE)</f>
        <v>0</v>
      </c>
      <c r="K314" s="14" t="str">
        <f t="shared" si="1"/>
        <v>Dia 12</v>
      </c>
      <c r="L314" s="21" t="str">
        <f>IF(B314="Fornecedor",IF(VLOOKUP(C314,Base_Dados!$E$1:$F$7,2,FALSE)=F314," ","Fornecedor inválido!")," ")</f>
        <v> </v>
      </c>
      <c r="M314" s="22" t="str">
        <f>IF(AND(LEFT(F314,2)="MP",H314&lt;&gt;Base_Dados!$A$1),"Impossível!!!"," ")</f>
        <v> </v>
      </c>
      <c r="N314" s="21" t="str">
        <f>IF(E314="Avião",IF($G314&lt;=VLOOKUP($F314,Base_Dados!$K$1:$O$7,3,FALSE)," ","Limite "&amp;VLOOKUP($F314,Base_Dados!$K$1:$O$11,3,FALSE)&amp;" "&amp;VLOOKUP($F314,Base_Dados!$K$1:$O$11,2,FALSE))," ")</f>
        <v> </v>
      </c>
      <c r="O314" s="21" t="str">
        <f>IF(E314="Caminhão",IF($G314&lt;=VLOOKUP($F314,Base_Dados!$K$1:$O$7,4,FALSE)," ","Limite "&amp;VLOOKUP($F314,Base_Dados!$K$1:$O$11,4,FALSE)&amp;" "&amp;VLOOKUP($F314,Base_Dados!$K$1:$O$11,2,FALSE))," ")</f>
        <v> </v>
      </c>
      <c r="P314" s="21" t="str">
        <f>IF(E314="Navio",IF($G314&lt;=VLOOKUP($F314,Base_Dados!$K$1:$O$7,5,FALSE)," ","Limite "&amp;VLOOKUP($F314,Base_Dados!$K$1:$O$11,5,FALSE)&amp;" "&amp;VLOOKUP($F314,Base_Dados!$K$1:$O$11,2,FALSE))," ")</f>
        <v> </v>
      </c>
      <c r="Q314" s="21" t="str">
        <f t="shared" si="2"/>
        <v/>
      </c>
      <c r="R314" s="1"/>
      <c r="S314" s="1"/>
      <c r="T314" s="1"/>
      <c r="U314" s="1"/>
      <c r="V314" s="1"/>
      <c r="W314" s="1"/>
      <c r="X314" s="1"/>
      <c r="Y314" s="1"/>
      <c r="Z314" s="1"/>
    </row>
    <row r="315" ht="24.0" customHeight="1">
      <c r="A315" s="18" t="s">
        <v>70</v>
      </c>
      <c r="B315" s="18" t="s">
        <v>35</v>
      </c>
      <c r="C315" s="19" t="s">
        <v>38</v>
      </c>
      <c r="D315" s="19" t="s">
        <v>72</v>
      </c>
      <c r="E315" s="19" t="s">
        <v>45</v>
      </c>
      <c r="F315" s="19" t="s">
        <v>42</v>
      </c>
      <c r="G315" s="20">
        <v>6666.0</v>
      </c>
      <c r="H315" s="19" t="s">
        <v>56</v>
      </c>
      <c r="I315" s="19" t="s">
        <v>28</v>
      </c>
      <c r="J315" s="13">
        <f>VLOOKUP(C315&amp;I315&amp;E315,Orig_Dest!$A$2:$E$1876,5,FALSE)</f>
        <v>0</v>
      </c>
      <c r="K315" s="14" t="str">
        <f t="shared" si="1"/>
        <v>Dia 12</v>
      </c>
      <c r="L315" s="21" t="str">
        <f>IF(B315="Fornecedor",IF(VLOOKUP(C315,Base_Dados!$E$1:$F$7,2,FALSE)=F315," ","Fornecedor inválido!")," ")</f>
        <v> </v>
      </c>
      <c r="M315" s="22" t="str">
        <f>IF(AND(LEFT(F315,2)="MP",H315&lt;&gt;Base_Dados!$A$1),"Impossível!!!"," ")</f>
        <v> </v>
      </c>
      <c r="N315" s="21" t="str">
        <f>IF(E315="Avião",IF($G315&lt;=VLOOKUP($F315,Base_Dados!$K$1:$O$7,3,FALSE)," ","Limite "&amp;VLOOKUP($F315,Base_Dados!$K$1:$O$11,3,FALSE)&amp;" "&amp;VLOOKUP($F315,Base_Dados!$K$1:$O$11,2,FALSE))," ")</f>
        <v> </v>
      </c>
      <c r="O315" s="21" t="str">
        <f>IF(E315="Caminhão",IF($G315&lt;=VLOOKUP($F315,Base_Dados!$K$1:$O$7,4,FALSE)," ","Limite "&amp;VLOOKUP($F315,Base_Dados!$K$1:$O$11,4,FALSE)&amp;" "&amp;VLOOKUP($F315,Base_Dados!$K$1:$O$11,2,FALSE))," ")</f>
        <v> </v>
      </c>
      <c r="P315" s="21" t="str">
        <f>IF(E315="Navio",IF($G315&lt;=VLOOKUP($F315,Base_Dados!$K$1:$O$7,5,FALSE)," ","Limite "&amp;VLOOKUP($F315,Base_Dados!$K$1:$O$11,5,FALSE)&amp;" "&amp;VLOOKUP($F315,Base_Dados!$K$1:$O$11,2,FALSE))," ")</f>
        <v> </v>
      </c>
      <c r="Q315" s="21" t="str">
        <f t="shared" si="2"/>
        <v/>
      </c>
      <c r="R315" s="1"/>
      <c r="S315" s="1"/>
      <c r="T315" s="1"/>
      <c r="U315" s="1"/>
      <c r="V315" s="1"/>
      <c r="W315" s="1"/>
      <c r="X315" s="1"/>
      <c r="Y315" s="1"/>
      <c r="Z315" s="1"/>
    </row>
    <row r="316" ht="24.0" customHeight="1">
      <c r="A316" s="18" t="s">
        <v>70</v>
      </c>
      <c r="B316" s="18" t="s">
        <v>35</v>
      </c>
      <c r="C316" s="19" t="s">
        <v>38</v>
      </c>
      <c r="D316" s="19" t="s">
        <v>72</v>
      </c>
      <c r="E316" s="19" t="s">
        <v>45</v>
      </c>
      <c r="F316" s="19" t="s">
        <v>42</v>
      </c>
      <c r="G316" s="20">
        <v>6666.0</v>
      </c>
      <c r="H316" s="19" t="s">
        <v>56</v>
      </c>
      <c r="I316" s="19" t="s">
        <v>28</v>
      </c>
      <c r="J316" s="13">
        <f>VLOOKUP(C316&amp;I316&amp;E316,Orig_Dest!$A$2:$E$1876,5,FALSE)</f>
        <v>0</v>
      </c>
      <c r="K316" s="14" t="str">
        <f t="shared" si="1"/>
        <v>Dia 12</v>
      </c>
      <c r="L316" s="21" t="str">
        <f>IF(B316="Fornecedor",IF(VLOOKUP(C316,Base_Dados!$E$1:$F$7,2,FALSE)=F316," ","Fornecedor inválido!")," ")</f>
        <v> </v>
      </c>
      <c r="M316" s="22" t="str">
        <f>IF(AND(LEFT(F316,2)="MP",H316&lt;&gt;Base_Dados!$A$1),"Impossível!!!"," ")</f>
        <v> </v>
      </c>
      <c r="N316" s="21" t="str">
        <f>IF(E316="Avião",IF($G316&lt;=VLOOKUP($F316,Base_Dados!$K$1:$O$7,3,FALSE)," ","Limite "&amp;VLOOKUP($F316,Base_Dados!$K$1:$O$11,3,FALSE)&amp;" "&amp;VLOOKUP($F316,Base_Dados!$K$1:$O$11,2,FALSE))," ")</f>
        <v> </v>
      </c>
      <c r="O316" s="21" t="str">
        <f>IF(E316="Caminhão",IF($G316&lt;=VLOOKUP($F316,Base_Dados!$K$1:$O$7,4,FALSE)," ","Limite "&amp;VLOOKUP($F316,Base_Dados!$K$1:$O$11,4,FALSE)&amp;" "&amp;VLOOKUP($F316,Base_Dados!$K$1:$O$11,2,FALSE))," ")</f>
        <v> </v>
      </c>
      <c r="P316" s="21" t="str">
        <f>IF(E316="Navio",IF($G316&lt;=VLOOKUP($F316,Base_Dados!$K$1:$O$7,5,FALSE)," ","Limite "&amp;VLOOKUP($F316,Base_Dados!$K$1:$O$11,5,FALSE)&amp;" "&amp;VLOOKUP($F316,Base_Dados!$K$1:$O$11,2,FALSE))," ")</f>
        <v> </v>
      </c>
      <c r="Q316" s="21" t="str">
        <f t="shared" si="2"/>
        <v/>
      </c>
      <c r="R316" s="1"/>
      <c r="S316" s="1"/>
      <c r="T316" s="1"/>
      <c r="U316" s="1"/>
      <c r="V316" s="1"/>
      <c r="W316" s="1"/>
      <c r="X316" s="1"/>
      <c r="Y316" s="1"/>
      <c r="Z316" s="1"/>
    </row>
    <row r="317" ht="24.0" customHeight="1">
      <c r="A317" s="18" t="s">
        <v>70</v>
      </c>
      <c r="B317" s="18" t="s">
        <v>35</v>
      </c>
      <c r="C317" s="19" t="s">
        <v>38</v>
      </c>
      <c r="D317" s="19" t="s">
        <v>72</v>
      </c>
      <c r="E317" s="19" t="s">
        <v>45</v>
      </c>
      <c r="F317" s="19" t="s">
        <v>42</v>
      </c>
      <c r="G317" s="20">
        <v>6666.0</v>
      </c>
      <c r="H317" s="19" t="s">
        <v>56</v>
      </c>
      <c r="I317" s="19" t="s">
        <v>28</v>
      </c>
      <c r="J317" s="13">
        <f>VLOOKUP(C317&amp;I317&amp;E317,Orig_Dest!$A$2:$E$1876,5,FALSE)</f>
        <v>0</v>
      </c>
      <c r="K317" s="14" t="str">
        <f t="shared" si="1"/>
        <v>Dia 12</v>
      </c>
      <c r="L317" s="21" t="str">
        <f>IF(B317="Fornecedor",IF(VLOOKUP(C317,Base_Dados!$E$1:$F$7,2,FALSE)=F317," ","Fornecedor inválido!")," ")</f>
        <v> </v>
      </c>
      <c r="M317" s="22" t="str">
        <f>IF(AND(LEFT(F317,2)="MP",H317&lt;&gt;Base_Dados!$A$1),"Impossível!!!"," ")</f>
        <v> </v>
      </c>
      <c r="N317" s="21" t="str">
        <f>IF(E317="Avião",IF($G317&lt;=VLOOKUP($F317,Base_Dados!$K$1:$O$7,3,FALSE)," ","Limite "&amp;VLOOKUP($F317,Base_Dados!$K$1:$O$11,3,FALSE)&amp;" "&amp;VLOOKUP($F317,Base_Dados!$K$1:$O$11,2,FALSE))," ")</f>
        <v> </v>
      </c>
      <c r="O317" s="21" t="str">
        <f>IF(E317="Caminhão",IF($G317&lt;=VLOOKUP($F317,Base_Dados!$K$1:$O$7,4,FALSE)," ","Limite "&amp;VLOOKUP($F317,Base_Dados!$K$1:$O$11,4,FALSE)&amp;" "&amp;VLOOKUP($F317,Base_Dados!$K$1:$O$11,2,FALSE))," ")</f>
        <v> </v>
      </c>
      <c r="P317" s="21" t="str">
        <f>IF(E317="Navio",IF($G317&lt;=VLOOKUP($F317,Base_Dados!$K$1:$O$7,5,FALSE)," ","Limite "&amp;VLOOKUP($F317,Base_Dados!$K$1:$O$11,5,FALSE)&amp;" "&amp;VLOOKUP($F317,Base_Dados!$K$1:$O$11,2,FALSE))," ")</f>
        <v> </v>
      </c>
      <c r="Q317" s="21" t="str">
        <f t="shared" si="2"/>
        <v/>
      </c>
      <c r="R317" s="1"/>
      <c r="S317" s="1"/>
      <c r="T317" s="1"/>
      <c r="U317" s="1"/>
      <c r="V317" s="1"/>
      <c r="W317" s="1"/>
      <c r="X317" s="1"/>
      <c r="Y317" s="1"/>
      <c r="Z317" s="1"/>
    </row>
    <row r="318" ht="24.0" customHeight="1">
      <c r="A318" s="18" t="s">
        <v>70</v>
      </c>
      <c r="B318" s="18" t="s">
        <v>35</v>
      </c>
      <c r="C318" s="19" t="s">
        <v>38</v>
      </c>
      <c r="D318" s="19" t="s">
        <v>72</v>
      </c>
      <c r="E318" s="19" t="s">
        <v>45</v>
      </c>
      <c r="F318" s="19" t="s">
        <v>42</v>
      </c>
      <c r="G318" s="20">
        <v>6666.0</v>
      </c>
      <c r="H318" s="19" t="s">
        <v>56</v>
      </c>
      <c r="I318" s="19" t="s">
        <v>28</v>
      </c>
      <c r="J318" s="13">
        <f>VLOOKUP(C318&amp;I318&amp;E318,Orig_Dest!$A$2:$E$1876,5,FALSE)</f>
        <v>0</v>
      </c>
      <c r="K318" s="14" t="str">
        <f t="shared" si="1"/>
        <v>Dia 12</v>
      </c>
      <c r="L318" s="21" t="str">
        <f>IF(B318="Fornecedor",IF(VLOOKUP(C318,Base_Dados!$E$1:$F$7,2,FALSE)=F318," ","Fornecedor inválido!")," ")</f>
        <v> </v>
      </c>
      <c r="M318" s="22" t="str">
        <f>IF(AND(LEFT(F318,2)="MP",H318&lt;&gt;Base_Dados!$A$1),"Impossível!!!"," ")</f>
        <v> </v>
      </c>
      <c r="N318" s="21" t="str">
        <f>IF(E318="Avião",IF($G318&lt;=VLOOKUP($F318,Base_Dados!$K$1:$O$7,3,FALSE)," ","Limite "&amp;VLOOKUP($F318,Base_Dados!$K$1:$O$11,3,FALSE)&amp;" "&amp;VLOOKUP($F318,Base_Dados!$K$1:$O$11,2,FALSE))," ")</f>
        <v> </v>
      </c>
      <c r="O318" s="21" t="str">
        <f>IF(E318="Caminhão",IF($G318&lt;=VLOOKUP($F318,Base_Dados!$K$1:$O$7,4,FALSE)," ","Limite "&amp;VLOOKUP($F318,Base_Dados!$K$1:$O$11,4,FALSE)&amp;" "&amp;VLOOKUP($F318,Base_Dados!$K$1:$O$11,2,FALSE))," ")</f>
        <v> </v>
      </c>
      <c r="P318" s="21" t="str">
        <f>IF(E318="Navio",IF($G318&lt;=VLOOKUP($F318,Base_Dados!$K$1:$O$7,5,FALSE)," ","Limite "&amp;VLOOKUP($F318,Base_Dados!$K$1:$O$11,5,FALSE)&amp;" "&amp;VLOOKUP($F318,Base_Dados!$K$1:$O$11,2,FALSE))," ")</f>
        <v> </v>
      </c>
      <c r="Q318" s="21" t="str">
        <f t="shared" si="2"/>
        <v/>
      </c>
      <c r="R318" s="1"/>
      <c r="S318" s="1"/>
      <c r="T318" s="1"/>
      <c r="U318" s="1"/>
      <c r="V318" s="1"/>
      <c r="W318" s="1"/>
      <c r="X318" s="1"/>
      <c r="Y318" s="1"/>
      <c r="Z318" s="1"/>
    </row>
    <row r="319" ht="24.0" customHeight="1">
      <c r="A319" s="18" t="s">
        <v>70</v>
      </c>
      <c r="B319" s="18" t="s">
        <v>35</v>
      </c>
      <c r="C319" s="19" t="s">
        <v>38</v>
      </c>
      <c r="D319" s="19" t="s">
        <v>72</v>
      </c>
      <c r="E319" s="19" t="s">
        <v>45</v>
      </c>
      <c r="F319" s="19" t="s">
        <v>42</v>
      </c>
      <c r="G319" s="20">
        <v>1554.0</v>
      </c>
      <c r="H319" s="19" t="s">
        <v>56</v>
      </c>
      <c r="I319" s="19" t="s">
        <v>28</v>
      </c>
      <c r="J319" s="13">
        <f>VLOOKUP(C319&amp;I319&amp;E319,Orig_Dest!$A$2:$E$1876,5,FALSE)</f>
        <v>0</v>
      </c>
      <c r="K319" s="14" t="str">
        <f t="shared" si="1"/>
        <v>Dia 12</v>
      </c>
      <c r="L319" s="21" t="str">
        <f>IF(B319="Fornecedor",IF(VLOOKUP(C319,Base_Dados!$E$1:$F$7,2,FALSE)=F319," ","Fornecedor inválido!")," ")</f>
        <v> </v>
      </c>
      <c r="M319" s="22" t="str">
        <f>IF(AND(LEFT(F319,2)="MP",H319&lt;&gt;Base_Dados!$A$1),"Impossível!!!"," ")</f>
        <v> </v>
      </c>
      <c r="N319" s="21" t="str">
        <f>IF(E319="Avião",IF($G319&lt;=VLOOKUP($F319,Base_Dados!$K$1:$O$7,3,FALSE)," ","Limite "&amp;VLOOKUP($F319,Base_Dados!$K$1:$O$11,3,FALSE)&amp;" "&amp;VLOOKUP($F319,Base_Dados!$K$1:$O$11,2,FALSE))," ")</f>
        <v> </v>
      </c>
      <c r="O319" s="21" t="str">
        <f>IF(E319="Caminhão",IF($G319&lt;=VLOOKUP($F319,Base_Dados!$K$1:$O$7,4,FALSE)," ","Limite "&amp;VLOOKUP($F319,Base_Dados!$K$1:$O$11,4,FALSE)&amp;" "&amp;VLOOKUP($F319,Base_Dados!$K$1:$O$11,2,FALSE))," ")</f>
        <v> </v>
      </c>
      <c r="P319" s="21" t="str">
        <f>IF(E319="Navio",IF($G319&lt;=VLOOKUP($F319,Base_Dados!$K$1:$O$7,5,FALSE)," ","Limite "&amp;VLOOKUP($F319,Base_Dados!$K$1:$O$11,5,FALSE)&amp;" "&amp;VLOOKUP($F319,Base_Dados!$K$1:$O$11,2,FALSE))," ")</f>
        <v> </v>
      </c>
      <c r="Q319" s="21" t="str">
        <f t="shared" si="2"/>
        <v/>
      </c>
      <c r="R319" s="1"/>
      <c r="S319" s="1"/>
      <c r="T319" s="1"/>
      <c r="U319" s="1"/>
      <c r="V319" s="1"/>
      <c r="W319" s="1"/>
      <c r="X319" s="1"/>
      <c r="Y319" s="1"/>
      <c r="Z319" s="1"/>
    </row>
    <row r="320" ht="24.0" customHeight="1">
      <c r="A320" s="18" t="s">
        <v>70</v>
      </c>
      <c r="B320" s="18" t="s">
        <v>35</v>
      </c>
      <c r="C320" s="19" t="s">
        <v>38</v>
      </c>
      <c r="D320" s="19" t="s">
        <v>72</v>
      </c>
      <c r="E320" s="19" t="s">
        <v>25</v>
      </c>
      <c r="F320" s="19" t="s">
        <v>42</v>
      </c>
      <c r="G320" s="20">
        <v>117573.0</v>
      </c>
      <c r="H320" s="19" t="s">
        <v>56</v>
      </c>
      <c r="I320" s="19" t="s">
        <v>58</v>
      </c>
      <c r="J320" s="13">
        <f>VLOOKUP(C320&amp;I320&amp;E320,Orig_Dest!$A$2:$E$1876,5,FALSE)</f>
        <v>1</v>
      </c>
      <c r="K320" s="14" t="str">
        <f t="shared" si="1"/>
        <v>Dia 13</v>
      </c>
      <c r="L320" s="21" t="str">
        <f>IF(B320="Fornecedor",IF(VLOOKUP(C320,Base_Dados!$E$1:$F$7,2,FALSE)=F320," ","Fornecedor inválido!")," ")</f>
        <v> </v>
      </c>
      <c r="M320" s="22" t="str">
        <f>IF(AND(LEFT(F320,2)="MP",H320&lt;&gt;Base_Dados!$A$1),"Impossível!!!"," ")</f>
        <v> </v>
      </c>
      <c r="N320" s="21" t="str">
        <f>IF(E320="Avião",IF($G320&lt;=VLOOKUP($F320,Base_Dados!$K$1:$O$7,3,FALSE)," ","Limite "&amp;VLOOKUP($F320,Base_Dados!$K$1:$O$11,3,FALSE)&amp;" "&amp;VLOOKUP($F320,Base_Dados!$K$1:$O$11,2,FALSE))," ")</f>
        <v> </v>
      </c>
      <c r="O320" s="21" t="str">
        <f>IF(E320="Caminhão",IF($G320&lt;=VLOOKUP($F320,Base_Dados!$K$1:$O$7,4,FALSE)," ","Limite "&amp;VLOOKUP($F320,Base_Dados!$K$1:$O$11,4,FALSE)&amp;" "&amp;VLOOKUP($F320,Base_Dados!$K$1:$O$11,2,FALSE))," ")</f>
        <v> </v>
      </c>
      <c r="P320" s="21" t="str">
        <f>IF(E320="Navio",IF($G320&lt;=VLOOKUP($F320,Base_Dados!$K$1:$O$7,5,FALSE)," ","Limite "&amp;VLOOKUP($F320,Base_Dados!$K$1:$O$11,5,FALSE)&amp;" "&amp;VLOOKUP($F320,Base_Dados!$K$1:$O$11,2,FALSE))," ")</f>
        <v> </v>
      </c>
      <c r="Q320" s="21" t="str">
        <f t="shared" si="2"/>
        <v/>
      </c>
      <c r="R320" s="1"/>
      <c r="S320" s="1"/>
      <c r="T320" s="1"/>
      <c r="U320" s="1"/>
      <c r="V320" s="1"/>
      <c r="W320" s="1"/>
      <c r="X320" s="1"/>
      <c r="Y320" s="1"/>
      <c r="Z320" s="1"/>
    </row>
    <row r="321" ht="24.0" customHeight="1">
      <c r="A321" s="18" t="s">
        <v>70</v>
      </c>
      <c r="B321" s="18" t="s">
        <v>35</v>
      </c>
      <c r="C321" s="19" t="s">
        <v>38</v>
      </c>
      <c r="D321" s="19" t="s">
        <v>73</v>
      </c>
      <c r="E321" s="19" t="s">
        <v>25</v>
      </c>
      <c r="F321" s="19" t="s">
        <v>42</v>
      </c>
      <c r="G321" s="20">
        <v>94059.0</v>
      </c>
      <c r="H321" s="19" t="s">
        <v>56</v>
      </c>
      <c r="I321" s="19" t="s">
        <v>66</v>
      </c>
      <c r="J321" s="13">
        <f>VLOOKUP(C321&amp;I321&amp;E321,Orig_Dest!$A$2:$E$1876,5,FALSE)</f>
        <v>0</v>
      </c>
      <c r="K321" s="14" t="str">
        <f t="shared" si="1"/>
        <v>Dia 13</v>
      </c>
      <c r="L321" s="21" t="str">
        <f>IF(B321="Fornecedor",IF(VLOOKUP(C321,Base_Dados!$E$1:$F$7,2,FALSE)=F321," ","Fornecedor inválido!")," ")</f>
        <v> </v>
      </c>
      <c r="M321" s="22" t="str">
        <f>IF(AND(LEFT(F321,2)="MP",H321&lt;&gt;Base_Dados!$A$1),"Impossível!!!"," ")</f>
        <v> </v>
      </c>
      <c r="N321" s="21" t="str">
        <f>IF(E321="Avião",IF($G321&lt;=VLOOKUP($F321,Base_Dados!$K$1:$O$7,3,FALSE)," ","Limite "&amp;VLOOKUP($F321,Base_Dados!$K$1:$O$11,3,FALSE)&amp;" "&amp;VLOOKUP($F321,Base_Dados!$K$1:$O$11,2,FALSE))," ")</f>
        <v> </v>
      </c>
      <c r="O321" s="21" t="str">
        <f>IF(E321="Caminhão",IF($G321&lt;=VLOOKUP($F321,Base_Dados!$K$1:$O$7,4,FALSE)," ","Limite "&amp;VLOOKUP($F321,Base_Dados!$K$1:$O$11,4,FALSE)&amp;" "&amp;VLOOKUP($F321,Base_Dados!$K$1:$O$11,2,FALSE))," ")</f>
        <v> </v>
      </c>
      <c r="P321" s="21" t="str">
        <f>IF(E321="Navio",IF($G321&lt;=VLOOKUP($F321,Base_Dados!$K$1:$O$7,5,FALSE)," ","Limite "&amp;VLOOKUP($F321,Base_Dados!$K$1:$O$11,5,FALSE)&amp;" "&amp;VLOOKUP($F321,Base_Dados!$K$1:$O$11,2,FALSE))," ")</f>
        <v> </v>
      </c>
      <c r="Q321" s="21" t="str">
        <f t="shared" si="2"/>
        <v/>
      </c>
      <c r="R321" s="1"/>
      <c r="S321" s="1"/>
      <c r="T321" s="1"/>
      <c r="U321" s="1"/>
      <c r="V321" s="1"/>
      <c r="W321" s="1"/>
      <c r="X321" s="1"/>
      <c r="Y321" s="1"/>
      <c r="Z321" s="1"/>
    </row>
    <row r="322" ht="24.0" customHeight="1">
      <c r="A322" s="18" t="s">
        <v>70</v>
      </c>
      <c r="B322" s="18" t="s">
        <v>35</v>
      </c>
      <c r="C322" s="19" t="s">
        <v>38</v>
      </c>
      <c r="D322" s="19" t="s">
        <v>72</v>
      </c>
      <c r="E322" s="19" t="s">
        <v>25</v>
      </c>
      <c r="F322" s="19" t="s">
        <v>42</v>
      </c>
      <c r="G322" s="20">
        <v>70544.0</v>
      </c>
      <c r="H322" s="19" t="s">
        <v>56</v>
      </c>
      <c r="I322" s="19" t="s">
        <v>57</v>
      </c>
      <c r="J322" s="13">
        <f>VLOOKUP(C322&amp;I322&amp;E322,Orig_Dest!$A$2:$E$1876,5,FALSE)</f>
        <v>1</v>
      </c>
      <c r="K322" s="14" t="str">
        <f t="shared" si="1"/>
        <v>Dia 13</v>
      </c>
      <c r="L322" s="21" t="str">
        <f>IF(B322="Fornecedor",IF(VLOOKUP(C322,Base_Dados!$E$1:$F$7,2,FALSE)=F322," ","Fornecedor inválido!")," ")</f>
        <v> </v>
      </c>
      <c r="M322" s="22" t="str">
        <f>IF(AND(LEFT(F322,2)="MP",H322&lt;&gt;Base_Dados!$A$1),"Impossível!!!"," ")</f>
        <v> </v>
      </c>
      <c r="N322" s="21" t="str">
        <f>IF(E322="Avião",IF($G322&lt;=VLOOKUP($F322,Base_Dados!$K$1:$O$7,3,FALSE)," ","Limite "&amp;VLOOKUP($F322,Base_Dados!$K$1:$O$11,3,FALSE)&amp;" "&amp;VLOOKUP($F322,Base_Dados!$K$1:$O$11,2,FALSE))," ")</f>
        <v> </v>
      </c>
      <c r="O322" s="21" t="str">
        <f>IF(E322="Caminhão",IF($G322&lt;=VLOOKUP($F322,Base_Dados!$K$1:$O$7,4,FALSE)," ","Limite "&amp;VLOOKUP($F322,Base_Dados!$K$1:$O$11,4,FALSE)&amp;" "&amp;VLOOKUP($F322,Base_Dados!$K$1:$O$11,2,FALSE))," ")</f>
        <v> </v>
      </c>
      <c r="P322" s="21" t="str">
        <f>IF(E322="Navio",IF($G322&lt;=VLOOKUP($F322,Base_Dados!$K$1:$O$7,5,FALSE)," ","Limite "&amp;VLOOKUP($F322,Base_Dados!$K$1:$O$11,5,FALSE)&amp;" "&amp;VLOOKUP($F322,Base_Dados!$K$1:$O$11,2,FALSE))," ")</f>
        <v> </v>
      </c>
      <c r="Q322" s="21" t="str">
        <f t="shared" si="2"/>
        <v/>
      </c>
      <c r="R322" s="1"/>
      <c r="S322" s="1"/>
      <c r="T322" s="1"/>
      <c r="U322" s="1"/>
      <c r="V322" s="1"/>
      <c r="W322" s="1"/>
      <c r="X322" s="1"/>
      <c r="Y322" s="1"/>
      <c r="Z322" s="1"/>
    </row>
    <row r="323" ht="24.0" customHeight="1">
      <c r="A323" s="18" t="s">
        <v>70</v>
      </c>
      <c r="B323" s="18" t="s">
        <v>35</v>
      </c>
      <c r="C323" s="19" t="s">
        <v>38</v>
      </c>
      <c r="D323" s="19" t="s">
        <v>72</v>
      </c>
      <c r="E323" s="19" t="s">
        <v>25</v>
      </c>
      <c r="F323" s="19" t="s">
        <v>42</v>
      </c>
      <c r="G323" s="20">
        <v>65841.0</v>
      </c>
      <c r="H323" s="19" t="s">
        <v>56</v>
      </c>
      <c r="I323" s="19" t="s">
        <v>61</v>
      </c>
      <c r="J323" s="13">
        <f>VLOOKUP(C323&amp;I323&amp;E323,Orig_Dest!$A$2:$E$1876,5,FALSE)</f>
        <v>1</v>
      </c>
      <c r="K323" s="14" t="str">
        <f t="shared" si="1"/>
        <v>Dia 13</v>
      </c>
      <c r="L323" s="21" t="str">
        <f>IF(B323="Fornecedor",IF(VLOOKUP(C323,Base_Dados!$E$1:$F$7,2,FALSE)=F323," ","Fornecedor inválido!")," ")</f>
        <v> </v>
      </c>
      <c r="M323" s="22" t="str">
        <f>IF(AND(LEFT(F323,2)="MP",H323&lt;&gt;Base_Dados!$A$1),"Impossível!!!"," ")</f>
        <v> </v>
      </c>
      <c r="N323" s="21" t="str">
        <f>IF(E323="Avião",IF($G323&lt;=VLOOKUP($F323,Base_Dados!$K$1:$O$7,3,FALSE)," ","Limite "&amp;VLOOKUP($F323,Base_Dados!$K$1:$O$11,3,FALSE)&amp;" "&amp;VLOOKUP($F323,Base_Dados!$K$1:$O$11,2,FALSE))," ")</f>
        <v> </v>
      </c>
      <c r="O323" s="21" t="str">
        <f>IF(E323="Caminhão",IF($G323&lt;=VLOOKUP($F323,Base_Dados!$K$1:$O$7,4,FALSE)," ","Limite "&amp;VLOOKUP($F323,Base_Dados!$K$1:$O$11,4,FALSE)&amp;" "&amp;VLOOKUP($F323,Base_Dados!$K$1:$O$11,2,FALSE))," ")</f>
        <v> </v>
      </c>
      <c r="P323" s="21" t="str">
        <f>IF(E323="Navio",IF($G323&lt;=VLOOKUP($F323,Base_Dados!$K$1:$O$7,5,FALSE)," ","Limite "&amp;VLOOKUP($F323,Base_Dados!$K$1:$O$11,5,FALSE)&amp;" "&amp;VLOOKUP($F323,Base_Dados!$K$1:$O$11,2,FALSE))," ")</f>
        <v> </v>
      </c>
      <c r="Q323" s="21" t="str">
        <f t="shared" si="2"/>
        <v/>
      </c>
      <c r="R323" s="1"/>
      <c r="S323" s="1"/>
      <c r="T323" s="1"/>
      <c r="U323" s="1"/>
      <c r="V323" s="1"/>
      <c r="W323" s="1"/>
      <c r="X323" s="1"/>
      <c r="Y323" s="1"/>
      <c r="Z323" s="1"/>
    </row>
    <row r="324" ht="24.0" customHeight="1">
      <c r="A324" s="18" t="s">
        <v>70</v>
      </c>
      <c r="B324" s="18" t="s">
        <v>35</v>
      </c>
      <c r="C324" s="19" t="s">
        <v>38</v>
      </c>
      <c r="D324" s="19" t="s">
        <v>72</v>
      </c>
      <c r="E324" s="19" t="s">
        <v>25</v>
      </c>
      <c r="F324" s="19" t="s">
        <v>42</v>
      </c>
      <c r="G324" s="20">
        <v>28218.0</v>
      </c>
      <c r="H324" s="19" t="s">
        <v>56</v>
      </c>
      <c r="I324" s="19" t="s">
        <v>29</v>
      </c>
      <c r="J324" s="13">
        <f>VLOOKUP(C324&amp;I324&amp;E324,Orig_Dest!$A$2:$E$1876,5,FALSE)</f>
        <v>1</v>
      </c>
      <c r="K324" s="14" t="str">
        <f t="shared" si="1"/>
        <v>Dia 13</v>
      </c>
      <c r="L324" s="21" t="str">
        <f>IF(B324="Fornecedor",IF(VLOOKUP(C324,Base_Dados!$E$1:$F$7,2,FALSE)=F324," ","Fornecedor inválido!")," ")</f>
        <v> </v>
      </c>
      <c r="M324" s="22" t="str">
        <f>IF(AND(LEFT(F324,2)="MP",H324&lt;&gt;Base_Dados!$A$1),"Impossível!!!"," ")</f>
        <v> </v>
      </c>
      <c r="N324" s="21" t="str">
        <f>IF(E324="Avião",IF($G324&lt;=VLOOKUP($F324,Base_Dados!$K$1:$O$7,3,FALSE)," ","Limite "&amp;VLOOKUP($F324,Base_Dados!$K$1:$O$11,3,FALSE)&amp;" "&amp;VLOOKUP($F324,Base_Dados!$K$1:$O$11,2,FALSE))," ")</f>
        <v> </v>
      </c>
      <c r="O324" s="21" t="str">
        <f>IF(E324="Caminhão",IF($G324&lt;=VLOOKUP($F324,Base_Dados!$K$1:$O$7,4,FALSE)," ","Limite "&amp;VLOOKUP($F324,Base_Dados!$K$1:$O$11,4,FALSE)&amp;" "&amp;VLOOKUP($F324,Base_Dados!$K$1:$O$11,2,FALSE))," ")</f>
        <v> </v>
      </c>
      <c r="P324" s="21" t="str">
        <f>IF(E324="Navio",IF($G324&lt;=VLOOKUP($F324,Base_Dados!$K$1:$O$7,5,FALSE)," ","Limite "&amp;VLOOKUP($F324,Base_Dados!$K$1:$O$11,5,FALSE)&amp;" "&amp;VLOOKUP($F324,Base_Dados!$K$1:$O$11,2,FALSE))," ")</f>
        <v> </v>
      </c>
      <c r="Q324" s="21" t="str">
        <f t="shared" si="2"/>
        <v/>
      </c>
      <c r="R324" s="1"/>
      <c r="S324" s="1"/>
      <c r="T324" s="1"/>
      <c r="U324" s="1"/>
      <c r="V324" s="1"/>
      <c r="W324" s="1"/>
      <c r="X324" s="1"/>
      <c r="Y324" s="1"/>
      <c r="Z324" s="1"/>
    </row>
    <row r="325" ht="24.0" customHeight="1">
      <c r="A325" s="18" t="s">
        <v>70</v>
      </c>
      <c r="B325" s="18" t="s">
        <v>35</v>
      </c>
      <c r="C325" s="19" t="s">
        <v>38</v>
      </c>
      <c r="D325" s="19" t="s">
        <v>72</v>
      </c>
      <c r="E325" s="19" t="s">
        <v>25</v>
      </c>
      <c r="F325" s="19" t="s">
        <v>42</v>
      </c>
      <c r="G325" s="20">
        <v>23515.0</v>
      </c>
      <c r="H325" s="19" t="s">
        <v>56</v>
      </c>
      <c r="I325" s="19" t="s">
        <v>59</v>
      </c>
      <c r="J325" s="13">
        <f>VLOOKUP(C325&amp;I325&amp;E325,Orig_Dest!$A$2:$E$1876,5,FALSE)</f>
        <v>1</v>
      </c>
      <c r="K325" s="14" t="str">
        <f t="shared" si="1"/>
        <v>Dia 13</v>
      </c>
      <c r="L325" s="21" t="str">
        <f>IF(B325="Fornecedor",IF(VLOOKUP(C325,Base_Dados!$E$1:$F$7,2,FALSE)=F325," ","Fornecedor inválido!")," ")</f>
        <v> </v>
      </c>
      <c r="M325" s="22" t="str">
        <f>IF(AND(LEFT(F325,2)="MP",H325&lt;&gt;Base_Dados!$A$1),"Impossível!!!"," ")</f>
        <v> </v>
      </c>
      <c r="N325" s="21" t="str">
        <f>IF(E325="Avião",IF($G325&lt;=VLOOKUP($F325,Base_Dados!$K$1:$O$7,3,FALSE)," ","Limite "&amp;VLOOKUP($F325,Base_Dados!$K$1:$O$11,3,FALSE)&amp;" "&amp;VLOOKUP($F325,Base_Dados!$K$1:$O$11,2,FALSE))," ")</f>
        <v> </v>
      </c>
      <c r="O325" s="21" t="str">
        <f>IF(E325="Caminhão",IF($G325&lt;=VLOOKUP($F325,Base_Dados!$K$1:$O$7,4,FALSE)," ","Limite "&amp;VLOOKUP($F325,Base_Dados!$K$1:$O$11,4,FALSE)&amp;" "&amp;VLOOKUP($F325,Base_Dados!$K$1:$O$11,2,FALSE))," ")</f>
        <v> </v>
      </c>
      <c r="P325" s="21" t="str">
        <f>IF(E325="Navio",IF($G325&lt;=VLOOKUP($F325,Base_Dados!$K$1:$O$7,5,FALSE)," ","Limite "&amp;VLOOKUP($F325,Base_Dados!$K$1:$O$11,5,FALSE)&amp;" "&amp;VLOOKUP($F325,Base_Dados!$K$1:$O$11,2,FALSE))," ")</f>
        <v> </v>
      </c>
      <c r="Q325" s="21" t="str">
        <f t="shared" si="2"/>
        <v/>
      </c>
      <c r="R325" s="1"/>
      <c r="S325" s="1"/>
      <c r="T325" s="1"/>
      <c r="U325" s="1"/>
      <c r="V325" s="1"/>
      <c r="W325" s="1"/>
      <c r="X325" s="1"/>
      <c r="Y325" s="1"/>
      <c r="Z325" s="1"/>
    </row>
    <row r="326" ht="24.0" customHeight="1">
      <c r="A326" s="18" t="s">
        <v>70</v>
      </c>
      <c r="B326" s="18" t="s">
        <v>35</v>
      </c>
      <c r="C326" s="19" t="s">
        <v>38</v>
      </c>
      <c r="D326" s="19" t="s">
        <v>72</v>
      </c>
      <c r="E326" s="19" t="s">
        <v>25</v>
      </c>
      <c r="F326" s="19" t="s">
        <v>42</v>
      </c>
      <c r="G326" s="20">
        <v>23515.0</v>
      </c>
      <c r="H326" s="19" t="s">
        <v>56</v>
      </c>
      <c r="I326" s="19" t="s">
        <v>68</v>
      </c>
      <c r="J326" s="13">
        <f>VLOOKUP(C326&amp;I326&amp;E326,Orig_Dest!$A$2:$E$1876,5,FALSE)</f>
        <v>1</v>
      </c>
      <c r="K326" s="14" t="str">
        <f t="shared" si="1"/>
        <v>Dia 13</v>
      </c>
      <c r="L326" s="21" t="str">
        <f>IF(B326="Fornecedor",IF(VLOOKUP(C326,Base_Dados!$E$1:$F$7,2,FALSE)=F326," ","Fornecedor inválido!")," ")</f>
        <v> </v>
      </c>
      <c r="M326" s="22" t="str">
        <f>IF(AND(LEFT(F326,2)="MP",H326&lt;&gt;Base_Dados!$A$1),"Impossível!!!"," ")</f>
        <v> </v>
      </c>
      <c r="N326" s="21" t="str">
        <f>IF(E326="Avião",IF($G326&lt;=VLOOKUP($F326,Base_Dados!$K$1:$O$7,3,FALSE)," ","Limite "&amp;VLOOKUP($F326,Base_Dados!$K$1:$O$11,3,FALSE)&amp;" "&amp;VLOOKUP($F326,Base_Dados!$K$1:$O$11,2,FALSE))," ")</f>
        <v> </v>
      </c>
      <c r="O326" s="21" t="str">
        <f>IF(E326="Caminhão",IF($G326&lt;=VLOOKUP($F326,Base_Dados!$K$1:$O$7,4,FALSE)," ","Limite "&amp;VLOOKUP($F326,Base_Dados!$K$1:$O$11,4,FALSE)&amp;" "&amp;VLOOKUP($F326,Base_Dados!$K$1:$O$11,2,FALSE))," ")</f>
        <v> </v>
      </c>
      <c r="P326" s="21" t="str">
        <f>IF(E326="Navio",IF($G326&lt;=VLOOKUP($F326,Base_Dados!$K$1:$O$7,5,FALSE)," ","Limite "&amp;VLOOKUP($F326,Base_Dados!$K$1:$O$11,5,FALSE)&amp;" "&amp;VLOOKUP($F326,Base_Dados!$K$1:$O$11,2,FALSE))," ")</f>
        <v> </v>
      </c>
      <c r="Q326" s="21" t="str">
        <f t="shared" si="2"/>
        <v/>
      </c>
      <c r="R326" s="1"/>
      <c r="S326" s="1"/>
      <c r="T326" s="1"/>
      <c r="U326" s="1"/>
      <c r="V326" s="1"/>
      <c r="W326" s="1"/>
      <c r="X326" s="1"/>
      <c r="Y326" s="1"/>
      <c r="Z326" s="1"/>
    </row>
    <row r="327" ht="24.0" customHeight="1">
      <c r="A327" s="18" t="s">
        <v>70</v>
      </c>
      <c r="B327" s="18" t="s">
        <v>35</v>
      </c>
      <c r="C327" s="19" t="s">
        <v>38</v>
      </c>
      <c r="D327" s="19" t="s">
        <v>72</v>
      </c>
      <c r="E327" s="19" t="s">
        <v>37</v>
      </c>
      <c r="F327" s="19" t="s">
        <v>42</v>
      </c>
      <c r="G327" s="20">
        <v>14109.0</v>
      </c>
      <c r="H327" s="19" t="s">
        <v>56</v>
      </c>
      <c r="I327" s="19" t="s">
        <v>69</v>
      </c>
      <c r="J327" s="13">
        <f>VLOOKUP(C327&amp;I327&amp;E327,Orig_Dest!$A$2:$E$1876,5,FALSE)</f>
        <v>1</v>
      </c>
      <c r="K327" s="14" t="str">
        <f t="shared" si="1"/>
        <v>Dia 13</v>
      </c>
      <c r="L327" s="21" t="str">
        <f>IF(B327="Fornecedor",IF(VLOOKUP(C327,Base_Dados!$E$1:$F$7,2,FALSE)=F327," ","Fornecedor inválido!")," ")</f>
        <v> </v>
      </c>
      <c r="M327" s="22" t="str">
        <f>IF(AND(LEFT(F327,2)="MP",H327&lt;&gt;Base_Dados!$A$1),"Impossível!!!"," ")</f>
        <v> </v>
      </c>
      <c r="N327" s="21" t="str">
        <f>IF(E327="Avião",IF($G327&lt;=VLOOKUP($F327,Base_Dados!$K$1:$O$7,3,FALSE)," ","Limite "&amp;VLOOKUP($F327,Base_Dados!$K$1:$O$11,3,FALSE)&amp;" "&amp;VLOOKUP($F327,Base_Dados!$K$1:$O$11,2,FALSE))," ")</f>
        <v> </v>
      </c>
      <c r="O327" s="21" t="str">
        <f>IF(E327="Caminhão",IF($G327&lt;=VLOOKUP($F327,Base_Dados!$K$1:$O$7,4,FALSE)," ","Limite "&amp;VLOOKUP($F327,Base_Dados!$K$1:$O$11,4,FALSE)&amp;" "&amp;VLOOKUP($F327,Base_Dados!$K$1:$O$11,2,FALSE))," ")</f>
        <v> </v>
      </c>
      <c r="P327" s="21" t="str">
        <f>IF(E327="Navio",IF($G327&lt;=VLOOKUP($F327,Base_Dados!$K$1:$O$7,5,FALSE)," ","Limite "&amp;VLOOKUP($F327,Base_Dados!$K$1:$O$11,5,FALSE)&amp;" "&amp;VLOOKUP($F327,Base_Dados!$K$1:$O$11,2,FALSE))," ")</f>
        <v> </v>
      </c>
      <c r="Q327" s="21" t="str">
        <f t="shared" si="2"/>
        <v/>
      </c>
      <c r="R327" s="1"/>
      <c r="S327" s="1"/>
      <c r="T327" s="1"/>
      <c r="U327" s="1"/>
      <c r="V327" s="1"/>
      <c r="W327" s="1"/>
      <c r="X327" s="1"/>
      <c r="Y327" s="1"/>
      <c r="Z327" s="1"/>
    </row>
    <row r="328" ht="24.0" customHeight="1">
      <c r="A328" s="18" t="s">
        <v>70</v>
      </c>
      <c r="B328" s="18" t="s">
        <v>35</v>
      </c>
      <c r="C328" s="19" t="s">
        <v>38</v>
      </c>
      <c r="D328" s="19" t="s">
        <v>72</v>
      </c>
      <c r="E328" s="19" t="s">
        <v>37</v>
      </c>
      <c r="F328" s="19" t="s">
        <v>42</v>
      </c>
      <c r="G328" s="20">
        <v>80622.0</v>
      </c>
      <c r="H328" s="19" t="s">
        <v>56</v>
      </c>
      <c r="I328" s="19" t="s">
        <v>67</v>
      </c>
      <c r="J328" s="13">
        <f>VLOOKUP(C328&amp;I328&amp;E328,Orig_Dest!$A$2:$E$1876,5,FALSE)</f>
        <v>2</v>
      </c>
      <c r="K328" s="14" t="str">
        <f t="shared" si="1"/>
        <v>Dia 14</v>
      </c>
      <c r="L328" s="21" t="str">
        <f>IF(B328="Fornecedor",IF(VLOOKUP(C328,Base_Dados!$E$1:$F$7,2,FALSE)=F328," ","Fornecedor inválido!")," ")</f>
        <v> </v>
      </c>
      <c r="M328" s="22" t="str">
        <f>IF(AND(LEFT(F328,2)="MP",H328&lt;&gt;Base_Dados!$A$1),"Impossível!!!"," ")</f>
        <v> </v>
      </c>
      <c r="N328" s="21" t="str">
        <f>IF(E328="Avião",IF($G328&lt;=VLOOKUP($F328,Base_Dados!$K$1:$O$7,3,FALSE)," ","Limite "&amp;VLOOKUP($F328,Base_Dados!$K$1:$O$11,3,FALSE)&amp;" "&amp;VLOOKUP($F328,Base_Dados!$K$1:$O$11,2,FALSE))," ")</f>
        <v> </v>
      </c>
      <c r="O328" s="21" t="str">
        <f>IF(E328="Caminhão",IF($G328&lt;=VLOOKUP($F328,Base_Dados!$K$1:$O$7,4,FALSE)," ","Limite "&amp;VLOOKUP($F328,Base_Dados!$K$1:$O$11,4,FALSE)&amp;" "&amp;VLOOKUP($F328,Base_Dados!$K$1:$O$11,2,FALSE))," ")</f>
        <v> </v>
      </c>
      <c r="P328" s="21" t="str">
        <f>IF(E328="Navio",IF($G328&lt;=VLOOKUP($F328,Base_Dados!$K$1:$O$7,5,FALSE)," ","Limite "&amp;VLOOKUP($F328,Base_Dados!$K$1:$O$11,5,FALSE)&amp;" "&amp;VLOOKUP($F328,Base_Dados!$K$1:$O$11,2,FALSE))," ")</f>
        <v> </v>
      </c>
      <c r="Q328" s="21" t="str">
        <f t="shared" si="2"/>
        <v/>
      </c>
      <c r="R328" s="1"/>
      <c r="S328" s="1"/>
      <c r="T328" s="1"/>
      <c r="U328" s="1"/>
      <c r="V328" s="1"/>
      <c r="W328" s="1"/>
      <c r="X328" s="1"/>
      <c r="Y328" s="1"/>
      <c r="Z328" s="1"/>
    </row>
    <row r="329" ht="24.0" customHeight="1">
      <c r="A329" s="18" t="s">
        <v>70</v>
      </c>
      <c r="B329" s="18" t="s">
        <v>35</v>
      </c>
      <c r="C329" s="19" t="s">
        <v>38</v>
      </c>
      <c r="D329" s="19" t="s">
        <v>72</v>
      </c>
      <c r="E329" s="19" t="s">
        <v>25</v>
      </c>
      <c r="F329" s="19" t="s">
        <v>42</v>
      </c>
      <c r="G329" s="20">
        <v>60466.0</v>
      </c>
      <c r="H329" s="19" t="s">
        <v>56</v>
      </c>
      <c r="I329" s="19" t="s">
        <v>65</v>
      </c>
      <c r="J329" s="13">
        <f>VLOOKUP(C329&amp;I329&amp;E329,Orig_Dest!$A$2:$E$1876,5,FALSE)</f>
        <v>2</v>
      </c>
      <c r="K329" s="14" t="str">
        <f t="shared" si="1"/>
        <v>Dia 14</v>
      </c>
      <c r="L329" s="21" t="str">
        <f>IF(B329="Fornecedor",IF(VLOOKUP(C329,Base_Dados!$E$1:$F$7,2,FALSE)=F329," ","Fornecedor inválido!")," ")</f>
        <v> </v>
      </c>
      <c r="M329" s="22" t="str">
        <f>IF(AND(LEFT(F329,2)="MP",H329&lt;&gt;Base_Dados!$A$1),"Impossível!!!"," ")</f>
        <v> </v>
      </c>
      <c r="N329" s="21" t="str">
        <f>IF(E329="Avião",IF($G329&lt;=VLOOKUP($F329,Base_Dados!$K$1:$O$7,3,FALSE)," ","Limite "&amp;VLOOKUP($F329,Base_Dados!$K$1:$O$11,3,FALSE)&amp;" "&amp;VLOOKUP($F329,Base_Dados!$K$1:$O$11,2,FALSE))," ")</f>
        <v> </v>
      </c>
      <c r="O329" s="21" t="str">
        <f>IF(E329="Caminhão",IF($G329&lt;=VLOOKUP($F329,Base_Dados!$K$1:$O$7,4,FALSE)," ","Limite "&amp;VLOOKUP($F329,Base_Dados!$K$1:$O$11,4,FALSE)&amp;" "&amp;VLOOKUP($F329,Base_Dados!$K$1:$O$11,2,FALSE))," ")</f>
        <v> </v>
      </c>
      <c r="P329" s="21" t="str">
        <f>IF(E329="Navio",IF($G329&lt;=VLOOKUP($F329,Base_Dados!$K$1:$O$7,5,FALSE)," ","Limite "&amp;VLOOKUP($F329,Base_Dados!$K$1:$O$11,5,FALSE)&amp;" "&amp;VLOOKUP($F329,Base_Dados!$K$1:$O$11,2,FALSE))," ")</f>
        <v> </v>
      </c>
      <c r="Q329" s="21" t="str">
        <f t="shared" si="2"/>
        <v/>
      </c>
      <c r="R329" s="1"/>
      <c r="S329" s="1"/>
      <c r="T329" s="1"/>
      <c r="U329" s="1"/>
      <c r="V329" s="1"/>
      <c r="W329" s="1"/>
      <c r="X329" s="1"/>
      <c r="Y329" s="1"/>
      <c r="Z329" s="1"/>
    </row>
    <row r="330" ht="24.0" customHeight="1">
      <c r="A330" s="18" t="s">
        <v>70</v>
      </c>
      <c r="B330" s="18" t="s">
        <v>35</v>
      </c>
      <c r="C330" s="19" t="s">
        <v>38</v>
      </c>
      <c r="D330" s="19" t="s">
        <v>72</v>
      </c>
      <c r="E330" s="19" t="s">
        <v>25</v>
      </c>
      <c r="F330" s="19" t="s">
        <v>42</v>
      </c>
      <c r="G330" s="20">
        <v>40311.0</v>
      </c>
      <c r="H330" s="19" t="s">
        <v>56</v>
      </c>
      <c r="I330" s="19" t="s">
        <v>62</v>
      </c>
      <c r="J330" s="13">
        <f>VLOOKUP(C330&amp;I330&amp;E330,Orig_Dest!$A$2:$E$1876,5,FALSE)</f>
        <v>2</v>
      </c>
      <c r="K330" s="14" t="str">
        <f t="shared" si="1"/>
        <v>Dia 14</v>
      </c>
      <c r="L330" s="21" t="str">
        <f>IF(B330="Fornecedor",IF(VLOOKUP(C330,Base_Dados!$E$1:$F$7,2,FALSE)=F330," ","Fornecedor inválido!")," ")</f>
        <v> </v>
      </c>
      <c r="M330" s="22" t="str">
        <f>IF(AND(LEFT(F330,2)="MP",H330&lt;&gt;Base_Dados!$A$1),"Impossível!!!"," ")</f>
        <v> </v>
      </c>
      <c r="N330" s="21" t="str">
        <f>IF(E330="Avião",IF($G330&lt;=VLOOKUP($F330,Base_Dados!$K$1:$O$7,3,FALSE)," ","Limite "&amp;VLOOKUP($F330,Base_Dados!$K$1:$O$11,3,FALSE)&amp;" "&amp;VLOOKUP($F330,Base_Dados!$K$1:$O$11,2,FALSE))," ")</f>
        <v> </v>
      </c>
      <c r="O330" s="21" t="str">
        <f>IF(E330="Caminhão",IF($G330&lt;=VLOOKUP($F330,Base_Dados!$K$1:$O$7,4,FALSE)," ","Limite "&amp;VLOOKUP($F330,Base_Dados!$K$1:$O$11,4,FALSE)&amp;" "&amp;VLOOKUP($F330,Base_Dados!$K$1:$O$11,2,FALSE))," ")</f>
        <v> </v>
      </c>
      <c r="P330" s="21" t="str">
        <f>IF(E330="Navio",IF($G330&lt;=VLOOKUP($F330,Base_Dados!$K$1:$O$7,5,FALSE)," ","Limite "&amp;VLOOKUP($F330,Base_Dados!$K$1:$O$11,5,FALSE)&amp;" "&amp;VLOOKUP($F330,Base_Dados!$K$1:$O$11,2,FALSE))," ")</f>
        <v> </v>
      </c>
      <c r="Q330" s="21" t="str">
        <f t="shared" si="2"/>
        <v/>
      </c>
      <c r="R330" s="1"/>
      <c r="S330" s="1"/>
      <c r="T330" s="1"/>
      <c r="U330" s="1"/>
      <c r="V330" s="1"/>
      <c r="W330" s="1"/>
      <c r="X330" s="1"/>
      <c r="Y330" s="1"/>
      <c r="Z330" s="1"/>
    </row>
    <row r="331" ht="24.0" customHeight="1">
      <c r="A331" s="18" t="s">
        <v>70</v>
      </c>
      <c r="B331" s="18" t="s">
        <v>35</v>
      </c>
      <c r="C331" s="19" t="s">
        <v>38</v>
      </c>
      <c r="D331" s="19" t="s">
        <v>72</v>
      </c>
      <c r="E331" s="19" t="s">
        <v>25</v>
      </c>
      <c r="F331" s="19" t="s">
        <v>42</v>
      </c>
      <c r="G331" s="20">
        <v>40311.0</v>
      </c>
      <c r="H331" s="19" t="s">
        <v>56</v>
      </c>
      <c r="I331" s="19" t="s">
        <v>63</v>
      </c>
      <c r="J331" s="13">
        <f>VLOOKUP(C331&amp;I331&amp;E331,Orig_Dest!$A$2:$E$1876,5,FALSE)</f>
        <v>2</v>
      </c>
      <c r="K331" s="14" t="str">
        <f t="shared" si="1"/>
        <v>Dia 14</v>
      </c>
      <c r="L331" s="21" t="str">
        <f>IF(B331="Fornecedor",IF(VLOOKUP(C331,Base_Dados!$E$1:$F$7,2,FALSE)=F331," ","Fornecedor inválido!")," ")</f>
        <v> </v>
      </c>
      <c r="M331" s="22" t="str">
        <f>IF(AND(LEFT(F331,2)="MP",H331&lt;&gt;Base_Dados!$A$1),"Impossível!!!"," ")</f>
        <v> </v>
      </c>
      <c r="N331" s="21" t="str">
        <f>IF(E331="Avião",IF($G331&lt;=VLOOKUP($F331,Base_Dados!$K$1:$O$7,3,FALSE)," ","Limite "&amp;VLOOKUP($F331,Base_Dados!$K$1:$O$11,3,FALSE)&amp;" "&amp;VLOOKUP($F331,Base_Dados!$K$1:$O$11,2,FALSE))," ")</f>
        <v> </v>
      </c>
      <c r="O331" s="21" t="str">
        <f>IF(E331="Caminhão",IF($G331&lt;=VLOOKUP($F331,Base_Dados!$K$1:$O$7,4,FALSE)," ","Limite "&amp;VLOOKUP($F331,Base_Dados!$K$1:$O$11,4,FALSE)&amp;" "&amp;VLOOKUP($F331,Base_Dados!$K$1:$O$11,2,FALSE))," ")</f>
        <v> </v>
      </c>
      <c r="P331" s="21" t="str">
        <f>IF(E331="Navio",IF($G331&lt;=VLOOKUP($F331,Base_Dados!$K$1:$O$7,5,FALSE)," ","Limite "&amp;VLOOKUP($F331,Base_Dados!$K$1:$O$11,5,FALSE)&amp;" "&amp;VLOOKUP($F331,Base_Dados!$K$1:$O$11,2,FALSE))," ")</f>
        <v> </v>
      </c>
      <c r="Q331" s="21" t="str">
        <f t="shared" si="2"/>
        <v/>
      </c>
      <c r="R331" s="1"/>
      <c r="S331" s="1"/>
      <c r="T331" s="1"/>
      <c r="U331" s="1"/>
      <c r="V331" s="1"/>
      <c r="W331" s="1"/>
      <c r="X331" s="1"/>
      <c r="Y331" s="1"/>
      <c r="Z331" s="1"/>
    </row>
    <row r="332" ht="24.0" customHeight="1">
      <c r="A332" s="18" t="s">
        <v>70</v>
      </c>
      <c r="B332" s="18" t="s">
        <v>35</v>
      </c>
      <c r="C332" s="19" t="s">
        <v>38</v>
      </c>
      <c r="D332" s="19" t="s">
        <v>73</v>
      </c>
      <c r="E332" s="19" t="s">
        <v>25</v>
      </c>
      <c r="F332" s="19" t="s">
        <v>42</v>
      </c>
      <c r="G332" s="20">
        <v>12093.0</v>
      </c>
      <c r="H332" s="19" t="s">
        <v>56</v>
      </c>
      <c r="I332" s="19" t="s">
        <v>52</v>
      </c>
      <c r="J332" s="13">
        <f>VLOOKUP(C332&amp;I332&amp;E332,Orig_Dest!$A$2:$E$1876,5,FALSE)</f>
        <v>1</v>
      </c>
      <c r="K332" s="14" t="str">
        <f t="shared" si="1"/>
        <v>Dia 14</v>
      </c>
      <c r="L332" s="21" t="str">
        <f>IF(B332="Fornecedor",IF(VLOOKUP(C332,Base_Dados!$E$1:$F$7,2,FALSE)=F332," ","Fornecedor inválido!")," ")</f>
        <v> </v>
      </c>
      <c r="M332" s="22" t="str">
        <f>IF(AND(LEFT(F332,2)="MP",H332&lt;&gt;Base_Dados!$A$1),"Impossível!!!"," ")</f>
        <v> </v>
      </c>
      <c r="N332" s="21" t="str">
        <f>IF(E332="Avião",IF($G332&lt;=VLOOKUP($F332,Base_Dados!$K$1:$O$7,3,FALSE)," ","Limite "&amp;VLOOKUP($F332,Base_Dados!$K$1:$O$11,3,FALSE)&amp;" "&amp;VLOOKUP($F332,Base_Dados!$K$1:$O$11,2,FALSE))," ")</f>
        <v> </v>
      </c>
      <c r="O332" s="21" t="str">
        <f>IF(E332="Caminhão",IF($G332&lt;=VLOOKUP($F332,Base_Dados!$K$1:$O$7,4,FALSE)," ","Limite "&amp;VLOOKUP($F332,Base_Dados!$K$1:$O$11,4,FALSE)&amp;" "&amp;VLOOKUP($F332,Base_Dados!$K$1:$O$11,2,FALSE))," ")</f>
        <v> </v>
      </c>
      <c r="P332" s="21" t="str">
        <f>IF(E332="Navio",IF($G332&lt;=VLOOKUP($F332,Base_Dados!$K$1:$O$7,5,FALSE)," ","Limite "&amp;VLOOKUP($F332,Base_Dados!$K$1:$O$11,5,FALSE)&amp;" "&amp;VLOOKUP($F332,Base_Dados!$K$1:$O$11,2,FALSE))," ")</f>
        <v> </v>
      </c>
      <c r="Q332" s="21" t="str">
        <f t="shared" si="2"/>
        <v/>
      </c>
      <c r="R332" s="1"/>
      <c r="S332" s="1"/>
      <c r="T332" s="1"/>
      <c r="U332" s="1"/>
      <c r="V332" s="1"/>
      <c r="W332" s="1"/>
      <c r="X332" s="1"/>
      <c r="Y332" s="1"/>
      <c r="Z332" s="1"/>
    </row>
    <row r="333" ht="24.0" customHeight="1">
      <c r="A333" s="18" t="s">
        <v>70</v>
      </c>
      <c r="B333" s="18" t="s">
        <v>35</v>
      </c>
      <c r="C333" s="19" t="s">
        <v>38</v>
      </c>
      <c r="D333" s="19" t="s">
        <v>79</v>
      </c>
      <c r="E333" s="19" t="s">
        <v>45</v>
      </c>
      <c r="F333" s="19" t="s">
        <v>42</v>
      </c>
      <c r="G333" s="20">
        <v>6666.0</v>
      </c>
      <c r="H333" s="19" t="s">
        <v>56</v>
      </c>
      <c r="I333" s="19" t="s">
        <v>60</v>
      </c>
      <c r="J333" s="13">
        <f>VLOOKUP(C333&amp;I333&amp;E333,Orig_Dest!$A$2:$E$1876,5,FALSE)</f>
        <v>0</v>
      </c>
      <c r="K333" s="14" t="str">
        <f t="shared" si="1"/>
        <v>Dia 15</v>
      </c>
      <c r="L333" s="21" t="str">
        <f>IF(B333="Fornecedor",IF(VLOOKUP(C333,Base_Dados!$E$1:$F$7,2,FALSE)=F333," ","Fornecedor inválido!")," ")</f>
        <v> </v>
      </c>
      <c r="M333" s="22" t="str">
        <f>IF(AND(LEFT(F333,2)="MP",H333&lt;&gt;Base_Dados!$A$1),"Impossível!!!"," ")</f>
        <v> </v>
      </c>
      <c r="N333" s="21" t="str">
        <f>IF(E333="Avião",IF($G333&lt;=VLOOKUP($F333,Base_Dados!$K$1:$O$7,3,FALSE)," ","Limite "&amp;VLOOKUP($F333,Base_Dados!$K$1:$O$11,3,FALSE)&amp;" "&amp;VLOOKUP($F333,Base_Dados!$K$1:$O$11,2,FALSE))," ")</f>
        <v> </v>
      </c>
      <c r="O333" s="21" t="str">
        <f>IF(E333="Caminhão",IF($G333&lt;=VLOOKUP($F333,Base_Dados!$K$1:$O$7,4,FALSE)," ","Limite "&amp;VLOOKUP($F333,Base_Dados!$K$1:$O$11,4,FALSE)&amp;" "&amp;VLOOKUP($F333,Base_Dados!$K$1:$O$11,2,FALSE))," ")</f>
        <v> </v>
      </c>
      <c r="P333" s="21" t="str">
        <f>IF(E333="Navio",IF($G333&lt;=VLOOKUP($F333,Base_Dados!$K$1:$O$7,5,FALSE)," ","Limite "&amp;VLOOKUP($F333,Base_Dados!$K$1:$O$11,5,FALSE)&amp;" "&amp;VLOOKUP($F333,Base_Dados!$K$1:$O$11,2,FALSE))," ")</f>
        <v> </v>
      </c>
      <c r="Q333" s="21" t="str">
        <f t="shared" si="2"/>
        <v/>
      </c>
      <c r="R333" s="1"/>
      <c r="S333" s="1"/>
      <c r="T333" s="1"/>
      <c r="U333" s="1"/>
      <c r="V333" s="1"/>
      <c r="W333" s="1"/>
      <c r="X333" s="1"/>
      <c r="Y333" s="1"/>
      <c r="Z333" s="1"/>
    </row>
    <row r="334" ht="24.0" customHeight="1">
      <c r="A334" s="18" t="s">
        <v>70</v>
      </c>
      <c r="B334" s="18" t="s">
        <v>35</v>
      </c>
      <c r="C334" s="19" t="s">
        <v>38</v>
      </c>
      <c r="D334" s="19" t="s">
        <v>79</v>
      </c>
      <c r="E334" s="19" t="s">
        <v>45</v>
      </c>
      <c r="F334" s="19" t="s">
        <v>42</v>
      </c>
      <c r="G334" s="20">
        <v>6666.0</v>
      </c>
      <c r="H334" s="19" t="s">
        <v>56</v>
      </c>
      <c r="I334" s="19" t="s">
        <v>60</v>
      </c>
      <c r="J334" s="13">
        <f>VLOOKUP(C334&amp;I334&amp;E334,Orig_Dest!$A$2:$E$1876,5,FALSE)</f>
        <v>0</v>
      </c>
      <c r="K334" s="14" t="str">
        <f t="shared" si="1"/>
        <v>Dia 15</v>
      </c>
      <c r="L334" s="21" t="str">
        <f>IF(B334="Fornecedor",IF(VLOOKUP(C334,Base_Dados!$E$1:$F$7,2,FALSE)=F334," ","Fornecedor inválido!")," ")</f>
        <v> </v>
      </c>
      <c r="M334" s="22" t="str">
        <f>IF(AND(LEFT(F334,2)="MP",H334&lt;&gt;Base_Dados!$A$1),"Impossível!!!"," ")</f>
        <v> </v>
      </c>
      <c r="N334" s="21" t="str">
        <f>IF(E334="Avião",IF($G334&lt;=VLOOKUP($F334,Base_Dados!$K$1:$O$7,3,FALSE)," ","Limite "&amp;VLOOKUP($F334,Base_Dados!$K$1:$O$11,3,FALSE)&amp;" "&amp;VLOOKUP($F334,Base_Dados!$K$1:$O$11,2,FALSE))," ")</f>
        <v> </v>
      </c>
      <c r="O334" s="21" t="str">
        <f>IF(E334="Caminhão",IF($G334&lt;=VLOOKUP($F334,Base_Dados!$K$1:$O$7,4,FALSE)," ","Limite "&amp;VLOOKUP($F334,Base_Dados!$K$1:$O$11,4,FALSE)&amp;" "&amp;VLOOKUP($F334,Base_Dados!$K$1:$O$11,2,FALSE))," ")</f>
        <v> </v>
      </c>
      <c r="P334" s="21" t="str">
        <f>IF(E334="Navio",IF($G334&lt;=VLOOKUP($F334,Base_Dados!$K$1:$O$7,5,FALSE)," ","Limite "&amp;VLOOKUP($F334,Base_Dados!$K$1:$O$11,5,FALSE)&amp;" "&amp;VLOOKUP($F334,Base_Dados!$K$1:$O$11,2,FALSE))," ")</f>
        <v> </v>
      </c>
      <c r="Q334" s="21" t="str">
        <f t="shared" si="2"/>
        <v/>
      </c>
      <c r="R334" s="1"/>
      <c r="S334" s="1"/>
      <c r="T334" s="1"/>
      <c r="U334" s="1"/>
      <c r="V334" s="1"/>
      <c r="W334" s="1"/>
      <c r="X334" s="1"/>
      <c r="Y334" s="1"/>
      <c r="Z334" s="1"/>
    </row>
    <row r="335" ht="24.0" customHeight="1">
      <c r="A335" s="18" t="s">
        <v>70</v>
      </c>
      <c r="B335" s="18" t="s">
        <v>35</v>
      </c>
      <c r="C335" s="19" t="s">
        <v>38</v>
      </c>
      <c r="D335" s="19" t="s">
        <v>79</v>
      </c>
      <c r="E335" s="19" t="s">
        <v>45</v>
      </c>
      <c r="F335" s="19" t="s">
        <v>42</v>
      </c>
      <c r="G335" s="20">
        <v>6666.0</v>
      </c>
      <c r="H335" s="19" t="s">
        <v>56</v>
      </c>
      <c r="I335" s="19" t="s">
        <v>60</v>
      </c>
      <c r="J335" s="13">
        <f>VLOOKUP(C335&amp;I335&amp;E335,Orig_Dest!$A$2:$E$1876,5,FALSE)</f>
        <v>0</v>
      </c>
      <c r="K335" s="14" t="str">
        <f t="shared" si="1"/>
        <v>Dia 15</v>
      </c>
      <c r="L335" s="21" t="str">
        <f>IF(B335="Fornecedor",IF(VLOOKUP(C335,Base_Dados!$E$1:$F$7,2,FALSE)=F335," ","Fornecedor inválido!")," ")</f>
        <v> </v>
      </c>
      <c r="M335" s="22" t="str">
        <f>IF(AND(LEFT(F335,2)="MP",H335&lt;&gt;Base_Dados!$A$1),"Impossível!!!"," ")</f>
        <v> </v>
      </c>
      <c r="N335" s="21" t="str">
        <f>IF(E335="Avião",IF($G335&lt;=VLOOKUP($F335,Base_Dados!$K$1:$O$7,3,FALSE)," ","Limite "&amp;VLOOKUP($F335,Base_Dados!$K$1:$O$11,3,FALSE)&amp;" "&amp;VLOOKUP($F335,Base_Dados!$K$1:$O$11,2,FALSE))," ")</f>
        <v> </v>
      </c>
      <c r="O335" s="21" t="str">
        <f>IF(E335="Caminhão",IF($G335&lt;=VLOOKUP($F335,Base_Dados!$K$1:$O$7,4,FALSE)," ","Limite "&amp;VLOOKUP($F335,Base_Dados!$K$1:$O$11,4,FALSE)&amp;" "&amp;VLOOKUP($F335,Base_Dados!$K$1:$O$11,2,FALSE))," ")</f>
        <v> </v>
      </c>
      <c r="P335" s="21" t="str">
        <f>IF(E335="Navio",IF($G335&lt;=VLOOKUP($F335,Base_Dados!$K$1:$O$7,5,FALSE)," ","Limite "&amp;VLOOKUP($F335,Base_Dados!$K$1:$O$11,5,FALSE)&amp;" "&amp;VLOOKUP($F335,Base_Dados!$K$1:$O$11,2,FALSE))," ")</f>
        <v> </v>
      </c>
      <c r="Q335" s="21" t="str">
        <f t="shared" si="2"/>
        <v/>
      </c>
      <c r="R335" s="1"/>
      <c r="S335" s="1"/>
      <c r="T335" s="1"/>
      <c r="U335" s="1"/>
      <c r="V335" s="1"/>
      <c r="W335" s="1"/>
      <c r="X335" s="1"/>
      <c r="Y335" s="1"/>
      <c r="Z335" s="1"/>
    </row>
    <row r="336" ht="24.0" customHeight="1">
      <c r="A336" s="18" t="s">
        <v>70</v>
      </c>
      <c r="B336" s="18" t="s">
        <v>35</v>
      </c>
      <c r="C336" s="19" t="s">
        <v>38</v>
      </c>
      <c r="D336" s="19" t="s">
        <v>79</v>
      </c>
      <c r="E336" s="19" t="s">
        <v>45</v>
      </c>
      <c r="F336" s="19" t="s">
        <v>42</v>
      </c>
      <c r="G336" s="20">
        <v>6666.0</v>
      </c>
      <c r="H336" s="19" t="s">
        <v>56</v>
      </c>
      <c r="I336" s="19" t="s">
        <v>60</v>
      </c>
      <c r="J336" s="13">
        <f>VLOOKUP(C336&amp;I336&amp;E336,Orig_Dest!$A$2:$E$1876,5,FALSE)</f>
        <v>0</v>
      </c>
      <c r="K336" s="14" t="str">
        <f t="shared" si="1"/>
        <v>Dia 15</v>
      </c>
      <c r="L336" s="21" t="str">
        <f>IF(B336="Fornecedor",IF(VLOOKUP(C336,Base_Dados!$E$1:$F$7,2,FALSE)=F336," ","Fornecedor inválido!")," ")</f>
        <v> </v>
      </c>
      <c r="M336" s="22" t="str">
        <f>IF(AND(LEFT(F336,2)="MP",H336&lt;&gt;Base_Dados!$A$1),"Impossível!!!"," ")</f>
        <v> </v>
      </c>
      <c r="N336" s="21" t="str">
        <f>IF(E336="Avião",IF($G336&lt;=VLOOKUP($F336,Base_Dados!$K$1:$O$7,3,FALSE)," ","Limite "&amp;VLOOKUP($F336,Base_Dados!$K$1:$O$11,3,FALSE)&amp;" "&amp;VLOOKUP($F336,Base_Dados!$K$1:$O$11,2,FALSE))," ")</f>
        <v> </v>
      </c>
      <c r="O336" s="21" t="str">
        <f>IF(E336="Caminhão",IF($G336&lt;=VLOOKUP($F336,Base_Dados!$K$1:$O$7,4,FALSE)," ","Limite "&amp;VLOOKUP($F336,Base_Dados!$K$1:$O$11,4,FALSE)&amp;" "&amp;VLOOKUP($F336,Base_Dados!$K$1:$O$11,2,FALSE))," ")</f>
        <v> </v>
      </c>
      <c r="P336" s="21" t="str">
        <f>IF(E336="Navio",IF($G336&lt;=VLOOKUP($F336,Base_Dados!$K$1:$O$7,5,FALSE)," ","Limite "&amp;VLOOKUP($F336,Base_Dados!$K$1:$O$11,5,FALSE)&amp;" "&amp;VLOOKUP($F336,Base_Dados!$K$1:$O$11,2,FALSE))," ")</f>
        <v> </v>
      </c>
      <c r="Q336" s="21" t="str">
        <f t="shared" si="2"/>
        <v/>
      </c>
      <c r="R336" s="1"/>
      <c r="S336" s="1"/>
      <c r="T336" s="1"/>
      <c r="U336" s="1"/>
      <c r="V336" s="1"/>
      <c r="W336" s="1"/>
      <c r="X336" s="1"/>
      <c r="Y336" s="1"/>
      <c r="Z336" s="1"/>
    </row>
    <row r="337" ht="24.0" customHeight="1">
      <c r="A337" s="18" t="s">
        <v>70</v>
      </c>
      <c r="B337" s="18" t="s">
        <v>35</v>
      </c>
      <c r="C337" s="19" t="s">
        <v>38</v>
      </c>
      <c r="D337" s="19" t="s">
        <v>79</v>
      </c>
      <c r="E337" s="19" t="s">
        <v>45</v>
      </c>
      <c r="F337" s="19" t="s">
        <v>42</v>
      </c>
      <c r="G337" s="20">
        <v>6666.0</v>
      </c>
      <c r="H337" s="19" t="s">
        <v>56</v>
      </c>
      <c r="I337" s="19" t="s">
        <v>60</v>
      </c>
      <c r="J337" s="13">
        <f>VLOOKUP(C337&amp;I337&amp;E337,Orig_Dest!$A$2:$E$1876,5,FALSE)</f>
        <v>0</v>
      </c>
      <c r="K337" s="14" t="str">
        <f t="shared" si="1"/>
        <v>Dia 15</v>
      </c>
      <c r="L337" s="21" t="str">
        <f>IF(B337="Fornecedor",IF(VLOOKUP(C337,Base_Dados!$E$1:$F$7,2,FALSE)=F337," ","Fornecedor inválido!")," ")</f>
        <v> </v>
      </c>
      <c r="M337" s="22" t="str">
        <f>IF(AND(LEFT(F337,2)="MP",H337&lt;&gt;Base_Dados!$A$1),"Impossível!!!"," ")</f>
        <v> </v>
      </c>
      <c r="N337" s="21" t="str">
        <f>IF(E337="Avião",IF($G337&lt;=VLOOKUP($F337,Base_Dados!$K$1:$O$7,3,FALSE)," ","Limite "&amp;VLOOKUP($F337,Base_Dados!$K$1:$O$11,3,FALSE)&amp;" "&amp;VLOOKUP($F337,Base_Dados!$K$1:$O$11,2,FALSE))," ")</f>
        <v> </v>
      </c>
      <c r="O337" s="21" t="str">
        <f>IF(E337="Caminhão",IF($G337&lt;=VLOOKUP($F337,Base_Dados!$K$1:$O$7,4,FALSE)," ","Limite "&amp;VLOOKUP($F337,Base_Dados!$K$1:$O$11,4,FALSE)&amp;" "&amp;VLOOKUP($F337,Base_Dados!$K$1:$O$11,2,FALSE))," ")</f>
        <v> </v>
      </c>
      <c r="P337" s="21" t="str">
        <f>IF(E337="Navio",IF($G337&lt;=VLOOKUP($F337,Base_Dados!$K$1:$O$7,5,FALSE)," ","Limite "&amp;VLOOKUP($F337,Base_Dados!$K$1:$O$11,5,FALSE)&amp;" "&amp;VLOOKUP($F337,Base_Dados!$K$1:$O$11,2,FALSE))," ")</f>
        <v> </v>
      </c>
      <c r="Q337" s="21" t="str">
        <f t="shared" si="2"/>
        <v/>
      </c>
      <c r="R337" s="1"/>
      <c r="S337" s="1"/>
      <c r="T337" s="1"/>
      <c r="U337" s="1"/>
      <c r="V337" s="1"/>
      <c r="W337" s="1"/>
      <c r="X337" s="1"/>
      <c r="Y337" s="1"/>
      <c r="Z337" s="1"/>
    </row>
    <row r="338" ht="24.0" customHeight="1">
      <c r="A338" s="18" t="s">
        <v>70</v>
      </c>
      <c r="B338" s="18" t="s">
        <v>35</v>
      </c>
      <c r="C338" s="19" t="s">
        <v>38</v>
      </c>
      <c r="D338" s="19" t="s">
        <v>79</v>
      </c>
      <c r="E338" s="19" t="s">
        <v>45</v>
      </c>
      <c r="F338" s="19" t="s">
        <v>42</v>
      </c>
      <c r="G338" s="20">
        <v>6666.0</v>
      </c>
      <c r="H338" s="19" t="s">
        <v>56</v>
      </c>
      <c r="I338" s="19" t="s">
        <v>60</v>
      </c>
      <c r="J338" s="13">
        <f>VLOOKUP(C338&amp;I338&amp;E338,Orig_Dest!$A$2:$E$1876,5,FALSE)</f>
        <v>0</v>
      </c>
      <c r="K338" s="14" t="str">
        <f t="shared" si="1"/>
        <v>Dia 15</v>
      </c>
      <c r="L338" s="21" t="str">
        <f>IF(B338="Fornecedor",IF(VLOOKUP(C338,Base_Dados!$E$1:$F$7,2,FALSE)=F338," ","Fornecedor inválido!")," ")</f>
        <v> </v>
      </c>
      <c r="M338" s="22" t="str">
        <f>IF(AND(LEFT(F338,2)="MP",H338&lt;&gt;Base_Dados!$A$1),"Impossível!!!"," ")</f>
        <v> </v>
      </c>
      <c r="N338" s="21" t="str">
        <f>IF(E338="Avião",IF($G338&lt;=VLOOKUP($F338,Base_Dados!$K$1:$O$7,3,FALSE)," ","Limite "&amp;VLOOKUP($F338,Base_Dados!$K$1:$O$11,3,FALSE)&amp;" "&amp;VLOOKUP($F338,Base_Dados!$K$1:$O$11,2,FALSE))," ")</f>
        <v> </v>
      </c>
      <c r="O338" s="21" t="str">
        <f>IF(E338="Caminhão",IF($G338&lt;=VLOOKUP($F338,Base_Dados!$K$1:$O$7,4,FALSE)," ","Limite "&amp;VLOOKUP($F338,Base_Dados!$K$1:$O$11,4,FALSE)&amp;" "&amp;VLOOKUP($F338,Base_Dados!$K$1:$O$11,2,FALSE))," ")</f>
        <v> </v>
      </c>
      <c r="P338" s="21" t="str">
        <f>IF(E338="Navio",IF($G338&lt;=VLOOKUP($F338,Base_Dados!$K$1:$O$7,5,FALSE)," ","Limite "&amp;VLOOKUP($F338,Base_Dados!$K$1:$O$11,5,FALSE)&amp;" "&amp;VLOOKUP($F338,Base_Dados!$K$1:$O$11,2,FALSE))," ")</f>
        <v> </v>
      </c>
      <c r="Q338" s="21" t="str">
        <f t="shared" si="2"/>
        <v/>
      </c>
      <c r="R338" s="1"/>
      <c r="S338" s="1"/>
      <c r="T338" s="1"/>
      <c r="U338" s="1"/>
      <c r="V338" s="1"/>
      <c r="W338" s="1"/>
      <c r="X338" s="1"/>
      <c r="Y338" s="1"/>
      <c r="Z338" s="1"/>
    </row>
    <row r="339" ht="24.0" customHeight="1">
      <c r="A339" s="18" t="s">
        <v>70</v>
      </c>
      <c r="B339" s="18" t="s">
        <v>35</v>
      </c>
      <c r="C339" s="19" t="s">
        <v>38</v>
      </c>
      <c r="D339" s="19" t="s">
        <v>79</v>
      </c>
      <c r="E339" s="19" t="s">
        <v>45</v>
      </c>
      <c r="F339" s="19" t="s">
        <v>42</v>
      </c>
      <c r="G339" s="20">
        <v>6666.0</v>
      </c>
      <c r="H339" s="19" t="s">
        <v>56</v>
      </c>
      <c r="I339" s="19" t="s">
        <v>60</v>
      </c>
      <c r="J339" s="13">
        <f>VLOOKUP(C339&amp;I339&amp;E339,Orig_Dest!$A$2:$E$1876,5,FALSE)</f>
        <v>0</v>
      </c>
      <c r="K339" s="14" t="str">
        <f t="shared" si="1"/>
        <v>Dia 15</v>
      </c>
      <c r="L339" s="21" t="str">
        <f>IF(B339="Fornecedor",IF(VLOOKUP(C339,Base_Dados!$E$1:$F$7,2,FALSE)=F339," ","Fornecedor inválido!")," ")</f>
        <v> </v>
      </c>
      <c r="M339" s="22" t="str">
        <f>IF(AND(LEFT(F339,2)="MP",H339&lt;&gt;Base_Dados!$A$1),"Impossível!!!"," ")</f>
        <v> </v>
      </c>
      <c r="N339" s="21" t="str">
        <f>IF(E339="Avião",IF($G339&lt;=VLOOKUP($F339,Base_Dados!$K$1:$O$7,3,FALSE)," ","Limite "&amp;VLOOKUP($F339,Base_Dados!$K$1:$O$11,3,FALSE)&amp;" "&amp;VLOOKUP($F339,Base_Dados!$K$1:$O$11,2,FALSE))," ")</f>
        <v> </v>
      </c>
      <c r="O339" s="21" t="str">
        <f>IF(E339="Caminhão",IF($G339&lt;=VLOOKUP($F339,Base_Dados!$K$1:$O$7,4,FALSE)," ","Limite "&amp;VLOOKUP($F339,Base_Dados!$K$1:$O$11,4,FALSE)&amp;" "&amp;VLOOKUP($F339,Base_Dados!$K$1:$O$11,2,FALSE))," ")</f>
        <v> </v>
      </c>
      <c r="P339" s="21" t="str">
        <f>IF(E339="Navio",IF($G339&lt;=VLOOKUP($F339,Base_Dados!$K$1:$O$7,5,FALSE)," ","Limite "&amp;VLOOKUP($F339,Base_Dados!$K$1:$O$11,5,FALSE)&amp;" "&amp;VLOOKUP($F339,Base_Dados!$K$1:$O$11,2,FALSE))," ")</f>
        <v> </v>
      </c>
      <c r="Q339" s="21" t="str">
        <f t="shared" si="2"/>
        <v/>
      </c>
      <c r="R339" s="1"/>
      <c r="S339" s="1"/>
      <c r="T339" s="1"/>
      <c r="U339" s="1"/>
      <c r="V339" s="1"/>
      <c r="W339" s="1"/>
      <c r="X339" s="1"/>
      <c r="Y339" s="1"/>
      <c r="Z339" s="1"/>
    </row>
    <row r="340" ht="24.0" customHeight="1">
      <c r="A340" s="18" t="s">
        <v>70</v>
      </c>
      <c r="B340" s="18" t="s">
        <v>35</v>
      </c>
      <c r="C340" s="19" t="s">
        <v>38</v>
      </c>
      <c r="D340" s="19" t="s">
        <v>79</v>
      </c>
      <c r="E340" s="19" t="s">
        <v>45</v>
      </c>
      <c r="F340" s="19" t="s">
        <v>42</v>
      </c>
      <c r="G340" s="20">
        <v>6666.0</v>
      </c>
      <c r="H340" s="19" t="s">
        <v>56</v>
      </c>
      <c r="I340" s="19" t="s">
        <v>60</v>
      </c>
      <c r="J340" s="13">
        <f>VLOOKUP(C340&amp;I340&amp;E340,Orig_Dest!$A$2:$E$1876,5,FALSE)</f>
        <v>0</v>
      </c>
      <c r="K340" s="14" t="str">
        <f t="shared" si="1"/>
        <v>Dia 15</v>
      </c>
      <c r="L340" s="21" t="str">
        <f>IF(B340="Fornecedor",IF(VLOOKUP(C340,Base_Dados!$E$1:$F$7,2,FALSE)=F340," ","Fornecedor inválido!")," ")</f>
        <v> </v>
      </c>
      <c r="M340" s="22" t="str">
        <f>IF(AND(LEFT(F340,2)="MP",H340&lt;&gt;Base_Dados!$A$1),"Impossível!!!"," ")</f>
        <v> </v>
      </c>
      <c r="N340" s="21" t="str">
        <f>IF(E340="Avião",IF($G340&lt;=VLOOKUP($F340,Base_Dados!$K$1:$O$7,3,FALSE)," ","Limite "&amp;VLOOKUP($F340,Base_Dados!$K$1:$O$11,3,FALSE)&amp;" "&amp;VLOOKUP($F340,Base_Dados!$K$1:$O$11,2,FALSE))," ")</f>
        <v> </v>
      </c>
      <c r="O340" s="21" t="str">
        <f>IF(E340="Caminhão",IF($G340&lt;=VLOOKUP($F340,Base_Dados!$K$1:$O$7,4,FALSE)," ","Limite "&amp;VLOOKUP($F340,Base_Dados!$K$1:$O$11,4,FALSE)&amp;" "&amp;VLOOKUP($F340,Base_Dados!$K$1:$O$11,2,FALSE))," ")</f>
        <v> </v>
      </c>
      <c r="P340" s="21" t="str">
        <f>IF(E340="Navio",IF($G340&lt;=VLOOKUP($F340,Base_Dados!$K$1:$O$7,5,FALSE)," ","Limite "&amp;VLOOKUP($F340,Base_Dados!$K$1:$O$11,5,FALSE)&amp;" "&amp;VLOOKUP($F340,Base_Dados!$K$1:$O$11,2,FALSE))," ")</f>
        <v> </v>
      </c>
      <c r="Q340" s="21" t="str">
        <f t="shared" si="2"/>
        <v/>
      </c>
      <c r="R340" s="1"/>
      <c r="S340" s="1"/>
      <c r="T340" s="1"/>
      <c r="U340" s="1"/>
      <c r="V340" s="1"/>
      <c r="W340" s="1"/>
      <c r="X340" s="1"/>
      <c r="Y340" s="1"/>
      <c r="Z340" s="1"/>
    </row>
    <row r="341" ht="24.0" customHeight="1">
      <c r="A341" s="18" t="s">
        <v>70</v>
      </c>
      <c r="B341" s="18" t="s">
        <v>35</v>
      </c>
      <c r="C341" s="19" t="s">
        <v>38</v>
      </c>
      <c r="D341" s="19" t="s">
        <v>79</v>
      </c>
      <c r="E341" s="19" t="s">
        <v>45</v>
      </c>
      <c r="F341" s="19" t="s">
        <v>42</v>
      </c>
      <c r="G341" s="20">
        <v>6666.0</v>
      </c>
      <c r="H341" s="19" t="s">
        <v>56</v>
      </c>
      <c r="I341" s="19" t="s">
        <v>60</v>
      </c>
      <c r="J341" s="13">
        <f>VLOOKUP(C341&amp;I341&amp;E341,Orig_Dest!$A$2:$E$1876,5,FALSE)</f>
        <v>0</v>
      </c>
      <c r="K341" s="14" t="str">
        <f t="shared" si="1"/>
        <v>Dia 15</v>
      </c>
      <c r="L341" s="21" t="str">
        <f>IF(B341="Fornecedor",IF(VLOOKUP(C341,Base_Dados!$E$1:$F$7,2,FALSE)=F341," ","Fornecedor inválido!")," ")</f>
        <v> </v>
      </c>
      <c r="M341" s="22" t="str">
        <f>IF(AND(LEFT(F341,2)="MP",H341&lt;&gt;Base_Dados!$A$1),"Impossível!!!"," ")</f>
        <v> </v>
      </c>
      <c r="N341" s="21" t="str">
        <f>IF(E341="Avião",IF($G341&lt;=VLOOKUP($F341,Base_Dados!$K$1:$O$7,3,FALSE)," ","Limite "&amp;VLOOKUP($F341,Base_Dados!$K$1:$O$11,3,FALSE)&amp;" "&amp;VLOOKUP($F341,Base_Dados!$K$1:$O$11,2,FALSE))," ")</f>
        <v> </v>
      </c>
      <c r="O341" s="21" t="str">
        <f>IF(E341="Caminhão",IF($G341&lt;=VLOOKUP($F341,Base_Dados!$K$1:$O$7,4,FALSE)," ","Limite "&amp;VLOOKUP($F341,Base_Dados!$K$1:$O$11,4,FALSE)&amp;" "&amp;VLOOKUP($F341,Base_Dados!$K$1:$O$11,2,FALSE))," ")</f>
        <v> </v>
      </c>
      <c r="P341" s="21" t="str">
        <f>IF(E341="Navio",IF($G341&lt;=VLOOKUP($F341,Base_Dados!$K$1:$O$7,5,FALSE)," ","Limite "&amp;VLOOKUP($F341,Base_Dados!$K$1:$O$11,5,FALSE)&amp;" "&amp;VLOOKUP($F341,Base_Dados!$K$1:$O$11,2,FALSE))," ")</f>
        <v> </v>
      </c>
      <c r="Q341" s="21" t="str">
        <f t="shared" si="2"/>
        <v/>
      </c>
      <c r="R341" s="1"/>
      <c r="S341" s="1"/>
      <c r="T341" s="1"/>
      <c r="U341" s="1"/>
      <c r="V341" s="1"/>
      <c r="W341" s="1"/>
      <c r="X341" s="1"/>
      <c r="Y341" s="1"/>
      <c r="Z341" s="1"/>
    </row>
    <row r="342" ht="24.0" customHeight="1">
      <c r="A342" s="18" t="s">
        <v>70</v>
      </c>
      <c r="B342" s="18" t="s">
        <v>35</v>
      </c>
      <c r="C342" s="19" t="s">
        <v>38</v>
      </c>
      <c r="D342" s="19" t="s">
        <v>79</v>
      </c>
      <c r="E342" s="19" t="s">
        <v>45</v>
      </c>
      <c r="F342" s="19" t="s">
        <v>42</v>
      </c>
      <c r="G342" s="20">
        <v>6666.0</v>
      </c>
      <c r="H342" s="19" t="s">
        <v>56</v>
      </c>
      <c r="I342" s="19" t="s">
        <v>60</v>
      </c>
      <c r="J342" s="13">
        <f>VLOOKUP(C342&amp;I342&amp;E342,Orig_Dest!$A$2:$E$1876,5,FALSE)</f>
        <v>0</v>
      </c>
      <c r="K342" s="14" t="str">
        <f t="shared" si="1"/>
        <v>Dia 15</v>
      </c>
      <c r="L342" s="21" t="str">
        <f>IF(B342="Fornecedor",IF(VLOOKUP(C342,Base_Dados!$E$1:$F$7,2,FALSE)=F342," ","Fornecedor inválido!")," ")</f>
        <v> </v>
      </c>
      <c r="M342" s="22" t="str">
        <f>IF(AND(LEFT(F342,2)="MP",H342&lt;&gt;Base_Dados!$A$1),"Impossível!!!"," ")</f>
        <v> </v>
      </c>
      <c r="N342" s="21" t="str">
        <f>IF(E342="Avião",IF($G342&lt;=VLOOKUP($F342,Base_Dados!$K$1:$O$7,3,FALSE)," ","Limite "&amp;VLOOKUP($F342,Base_Dados!$K$1:$O$11,3,FALSE)&amp;" "&amp;VLOOKUP($F342,Base_Dados!$K$1:$O$11,2,FALSE))," ")</f>
        <v> </v>
      </c>
      <c r="O342" s="21" t="str">
        <f>IF(E342="Caminhão",IF($G342&lt;=VLOOKUP($F342,Base_Dados!$K$1:$O$7,4,FALSE)," ","Limite "&amp;VLOOKUP($F342,Base_Dados!$K$1:$O$11,4,FALSE)&amp;" "&amp;VLOOKUP($F342,Base_Dados!$K$1:$O$11,2,FALSE))," ")</f>
        <v> </v>
      </c>
      <c r="P342" s="21" t="str">
        <f>IF(E342="Navio",IF($G342&lt;=VLOOKUP($F342,Base_Dados!$K$1:$O$7,5,FALSE)," ","Limite "&amp;VLOOKUP($F342,Base_Dados!$K$1:$O$11,5,FALSE)&amp;" "&amp;VLOOKUP($F342,Base_Dados!$K$1:$O$11,2,FALSE))," ")</f>
        <v> </v>
      </c>
      <c r="Q342" s="21" t="str">
        <f t="shared" si="2"/>
        <v/>
      </c>
      <c r="R342" s="1"/>
      <c r="S342" s="1"/>
      <c r="T342" s="1"/>
      <c r="U342" s="1"/>
      <c r="V342" s="1"/>
      <c r="W342" s="1"/>
      <c r="X342" s="1"/>
      <c r="Y342" s="1"/>
      <c r="Z342" s="1"/>
    </row>
    <row r="343" ht="24.0" customHeight="1">
      <c r="A343" s="18" t="s">
        <v>70</v>
      </c>
      <c r="B343" s="18" t="s">
        <v>35</v>
      </c>
      <c r="C343" s="19" t="s">
        <v>38</v>
      </c>
      <c r="D343" s="19" t="s">
        <v>79</v>
      </c>
      <c r="E343" s="19" t="s">
        <v>45</v>
      </c>
      <c r="F343" s="19" t="s">
        <v>42</v>
      </c>
      <c r="G343" s="20">
        <v>1868.0</v>
      </c>
      <c r="H343" s="19" t="s">
        <v>56</v>
      </c>
      <c r="I343" s="19" t="s">
        <v>60</v>
      </c>
      <c r="J343" s="13">
        <f>VLOOKUP(C343&amp;I343&amp;E343,Orig_Dest!$A$2:$E$1876,5,FALSE)</f>
        <v>0</v>
      </c>
      <c r="K343" s="14" t="str">
        <f t="shared" si="1"/>
        <v>Dia 15</v>
      </c>
      <c r="L343" s="21" t="str">
        <f>IF(B343="Fornecedor",IF(VLOOKUP(C343,Base_Dados!$E$1:$F$7,2,FALSE)=F343," ","Fornecedor inválido!")," ")</f>
        <v> </v>
      </c>
      <c r="M343" s="22" t="str">
        <f>IF(AND(LEFT(F343,2)="MP",H343&lt;&gt;Base_Dados!$A$1),"Impossível!!!"," ")</f>
        <v> </v>
      </c>
      <c r="N343" s="21" t="str">
        <f>IF(E343="Avião",IF($G343&lt;=VLOOKUP($F343,Base_Dados!$K$1:$O$7,3,FALSE)," ","Limite "&amp;VLOOKUP($F343,Base_Dados!$K$1:$O$11,3,FALSE)&amp;" "&amp;VLOOKUP($F343,Base_Dados!$K$1:$O$11,2,FALSE))," ")</f>
        <v> </v>
      </c>
      <c r="O343" s="21" t="str">
        <f>IF(E343="Caminhão",IF($G343&lt;=VLOOKUP($F343,Base_Dados!$K$1:$O$7,4,FALSE)," ","Limite "&amp;VLOOKUP($F343,Base_Dados!$K$1:$O$11,4,FALSE)&amp;" "&amp;VLOOKUP($F343,Base_Dados!$K$1:$O$11,2,FALSE))," ")</f>
        <v> </v>
      </c>
      <c r="P343" s="21" t="str">
        <f>IF(E343="Navio",IF($G343&lt;=VLOOKUP($F343,Base_Dados!$K$1:$O$7,5,FALSE)," ","Limite "&amp;VLOOKUP($F343,Base_Dados!$K$1:$O$11,5,FALSE)&amp;" "&amp;VLOOKUP($F343,Base_Dados!$K$1:$O$11,2,FALSE))," ")</f>
        <v> </v>
      </c>
      <c r="Q343" s="21" t="str">
        <f t="shared" si="2"/>
        <v/>
      </c>
      <c r="R343" s="1"/>
      <c r="S343" s="1"/>
      <c r="T343" s="1"/>
      <c r="U343" s="1"/>
      <c r="V343" s="1"/>
      <c r="W343" s="1"/>
      <c r="X343" s="1"/>
      <c r="Y343" s="1"/>
      <c r="Z343" s="1"/>
    </row>
    <row r="344" ht="24.0" customHeight="1">
      <c r="A344" s="18" t="s">
        <v>70</v>
      </c>
      <c r="B344" s="18" t="s">
        <v>35</v>
      </c>
      <c r="C344" s="19" t="s">
        <v>38</v>
      </c>
      <c r="D344" s="19" t="s">
        <v>79</v>
      </c>
      <c r="E344" s="19" t="s">
        <v>45</v>
      </c>
      <c r="F344" s="19" t="s">
        <v>42</v>
      </c>
      <c r="G344" s="20">
        <v>6666.0</v>
      </c>
      <c r="H344" s="19" t="s">
        <v>56</v>
      </c>
      <c r="I344" s="19" t="s">
        <v>64</v>
      </c>
      <c r="J344" s="13">
        <f>VLOOKUP(C344&amp;I344&amp;E344,Orig_Dest!$A$2:$E$1876,5,FALSE)</f>
        <v>0</v>
      </c>
      <c r="K344" s="14" t="str">
        <f t="shared" si="1"/>
        <v>Dia 15</v>
      </c>
      <c r="L344" s="21" t="str">
        <f>IF(B344="Fornecedor",IF(VLOOKUP(C344,Base_Dados!$E$1:$F$7,2,FALSE)=F344," ","Fornecedor inválido!")," ")</f>
        <v> </v>
      </c>
      <c r="M344" s="22" t="str">
        <f>IF(AND(LEFT(F344,2)="MP",H344&lt;&gt;Base_Dados!$A$1),"Impossível!!!"," ")</f>
        <v> </v>
      </c>
      <c r="N344" s="21" t="str">
        <f>IF(E344="Avião",IF($G344&lt;=VLOOKUP($F344,Base_Dados!$K$1:$O$7,3,FALSE)," ","Limite "&amp;VLOOKUP($F344,Base_Dados!$K$1:$O$11,3,FALSE)&amp;" "&amp;VLOOKUP($F344,Base_Dados!$K$1:$O$11,2,FALSE))," ")</f>
        <v> </v>
      </c>
      <c r="O344" s="21" t="str">
        <f>IF(E344="Caminhão",IF($G344&lt;=VLOOKUP($F344,Base_Dados!$K$1:$O$7,4,FALSE)," ","Limite "&amp;VLOOKUP($F344,Base_Dados!$K$1:$O$11,4,FALSE)&amp;" "&amp;VLOOKUP($F344,Base_Dados!$K$1:$O$11,2,FALSE))," ")</f>
        <v> </v>
      </c>
      <c r="P344" s="21" t="str">
        <f>IF(E344="Navio",IF($G344&lt;=VLOOKUP($F344,Base_Dados!$K$1:$O$7,5,FALSE)," ","Limite "&amp;VLOOKUP($F344,Base_Dados!$K$1:$O$11,5,FALSE)&amp;" "&amp;VLOOKUP($F344,Base_Dados!$K$1:$O$11,2,FALSE))," ")</f>
        <v> </v>
      </c>
      <c r="Q344" s="21" t="str">
        <f t="shared" si="2"/>
        <v/>
      </c>
      <c r="R344" s="1"/>
      <c r="S344" s="1"/>
      <c r="T344" s="1"/>
      <c r="U344" s="1"/>
      <c r="V344" s="1"/>
      <c r="W344" s="1"/>
      <c r="X344" s="1"/>
      <c r="Y344" s="1"/>
      <c r="Z344" s="1"/>
    </row>
    <row r="345" ht="24.0" customHeight="1">
      <c r="A345" s="18" t="s">
        <v>70</v>
      </c>
      <c r="B345" s="18" t="s">
        <v>35</v>
      </c>
      <c r="C345" s="19" t="s">
        <v>38</v>
      </c>
      <c r="D345" s="19" t="s">
        <v>79</v>
      </c>
      <c r="E345" s="19" t="s">
        <v>45</v>
      </c>
      <c r="F345" s="19" t="s">
        <v>42</v>
      </c>
      <c r="G345" s="20">
        <v>6666.0</v>
      </c>
      <c r="H345" s="19" t="s">
        <v>56</v>
      </c>
      <c r="I345" s="19" t="s">
        <v>64</v>
      </c>
      <c r="J345" s="13">
        <f>VLOOKUP(C345&amp;I345&amp;E345,Orig_Dest!$A$2:$E$1876,5,FALSE)</f>
        <v>0</v>
      </c>
      <c r="K345" s="14" t="str">
        <f t="shared" si="1"/>
        <v>Dia 15</v>
      </c>
      <c r="L345" s="21" t="str">
        <f>IF(B345="Fornecedor",IF(VLOOKUP(C345,Base_Dados!$E$1:$F$7,2,FALSE)=F345," ","Fornecedor inválido!")," ")</f>
        <v> </v>
      </c>
      <c r="M345" s="22" t="str">
        <f>IF(AND(LEFT(F345,2)="MP",H345&lt;&gt;Base_Dados!$A$1),"Impossível!!!"," ")</f>
        <v> </v>
      </c>
      <c r="N345" s="21" t="str">
        <f>IF(E345="Avião",IF($G345&lt;=VLOOKUP($F345,Base_Dados!$K$1:$O$7,3,FALSE)," ","Limite "&amp;VLOOKUP($F345,Base_Dados!$K$1:$O$11,3,FALSE)&amp;" "&amp;VLOOKUP($F345,Base_Dados!$K$1:$O$11,2,FALSE))," ")</f>
        <v> </v>
      </c>
      <c r="O345" s="21" t="str">
        <f>IF(E345="Caminhão",IF($G345&lt;=VLOOKUP($F345,Base_Dados!$K$1:$O$7,4,FALSE)," ","Limite "&amp;VLOOKUP($F345,Base_Dados!$K$1:$O$11,4,FALSE)&amp;" "&amp;VLOOKUP($F345,Base_Dados!$K$1:$O$11,2,FALSE))," ")</f>
        <v> </v>
      </c>
      <c r="P345" s="21" t="str">
        <f>IF(E345="Navio",IF($G345&lt;=VLOOKUP($F345,Base_Dados!$K$1:$O$7,5,FALSE)," ","Limite "&amp;VLOOKUP($F345,Base_Dados!$K$1:$O$11,5,FALSE)&amp;" "&amp;VLOOKUP($F345,Base_Dados!$K$1:$O$11,2,FALSE))," ")</f>
        <v> </v>
      </c>
      <c r="Q345" s="21" t="str">
        <f t="shared" si="2"/>
        <v/>
      </c>
      <c r="R345" s="1"/>
      <c r="S345" s="1"/>
      <c r="T345" s="1"/>
      <c r="U345" s="1"/>
      <c r="V345" s="1"/>
      <c r="W345" s="1"/>
      <c r="X345" s="1"/>
      <c r="Y345" s="1"/>
      <c r="Z345" s="1"/>
    </row>
    <row r="346" ht="24.0" customHeight="1">
      <c r="A346" s="18" t="s">
        <v>70</v>
      </c>
      <c r="B346" s="18" t="s">
        <v>35</v>
      </c>
      <c r="C346" s="19" t="s">
        <v>38</v>
      </c>
      <c r="D346" s="19" t="s">
        <v>79</v>
      </c>
      <c r="E346" s="19" t="s">
        <v>45</v>
      </c>
      <c r="F346" s="19" t="s">
        <v>42</v>
      </c>
      <c r="G346" s="20">
        <v>6666.0</v>
      </c>
      <c r="H346" s="19" t="s">
        <v>56</v>
      </c>
      <c r="I346" s="19" t="s">
        <v>64</v>
      </c>
      <c r="J346" s="13">
        <f>VLOOKUP(C346&amp;I346&amp;E346,Orig_Dest!$A$2:$E$1876,5,FALSE)</f>
        <v>0</v>
      </c>
      <c r="K346" s="14" t="str">
        <f t="shared" si="1"/>
        <v>Dia 15</v>
      </c>
      <c r="L346" s="21" t="str">
        <f>IF(B346="Fornecedor",IF(VLOOKUP(C346,Base_Dados!$E$1:$F$7,2,FALSE)=F346," ","Fornecedor inválido!")," ")</f>
        <v> </v>
      </c>
      <c r="M346" s="22" t="str">
        <f>IF(AND(LEFT(F346,2)="MP",H346&lt;&gt;Base_Dados!$A$1),"Impossível!!!"," ")</f>
        <v> </v>
      </c>
      <c r="N346" s="21" t="str">
        <f>IF(E346="Avião",IF($G346&lt;=VLOOKUP($F346,Base_Dados!$K$1:$O$7,3,FALSE)," ","Limite "&amp;VLOOKUP($F346,Base_Dados!$K$1:$O$11,3,FALSE)&amp;" "&amp;VLOOKUP($F346,Base_Dados!$K$1:$O$11,2,FALSE))," ")</f>
        <v> </v>
      </c>
      <c r="O346" s="21" t="str">
        <f>IF(E346="Caminhão",IF($G346&lt;=VLOOKUP($F346,Base_Dados!$K$1:$O$7,4,FALSE)," ","Limite "&amp;VLOOKUP($F346,Base_Dados!$K$1:$O$11,4,FALSE)&amp;" "&amp;VLOOKUP($F346,Base_Dados!$K$1:$O$11,2,FALSE))," ")</f>
        <v> </v>
      </c>
      <c r="P346" s="21" t="str">
        <f>IF(E346="Navio",IF($G346&lt;=VLOOKUP($F346,Base_Dados!$K$1:$O$7,5,FALSE)," ","Limite "&amp;VLOOKUP($F346,Base_Dados!$K$1:$O$11,5,FALSE)&amp;" "&amp;VLOOKUP($F346,Base_Dados!$K$1:$O$11,2,FALSE))," ")</f>
        <v> </v>
      </c>
      <c r="Q346" s="21" t="str">
        <f t="shared" si="2"/>
        <v/>
      </c>
      <c r="R346" s="1"/>
      <c r="S346" s="1"/>
      <c r="T346" s="1"/>
      <c r="U346" s="1"/>
      <c r="V346" s="1"/>
      <c r="W346" s="1"/>
      <c r="X346" s="1"/>
      <c r="Y346" s="1"/>
      <c r="Z346" s="1"/>
    </row>
    <row r="347" ht="24.0" customHeight="1">
      <c r="A347" s="18" t="s">
        <v>70</v>
      </c>
      <c r="B347" s="18" t="s">
        <v>35</v>
      </c>
      <c r="C347" s="19" t="s">
        <v>38</v>
      </c>
      <c r="D347" s="19" t="s">
        <v>79</v>
      </c>
      <c r="E347" s="19" t="s">
        <v>45</v>
      </c>
      <c r="F347" s="19" t="s">
        <v>42</v>
      </c>
      <c r="G347" s="20">
        <v>6666.0</v>
      </c>
      <c r="H347" s="19" t="s">
        <v>56</v>
      </c>
      <c r="I347" s="19" t="s">
        <v>64</v>
      </c>
      <c r="J347" s="13">
        <f>VLOOKUP(C347&amp;I347&amp;E347,Orig_Dest!$A$2:$E$1876,5,FALSE)</f>
        <v>0</v>
      </c>
      <c r="K347" s="14" t="str">
        <f t="shared" si="1"/>
        <v>Dia 15</v>
      </c>
      <c r="L347" s="21" t="str">
        <f>IF(B347="Fornecedor",IF(VLOOKUP(C347,Base_Dados!$E$1:$F$7,2,FALSE)=F347," ","Fornecedor inválido!")," ")</f>
        <v> </v>
      </c>
      <c r="M347" s="22" t="str">
        <f>IF(AND(LEFT(F347,2)="MP",H347&lt;&gt;Base_Dados!$A$1),"Impossível!!!"," ")</f>
        <v> </v>
      </c>
      <c r="N347" s="21" t="str">
        <f>IF(E347="Avião",IF($G347&lt;=VLOOKUP($F347,Base_Dados!$K$1:$O$7,3,FALSE)," ","Limite "&amp;VLOOKUP($F347,Base_Dados!$K$1:$O$11,3,FALSE)&amp;" "&amp;VLOOKUP($F347,Base_Dados!$K$1:$O$11,2,FALSE))," ")</f>
        <v> </v>
      </c>
      <c r="O347" s="21" t="str">
        <f>IF(E347="Caminhão",IF($G347&lt;=VLOOKUP($F347,Base_Dados!$K$1:$O$7,4,FALSE)," ","Limite "&amp;VLOOKUP($F347,Base_Dados!$K$1:$O$11,4,FALSE)&amp;" "&amp;VLOOKUP($F347,Base_Dados!$K$1:$O$11,2,FALSE))," ")</f>
        <v> </v>
      </c>
      <c r="P347" s="21" t="str">
        <f>IF(E347="Navio",IF($G347&lt;=VLOOKUP($F347,Base_Dados!$K$1:$O$7,5,FALSE)," ","Limite "&amp;VLOOKUP($F347,Base_Dados!$K$1:$O$11,5,FALSE)&amp;" "&amp;VLOOKUP($F347,Base_Dados!$K$1:$O$11,2,FALSE))," ")</f>
        <v> </v>
      </c>
      <c r="Q347" s="21" t="str">
        <f t="shared" si="2"/>
        <v/>
      </c>
      <c r="R347" s="1"/>
      <c r="S347" s="1"/>
      <c r="T347" s="1"/>
      <c r="U347" s="1"/>
      <c r="V347" s="1"/>
      <c r="W347" s="1"/>
      <c r="X347" s="1"/>
      <c r="Y347" s="1"/>
      <c r="Z347" s="1"/>
    </row>
    <row r="348" ht="24.0" customHeight="1">
      <c r="A348" s="18" t="s">
        <v>70</v>
      </c>
      <c r="B348" s="18" t="s">
        <v>35</v>
      </c>
      <c r="C348" s="19" t="s">
        <v>38</v>
      </c>
      <c r="D348" s="19" t="s">
        <v>79</v>
      </c>
      <c r="E348" s="19" t="s">
        <v>45</v>
      </c>
      <c r="F348" s="19" t="s">
        <v>42</v>
      </c>
      <c r="G348" s="20">
        <v>6666.0</v>
      </c>
      <c r="H348" s="19" t="s">
        <v>56</v>
      </c>
      <c r="I348" s="19" t="s">
        <v>64</v>
      </c>
      <c r="J348" s="13">
        <f>VLOOKUP(C348&amp;I348&amp;E348,Orig_Dest!$A$2:$E$1876,5,FALSE)</f>
        <v>0</v>
      </c>
      <c r="K348" s="14" t="str">
        <f t="shared" si="1"/>
        <v>Dia 15</v>
      </c>
      <c r="L348" s="21" t="str">
        <f>IF(B348="Fornecedor",IF(VLOOKUP(C348,Base_Dados!$E$1:$F$7,2,FALSE)=F348," ","Fornecedor inválido!")," ")</f>
        <v> </v>
      </c>
      <c r="M348" s="22" t="str">
        <f>IF(AND(LEFT(F348,2)="MP",H348&lt;&gt;Base_Dados!$A$1),"Impossível!!!"," ")</f>
        <v> </v>
      </c>
      <c r="N348" s="21" t="str">
        <f>IF(E348="Avião",IF($G348&lt;=VLOOKUP($F348,Base_Dados!$K$1:$O$7,3,FALSE)," ","Limite "&amp;VLOOKUP($F348,Base_Dados!$K$1:$O$11,3,FALSE)&amp;" "&amp;VLOOKUP($F348,Base_Dados!$K$1:$O$11,2,FALSE))," ")</f>
        <v> </v>
      </c>
      <c r="O348" s="21" t="str">
        <f>IF(E348="Caminhão",IF($G348&lt;=VLOOKUP($F348,Base_Dados!$K$1:$O$7,4,FALSE)," ","Limite "&amp;VLOOKUP($F348,Base_Dados!$K$1:$O$11,4,FALSE)&amp;" "&amp;VLOOKUP($F348,Base_Dados!$K$1:$O$11,2,FALSE))," ")</f>
        <v> </v>
      </c>
      <c r="P348" s="21" t="str">
        <f>IF(E348="Navio",IF($G348&lt;=VLOOKUP($F348,Base_Dados!$K$1:$O$7,5,FALSE)," ","Limite "&amp;VLOOKUP($F348,Base_Dados!$K$1:$O$11,5,FALSE)&amp;" "&amp;VLOOKUP($F348,Base_Dados!$K$1:$O$11,2,FALSE))," ")</f>
        <v> </v>
      </c>
      <c r="Q348" s="21" t="str">
        <f t="shared" si="2"/>
        <v/>
      </c>
      <c r="R348" s="1"/>
      <c r="S348" s="1"/>
      <c r="T348" s="1"/>
      <c r="U348" s="1"/>
      <c r="V348" s="1"/>
      <c r="W348" s="1"/>
      <c r="X348" s="1"/>
      <c r="Y348" s="1"/>
      <c r="Z348" s="1"/>
    </row>
    <row r="349" ht="24.0" customHeight="1">
      <c r="A349" s="18" t="s">
        <v>70</v>
      </c>
      <c r="B349" s="18" t="s">
        <v>35</v>
      </c>
      <c r="C349" s="19" t="s">
        <v>38</v>
      </c>
      <c r="D349" s="19" t="s">
        <v>79</v>
      </c>
      <c r="E349" s="19" t="s">
        <v>45</v>
      </c>
      <c r="F349" s="19" t="s">
        <v>42</v>
      </c>
      <c r="G349" s="20">
        <v>6666.0</v>
      </c>
      <c r="H349" s="19" t="s">
        <v>56</v>
      </c>
      <c r="I349" s="19" t="s">
        <v>64</v>
      </c>
      <c r="J349" s="13">
        <f>VLOOKUP(C349&amp;I349&amp;E349,Orig_Dest!$A$2:$E$1876,5,FALSE)</f>
        <v>0</v>
      </c>
      <c r="K349" s="14" t="str">
        <f t="shared" si="1"/>
        <v>Dia 15</v>
      </c>
      <c r="L349" s="21" t="str">
        <f>IF(B349="Fornecedor",IF(VLOOKUP(C349,Base_Dados!$E$1:$F$7,2,FALSE)=F349," ","Fornecedor inválido!")," ")</f>
        <v> </v>
      </c>
      <c r="M349" s="22" t="str">
        <f>IF(AND(LEFT(F349,2)="MP",H349&lt;&gt;Base_Dados!$A$1),"Impossível!!!"," ")</f>
        <v> </v>
      </c>
      <c r="N349" s="21" t="str">
        <f>IF(E349="Avião",IF($G349&lt;=VLOOKUP($F349,Base_Dados!$K$1:$O$7,3,FALSE)," ","Limite "&amp;VLOOKUP($F349,Base_Dados!$K$1:$O$11,3,FALSE)&amp;" "&amp;VLOOKUP($F349,Base_Dados!$K$1:$O$11,2,FALSE))," ")</f>
        <v> </v>
      </c>
      <c r="O349" s="21" t="str">
        <f>IF(E349="Caminhão",IF($G349&lt;=VLOOKUP($F349,Base_Dados!$K$1:$O$7,4,FALSE)," ","Limite "&amp;VLOOKUP($F349,Base_Dados!$K$1:$O$11,4,FALSE)&amp;" "&amp;VLOOKUP($F349,Base_Dados!$K$1:$O$11,2,FALSE))," ")</f>
        <v> </v>
      </c>
      <c r="P349" s="21" t="str">
        <f>IF(E349="Navio",IF($G349&lt;=VLOOKUP($F349,Base_Dados!$K$1:$O$7,5,FALSE)," ","Limite "&amp;VLOOKUP($F349,Base_Dados!$K$1:$O$11,5,FALSE)&amp;" "&amp;VLOOKUP($F349,Base_Dados!$K$1:$O$11,2,FALSE))," ")</f>
        <v> </v>
      </c>
      <c r="Q349" s="21" t="str">
        <f t="shared" si="2"/>
        <v/>
      </c>
      <c r="R349" s="1"/>
      <c r="S349" s="1"/>
      <c r="T349" s="1"/>
      <c r="U349" s="1"/>
      <c r="V349" s="1"/>
      <c r="W349" s="1"/>
      <c r="X349" s="1"/>
      <c r="Y349" s="1"/>
      <c r="Z349" s="1"/>
    </row>
    <row r="350" ht="24.0" customHeight="1">
      <c r="A350" s="18" t="s">
        <v>70</v>
      </c>
      <c r="B350" s="18" t="s">
        <v>35</v>
      </c>
      <c r="C350" s="19" t="s">
        <v>38</v>
      </c>
      <c r="D350" s="19" t="s">
        <v>79</v>
      </c>
      <c r="E350" s="19" t="s">
        <v>45</v>
      </c>
      <c r="F350" s="19" t="s">
        <v>42</v>
      </c>
      <c r="G350" s="20">
        <v>315.0</v>
      </c>
      <c r="H350" s="19" t="s">
        <v>56</v>
      </c>
      <c r="I350" s="19" t="s">
        <v>64</v>
      </c>
      <c r="J350" s="13">
        <f>VLOOKUP(C350&amp;I350&amp;E350,Orig_Dest!$A$2:$E$1876,5,FALSE)</f>
        <v>0</v>
      </c>
      <c r="K350" s="14" t="str">
        <f t="shared" si="1"/>
        <v>Dia 15</v>
      </c>
      <c r="L350" s="21" t="str">
        <f>IF(B350="Fornecedor",IF(VLOOKUP(C350,Base_Dados!$E$1:$F$7,2,FALSE)=F350," ","Fornecedor inválido!")," ")</f>
        <v> </v>
      </c>
      <c r="M350" s="22" t="str">
        <f>IF(AND(LEFT(F350,2)="MP",H350&lt;&gt;Base_Dados!$A$1),"Impossível!!!"," ")</f>
        <v> </v>
      </c>
      <c r="N350" s="21" t="str">
        <f>IF(E350="Avião",IF($G350&lt;=VLOOKUP($F350,Base_Dados!$K$1:$O$7,3,FALSE)," ","Limite "&amp;VLOOKUP($F350,Base_Dados!$K$1:$O$11,3,FALSE)&amp;" "&amp;VLOOKUP($F350,Base_Dados!$K$1:$O$11,2,FALSE))," ")</f>
        <v> </v>
      </c>
      <c r="O350" s="21" t="str">
        <f>IF(E350="Caminhão",IF($G350&lt;=VLOOKUP($F350,Base_Dados!$K$1:$O$7,4,FALSE)," ","Limite "&amp;VLOOKUP($F350,Base_Dados!$K$1:$O$11,4,FALSE)&amp;" "&amp;VLOOKUP($F350,Base_Dados!$K$1:$O$11,2,FALSE))," ")</f>
        <v> </v>
      </c>
      <c r="P350" s="21" t="str">
        <f>IF(E350="Navio",IF($G350&lt;=VLOOKUP($F350,Base_Dados!$K$1:$O$7,5,FALSE)," ","Limite "&amp;VLOOKUP($F350,Base_Dados!$K$1:$O$11,5,FALSE)&amp;" "&amp;VLOOKUP($F350,Base_Dados!$K$1:$O$11,2,FALSE))," ")</f>
        <v> </v>
      </c>
      <c r="Q350" s="21" t="str">
        <f t="shared" si="2"/>
        <v/>
      </c>
      <c r="R350" s="1"/>
      <c r="S350" s="1"/>
      <c r="T350" s="1"/>
      <c r="U350" s="1"/>
      <c r="V350" s="1"/>
      <c r="W350" s="1"/>
      <c r="X350" s="1"/>
      <c r="Y350" s="1"/>
      <c r="Z350" s="1"/>
    </row>
    <row r="351" ht="24.0" customHeight="1">
      <c r="A351" s="18" t="s">
        <v>70</v>
      </c>
      <c r="B351" s="18" t="s">
        <v>35</v>
      </c>
      <c r="C351" s="19" t="s">
        <v>38</v>
      </c>
      <c r="D351" s="19" t="s">
        <v>72</v>
      </c>
      <c r="E351" s="19" t="s">
        <v>25</v>
      </c>
      <c r="F351" s="19" t="s">
        <v>42</v>
      </c>
      <c r="G351" s="20">
        <v>20155.0</v>
      </c>
      <c r="H351" s="19" t="s">
        <v>56</v>
      </c>
      <c r="I351" s="19" t="s">
        <v>51</v>
      </c>
      <c r="J351" s="13">
        <f>VLOOKUP(C351&amp;I351&amp;E351,Orig_Dest!$A$2:$E$1876,5,FALSE)</f>
        <v>3</v>
      </c>
      <c r="K351" s="14" t="str">
        <f t="shared" si="1"/>
        <v>Dia 15</v>
      </c>
      <c r="L351" s="21" t="str">
        <f>IF(B351="Fornecedor",IF(VLOOKUP(C351,Base_Dados!$E$1:$F$7,2,FALSE)=F351," ","Fornecedor inválido!")," ")</f>
        <v> </v>
      </c>
      <c r="M351" s="22" t="str">
        <f>IF(AND(LEFT(F351,2)="MP",H351&lt;&gt;Base_Dados!$A$1),"Impossível!!!"," ")</f>
        <v> </v>
      </c>
      <c r="N351" s="21" t="str">
        <f>IF(E351="Avião",IF($G351&lt;=VLOOKUP($F351,Base_Dados!$K$1:$O$7,3,FALSE)," ","Limite "&amp;VLOOKUP($F351,Base_Dados!$K$1:$O$11,3,FALSE)&amp;" "&amp;VLOOKUP($F351,Base_Dados!$K$1:$O$11,2,FALSE))," ")</f>
        <v> </v>
      </c>
      <c r="O351" s="21" t="str">
        <f>IF(E351="Caminhão",IF($G351&lt;=VLOOKUP($F351,Base_Dados!$K$1:$O$7,4,FALSE)," ","Limite "&amp;VLOOKUP($F351,Base_Dados!$K$1:$O$11,4,FALSE)&amp;" "&amp;VLOOKUP($F351,Base_Dados!$K$1:$O$11,2,FALSE))," ")</f>
        <v> </v>
      </c>
      <c r="P351" s="21" t="str">
        <f>IF(E351="Navio",IF($G351&lt;=VLOOKUP($F351,Base_Dados!$K$1:$O$7,5,FALSE)," ","Limite "&amp;VLOOKUP($F351,Base_Dados!$K$1:$O$11,5,FALSE)&amp;" "&amp;VLOOKUP($F351,Base_Dados!$K$1:$O$11,2,FALSE))," ")</f>
        <v> </v>
      </c>
      <c r="Q351" s="21" t="str">
        <f t="shared" si="2"/>
        <v/>
      </c>
      <c r="R351" s="1"/>
      <c r="S351" s="1"/>
      <c r="T351" s="1"/>
      <c r="U351" s="1"/>
      <c r="V351" s="1"/>
      <c r="W351" s="1"/>
      <c r="X351" s="1"/>
      <c r="Y351" s="1"/>
      <c r="Z351" s="1"/>
    </row>
    <row r="352" ht="24.0" customHeight="1">
      <c r="A352" s="18" t="s">
        <v>70</v>
      </c>
      <c r="B352" s="18" t="s">
        <v>35</v>
      </c>
      <c r="C352" s="19" t="s">
        <v>38</v>
      </c>
      <c r="D352" s="19" t="s">
        <v>79</v>
      </c>
      <c r="E352" s="19" t="s">
        <v>45</v>
      </c>
      <c r="F352" s="19" t="s">
        <v>42</v>
      </c>
      <c r="G352" s="20">
        <v>6666.0</v>
      </c>
      <c r="H352" s="19" t="s">
        <v>56</v>
      </c>
      <c r="I352" s="19" t="s">
        <v>23</v>
      </c>
      <c r="J352" s="13">
        <f>VLOOKUP(C352&amp;I352&amp;E352,Orig_Dest!$A$2:$E$1876,5,FALSE)</f>
        <v>0</v>
      </c>
      <c r="K352" s="14" t="str">
        <f t="shared" si="1"/>
        <v>Dia 15</v>
      </c>
      <c r="L352" s="21" t="str">
        <f>IF(B352="Fornecedor",IF(VLOOKUP(C352,Base_Dados!$E$1:$F$7,2,FALSE)=F352," ","Fornecedor inválido!")," ")</f>
        <v> </v>
      </c>
      <c r="M352" s="22" t="str">
        <f>IF(AND(LEFT(F352,2)="MP",H352&lt;&gt;Base_Dados!$A$1),"Impossível!!!"," ")</f>
        <v> </v>
      </c>
      <c r="N352" s="21" t="str">
        <f>IF(E352="Avião",IF($G352&lt;=VLOOKUP($F352,Base_Dados!$K$1:$O$7,3,FALSE)," ","Limite "&amp;VLOOKUP($F352,Base_Dados!$K$1:$O$11,3,FALSE)&amp;" "&amp;VLOOKUP($F352,Base_Dados!$K$1:$O$11,2,FALSE))," ")</f>
        <v> </v>
      </c>
      <c r="O352" s="21" t="str">
        <f>IF(E352="Caminhão",IF($G352&lt;=VLOOKUP($F352,Base_Dados!$K$1:$O$7,4,FALSE)," ","Limite "&amp;VLOOKUP($F352,Base_Dados!$K$1:$O$11,4,FALSE)&amp;" "&amp;VLOOKUP($F352,Base_Dados!$K$1:$O$11,2,FALSE))," ")</f>
        <v> </v>
      </c>
      <c r="P352" s="21" t="str">
        <f>IF(E352="Navio",IF($G352&lt;=VLOOKUP($F352,Base_Dados!$K$1:$O$7,5,FALSE)," ","Limite "&amp;VLOOKUP($F352,Base_Dados!$K$1:$O$11,5,FALSE)&amp;" "&amp;VLOOKUP($F352,Base_Dados!$K$1:$O$11,2,FALSE))," ")</f>
        <v> </v>
      </c>
      <c r="Q352" s="21" t="str">
        <f t="shared" si="2"/>
        <v/>
      </c>
      <c r="R352" s="1"/>
      <c r="S352" s="1"/>
      <c r="T352" s="1"/>
      <c r="U352" s="1"/>
      <c r="V352" s="1"/>
      <c r="W352" s="1"/>
      <c r="X352" s="1"/>
      <c r="Y352" s="1"/>
      <c r="Z352" s="1"/>
    </row>
    <row r="353" ht="24.0" customHeight="1">
      <c r="A353" s="18" t="s">
        <v>70</v>
      </c>
      <c r="B353" s="18" t="s">
        <v>35</v>
      </c>
      <c r="C353" s="19" t="s">
        <v>38</v>
      </c>
      <c r="D353" s="19" t="s">
        <v>79</v>
      </c>
      <c r="E353" s="19" t="s">
        <v>45</v>
      </c>
      <c r="F353" s="19" t="s">
        <v>42</v>
      </c>
      <c r="G353" s="20">
        <v>6666.0</v>
      </c>
      <c r="H353" s="19" t="s">
        <v>56</v>
      </c>
      <c r="I353" s="19" t="s">
        <v>23</v>
      </c>
      <c r="J353" s="13">
        <f>VLOOKUP(C353&amp;I353&amp;E353,Orig_Dest!$A$2:$E$1876,5,FALSE)</f>
        <v>0</v>
      </c>
      <c r="K353" s="14" t="str">
        <f t="shared" si="1"/>
        <v>Dia 15</v>
      </c>
      <c r="L353" s="21" t="str">
        <f>IF(B353="Fornecedor",IF(VLOOKUP(C353,Base_Dados!$E$1:$F$7,2,FALSE)=F353," ","Fornecedor inválido!")," ")</f>
        <v> </v>
      </c>
      <c r="M353" s="22" t="str">
        <f>IF(AND(LEFT(F353,2)="MP",H353&lt;&gt;Base_Dados!$A$1),"Impossível!!!"," ")</f>
        <v> </v>
      </c>
      <c r="N353" s="21" t="str">
        <f>IF(E353="Avião",IF($G353&lt;=VLOOKUP($F353,Base_Dados!$K$1:$O$7,3,FALSE)," ","Limite "&amp;VLOOKUP($F353,Base_Dados!$K$1:$O$11,3,FALSE)&amp;" "&amp;VLOOKUP($F353,Base_Dados!$K$1:$O$11,2,FALSE))," ")</f>
        <v> </v>
      </c>
      <c r="O353" s="21" t="str">
        <f>IF(E353="Caminhão",IF($G353&lt;=VLOOKUP($F353,Base_Dados!$K$1:$O$7,4,FALSE)," ","Limite "&amp;VLOOKUP($F353,Base_Dados!$K$1:$O$11,4,FALSE)&amp;" "&amp;VLOOKUP($F353,Base_Dados!$K$1:$O$11,2,FALSE))," ")</f>
        <v> </v>
      </c>
      <c r="P353" s="21" t="str">
        <f>IF(E353="Navio",IF($G353&lt;=VLOOKUP($F353,Base_Dados!$K$1:$O$7,5,FALSE)," ","Limite "&amp;VLOOKUP($F353,Base_Dados!$K$1:$O$11,5,FALSE)&amp;" "&amp;VLOOKUP($F353,Base_Dados!$K$1:$O$11,2,FALSE))," ")</f>
        <v> </v>
      </c>
      <c r="Q353" s="21" t="str">
        <f t="shared" si="2"/>
        <v/>
      </c>
      <c r="R353" s="1"/>
      <c r="S353" s="1"/>
      <c r="T353" s="1"/>
      <c r="U353" s="1"/>
      <c r="V353" s="1"/>
      <c r="W353" s="1"/>
      <c r="X353" s="1"/>
      <c r="Y353" s="1"/>
      <c r="Z353" s="1"/>
    </row>
    <row r="354" ht="24.0" customHeight="1">
      <c r="A354" s="18" t="s">
        <v>70</v>
      </c>
      <c r="B354" s="18" t="s">
        <v>35</v>
      </c>
      <c r="C354" s="19" t="s">
        <v>38</v>
      </c>
      <c r="D354" s="19" t="s">
        <v>79</v>
      </c>
      <c r="E354" s="19" t="s">
        <v>45</v>
      </c>
      <c r="F354" s="19" t="s">
        <v>42</v>
      </c>
      <c r="G354" s="20">
        <v>6666.0</v>
      </c>
      <c r="H354" s="19" t="s">
        <v>56</v>
      </c>
      <c r="I354" s="19" t="s">
        <v>23</v>
      </c>
      <c r="J354" s="13">
        <f>VLOOKUP(C354&amp;I354&amp;E354,Orig_Dest!$A$2:$E$1876,5,FALSE)</f>
        <v>0</v>
      </c>
      <c r="K354" s="14" t="str">
        <f t="shared" si="1"/>
        <v>Dia 15</v>
      </c>
      <c r="L354" s="21" t="str">
        <f>IF(B354="Fornecedor",IF(VLOOKUP(C354,Base_Dados!$E$1:$F$7,2,FALSE)=F354," ","Fornecedor inválido!")," ")</f>
        <v> </v>
      </c>
      <c r="M354" s="22" t="str">
        <f>IF(AND(LEFT(F354,2)="MP",H354&lt;&gt;Base_Dados!$A$1),"Impossível!!!"," ")</f>
        <v> </v>
      </c>
      <c r="N354" s="21" t="str">
        <f>IF(E354="Avião",IF($G354&lt;=VLOOKUP($F354,Base_Dados!$K$1:$O$7,3,FALSE)," ","Limite "&amp;VLOOKUP($F354,Base_Dados!$K$1:$O$11,3,FALSE)&amp;" "&amp;VLOOKUP($F354,Base_Dados!$K$1:$O$11,2,FALSE))," ")</f>
        <v> </v>
      </c>
      <c r="O354" s="21" t="str">
        <f>IF(E354="Caminhão",IF($G354&lt;=VLOOKUP($F354,Base_Dados!$K$1:$O$7,4,FALSE)," ","Limite "&amp;VLOOKUP($F354,Base_Dados!$K$1:$O$11,4,FALSE)&amp;" "&amp;VLOOKUP($F354,Base_Dados!$K$1:$O$11,2,FALSE))," ")</f>
        <v> </v>
      </c>
      <c r="P354" s="21" t="str">
        <f>IF(E354="Navio",IF($G354&lt;=VLOOKUP($F354,Base_Dados!$K$1:$O$7,5,FALSE)," ","Limite "&amp;VLOOKUP($F354,Base_Dados!$K$1:$O$11,5,FALSE)&amp;" "&amp;VLOOKUP($F354,Base_Dados!$K$1:$O$11,2,FALSE))," ")</f>
        <v> </v>
      </c>
      <c r="Q354" s="21" t="str">
        <f t="shared" si="2"/>
        <v/>
      </c>
      <c r="R354" s="1"/>
      <c r="S354" s="1"/>
      <c r="T354" s="1"/>
      <c r="U354" s="1"/>
      <c r="V354" s="1"/>
      <c r="W354" s="1"/>
      <c r="X354" s="1"/>
      <c r="Y354" s="1"/>
      <c r="Z354" s="1"/>
    </row>
    <row r="355" ht="24.0" customHeight="1">
      <c r="A355" s="18" t="s">
        <v>70</v>
      </c>
      <c r="B355" s="18" t="s">
        <v>35</v>
      </c>
      <c r="C355" s="19" t="s">
        <v>38</v>
      </c>
      <c r="D355" s="19" t="s">
        <v>79</v>
      </c>
      <c r="E355" s="19" t="s">
        <v>45</v>
      </c>
      <c r="F355" s="19" t="s">
        <v>42</v>
      </c>
      <c r="G355" s="20">
        <v>157.0</v>
      </c>
      <c r="H355" s="19" t="s">
        <v>56</v>
      </c>
      <c r="I355" s="19" t="s">
        <v>23</v>
      </c>
      <c r="J355" s="13">
        <f>VLOOKUP(C355&amp;I355&amp;E355,Orig_Dest!$A$2:$E$1876,5,FALSE)</f>
        <v>0</v>
      </c>
      <c r="K355" s="14" t="str">
        <f t="shared" si="1"/>
        <v>Dia 15</v>
      </c>
      <c r="L355" s="21" t="str">
        <f>IF(B355="Fornecedor",IF(VLOOKUP(C355,Base_Dados!$E$1:$F$7,2,FALSE)=F355," ","Fornecedor inválido!")," ")</f>
        <v> </v>
      </c>
      <c r="M355" s="22" t="str">
        <f>IF(AND(LEFT(F355,2)="MP",H355&lt;&gt;Base_Dados!$A$1),"Impossível!!!"," ")</f>
        <v> </v>
      </c>
      <c r="N355" s="21" t="str">
        <f>IF(E355="Avião",IF($G355&lt;=VLOOKUP($F355,Base_Dados!$K$1:$O$7,3,FALSE)," ","Limite "&amp;VLOOKUP($F355,Base_Dados!$K$1:$O$11,3,FALSE)&amp;" "&amp;VLOOKUP($F355,Base_Dados!$K$1:$O$11,2,FALSE))," ")</f>
        <v> </v>
      </c>
      <c r="O355" s="21" t="str">
        <f>IF(E355="Caminhão",IF($G355&lt;=VLOOKUP($F355,Base_Dados!$K$1:$O$7,4,FALSE)," ","Limite "&amp;VLOOKUP($F355,Base_Dados!$K$1:$O$11,4,FALSE)&amp;" "&amp;VLOOKUP($F355,Base_Dados!$K$1:$O$11,2,FALSE))," ")</f>
        <v> </v>
      </c>
      <c r="P355" s="21" t="str">
        <f>IF(E355="Navio",IF($G355&lt;=VLOOKUP($F355,Base_Dados!$K$1:$O$7,5,FALSE)," ","Limite "&amp;VLOOKUP($F355,Base_Dados!$K$1:$O$11,5,FALSE)&amp;" "&amp;VLOOKUP($F355,Base_Dados!$K$1:$O$11,2,FALSE))," ")</f>
        <v> </v>
      </c>
      <c r="Q355" s="21" t="str">
        <f t="shared" si="2"/>
        <v/>
      </c>
      <c r="R355" s="1"/>
      <c r="S355" s="1"/>
      <c r="T355" s="1"/>
      <c r="U355" s="1"/>
      <c r="V355" s="1"/>
      <c r="W355" s="1"/>
      <c r="X355" s="1"/>
      <c r="Y355" s="1"/>
      <c r="Z355" s="1"/>
    </row>
    <row r="356" ht="24.0" customHeight="1">
      <c r="A356" s="18" t="s">
        <v>70</v>
      </c>
      <c r="B356" s="18" t="s">
        <v>35</v>
      </c>
      <c r="C356" s="19" t="s">
        <v>38</v>
      </c>
      <c r="D356" s="19" t="s">
        <v>79</v>
      </c>
      <c r="E356" s="19" t="s">
        <v>45</v>
      </c>
      <c r="F356" s="19" t="s">
        <v>42</v>
      </c>
      <c r="G356" s="20">
        <v>6666.0</v>
      </c>
      <c r="H356" s="19" t="s">
        <v>56</v>
      </c>
      <c r="I356" s="19" t="s">
        <v>36</v>
      </c>
      <c r="J356" s="13">
        <f>VLOOKUP(C356&amp;I356&amp;E356,Orig_Dest!$A$2:$E$1876,5,FALSE)</f>
        <v>0</v>
      </c>
      <c r="K356" s="14" t="str">
        <f t="shared" si="1"/>
        <v>Dia 15</v>
      </c>
      <c r="L356" s="21" t="str">
        <f>IF(B356="Fornecedor",IF(VLOOKUP(C356,Base_Dados!$E$1:$F$7,2,FALSE)=F356," ","Fornecedor inválido!")," ")</f>
        <v> </v>
      </c>
      <c r="M356" s="22" t="str">
        <f>IF(AND(LEFT(F356,2)="MP",H356&lt;&gt;Base_Dados!$A$1),"Impossível!!!"," ")</f>
        <v> </v>
      </c>
      <c r="N356" s="21" t="str">
        <f>IF(E356="Avião",IF($G356&lt;=VLOOKUP($F356,Base_Dados!$K$1:$O$7,3,FALSE)," ","Limite "&amp;VLOOKUP($F356,Base_Dados!$K$1:$O$11,3,FALSE)&amp;" "&amp;VLOOKUP($F356,Base_Dados!$K$1:$O$11,2,FALSE))," ")</f>
        <v> </v>
      </c>
      <c r="O356" s="21" t="str">
        <f>IF(E356="Caminhão",IF($G356&lt;=VLOOKUP($F356,Base_Dados!$K$1:$O$7,4,FALSE)," ","Limite "&amp;VLOOKUP($F356,Base_Dados!$K$1:$O$11,4,FALSE)&amp;" "&amp;VLOOKUP($F356,Base_Dados!$K$1:$O$11,2,FALSE))," ")</f>
        <v> </v>
      </c>
      <c r="P356" s="21" t="str">
        <f>IF(E356="Navio",IF($G356&lt;=VLOOKUP($F356,Base_Dados!$K$1:$O$7,5,FALSE)," ","Limite "&amp;VLOOKUP($F356,Base_Dados!$K$1:$O$11,5,FALSE)&amp;" "&amp;VLOOKUP($F356,Base_Dados!$K$1:$O$11,2,FALSE))," ")</f>
        <v> </v>
      </c>
      <c r="Q356" s="21" t="str">
        <f t="shared" si="2"/>
        <v/>
      </c>
      <c r="R356" s="1"/>
      <c r="S356" s="1"/>
      <c r="T356" s="1"/>
      <c r="U356" s="1"/>
      <c r="V356" s="1"/>
      <c r="W356" s="1"/>
      <c r="X356" s="1"/>
      <c r="Y356" s="1"/>
      <c r="Z356" s="1"/>
    </row>
    <row r="357" ht="24.0" customHeight="1">
      <c r="A357" s="18" t="s">
        <v>70</v>
      </c>
      <c r="B357" s="18" t="s">
        <v>35</v>
      </c>
      <c r="C357" s="19" t="s">
        <v>38</v>
      </c>
      <c r="D357" s="19" t="s">
        <v>79</v>
      </c>
      <c r="E357" s="19" t="s">
        <v>45</v>
      </c>
      <c r="F357" s="19" t="s">
        <v>42</v>
      </c>
      <c r="G357" s="20">
        <v>6666.0</v>
      </c>
      <c r="H357" s="19" t="s">
        <v>56</v>
      </c>
      <c r="I357" s="19" t="s">
        <v>36</v>
      </c>
      <c r="J357" s="13">
        <f>VLOOKUP(C357&amp;I357&amp;E357,Orig_Dest!$A$2:$E$1876,5,FALSE)</f>
        <v>0</v>
      </c>
      <c r="K357" s="14" t="str">
        <f t="shared" si="1"/>
        <v>Dia 15</v>
      </c>
      <c r="L357" s="21" t="str">
        <f>IF(B357="Fornecedor",IF(VLOOKUP(C357,Base_Dados!$E$1:$F$7,2,FALSE)=F357," ","Fornecedor inválido!")," ")</f>
        <v> </v>
      </c>
      <c r="M357" s="22" t="str">
        <f>IF(AND(LEFT(F357,2)="MP",H357&lt;&gt;Base_Dados!$A$1),"Impossível!!!"," ")</f>
        <v> </v>
      </c>
      <c r="N357" s="21" t="str">
        <f>IF(E357="Avião",IF($G357&lt;=VLOOKUP($F357,Base_Dados!$K$1:$O$7,3,FALSE)," ","Limite "&amp;VLOOKUP($F357,Base_Dados!$K$1:$O$11,3,FALSE)&amp;" "&amp;VLOOKUP($F357,Base_Dados!$K$1:$O$11,2,FALSE))," ")</f>
        <v> </v>
      </c>
      <c r="O357" s="21" t="str">
        <f>IF(E357="Caminhão",IF($G357&lt;=VLOOKUP($F357,Base_Dados!$K$1:$O$7,4,FALSE)," ","Limite "&amp;VLOOKUP($F357,Base_Dados!$K$1:$O$11,4,FALSE)&amp;" "&amp;VLOOKUP($F357,Base_Dados!$K$1:$O$11,2,FALSE))," ")</f>
        <v> </v>
      </c>
      <c r="P357" s="21" t="str">
        <f>IF(E357="Navio",IF($G357&lt;=VLOOKUP($F357,Base_Dados!$K$1:$O$7,5,FALSE)," ","Limite "&amp;VLOOKUP($F357,Base_Dados!$K$1:$O$11,5,FALSE)&amp;" "&amp;VLOOKUP($F357,Base_Dados!$K$1:$O$11,2,FALSE))," ")</f>
        <v> </v>
      </c>
      <c r="Q357" s="21" t="str">
        <f t="shared" si="2"/>
        <v/>
      </c>
      <c r="R357" s="1"/>
      <c r="S357" s="1"/>
      <c r="T357" s="1"/>
      <c r="U357" s="1"/>
      <c r="V357" s="1"/>
      <c r="W357" s="1"/>
      <c r="X357" s="1"/>
      <c r="Y357" s="1"/>
      <c r="Z357" s="1"/>
    </row>
    <row r="358" ht="24.0" customHeight="1">
      <c r="A358" s="18" t="s">
        <v>70</v>
      </c>
      <c r="B358" s="18" t="s">
        <v>35</v>
      </c>
      <c r="C358" s="19" t="s">
        <v>38</v>
      </c>
      <c r="D358" s="19" t="s">
        <v>79</v>
      </c>
      <c r="E358" s="19" t="s">
        <v>45</v>
      </c>
      <c r="F358" s="19" t="s">
        <v>42</v>
      </c>
      <c r="G358" s="20">
        <v>6666.0</v>
      </c>
      <c r="H358" s="19" t="s">
        <v>56</v>
      </c>
      <c r="I358" s="19" t="s">
        <v>36</v>
      </c>
      <c r="J358" s="13">
        <f>VLOOKUP(C358&amp;I358&amp;E358,Orig_Dest!$A$2:$E$1876,5,FALSE)</f>
        <v>0</v>
      </c>
      <c r="K358" s="14" t="str">
        <f t="shared" si="1"/>
        <v>Dia 15</v>
      </c>
      <c r="L358" s="21" t="str">
        <f>IF(B358="Fornecedor",IF(VLOOKUP(C358,Base_Dados!$E$1:$F$7,2,FALSE)=F358," ","Fornecedor inválido!")," ")</f>
        <v> </v>
      </c>
      <c r="M358" s="22" t="str">
        <f>IF(AND(LEFT(F358,2)="MP",H358&lt;&gt;Base_Dados!$A$1),"Impossível!!!"," ")</f>
        <v> </v>
      </c>
      <c r="N358" s="21" t="str">
        <f>IF(E358="Avião",IF($G358&lt;=VLOOKUP($F358,Base_Dados!$K$1:$O$7,3,FALSE)," ","Limite "&amp;VLOOKUP($F358,Base_Dados!$K$1:$O$11,3,FALSE)&amp;" "&amp;VLOOKUP($F358,Base_Dados!$K$1:$O$11,2,FALSE))," ")</f>
        <v> </v>
      </c>
      <c r="O358" s="21" t="str">
        <f>IF(E358="Caminhão",IF($G358&lt;=VLOOKUP($F358,Base_Dados!$K$1:$O$7,4,FALSE)," ","Limite "&amp;VLOOKUP($F358,Base_Dados!$K$1:$O$11,4,FALSE)&amp;" "&amp;VLOOKUP($F358,Base_Dados!$K$1:$O$11,2,FALSE))," ")</f>
        <v> </v>
      </c>
      <c r="P358" s="21" t="str">
        <f>IF(E358="Navio",IF($G358&lt;=VLOOKUP($F358,Base_Dados!$K$1:$O$7,5,FALSE)," ","Limite "&amp;VLOOKUP($F358,Base_Dados!$K$1:$O$11,5,FALSE)&amp;" "&amp;VLOOKUP($F358,Base_Dados!$K$1:$O$11,2,FALSE))," ")</f>
        <v> </v>
      </c>
      <c r="Q358" s="21" t="str">
        <f t="shared" si="2"/>
        <v/>
      </c>
      <c r="R358" s="1"/>
      <c r="S358" s="1"/>
      <c r="T358" s="1"/>
      <c r="U358" s="1"/>
      <c r="V358" s="1"/>
      <c r="W358" s="1"/>
      <c r="X358" s="1"/>
      <c r="Y358" s="1"/>
      <c r="Z358" s="1"/>
    </row>
    <row r="359" ht="24.0" customHeight="1">
      <c r="A359" s="18" t="s">
        <v>70</v>
      </c>
      <c r="B359" s="18" t="s">
        <v>35</v>
      </c>
      <c r="C359" s="19" t="s">
        <v>38</v>
      </c>
      <c r="D359" s="19" t="s">
        <v>79</v>
      </c>
      <c r="E359" s="19" t="s">
        <v>45</v>
      </c>
      <c r="F359" s="19" t="s">
        <v>42</v>
      </c>
      <c r="G359" s="20">
        <v>157.0</v>
      </c>
      <c r="H359" s="19" t="s">
        <v>56</v>
      </c>
      <c r="I359" s="19" t="s">
        <v>36</v>
      </c>
      <c r="J359" s="13">
        <f>VLOOKUP(C359&amp;I359&amp;E359,Orig_Dest!$A$2:$E$1876,5,FALSE)</f>
        <v>0</v>
      </c>
      <c r="K359" s="14" t="str">
        <f t="shared" si="1"/>
        <v>Dia 15</v>
      </c>
      <c r="L359" s="21" t="str">
        <f>IF(B359="Fornecedor",IF(VLOOKUP(C359,Base_Dados!$E$1:$F$7,2,FALSE)=F359," ","Fornecedor inválido!")," ")</f>
        <v> </v>
      </c>
      <c r="M359" s="22" t="str">
        <f>IF(AND(LEFT(F359,2)="MP",H359&lt;&gt;Base_Dados!$A$1),"Impossível!!!"," ")</f>
        <v> </v>
      </c>
      <c r="N359" s="21" t="str">
        <f>IF(E359="Avião",IF($G359&lt;=VLOOKUP($F359,Base_Dados!$K$1:$O$7,3,FALSE)," ","Limite "&amp;VLOOKUP($F359,Base_Dados!$K$1:$O$11,3,FALSE)&amp;" "&amp;VLOOKUP($F359,Base_Dados!$K$1:$O$11,2,FALSE))," ")</f>
        <v> </v>
      </c>
      <c r="O359" s="21" t="str">
        <f>IF(E359="Caminhão",IF($G359&lt;=VLOOKUP($F359,Base_Dados!$K$1:$O$7,4,FALSE)," ","Limite "&amp;VLOOKUP($F359,Base_Dados!$K$1:$O$11,4,FALSE)&amp;" "&amp;VLOOKUP($F359,Base_Dados!$K$1:$O$11,2,FALSE))," ")</f>
        <v> </v>
      </c>
      <c r="P359" s="21" t="str">
        <f>IF(E359="Navio",IF($G359&lt;=VLOOKUP($F359,Base_Dados!$K$1:$O$7,5,FALSE)," ","Limite "&amp;VLOOKUP($F359,Base_Dados!$K$1:$O$11,5,FALSE)&amp;" "&amp;VLOOKUP($F359,Base_Dados!$K$1:$O$11,2,FALSE))," ")</f>
        <v> </v>
      </c>
      <c r="Q359" s="21" t="str">
        <f t="shared" si="2"/>
        <v/>
      </c>
      <c r="R359" s="1"/>
      <c r="S359" s="1"/>
      <c r="T359" s="1"/>
      <c r="U359" s="1"/>
      <c r="V359" s="1"/>
      <c r="W359" s="1"/>
      <c r="X359" s="1"/>
      <c r="Y359" s="1"/>
      <c r="Z359" s="1"/>
    </row>
    <row r="360" ht="24.0" customHeight="1">
      <c r="A360" s="18"/>
      <c r="B360" s="18"/>
      <c r="C360" s="19"/>
      <c r="D360" s="19"/>
      <c r="E360" s="19"/>
      <c r="F360" s="19"/>
      <c r="G360" s="20"/>
      <c r="H360" s="19"/>
      <c r="I360" s="19"/>
      <c r="J360" s="30" t="str">
        <f>VLOOKUP(C360&amp;I360&amp;E360,Orig_Dest!$A$2:$E$1876,5,FALSE)</f>
        <v>#N/A</v>
      </c>
      <c r="K360" s="14" t="str">
        <f t="shared" si="1"/>
        <v>#VALUE!</v>
      </c>
      <c r="L360" s="21" t="str">
        <f>IF(B360="Fornecedor",IF(VLOOKUP(C360,Base_Dados!$E$1:$F$7,2,FALSE)=F360," ","Fornecedor inválido!")," ")</f>
        <v> </v>
      </c>
      <c r="M360" s="22" t="str">
        <f>IF(AND(LEFT(F360,2)="MP",H360&lt;&gt;Base_Dados!$A$1),"Impossível!!!"," ")</f>
        <v> </v>
      </c>
      <c r="N360" s="21" t="str">
        <f>IF(E360="Avião",IF($G360&lt;=VLOOKUP($F360,Base_Dados!$K$1:$O$7,3,FALSE)," ","Limite "&amp;VLOOKUP($F360,Base_Dados!$K$1:$O$11,3,FALSE)&amp;" "&amp;VLOOKUP($F360,Base_Dados!$K$1:$O$11,2,FALSE))," ")</f>
        <v> </v>
      </c>
      <c r="O360" s="21" t="str">
        <f>IF(E360="Caminhão",IF($G360&lt;=VLOOKUP($F360,Base_Dados!$K$1:$O$7,4,FALSE)," ","Limite "&amp;VLOOKUP($F360,Base_Dados!$K$1:$O$11,4,FALSE)&amp;" "&amp;VLOOKUP($F360,Base_Dados!$K$1:$O$11,2,FALSE))," ")</f>
        <v> </v>
      </c>
      <c r="P360" s="21" t="str">
        <f>IF(E360="Navio",IF($G360&lt;=VLOOKUP($F360,Base_Dados!$K$1:$O$7,5,FALSE)," ","Limite "&amp;VLOOKUP($F360,Base_Dados!$K$1:$O$11,5,FALSE)&amp;" "&amp;VLOOKUP($F360,Base_Dados!$K$1:$O$11,2,FALSE))," ")</f>
        <v> </v>
      </c>
      <c r="Q360" s="21" t="str">
        <f t="shared" si="2"/>
        <v>Fluxo Impossível</v>
      </c>
      <c r="R360" s="1"/>
      <c r="S360" s="1"/>
      <c r="T360" s="1"/>
      <c r="U360" s="1"/>
      <c r="V360" s="1"/>
      <c r="W360" s="1"/>
      <c r="X360" s="1"/>
      <c r="Y360" s="1"/>
      <c r="Z360" s="1"/>
    </row>
    <row r="361" ht="24.0" customHeight="1">
      <c r="A361" s="18"/>
      <c r="B361" s="18"/>
      <c r="C361" s="19"/>
      <c r="D361" s="19"/>
      <c r="E361" s="19"/>
      <c r="F361" s="19"/>
      <c r="G361" s="20"/>
      <c r="H361" s="19"/>
      <c r="I361" s="19"/>
      <c r="J361" s="30" t="str">
        <f>VLOOKUP(C361&amp;I361&amp;E361,Orig_Dest!$A$2:$E$1876,5,FALSE)</f>
        <v>#N/A</v>
      </c>
      <c r="K361" s="14" t="str">
        <f t="shared" si="1"/>
        <v>#VALUE!</v>
      </c>
      <c r="L361" s="21" t="str">
        <f>IF(B361="Fornecedor",IF(VLOOKUP(C361,Base_Dados!$E$1:$F$7,2,FALSE)=F361," ","Fornecedor inválido!")," ")</f>
        <v> </v>
      </c>
      <c r="M361" s="22" t="str">
        <f>IF(AND(LEFT(F361,2)="MP",H361&lt;&gt;Base_Dados!$A$1),"Impossível!!!"," ")</f>
        <v> </v>
      </c>
      <c r="N361" s="21" t="str">
        <f>IF(E361="Avião",IF($G361&lt;=VLOOKUP($F361,Base_Dados!$K$1:$O$7,3,FALSE)," ","Limite "&amp;VLOOKUP($F361,Base_Dados!$K$1:$O$11,3,FALSE)&amp;" "&amp;VLOOKUP($F361,Base_Dados!$K$1:$O$11,2,FALSE))," ")</f>
        <v> </v>
      </c>
      <c r="O361" s="21" t="str">
        <f>IF(E361="Caminhão",IF($G361&lt;=VLOOKUP($F361,Base_Dados!$K$1:$O$7,4,FALSE)," ","Limite "&amp;VLOOKUP($F361,Base_Dados!$K$1:$O$11,4,FALSE)&amp;" "&amp;VLOOKUP($F361,Base_Dados!$K$1:$O$11,2,FALSE))," ")</f>
        <v> </v>
      </c>
      <c r="P361" s="21" t="str">
        <f>IF(E361="Navio",IF($G361&lt;=VLOOKUP($F361,Base_Dados!$K$1:$O$7,5,FALSE)," ","Limite "&amp;VLOOKUP($F361,Base_Dados!$K$1:$O$11,5,FALSE)&amp;" "&amp;VLOOKUP($F361,Base_Dados!$K$1:$O$11,2,FALSE))," ")</f>
        <v> </v>
      </c>
      <c r="Q361" s="21" t="str">
        <f t="shared" si="2"/>
        <v>Fluxo Impossível</v>
      </c>
      <c r="R361" s="1"/>
      <c r="S361" s="1"/>
      <c r="T361" s="1"/>
      <c r="U361" s="1"/>
      <c r="V361" s="1"/>
      <c r="W361" s="1"/>
      <c r="X361" s="1"/>
      <c r="Y361" s="1"/>
      <c r="Z361" s="1"/>
    </row>
    <row r="362" ht="24.0" customHeight="1">
      <c r="A362" s="18"/>
      <c r="B362" s="18"/>
      <c r="C362" s="19"/>
      <c r="D362" s="19"/>
      <c r="E362" s="19"/>
      <c r="F362" s="19"/>
      <c r="G362" s="20"/>
      <c r="H362" s="19"/>
      <c r="I362" s="19"/>
      <c r="J362" s="30" t="str">
        <f>VLOOKUP(C362&amp;I362&amp;E362,Orig_Dest!$A$2:$E$1876,5,FALSE)</f>
        <v>#N/A</v>
      </c>
      <c r="K362" s="14" t="str">
        <f t="shared" si="1"/>
        <v>#VALUE!</v>
      </c>
      <c r="L362" s="21" t="str">
        <f>IF(B362="Fornecedor",IF(VLOOKUP(C362,Base_Dados!$E$1:$F$7,2,FALSE)=F362," ","Fornecedor inválido!")," ")</f>
        <v> </v>
      </c>
      <c r="M362" s="22" t="str">
        <f>IF(AND(LEFT(F362,2)="MP",H362&lt;&gt;Base_Dados!$A$1),"Impossível!!!"," ")</f>
        <v> </v>
      </c>
      <c r="N362" s="21" t="str">
        <f>IF(E362="Avião",IF($G362&lt;=VLOOKUP($F362,Base_Dados!$K$1:$O$7,3,FALSE)," ","Limite "&amp;VLOOKUP($F362,Base_Dados!$K$1:$O$11,3,FALSE)&amp;" "&amp;VLOOKUP($F362,Base_Dados!$K$1:$O$11,2,FALSE))," ")</f>
        <v> </v>
      </c>
      <c r="O362" s="21" t="str">
        <f>IF(E362="Caminhão",IF($G362&lt;=VLOOKUP($F362,Base_Dados!$K$1:$O$7,4,FALSE)," ","Limite "&amp;VLOOKUP($F362,Base_Dados!$K$1:$O$11,4,FALSE)&amp;" "&amp;VLOOKUP($F362,Base_Dados!$K$1:$O$11,2,FALSE))," ")</f>
        <v> </v>
      </c>
      <c r="P362" s="21" t="str">
        <f>IF(E362="Navio",IF($G362&lt;=VLOOKUP($F362,Base_Dados!$K$1:$O$7,5,FALSE)," ","Limite "&amp;VLOOKUP($F362,Base_Dados!$K$1:$O$11,5,FALSE)&amp;" "&amp;VLOOKUP($F362,Base_Dados!$K$1:$O$11,2,FALSE))," ")</f>
        <v> </v>
      </c>
      <c r="Q362" s="21" t="str">
        <f t="shared" si="2"/>
        <v>Fluxo Impossível</v>
      </c>
      <c r="R362" s="1"/>
      <c r="S362" s="1"/>
      <c r="T362" s="1"/>
      <c r="U362" s="1"/>
      <c r="V362" s="1"/>
      <c r="W362" s="1"/>
      <c r="X362" s="1"/>
      <c r="Y362" s="1"/>
      <c r="Z362" s="1"/>
    </row>
    <row r="363" ht="24.0" customHeight="1">
      <c r="A363" s="18"/>
      <c r="B363" s="18"/>
      <c r="C363" s="19"/>
      <c r="D363" s="19"/>
      <c r="E363" s="19"/>
      <c r="F363" s="19"/>
      <c r="G363" s="20"/>
      <c r="H363" s="19"/>
      <c r="I363" s="19"/>
      <c r="J363" s="30" t="str">
        <f>VLOOKUP(C363&amp;I363&amp;E363,Orig_Dest!$A$2:$E$1876,5,FALSE)</f>
        <v>#N/A</v>
      </c>
      <c r="K363" s="14" t="str">
        <f t="shared" si="1"/>
        <v>#VALUE!</v>
      </c>
      <c r="L363" s="21" t="str">
        <f>IF(B363="Fornecedor",IF(VLOOKUP(C363,Base_Dados!$E$1:$F$7,2,FALSE)=F363," ","Fornecedor inválido!")," ")</f>
        <v> </v>
      </c>
      <c r="M363" s="22" t="str">
        <f>IF(AND(LEFT(F363,2)="MP",H363&lt;&gt;Base_Dados!$A$1),"Impossível!!!"," ")</f>
        <v> </v>
      </c>
      <c r="N363" s="21" t="str">
        <f>IF(E363="Avião",IF($G363&lt;=VLOOKUP($F363,Base_Dados!$K$1:$O$7,3,FALSE)," ","Limite "&amp;VLOOKUP($F363,Base_Dados!$K$1:$O$11,3,FALSE)&amp;" "&amp;VLOOKUP($F363,Base_Dados!$K$1:$O$11,2,FALSE))," ")</f>
        <v> </v>
      </c>
      <c r="O363" s="21" t="str">
        <f>IF(E363="Caminhão",IF($G363&lt;=VLOOKUP($F363,Base_Dados!$K$1:$O$7,4,FALSE)," ","Limite "&amp;VLOOKUP($F363,Base_Dados!$K$1:$O$11,4,FALSE)&amp;" "&amp;VLOOKUP($F363,Base_Dados!$K$1:$O$11,2,FALSE))," ")</f>
        <v> </v>
      </c>
      <c r="P363" s="21" t="str">
        <f>IF(E363="Navio",IF($G363&lt;=VLOOKUP($F363,Base_Dados!$K$1:$O$7,5,FALSE)," ","Limite "&amp;VLOOKUP($F363,Base_Dados!$K$1:$O$11,5,FALSE)&amp;" "&amp;VLOOKUP($F363,Base_Dados!$K$1:$O$11,2,FALSE))," ")</f>
        <v> </v>
      </c>
      <c r="Q363" s="21" t="str">
        <f t="shared" si="2"/>
        <v>Fluxo Impossível</v>
      </c>
      <c r="R363" s="1"/>
      <c r="S363" s="1"/>
      <c r="T363" s="1"/>
      <c r="U363" s="1"/>
      <c r="V363" s="1"/>
      <c r="W363" s="1"/>
      <c r="X363" s="1"/>
      <c r="Y363" s="1"/>
      <c r="Z363" s="1"/>
    </row>
    <row r="364" ht="24.0" customHeight="1">
      <c r="A364" s="18"/>
      <c r="B364" s="18"/>
      <c r="C364" s="19"/>
      <c r="D364" s="19"/>
      <c r="E364" s="19"/>
      <c r="F364" s="19"/>
      <c r="G364" s="20"/>
      <c r="H364" s="19"/>
      <c r="I364" s="19"/>
      <c r="J364" s="30" t="str">
        <f>VLOOKUP(C364&amp;I364&amp;E364,Orig_Dest!$A$2:$E$1876,5,FALSE)</f>
        <v>#N/A</v>
      </c>
      <c r="K364" s="14" t="str">
        <f t="shared" si="1"/>
        <v>#VALUE!</v>
      </c>
      <c r="L364" s="21" t="str">
        <f>IF(B364="Fornecedor",IF(VLOOKUP(C364,Base_Dados!$E$1:$F$7,2,FALSE)=F364," ","Fornecedor inválido!")," ")</f>
        <v> </v>
      </c>
      <c r="M364" s="22" t="str">
        <f>IF(AND(LEFT(F364,2)="MP",H364&lt;&gt;Base_Dados!$A$1),"Impossível!!!"," ")</f>
        <v> </v>
      </c>
      <c r="N364" s="21" t="str">
        <f>IF(E364="Avião",IF($G364&lt;=VLOOKUP($F364,Base_Dados!$K$1:$O$7,3,FALSE)," ","Limite "&amp;VLOOKUP($F364,Base_Dados!$K$1:$O$11,3,FALSE)&amp;" "&amp;VLOOKUP($F364,Base_Dados!$K$1:$O$11,2,FALSE))," ")</f>
        <v> </v>
      </c>
      <c r="O364" s="21" t="str">
        <f>IF(E364="Caminhão",IF($G364&lt;=VLOOKUP($F364,Base_Dados!$K$1:$O$7,4,FALSE)," ","Limite "&amp;VLOOKUP($F364,Base_Dados!$K$1:$O$11,4,FALSE)&amp;" "&amp;VLOOKUP($F364,Base_Dados!$K$1:$O$11,2,FALSE))," ")</f>
        <v> </v>
      </c>
      <c r="P364" s="21" t="str">
        <f>IF(E364="Navio",IF($G364&lt;=VLOOKUP($F364,Base_Dados!$K$1:$O$7,5,FALSE)," ","Limite "&amp;VLOOKUP($F364,Base_Dados!$K$1:$O$11,5,FALSE)&amp;" "&amp;VLOOKUP($F364,Base_Dados!$K$1:$O$11,2,FALSE))," ")</f>
        <v> </v>
      </c>
      <c r="Q364" s="21" t="str">
        <f t="shared" si="2"/>
        <v>Fluxo Impossível</v>
      </c>
      <c r="R364" s="1"/>
      <c r="S364" s="1"/>
      <c r="T364" s="1"/>
      <c r="U364" s="1"/>
      <c r="V364" s="1"/>
      <c r="W364" s="1"/>
      <c r="X364" s="1"/>
      <c r="Y364" s="1"/>
      <c r="Z364" s="1"/>
    </row>
    <row r="365" ht="24.0" customHeight="1">
      <c r="A365" s="18"/>
      <c r="B365" s="18"/>
      <c r="C365" s="19"/>
      <c r="D365" s="19"/>
      <c r="E365" s="19"/>
      <c r="F365" s="19"/>
      <c r="G365" s="20"/>
      <c r="H365" s="19"/>
      <c r="I365" s="19"/>
      <c r="J365" s="30" t="str">
        <f>VLOOKUP(C365&amp;I365&amp;E365,Orig_Dest!$A$2:$E$1876,5,FALSE)</f>
        <v>#N/A</v>
      </c>
      <c r="K365" s="14" t="str">
        <f t="shared" si="1"/>
        <v>#VALUE!</v>
      </c>
      <c r="L365" s="21" t="str">
        <f>IF(B365="Fornecedor",IF(VLOOKUP(C365,Base_Dados!$E$1:$F$7,2,FALSE)=F365," ","Fornecedor inválido!")," ")</f>
        <v> </v>
      </c>
      <c r="M365" s="22" t="str">
        <f>IF(AND(LEFT(F365,2)="MP",H365&lt;&gt;Base_Dados!$A$1),"Impossível!!!"," ")</f>
        <v> </v>
      </c>
      <c r="N365" s="21" t="str">
        <f>IF(E365="Avião",IF($G365&lt;=VLOOKUP($F365,Base_Dados!$K$1:$O$7,3,FALSE)," ","Limite "&amp;VLOOKUP($F365,Base_Dados!$K$1:$O$11,3,FALSE)&amp;" "&amp;VLOOKUP($F365,Base_Dados!$K$1:$O$11,2,FALSE))," ")</f>
        <v> </v>
      </c>
      <c r="O365" s="21" t="str">
        <f>IF(E365="Caminhão",IF($G365&lt;=VLOOKUP($F365,Base_Dados!$K$1:$O$7,4,FALSE)," ","Limite "&amp;VLOOKUP($F365,Base_Dados!$K$1:$O$11,4,FALSE)&amp;" "&amp;VLOOKUP($F365,Base_Dados!$K$1:$O$11,2,FALSE))," ")</f>
        <v> </v>
      </c>
      <c r="P365" s="21" t="str">
        <f>IF(E365="Navio",IF($G365&lt;=VLOOKUP($F365,Base_Dados!$K$1:$O$7,5,FALSE)," ","Limite "&amp;VLOOKUP($F365,Base_Dados!$K$1:$O$11,5,FALSE)&amp;" "&amp;VLOOKUP($F365,Base_Dados!$K$1:$O$11,2,FALSE))," ")</f>
        <v> </v>
      </c>
      <c r="Q365" s="21" t="str">
        <f t="shared" si="2"/>
        <v>Fluxo Impossível</v>
      </c>
      <c r="R365" s="1"/>
      <c r="S365" s="1"/>
      <c r="T365" s="1"/>
      <c r="U365" s="1"/>
      <c r="V365" s="1"/>
      <c r="W365" s="1"/>
      <c r="X365" s="1"/>
      <c r="Y365" s="1"/>
      <c r="Z365" s="1"/>
    </row>
    <row r="366" ht="24.0" customHeight="1">
      <c r="A366" s="18"/>
      <c r="B366" s="18"/>
      <c r="C366" s="19"/>
      <c r="D366" s="19"/>
      <c r="E366" s="19"/>
      <c r="F366" s="19"/>
      <c r="G366" s="20"/>
      <c r="H366" s="19"/>
      <c r="I366" s="19"/>
      <c r="J366" s="30" t="str">
        <f>VLOOKUP(C366&amp;I366&amp;E366,Orig_Dest!$A$2:$E$1876,5,FALSE)</f>
        <v>#N/A</v>
      </c>
      <c r="K366" s="14" t="str">
        <f t="shared" si="1"/>
        <v>#VALUE!</v>
      </c>
      <c r="L366" s="21" t="str">
        <f>IF(B366="Fornecedor",IF(VLOOKUP(C366,Base_Dados!$E$1:$F$7,2,FALSE)=F366," ","Fornecedor inválido!")," ")</f>
        <v> </v>
      </c>
      <c r="M366" s="22" t="str">
        <f>IF(AND(LEFT(F366,2)="MP",H366&lt;&gt;Base_Dados!$A$1),"Impossível!!!"," ")</f>
        <v> </v>
      </c>
      <c r="N366" s="21" t="str">
        <f>IF(E366="Avião",IF($G366&lt;=VLOOKUP($F366,Base_Dados!$K$1:$O$7,3,FALSE)," ","Limite "&amp;VLOOKUP($F366,Base_Dados!$K$1:$O$11,3,FALSE)&amp;" "&amp;VLOOKUP($F366,Base_Dados!$K$1:$O$11,2,FALSE))," ")</f>
        <v> </v>
      </c>
      <c r="O366" s="21" t="str">
        <f>IF(E366="Caminhão",IF($G366&lt;=VLOOKUP($F366,Base_Dados!$K$1:$O$7,4,FALSE)," ","Limite "&amp;VLOOKUP($F366,Base_Dados!$K$1:$O$11,4,FALSE)&amp;" "&amp;VLOOKUP($F366,Base_Dados!$K$1:$O$11,2,FALSE))," ")</f>
        <v> </v>
      </c>
      <c r="P366" s="21" t="str">
        <f>IF(E366="Navio",IF($G366&lt;=VLOOKUP($F366,Base_Dados!$K$1:$O$7,5,FALSE)," ","Limite "&amp;VLOOKUP($F366,Base_Dados!$K$1:$O$11,5,FALSE)&amp;" "&amp;VLOOKUP($F366,Base_Dados!$K$1:$O$11,2,FALSE))," ")</f>
        <v> </v>
      </c>
      <c r="Q366" s="21" t="str">
        <f t="shared" si="2"/>
        <v>Fluxo Impossível</v>
      </c>
      <c r="R366" s="1"/>
      <c r="S366" s="1"/>
      <c r="T366" s="1"/>
      <c r="U366" s="1"/>
      <c r="V366" s="1"/>
      <c r="W366" s="1"/>
      <c r="X366" s="1"/>
      <c r="Y366" s="1"/>
      <c r="Z366" s="1"/>
    </row>
    <row r="367" ht="24.0" customHeight="1">
      <c r="A367" s="18"/>
      <c r="B367" s="18"/>
      <c r="C367" s="19"/>
      <c r="D367" s="19"/>
      <c r="E367" s="19"/>
      <c r="F367" s="19"/>
      <c r="G367" s="20"/>
      <c r="H367" s="19"/>
      <c r="I367" s="19"/>
      <c r="J367" s="30" t="str">
        <f>VLOOKUP(C367&amp;I367&amp;E367,Orig_Dest!$A$2:$E$1876,5,FALSE)</f>
        <v>#N/A</v>
      </c>
      <c r="K367" s="14" t="str">
        <f t="shared" si="1"/>
        <v>#VALUE!</v>
      </c>
      <c r="L367" s="21" t="str">
        <f>IF(B367="Fornecedor",IF(VLOOKUP(C367,Base_Dados!$E$1:$F$7,2,FALSE)=F367," ","Fornecedor inválido!")," ")</f>
        <v> </v>
      </c>
      <c r="M367" s="22" t="str">
        <f>IF(AND(LEFT(F367,2)="MP",H367&lt;&gt;Base_Dados!$A$1),"Impossível!!!"," ")</f>
        <v> </v>
      </c>
      <c r="N367" s="21" t="str">
        <f>IF(E367="Avião",IF($G367&lt;=VLOOKUP($F367,Base_Dados!$K$1:$O$7,3,FALSE)," ","Limite "&amp;VLOOKUP($F367,Base_Dados!$K$1:$O$11,3,FALSE)&amp;" "&amp;VLOOKUP($F367,Base_Dados!$K$1:$O$11,2,FALSE))," ")</f>
        <v> </v>
      </c>
      <c r="O367" s="21" t="str">
        <f>IF(E367="Caminhão",IF($G367&lt;=VLOOKUP($F367,Base_Dados!$K$1:$O$7,4,FALSE)," ","Limite "&amp;VLOOKUP($F367,Base_Dados!$K$1:$O$11,4,FALSE)&amp;" "&amp;VLOOKUP($F367,Base_Dados!$K$1:$O$11,2,FALSE))," ")</f>
        <v> </v>
      </c>
      <c r="P367" s="21" t="str">
        <f>IF(E367="Navio",IF($G367&lt;=VLOOKUP($F367,Base_Dados!$K$1:$O$7,5,FALSE)," ","Limite "&amp;VLOOKUP($F367,Base_Dados!$K$1:$O$11,5,FALSE)&amp;" "&amp;VLOOKUP($F367,Base_Dados!$K$1:$O$11,2,FALSE))," ")</f>
        <v> </v>
      </c>
      <c r="Q367" s="21" t="str">
        <f t="shared" si="2"/>
        <v>Fluxo Impossível</v>
      </c>
      <c r="R367" s="1"/>
      <c r="S367" s="1"/>
      <c r="T367" s="1"/>
      <c r="U367" s="1"/>
      <c r="V367" s="1"/>
      <c r="W367" s="1"/>
      <c r="X367" s="1"/>
      <c r="Y367" s="1"/>
      <c r="Z367" s="1"/>
    </row>
    <row r="368" ht="24.0" customHeight="1">
      <c r="A368" s="18"/>
      <c r="B368" s="18"/>
      <c r="C368" s="19"/>
      <c r="D368" s="19"/>
      <c r="E368" s="19"/>
      <c r="F368" s="19"/>
      <c r="G368" s="20"/>
      <c r="H368" s="19"/>
      <c r="I368" s="19"/>
      <c r="J368" s="30" t="str">
        <f>VLOOKUP(C368&amp;I368&amp;E368,Orig_Dest!$A$2:$E$1876,5,FALSE)</f>
        <v>#N/A</v>
      </c>
      <c r="K368" s="14" t="str">
        <f t="shared" si="1"/>
        <v>#VALUE!</v>
      </c>
      <c r="L368" s="21" t="str">
        <f>IF(B368="Fornecedor",IF(VLOOKUP(C368,Base_Dados!$E$1:$F$7,2,FALSE)=F368," ","Fornecedor inválido!")," ")</f>
        <v> </v>
      </c>
      <c r="M368" s="22" t="str">
        <f>IF(AND(LEFT(F368,2)="MP",H368&lt;&gt;Base_Dados!$A$1),"Impossível!!!"," ")</f>
        <v> </v>
      </c>
      <c r="N368" s="21" t="str">
        <f>IF(E368="Avião",IF($G368&lt;=VLOOKUP($F368,Base_Dados!$K$1:$O$7,3,FALSE)," ","Limite "&amp;VLOOKUP($F368,Base_Dados!$K$1:$O$11,3,FALSE)&amp;" "&amp;VLOOKUP($F368,Base_Dados!$K$1:$O$11,2,FALSE))," ")</f>
        <v> </v>
      </c>
      <c r="O368" s="21" t="str">
        <f>IF(E368="Caminhão",IF($G368&lt;=VLOOKUP($F368,Base_Dados!$K$1:$O$7,4,FALSE)," ","Limite "&amp;VLOOKUP($F368,Base_Dados!$K$1:$O$11,4,FALSE)&amp;" "&amp;VLOOKUP($F368,Base_Dados!$K$1:$O$11,2,FALSE))," ")</f>
        <v> </v>
      </c>
      <c r="P368" s="21" t="str">
        <f>IF(E368="Navio",IF($G368&lt;=VLOOKUP($F368,Base_Dados!$K$1:$O$7,5,FALSE)," ","Limite "&amp;VLOOKUP($F368,Base_Dados!$K$1:$O$11,5,FALSE)&amp;" "&amp;VLOOKUP($F368,Base_Dados!$K$1:$O$11,2,FALSE))," ")</f>
        <v> </v>
      </c>
      <c r="Q368" s="21" t="str">
        <f t="shared" si="2"/>
        <v>Fluxo Impossível</v>
      </c>
      <c r="R368" s="1"/>
      <c r="S368" s="1"/>
      <c r="T368" s="1"/>
      <c r="U368" s="1"/>
      <c r="V368" s="1"/>
      <c r="W368" s="1"/>
      <c r="X368" s="1"/>
      <c r="Y368" s="1"/>
      <c r="Z368" s="1"/>
    </row>
    <row r="369" ht="24.0" customHeight="1">
      <c r="A369" s="18"/>
      <c r="B369" s="18"/>
      <c r="C369" s="19"/>
      <c r="D369" s="19"/>
      <c r="E369" s="19"/>
      <c r="F369" s="19"/>
      <c r="G369" s="20"/>
      <c r="H369" s="19"/>
      <c r="I369" s="19"/>
      <c r="J369" s="30" t="str">
        <f>VLOOKUP(C369&amp;I369&amp;E369,Orig_Dest!$A$2:$E$1876,5,FALSE)</f>
        <v>#N/A</v>
      </c>
      <c r="K369" s="14" t="str">
        <f t="shared" si="1"/>
        <v>#VALUE!</v>
      </c>
      <c r="L369" s="21" t="str">
        <f>IF(B369="Fornecedor",IF(VLOOKUP(C369,Base_Dados!$E$1:$F$7,2,FALSE)=F369," ","Fornecedor inválido!")," ")</f>
        <v> </v>
      </c>
      <c r="M369" s="22" t="str">
        <f>IF(AND(LEFT(F369,2)="MP",H369&lt;&gt;Base_Dados!$A$1),"Impossível!!!"," ")</f>
        <v> </v>
      </c>
      <c r="N369" s="21" t="str">
        <f>IF(E369="Avião",IF($G369&lt;=VLOOKUP($F369,Base_Dados!$K$1:$O$7,3,FALSE)," ","Limite "&amp;VLOOKUP($F369,Base_Dados!$K$1:$O$11,3,FALSE)&amp;" "&amp;VLOOKUP($F369,Base_Dados!$K$1:$O$11,2,FALSE))," ")</f>
        <v> </v>
      </c>
      <c r="O369" s="21" t="str">
        <f>IF(E369="Caminhão",IF($G369&lt;=VLOOKUP($F369,Base_Dados!$K$1:$O$7,4,FALSE)," ","Limite "&amp;VLOOKUP($F369,Base_Dados!$K$1:$O$11,4,FALSE)&amp;" "&amp;VLOOKUP($F369,Base_Dados!$K$1:$O$11,2,FALSE))," ")</f>
        <v> </v>
      </c>
      <c r="P369" s="21" t="str">
        <f>IF(E369="Navio",IF($G369&lt;=VLOOKUP($F369,Base_Dados!$K$1:$O$7,5,FALSE)," ","Limite "&amp;VLOOKUP($F369,Base_Dados!$K$1:$O$11,5,FALSE)&amp;" "&amp;VLOOKUP($F369,Base_Dados!$K$1:$O$11,2,FALSE))," ")</f>
        <v> </v>
      </c>
      <c r="Q369" s="21" t="str">
        <f t="shared" si="2"/>
        <v>Fluxo Impossível</v>
      </c>
      <c r="R369" s="1"/>
      <c r="S369" s="1"/>
      <c r="T369" s="1"/>
      <c r="U369" s="1"/>
      <c r="V369" s="1"/>
      <c r="W369" s="1"/>
      <c r="X369" s="1"/>
      <c r="Y369" s="1"/>
      <c r="Z369" s="1"/>
    </row>
    <row r="370" ht="24.0" customHeight="1">
      <c r="A370" s="18"/>
      <c r="B370" s="18"/>
      <c r="C370" s="19"/>
      <c r="D370" s="19"/>
      <c r="E370" s="19"/>
      <c r="F370" s="19"/>
      <c r="G370" s="20"/>
      <c r="H370" s="19"/>
      <c r="I370" s="19"/>
      <c r="J370" s="30" t="str">
        <f>VLOOKUP(C370&amp;I370&amp;E370,Orig_Dest!$A$2:$E$1876,5,FALSE)</f>
        <v>#N/A</v>
      </c>
      <c r="K370" s="14" t="str">
        <f t="shared" si="1"/>
        <v>#VALUE!</v>
      </c>
      <c r="L370" s="21" t="str">
        <f>IF(B370="Fornecedor",IF(VLOOKUP(C370,Base_Dados!$E$1:$F$7,2,FALSE)=F370," ","Fornecedor inválido!")," ")</f>
        <v> </v>
      </c>
      <c r="M370" s="22" t="str">
        <f>IF(AND(LEFT(F370,2)="MP",H370&lt;&gt;Base_Dados!$A$1),"Impossível!!!"," ")</f>
        <v> </v>
      </c>
      <c r="N370" s="21" t="str">
        <f>IF(E370="Avião",IF($G370&lt;=VLOOKUP($F370,Base_Dados!$K$1:$O$7,3,FALSE)," ","Limite "&amp;VLOOKUP($F370,Base_Dados!$K$1:$O$11,3,FALSE)&amp;" "&amp;VLOOKUP($F370,Base_Dados!$K$1:$O$11,2,FALSE))," ")</f>
        <v> </v>
      </c>
      <c r="O370" s="21" t="str">
        <f>IF(E370="Caminhão",IF($G370&lt;=VLOOKUP($F370,Base_Dados!$K$1:$O$7,4,FALSE)," ","Limite "&amp;VLOOKUP($F370,Base_Dados!$K$1:$O$11,4,FALSE)&amp;" "&amp;VLOOKUP($F370,Base_Dados!$K$1:$O$11,2,FALSE))," ")</f>
        <v> </v>
      </c>
      <c r="P370" s="21" t="str">
        <f>IF(E370="Navio",IF($G370&lt;=VLOOKUP($F370,Base_Dados!$K$1:$O$7,5,FALSE)," ","Limite "&amp;VLOOKUP($F370,Base_Dados!$K$1:$O$11,5,FALSE)&amp;" "&amp;VLOOKUP($F370,Base_Dados!$K$1:$O$11,2,FALSE))," ")</f>
        <v> </v>
      </c>
      <c r="Q370" s="21" t="str">
        <f t="shared" si="2"/>
        <v>Fluxo Impossível</v>
      </c>
      <c r="R370" s="1"/>
      <c r="S370" s="1"/>
      <c r="T370" s="1"/>
      <c r="U370" s="1"/>
      <c r="V370" s="1"/>
      <c r="W370" s="1"/>
      <c r="X370" s="1"/>
      <c r="Y370" s="1"/>
      <c r="Z370" s="1"/>
    </row>
    <row r="371" ht="24.0" customHeight="1">
      <c r="A371" s="18"/>
      <c r="B371" s="18"/>
      <c r="C371" s="19"/>
      <c r="D371" s="19"/>
      <c r="E371" s="19"/>
      <c r="F371" s="19"/>
      <c r="G371" s="20"/>
      <c r="H371" s="19"/>
      <c r="I371" s="19"/>
      <c r="J371" s="30" t="str">
        <f>VLOOKUP(C371&amp;I371&amp;E371,Orig_Dest!$A$2:$E$1876,5,FALSE)</f>
        <v>#N/A</v>
      </c>
      <c r="K371" s="14" t="str">
        <f t="shared" si="1"/>
        <v>#VALUE!</v>
      </c>
      <c r="L371" s="21" t="str">
        <f>IF(B371="Fornecedor",IF(VLOOKUP(C371,Base_Dados!$E$1:$F$7,2,FALSE)=F371," ","Fornecedor inválido!")," ")</f>
        <v> </v>
      </c>
      <c r="M371" s="22" t="str">
        <f>IF(AND(LEFT(F371,2)="MP",H371&lt;&gt;Base_Dados!$A$1),"Impossível!!!"," ")</f>
        <v> </v>
      </c>
      <c r="N371" s="21" t="str">
        <f>IF(E371="Avião",IF($G371&lt;=VLOOKUP($F371,Base_Dados!$K$1:$O$7,3,FALSE)," ","Limite "&amp;VLOOKUP($F371,Base_Dados!$K$1:$O$11,3,FALSE)&amp;" "&amp;VLOOKUP($F371,Base_Dados!$K$1:$O$11,2,FALSE))," ")</f>
        <v> </v>
      </c>
      <c r="O371" s="21" t="str">
        <f>IF(E371="Caminhão",IF($G371&lt;=VLOOKUP($F371,Base_Dados!$K$1:$O$7,4,FALSE)," ","Limite "&amp;VLOOKUP($F371,Base_Dados!$K$1:$O$11,4,FALSE)&amp;" "&amp;VLOOKUP($F371,Base_Dados!$K$1:$O$11,2,FALSE))," ")</f>
        <v> </v>
      </c>
      <c r="P371" s="21" t="str">
        <f>IF(E371="Navio",IF($G371&lt;=VLOOKUP($F371,Base_Dados!$K$1:$O$7,5,FALSE)," ","Limite "&amp;VLOOKUP($F371,Base_Dados!$K$1:$O$11,5,FALSE)&amp;" "&amp;VLOOKUP($F371,Base_Dados!$K$1:$O$11,2,FALSE))," ")</f>
        <v> </v>
      </c>
      <c r="Q371" s="21" t="str">
        <f t="shared" si="2"/>
        <v>Fluxo Impossível</v>
      </c>
      <c r="R371" s="1"/>
      <c r="S371" s="1"/>
      <c r="T371" s="1"/>
      <c r="U371" s="1"/>
      <c r="V371" s="1"/>
      <c r="W371" s="1"/>
      <c r="X371" s="1"/>
      <c r="Y371" s="1"/>
      <c r="Z371" s="1"/>
    </row>
    <row r="372" ht="24.0" customHeight="1">
      <c r="A372" s="18"/>
      <c r="B372" s="18"/>
      <c r="C372" s="19"/>
      <c r="D372" s="19"/>
      <c r="E372" s="19"/>
      <c r="F372" s="19"/>
      <c r="G372" s="20"/>
      <c r="H372" s="19"/>
      <c r="I372" s="19"/>
      <c r="J372" s="30" t="str">
        <f>VLOOKUP(C372&amp;I372&amp;E372,Orig_Dest!$A$2:$E$1876,5,FALSE)</f>
        <v>#N/A</v>
      </c>
      <c r="K372" s="14" t="str">
        <f t="shared" si="1"/>
        <v>#VALUE!</v>
      </c>
      <c r="L372" s="21" t="str">
        <f>IF(B372="Fornecedor",IF(VLOOKUP(C372,Base_Dados!$E$1:$F$7,2,FALSE)=F372," ","Fornecedor inválido!")," ")</f>
        <v> </v>
      </c>
      <c r="M372" s="22" t="str">
        <f>IF(AND(LEFT(F372,2)="MP",H372&lt;&gt;Base_Dados!$A$1),"Impossível!!!"," ")</f>
        <v> </v>
      </c>
      <c r="N372" s="21" t="str">
        <f>IF(E372="Avião",IF($G372&lt;=VLOOKUP($F372,Base_Dados!$K$1:$O$7,3,FALSE)," ","Limite "&amp;VLOOKUP($F372,Base_Dados!$K$1:$O$11,3,FALSE)&amp;" "&amp;VLOOKUP($F372,Base_Dados!$K$1:$O$11,2,FALSE))," ")</f>
        <v> </v>
      </c>
      <c r="O372" s="21" t="str">
        <f>IF(E372="Caminhão",IF($G372&lt;=VLOOKUP($F372,Base_Dados!$K$1:$O$7,4,FALSE)," ","Limite "&amp;VLOOKUP($F372,Base_Dados!$K$1:$O$11,4,FALSE)&amp;" "&amp;VLOOKUP($F372,Base_Dados!$K$1:$O$11,2,FALSE))," ")</f>
        <v> </v>
      </c>
      <c r="P372" s="21" t="str">
        <f>IF(E372="Navio",IF($G372&lt;=VLOOKUP($F372,Base_Dados!$K$1:$O$7,5,FALSE)," ","Limite "&amp;VLOOKUP($F372,Base_Dados!$K$1:$O$11,5,FALSE)&amp;" "&amp;VLOOKUP($F372,Base_Dados!$K$1:$O$11,2,FALSE))," ")</f>
        <v> </v>
      </c>
      <c r="Q372" s="21" t="str">
        <f t="shared" si="2"/>
        <v>Fluxo Impossível</v>
      </c>
      <c r="R372" s="1"/>
      <c r="S372" s="1"/>
      <c r="T372" s="1"/>
      <c r="U372" s="1"/>
      <c r="V372" s="1"/>
      <c r="W372" s="1"/>
      <c r="X372" s="1"/>
      <c r="Y372" s="1"/>
      <c r="Z372" s="1"/>
    </row>
    <row r="373" ht="24.0" customHeight="1">
      <c r="A373" s="18"/>
      <c r="B373" s="18"/>
      <c r="C373" s="19"/>
      <c r="D373" s="19"/>
      <c r="E373" s="19"/>
      <c r="F373" s="19"/>
      <c r="G373" s="20"/>
      <c r="H373" s="19"/>
      <c r="I373" s="19"/>
      <c r="J373" s="30" t="str">
        <f>VLOOKUP(C373&amp;I373&amp;E373,Orig_Dest!$A$2:$E$1876,5,FALSE)</f>
        <v>#N/A</v>
      </c>
      <c r="K373" s="14" t="str">
        <f t="shared" si="1"/>
        <v>#VALUE!</v>
      </c>
      <c r="L373" s="21" t="str">
        <f>IF(B373="Fornecedor",IF(VLOOKUP(C373,Base_Dados!$E$1:$F$7,2,FALSE)=F373," ","Fornecedor inválido!")," ")</f>
        <v> </v>
      </c>
      <c r="M373" s="22" t="str">
        <f>IF(AND(LEFT(F373,2)="MP",H373&lt;&gt;Base_Dados!$A$1),"Impossível!!!"," ")</f>
        <v> </v>
      </c>
      <c r="N373" s="21" t="str">
        <f>IF(E373="Avião",IF($G373&lt;=VLOOKUP($F373,Base_Dados!$K$1:$O$7,3,FALSE)," ","Limite "&amp;VLOOKUP($F373,Base_Dados!$K$1:$O$11,3,FALSE)&amp;" "&amp;VLOOKUP($F373,Base_Dados!$K$1:$O$11,2,FALSE))," ")</f>
        <v> </v>
      </c>
      <c r="O373" s="21" t="str">
        <f>IF(E373="Caminhão",IF($G373&lt;=VLOOKUP($F373,Base_Dados!$K$1:$O$7,4,FALSE)," ","Limite "&amp;VLOOKUP($F373,Base_Dados!$K$1:$O$11,4,FALSE)&amp;" "&amp;VLOOKUP($F373,Base_Dados!$K$1:$O$11,2,FALSE))," ")</f>
        <v> </v>
      </c>
      <c r="P373" s="21" t="str">
        <f>IF(E373="Navio",IF($G373&lt;=VLOOKUP($F373,Base_Dados!$K$1:$O$7,5,FALSE)," ","Limite "&amp;VLOOKUP($F373,Base_Dados!$K$1:$O$11,5,FALSE)&amp;" "&amp;VLOOKUP($F373,Base_Dados!$K$1:$O$11,2,FALSE))," ")</f>
        <v> </v>
      </c>
      <c r="Q373" s="21" t="str">
        <f t="shared" si="2"/>
        <v>Fluxo Impossível</v>
      </c>
      <c r="R373" s="1"/>
      <c r="S373" s="1"/>
      <c r="T373" s="1"/>
      <c r="U373" s="1"/>
      <c r="V373" s="1"/>
      <c r="W373" s="1"/>
      <c r="X373" s="1"/>
      <c r="Y373" s="1"/>
      <c r="Z373" s="1"/>
    </row>
    <row r="374" ht="24.0" customHeight="1">
      <c r="A374" s="18"/>
      <c r="B374" s="18"/>
      <c r="C374" s="19"/>
      <c r="D374" s="19"/>
      <c r="E374" s="19"/>
      <c r="F374" s="19"/>
      <c r="G374" s="20"/>
      <c r="H374" s="19"/>
      <c r="I374" s="19"/>
      <c r="J374" s="30" t="str">
        <f>VLOOKUP(C374&amp;I374&amp;E374,Orig_Dest!$A$2:$E$1876,5,FALSE)</f>
        <v>#N/A</v>
      </c>
      <c r="K374" s="14" t="str">
        <f t="shared" si="1"/>
        <v>#VALUE!</v>
      </c>
      <c r="L374" s="21" t="str">
        <f>IF(B374="Fornecedor",IF(VLOOKUP(C374,Base_Dados!$E$1:$F$7,2,FALSE)=F374," ","Fornecedor inválido!")," ")</f>
        <v> </v>
      </c>
      <c r="M374" s="22" t="str">
        <f>IF(AND(LEFT(F374,2)="MP",H374&lt;&gt;Base_Dados!$A$1),"Impossível!!!"," ")</f>
        <v> </v>
      </c>
      <c r="N374" s="21" t="str">
        <f>IF(E374="Avião",IF($G374&lt;=VLOOKUP($F374,Base_Dados!$K$1:$O$7,3,FALSE)," ","Limite "&amp;VLOOKUP($F374,Base_Dados!$K$1:$O$11,3,FALSE)&amp;" "&amp;VLOOKUP($F374,Base_Dados!$K$1:$O$11,2,FALSE))," ")</f>
        <v> </v>
      </c>
      <c r="O374" s="21" t="str">
        <f>IF(E374="Caminhão",IF($G374&lt;=VLOOKUP($F374,Base_Dados!$K$1:$O$7,4,FALSE)," ","Limite "&amp;VLOOKUP($F374,Base_Dados!$K$1:$O$11,4,FALSE)&amp;" "&amp;VLOOKUP($F374,Base_Dados!$K$1:$O$11,2,FALSE))," ")</f>
        <v> </v>
      </c>
      <c r="P374" s="21" t="str">
        <f>IF(E374="Navio",IF($G374&lt;=VLOOKUP($F374,Base_Dados!$K$1:$O$7,5,FALSE)," ","Limite "&amp;VLOOKUP($F374,Base_Dados!$K$1:$O$11,5,FALSE)&amp;" "&amp;VLOOKUP($F374,Base_Dados!$K$1:$O$11,2,FALSE))," ")</f>
        <v> </v>
      </c>
      <c r="Q374" s="21" t="str">
        <f t="shared" si="2"/>
        <v>Fluxo Impossível</v>
      </c>
      <c r="R374" s="1"/>
      <c r="S374" s="1"/>
      <c r="T374" s="1"/>
      <c r="U374" s="1"/>
      <c r="V374" s="1"/>
      <c r="W374" s="1"/>
      <c r="X374" s="1"/>
      <c r="Y374" s="1"/>
      <c r="Z374" s="1"/>
    </row>
    <row r="375" ht="24.0" customHeight="1">
      <c r="A375" s="18"/>
      <c r="B375" s="18"/>
      <c r="C375" s="19"/>
      <c r="D375" s="19"/>
      <c r="E375" s="19"/>
      <c r="F375" s="19"/>
      <c r="G375" s="20"/>
      <c r="H375" s="19"/>
      <c r="I375" s="19"/>
      <c r="J375" s="30" t="str">
        <f>VLOOKUP(C375&amp;I375&amp;E375,Orig_Dest!$A$2:$E$1876,5,FALSE)</f>
        <v>#N/A</v>
      </c>
      <c r="K375" s="14" t="str">
        <f t="shared" si="1"/>
        <v>#VALUE!</v>
      </c>
      <c r="L375" s="21" t="str">
        <f>IF(B375="Fornecedor",IF(VLOOKUP(C375,Base_Dados!$E$1:$F$7,2,FALSE)=F375," ","Fornecedor inválido!")," ")</f>
        <v> </v>
      </c>
      <c r="M375" s="22" t="str">
        <f>IF(AND(LEFT(F375,2)="MP",H375&lt;&gt;Base_Dados!$A$1),"Impossível!!!"," ")</f>
        <v> </v>
      </c>
      <c r="N375" s="21" t="str">
        <f>IF(E375="Avião",IF($G375&lt;=VLOOKUP($F375,Base_Dados!$K$1:$O$7,3,FALSE)," ","Limite "&amp;VLOOKUP($F375,Base_Dados!$K$1:$O$11,3,FALSE)&amp;" "&amp;VLOOKUP($F375,Base_Dados!$K$1:$O$11,2,FALSE))," ")</f>
        <v> </v>
      </c>
      <c r="O375" s="21" t="str">
        <f>IF(E375="Caminhão",IF($G375&lt;=VLOOKUP($F375,Base_Dados!$K$1:$O$7,4,FALSE)," ","Limite "&amp;VLOOKUP($F375,Base_Dados!$K$1:$O$11,4,FALSE)&amp;" "&amp;VLOOKUP($F375,Base_Dados!$K$1:$O$11,2,FALSE))," ")</f>
        <v> </v>
      </c>
      <c r="P375" s="21" t="str">
        <f>IF(E375="Navio",IF($G375&lt;=VLOOKUP($F375,Base_Dados!$K$1:$O$7,5,FALSE)," ","Limite "&amp;VLOOKUP($F375,Base_Dados!$K$1:$O$11,5,FALSE)&amp;" "&amp;VLOOKUP($F375,Base_Dados!$K$1:$O$11,2,FALSE))," ")</f>
        <v> </v>
      </c>
      <c r="Q375" s="21" t="str">
        <f t="shared" si="2"/>
        <v>Fluxo Impossível</v>
      </c>
      <c r="R375" s="1"/>
      <c r="S375" s="1"/>
      <c r="T375" s="1"/>
      <c r="U375" s="1"/>
      <c r="V375" s="1"/>
      <c r="W375" s="1"/>
      <c r="X375" s="1"/>
      <c r="Y375" s="1"/>
      <c r="Z375" s="1"/>
    </row>
    <row r="376" ht="24.0" customHeight="1">
      <c r="A376" s="18"/>
      <c r="B376" s="18"/>
      <c r="C376" s="19"/>
      <c r="D376" s="19"/>
      <c r="E376" s="19"/>
      <c r="F376" s="19"/>
      <c r="G376" s="20"/>
      <c r="H376" s="19"/>
      <c r="I376" s="19"/>
      <c r="J376" s="30" t="str">
        <f>VLOOKUP(C376&amp;I376&amp;E376,Orig_Dest!$A$2:$E$1876,5,FALSE)</f>
        <v>#N/A</v>
      </c>
      <c r="K376" s="14" t="str">
        <f t="shared" si="1"/>
        <v>#VALUE!</v>
      </c>
      <c r="L376" s="21" t="str">
        <f>IF(B376="Fornecedor",IF(VLOOKUP(C376,Base_Dados!$E$1:$F$7,2,FALSE)=F376," ","Fornecedor inválido!")," ")</f>
        <v> </v>
      </c>
      <c r="M376" s="22" t="str">
        <f>IF(AND(LEFT(F376,2)="MP",H376&lt;&gt;Base_Dados!$A$1),"Impossível!!!"," ")</f>
        <v> </v>
      </c>
      <c r="N376" s="21" t="str">
        <f>IF(E376="Avião",IF($G376&lt;=VLOOKUP($F376,Base_Dados!$K$1:$O$7,3,FALSE)," ","Limite "&amp;VLOOKUP($F376,Base_Dados!$K$1:$O$11,3,FALSE)&amp;" "&amp;VLOOKUP($F376,Base_Dados!$K$1:$O$11,2,FALSE))," ")</f>
        <v> </v>
      </c>
      <c r="O376" s="21" t="str">
        <f>IF(E376="Caminhão",IF($G376&lt;=VLOOKUP($F376,Base_Dados!$K$1:$O$7,4,FALSE)," ","Limite "&amp;VLOOKUP($F376,Base_Dados!$K$1:$O$11,4,FALSE)&amp;" "&amp;VLOOKUP($F376,Base_Dados!$K$1:$O$11,2,FALSE))," ")</f>
        <v> </v>
      </c>
      <c r="P376" s="21" t="str">
        <f>IF(E376="Navio",IF($G376&lt;=VLOOKUP($F376,Base_Dados!$K$1:$O$7,5,FALSE)," ","Limite "&amp;VLOOKUP($F376,Base_Dados!$K$1:$O$11,5,FALSE)&amp;" "&amp;VLOOKUP($F376,Base_Dados!$K$1:$O$11,2,FALSE))," ")</f>
        <v> </v>
      </c>
      <c r="Q376" s="21" t="str">
        <f t="shared" si="2"/>
        <v>Fluxo Impossível</v>
      </c>
      <c r="R376" s="1"/>
      <c r="S376" s="1"/>
      <c r="T376" s="1"/>
      <c r="U376" s="1"/>
      <c r="V376" s="1"/>
      <c r="W376" s="1"/>
      <c r="X376" s="1"/>
      <c r="Y376" s="1"/>
      <c r="Z376" s="1"/>
    </row>
    <row r="377" ht="24.0" customHeight="1">
      <c r="A377" s="18"/>
      <c r="B377" s="18"/>
      <c r="C377" s="19"/>
      <c r="D377" s="19"/>
      <c r="E377" s="19"/>
      <c r="F377" s="19"/>
      <c r="G377" s="20"/>
      <c r="H377" s="19"/>
      <c r="I377" s="19"/>
      <c r="J377" s="30" t="str">
        <f>VLOOKUP(C377&amp;I377&amp;E377,Orig_Dest!$A$2:$E$1876,5,FALSE)</f>
        <v>#N/A</v>
      </c>
      <c r="K377" s="14" t="str">
        <f t="shared" si="1"/>
        <v>#VALUE!</v>
      </c>
      <c r="L377" s="21" t="str">
        <f>IF(B377="Fornecedor",IF(VLOOKUP(C377,Base_Dados!$E$1:$F$7,2,FALSE)=F377," ","Fornecedor inválido!")," ")</f>
        <v> </v>
      </c>
      <c r="M377" s="22" t="str">
        <f>IF(AND(LEFT(F377,2)="MP",H377&lt;&gt;Base_Dados!$A$1),"Impossível!!!"," ")</f>
        <v> </v>
      </c>
      <c r="N377" s="21" t="str">
        <f>IF(E377="Avião",IF($G377&lt;=VLOOKUP($F377,Base_Dados!$K$1:$O$7,3,FALSE)," ","Limite "&amp;VLOOKUP($F377,Base_Dados!$K$1:$O$11,3,FALSE)&amp;" "&amp;VLOOKUP($F377,Base_Dados!$K$1:$O$11,2,FALSE))," ")</f>
        <v> </v>
      </c>
      <c r="O377" s="21" t="str">
        <f>IF(E377="Caminhão",IF($G377&lt;=VLOOKUP($F377,Base_Dados!$K$1:$O$7,4,FALSE)," ","Limite "&amp;VLOOKUP($F377,Base_Dados!$K$1:$O$11,4,FALSE)&amp;" "&amp;VLOOKUP($F377,Base_Dados!$K$1:$O$11,2,FALSE))," ")</f>
        <v> </v>
      </c>
      <c r="P377" s="21" t="str">
        <f>IF(E377="Navio",IF($G377&lt;=VLOOKUP($F377,Base_Dados!$K$1:$O$7,5,FALSE)," ","Limite "&amp;VLOOKUP($F377,Base_Dados!$K$1:$O$11,5,FALSE)&amp;" "&amp;VLOOKUP($F377,Base_Dados!$K$1:$O$11,2,FALSE))," ")</f>
        <v> </v>
      </c>
      <c r="Q377" s="21" t="str">
        <f t="shared" si="2"/>
        <v>Fluxo Impossível</v>
      </c>
      <c r="R377" s="1"/>
      <c r="S377" s="1"/>
      <c r="T377" s="1"/>
      <c r="U377" s="1"/>
      <c r="V377" s="1"/>
      <c r="W377" s="1"/>
      <c r="X377" s="1"/>
      <c r="Y377" s="1"/>
      <c r="Z377" s="1"/>
    </row>
    <row r="378" ht="24.0" customHeight="1">
      <c r="A378" s="18"/>
      <c r="B378" s="18"/>
      <c r="C378" s="19"/>
      <c r="D378" s="19"/>
      <c r="E378" s="19"/>
      <c r="F378" s="19"/>
      <c r="G378" s="20"/>
      <c r="H378" s="19"/>
      <c r="I378" s="19"/>
      <c r="J378" s="30" t="str">
        <f>VLOOKUP(C378&amp;I378&amp;E378,Orig_Dest!$A$2:$E$1876,5,FALSE)</f>
        <v>#N/A</v>
      </c>
      <c r="K378" s="14" t="str">
        <f t="shared" si="1"/>
        <v>#VALUE!</v>
      </c>
      <c r="L378" s="21" t="str">
        <f>IF(B378="Fornecedor",IF(VLOOKUP(C378,Base_Dados!$E$1:$F$7,2,FALSE)=F378," ","Fornecedor inválido!")," ")</f>
        <v> </v>
      </c>
      <c r="M378" s="22" t="str">
        <f>IF(AND(LEFT(F378,2)="MP",H378&lt;&gt;Base_Dados!$A$1),"Impossível!!!"," ")</f>
        <v> </v>
      </c>
      <c r="N378" s="21" t="str">
        <f>IF(E378="Avião",IF($G378&lt;=VLOOKUP($F378,Base_Dados!$K$1:$O$7,3,FALSE)," ","Limite "&amp;VLOOKUP($F378,Base_Dados!$K$1:$O$11,3,FALSE)&amp;" "&amp;VLOOKUP($F378,Base_Dados!$K$1:$O$11,2,FALSE))," ")</f>
        <v> </v>
      </c>
      <c r="O378" s="21" t="str">
        <f>IF(E378="Caminhão",IF($G378&lt;=VLOOKUP($F378,Base_Dados!$K$1:$O$7,4,FALSE)," ","Limite "&amp;VLOOKUP($F378,Base_Dados!$K$1:$O$11,4,FALSE)&amp;" "&amp;VLOOKUP($F378,Base_Dados!$K$1:$O$11,2,FALSE))," ")</f>
        <v> </v>
      </c>
      <c r="P378" s="21" t="str">
        <f>IF(E378="Navio",IF($G378&lt;=VLOOKUP($F378,Base_Dados!$K$1:$O$7,5,FALSE)," ","Limite "&amp;VLOOKUP($F378,Base_Dados!$K$1:$O$11,5,FALSE)&amp;" "&amp;VLOOKUP($F378,Base_Dados!$K$1:$O$11,2,FALSE))," ")</f>
        <v> </v>
      </c>
      <c r="Q378" s="21" t="str">
        <f t="shared" si="2"/>
        <v>Fluxo Impossível</v>
      </c>
      <c r="R378" s="1"/>
      <c r="S378" s="1"/>
      <c r="T378" s="1"/>
      <c r="U378" s="1"/>
      <c r="V378" s="1"/>
      <c r="W378" s="1"/>
      <c r="X378" s="1"/>
      <c r="Y378" s="1"/>
      <c r="Z378" s="1"/>
    </row>
    <row r="379" ht="24.0" customHeight="1">
      <c r="A379" s="18"/>
      <c r="B379" s="18"/>
      <c r="C379" s="19"/>
      <c r="D379" s="19"/>
      <c r="E379" s="19"/>
      <c r="F379" s="19"/>
      <c r="G379" s="20"/>
      <c r="H379" s="19"/>
      <c r="I379" s="19"/>
      <c r="J379" s="30" t="str">
        <f>VLOOKUP(C379&amp;I379&amp;E379,Orig_Dest!$A$2:$E$1876,5,FALSE)</f>
        <v>#N/A</v>
      </c>
      <c r="K379" s="14" t="str">
        <f t="shared" si="1"/>
        <v>#VALUE!</v>
      </c>
      <c r="L379" s="21" t="str">
        <f>IF(B379="Fornecedor",IF(VLOOKUP(C379,Base_Dados!$E$1:$F$7,2,FALSE)=F379," ","Fornecedor inválido!")," ")</f>
        <v> </v>
      </c>
      <c r="M379" s="22" t="str">
        <f>IF(AND(LEFT(F379,2)="MP",H379&lt;&gt;Base_Dados!$A$1),"Impossível!!!"," ")</f>
        <v> </v>
      </c>
      <c r="N379" s="21" t="str">
        <f>IF(E379="Avião",IF($G379&lt;=VLOOKUP($F379,Base_Dados!$K$1:$O$7,3,FALSE)," ","Limite "&amp;VLOOKUP($F379,Base_Dados!$K$1:$O$11,3,FALSE)&amp;" "&amp;VLOOKUP($F379,Base_Dados!$K$1:$O$11,2,FALSE))," ")</f>
        <v> </v>
      </c>
      <c r="O379" s="21" t="str">
        <f>IF(E379="Caminhão",IF($G379&lt;=VLOOKUP($F379,Base_Dados!$K$1:$O$7,4,FALSE)," ","Limite "&amp;VLOOKUP($F379,Base_Dados!$K$1:$O$11,4,FALSE)&amp;" "&amp;VLOOKUP($F379,Base_Dados!$K$1:$O$11,2,FALSE))," ")</f>
        <v> </v>
      </c>
      <c r="P379" s="21" t="str">
        <f>IF(E379="Navio",IF($G379&lt;=VLOOKUP($F379,Base_Dados!$K$1:$O$7,5,FALSE)," ","Limite "&amp;VLOOKUP($F379,Base_Dados!$K$1:$O$11,5,FALSE)&amp;" "&amp;VLOOKUP($F379,Base_Dados!$K$1:$O$11,2,FALSE))," ")</f>
        <v> </v>
      </c>
      <c r="Q379" s="21" t="str">
        <f t="shared" si="2"/>
        <v>Fluxo Impossível</v>
      </c>
      <c r="R379" s="1"/>
      <c r="S379" s="1"/>
      <c r="T379" s="1"/>
      <c r="U379" s="1"/>
      <c r="V379" s="1"/>
      <c r="W379" s="1"/>
      <c r="X379" s="1"/>
      <c r="Y379" s="1"/>
      <c r="Z379" s="1"/>
    </row>
    <row r="380" ht="24.0" customHeight="1">
      <c r="A380" s="18"/>
      <c r="B380" s="18"/>
      <c r="C380" s="19"/>
      <c r="D380" s="19"/>
      <c r="E380" s="19"/>
      <c r="F380" s="19"/>
      <c r="G380" s="20"/>
      <c r="H380" s="19"/>
      <c r="I380" s="19"/>
      <c r="J380" s="30" t="str">
        <f>VLOOKUP(C380&amp;I380&amp;E380,Orig_Dest!$A$2:$E$1876,5,FALSE)</f>
        <v>#N/A</v>
      </c>
      <c r="K380" s="14" t="str">
        <f t="shared" si="1"/>
        <v>#VALUE!</v>
      </c>
      <c r="L380" s="21" t="str">
        <f>IF(B380="Fornecedor",IF(VLOOKUP(C380,Base_Dados!$E$1:$F$7,2,FALSE)=F380," ","Fornecedor inválido!")," ")</f>
        <v> </v>
      </c>
      <c r="M380" s="22" t="str">
        <f>IF(AND(LEFT(F380,2)="MP",H380&lt;&gt;Base_Dados!$A$1),"Impossível!!!"," ")</f>
        <v> </v>
      </c>
      <c r="N380" s="21" t="str">
        <f>IF(E380="Avião",IF($G380&lt;=VLOOKUP($F380,Base_Dados!$K$1:$O$7,3,FALSE)," ","Limite "&amp;VLOOKUP($F380,Base_Dados!$K$1:$O$11,3,FALSE)&amp;" "&amp;VLOOKUP($F380,Base_Dados!$K$1:$O$11,2,FALSE))," ")</f>
        <v> </v>
      </c>
      <c r="O380" s="21" t="str">
        <f>IF(E380="Caminhão",IF($G380&lt;=VLOOKUP($F380,Base_Dados!$K$1:$O$7,4,FALSE)," ","Limite "&amp;VLOOKUP($F380,Base_Dados!$K$1:$O$11,4,FALSE)&amp;" "&amp;VLOOKUP($F380,Base_Dados!$K$1:$O$11,2,FALSE))," ")</f>
        <v> </v>
      </c>
      <c r="P380" s="21" t="str">
        <f>IF(E380="Navio",IF($G380&lt;=VLOOKUP($F380,Base_Dados!$K$1:$O$7,5,FALSE)," ","Limite "&amp;VLOOKUP($F380,Base_Dados!$K$1:$O$11,5,FALSE)&amp;" "&amp;VLOOKUP($F380,Base_Dados!$K$1:$O$11,2,FALSE))," ")</f>
        <v> </v>
      </c>
      <c r="Q380" s="21" t="str">
        <f t="shared" si="2"/>
        <v>Fluxo Impossível</v>
      </c>
      <c r="R380" s="1"/>
      <c r="S380" s="1"/>
      <c r="T380" s="1"/>
      <c r="U380" s="1"/>
      <c r="V380" s="1"/>
      <c r="W380" s="1"/>
      <c r="X380" s="1"/>
      <c r="Y380" s="1"/>
      <c r="Z380" s="1"/>
    </row>
    <row r="381" ht="24.0" customHeight="1">
      <c r="A381" s="18"/>
      <c r="B381" s="18"/>
      <c r="C381" s="19"/>
      <c r="D381" s="19"/>
      <c r="E381" s="19"/>
      <c r="F381" s="19"/>
      <c r="G381" s="20"/>
      <c r="H381" s="19"/>
      <c r="I381" s="19"/>
      <c r="J381" s="30" t="str">
        <f>VLOOKUP(C381&amp;I381&amp;E381,Orig_Dest!$A$2:$E$1876,5,FALSE)</f>
        <v>#N/A</v>
      </c>
      <c r="K381" s="14" t="str">
        <f t="shared" si="1"/>
        <v>#VALUE!</v>
      </c>
      <c r="L381" s="21" t="str">
        <f>IF(B381="Fornecedor",IF(VLOOKUP(C381,Base_Dados!$E$1:$F$7,2,FALSE)=F381," ","Fornecedor inválido!")," ")</f>
        <v> </v>
      </c>
      <c r="M381" s="22" t="str">
        <f>IF(AND(LEFT(F381,2)="MP",H381&lt;&gt;Base_Dados!$A$1),"Impossível!!!"," ")</f>
        <v> </v>
      </c>
      <c r="N381" s="21" t="str">
        <f>IF(E381="Avião",IF($G381&lt;=VLOOKUP($F381,Base_Dados!$K$1:$O$7,3,FALSE)," ","Limite "&amp;VLOOKUP($F381,Base_Dados!$K$1:$O$11,3,FALSE)&amp;" "&amp;VLOOKUP($F381,Base_Dados!$K$1:$O$11,2,FALSE))," ")</f>
        <v> </v>
      </c>
      <c r="O381" s="21" t="str">
        <f>IF(E381="Caminhão",IF($G381&lt;=VLOOKUP($F381,Base_Dados!$K$1:$O$7,4,FALSE)," ","Limite "&amp;VLOOKUP($F381,Base_Dados!$K$1:$O$11,4,FALSE)&amp;" "&amp;VLOOKUP($F381,Base_Dados!$K$1:$O$11,2,FALSE))," ")</f>
        <v> </v>
      </c>
      <c r="P381" s="21" t="str">
        <f>IF(E381="Navio",IF($G381&lt;=VLOOKUP($F381,Base_Dados!$K$1:$O$7,5,FALSE)," ","Limite "&amp;VLOOKUP($F381,Base_Dados!$K$1:$O$11,5,FALSE)&amp;" "&amp;VLOOKUP($F381,Base_Dados!$K$1:$O$11,2,FALSE))," ")</f>
        <v> </v>
      </c>
      <c r="Q381" s="21" t="str">
        <f t="shared" si="2"/>
        <v>Fluxo Impossível</v>
      </c>
      <c r="R381" s="1"/>
      <c r="S381" s="1"/>
      <c r="T381" s="1"/>
      <c r="U381" s="1"/>
      <c r="V381" s="1"/>
      <c r="W381" s="1"/>
      <c r="X381" s="1"/>
      <c r="Y381" s="1"/>
      <c r="Z381" s="1"/>
    </row>
    <row r="382" ht="24.0" customHeight="1">
      <c r="A382" s="18"/>
      <c r="B382" s="18"/>
      <c r="C382" s="19"/>
      <c r="D382" s="19"/>
      <c r="E382" s="19"/>
      <c r="F382" s="19"/>
      <c r="G382" s="20"/>
      <c r="H382" s="19"/>
      <c r="I382" s="19"/>
      <c r="J382" s="30" t="str">
        <f>VLOOKUP(C382&amp;I382&amp;E382,Orig_Dest!$A$2:$E$1876,5,FALSE)</f>
        <v>#N/A</v>
      </c>
      <c r="K382" s="14" t="str">
        <f t="shared" si="1"/>
        <v>#VALUE!</v>
      </c>
      <c r="L382" s="21" t="str">
        <f>IF(B382="Fornecedor",IF(VLOOKUP(C382,Base_Dados!$E$1:$F$7,2,FALSE)=F382," ","Fornecedor inválido!")," ")</f>
        <v> </v>
      </c>
      <c r="M382" s="22" t="str">
        <f>IF(AND(LEFT(F382,2)="MP",H382&lt;&gt;Base_Dados!$A$1),"Impossível!!!"," ")</f>
        <v> </v>
      </c>
      <c r="N382" s="21" t="str">
        <f>IF(E382="Avião",IF($G382&lt;=VLOOKUP($F382,Base_Dados!$K$1:$O$7,3,FALSE)," ","Limite "&amp;VLOOKUP($F382,Base_Dados!$K$1:$O$11,3,FALSE)&amp;" "&amp;VLOOKUP($F382,Base_Dados!$K$1:$O$11,2,FALSE))," ")</f>
        <v> </v>
      </c>
      <c r="O382" s="21" t="str">
        <f>IF(E382="Caminhão",IF($G382&lt;=VLOOKUP($F382,Base_Dados!$K$1:$O$7,4,FALSE)," ","Limite "&amp;VLOOKUP($F382,Base_Dados!$K$1:$O$11,4,FALSE)&amp;" "&amp;VLOOKUP($F382,Base_Dados!$K$1:$O$11,2,FALSE))," ")</f>
        <v> </v>
      </c>
      <c r="P382" s="21" t="str">
        <f>IF(E382="Navio",IF($G382&lt;=VLOOKUP($F382,Base_Dados!$K$1:$O$7,5,FALSE)," ","Limite "&amp;VLOOKUP($F382,Base_Dados!$K$1:$O$11,5,FALSE)&amp;" "&amp;VLOOKUP($F382,Base_Dados!$K$1:$O$11,2,FALSE))," ")</f>
        <v> </v>
      </c>
      <c r="Q382" s="21" t="str">
        <f t="shared" si="2"/>
        <v>Fluxo Impossível</v>
      </c>
      <c r="R382" s="1"/>
      <c r="S382" s="1"/>
      <c r="T382" s="1"/>
      <c r="U382" s="1"/>
      <c r="V382" s="1"/>
      <c r="W382" s="1"/>
      <c r="X382" s="1"/>
      <c r="Y382" s="1"/>
      <c r="Z382" s="1"/>
    </row>
    <row r="383" ht="24.0" customHeight="1">
      <c r="A383" s="18"/>
      <c r="B383" s="18"/>
      <c r="C383" s="19"/>
      <c r="D383" s="19"/>
      <c r="E383" s="19"/>
      <c r="F383" s="19"/>
      <c r="G383" s="20"/>
      <c r="H383" s="19"/>
      <c r="I383" s="19"/>
      <c r="J383" s="30" t="str">
        <f>VLOOKUP(C383&amp;I383&amp;E383,Orig_Dest!$A$2:$E$1876,5,FALSE)</f>
        <v>#N/A</v>
      </c>
      <c r="K383" s="14" t="str">
        <f t="shared" si="1"/>
        <v>#VALUE!</v>
      </c>
      <c r="L383" s="21" t="str">
        <f>IF(B383="Fornecedor",IF(VLOOKUP(C383,Base_Dados!$E$1:$F$7,2,FALSE)=F383," ","Fornecedor inválido!")," ")</f>
        <v> </v>
      </c>
      <c r="M383" s="22" t="str">
        <f>IF(AND(LEFT(F383,2)="MP",H383&lt;&gt;Base_Dados!$A$1),"Impossível!!!"," ")</f>
        <v> </v>
      </c>
      <c r="N383" s="21" t="str">
        <f>IF(E383="Avião",IF($G383&lt;=VLOOKUP($F383,Base_Dados!$K$1:$O$7,3,FALSE)," ","Limite "&amp;VLOOKUP($F383,Base_Dados!$K$1:$O$11,3,FALSE)&amp;" "&amp;VLOOKUP($F383,Base_Dados!$K$1:$O$11,2,FALSE))," ")</f>
        <v> </v>
      </c>
      <c r="O383" s="21" t="str">
        <f>IF(E383="Caminhão",IF($G383&lt;=VLOOKUP($F383,Base_Dados!$K$1:$O$7,4,FALSE)," ","Limite "&amp;VLOOKUP($F383,Base_Dados!$K$1:$O$11,4,FALSE)&amp;" "&amp;VLOOKUP($F383,Base_Dados!$K$1:$O$11,2,FALSE))," ")</f>
        <v> </v>
      </c>
      <c r="P383" s="21" t="str">
        <f>IF(E383="Navio",IF($G383&lt;=VLOOKUP($F383,Base_Dados!$K$1:$O$7,5,FALSE)," ","Limite "&amp;VLOOKUP($F383,Base_Dados!$K$1:$O$11,5,FALSE)&amp;" "&amp;VLOOKUP($F383,Base_Dados!$K$1:$O$11,2,FALSE))," ")</f>
        <v> </v>
      </c>
      <c r="Q383" s="21" t="str">
        <f t="shared" si="2"/>
        <v>Fluxo Impossível</v>
      </c>
      <c r="R383" s="1"/>
      <c r="S383" s="1"/>
      <c r="T383" s="1"/>
      <c r="U383" s="1"/>
      <c r="V383" s="1"/>
      <c r="W383" s="1"/>
      <c r="X383" s="1"/>
      <c r="Y383" s="1"/>
      <c r="Z383" s="1"/>
    </row>
    <row r="384" ht="24.0" customHeight="1">
      <c r="A384" s="18"/>
      <c r="B384" s="18"/>
      <c r="C384" s="19"/>
      <c r="D384" s="19"/>
      <c r="E384" s="19"/>
      <c r="F384" s="19"/>
      <c r="G384" s="20"/>
      <c r="H384" s="19"/>
      <c r="I384" s="19"/>
      <c r="J384" s="30" t="str">
        <f>VLOOKUP(C384&amp;I384&amp;E384,Orig_Dest!$A$2:$E$1876,5,FALSE)</f>
        <v>#N/A</v>
      </c>
      <c r="K384" s="14" t="str">
        <f t="shared" si="1"/>
        <v>#VALUE!</v>
      </c>
      <c r="L384" s="21" t="str">
        <f>IF(B384="Fornecedor",IF(VLOOKUP(C384,Base_Dados!$E$1:$F$7,2,FALSE)=F384," ","Fornecedor inválido!")," ")</f>
        <v> </v>
      </c>
      <c r="M384" s="22" t="str">
        <f>IF(AND(LEFT(F384,2)="MP",H384&lt;&gt;Base_Dados!$A$1),"Impossível!!!"," ")</f>
        <v> </v>
      </c>
      <c r="N384" s="21" t="str">
        <f>IF(E384="Avião",IF($G384&lt;=VLOOKUP($F384,Base_Dados!$K$1:$O$7,3,FALSE)," ","Limite "&amp;VLOOKUP($F384,Base_Dados!$K$1:$O$11,3,FALSE)&amp;" "&amp;VLOOKUP($F384,Base_Dados!$K$1:$O$11,2,FALSE))," ")</f>
        <v> </v>
      </c>
      <c r="O384" s="21" t="str">
        <f>IF(E384="Caminhão",IF($G384&lt;=VLOOKUP($F384,Base_Dados!$K$1:$O$7,4,FALSE)," ","Limite "&amp;VLOOKUP($F384,Base_Dados!$K$1:$O$11,4,FALSE)&amp;" "&amp;VLOOKUP($F384,Base_Dados!$K$1:$O$11,2,FALSE))," ")</f>
        <v> </v>
      </c>
      <c r="P384" s="21" t="str">
        <f>IF(E384="Navio",IF($G384&lt;=VLOOKUP($F384,Base_Dados!$K$1:$O$7,5,FALSE)," ","Limite "&amp;VLOOKUP($F384,Base_Dados!$K$1:$O$11,5,FALSE)&amp;" "&amp;VLOOKUP($F384,Base_Dados!$K$1:$O$11,2,FALSE))," ")</f>
        <v> </v>
      </c>
      <c r="Q384" s="21" t="str">
        <f t="shared" si="2"/>
        <v>Fluxo Impossível</v>
      </c>
      <c r="R384" s="1"/>
      <c r="S384" s="1"/>
      <c r="T384" s="1"/>
      <c r="U384" s="1"/>
      <c r="V384" s="1"/>
      <c r="W384" s="1"/>
      <c r="X384" s="1"/>
      <c r="Y384" s="1"/>
      <c r="Z384" s="1"/>
    </row>
    <row r="385" ht="24.0" customHeight="1">
      <c r="A385" s="18"/>
      <c r="B385" s="18"/>
      <c r="C385" s="19"/>
      <c r="D385" s="19"/>
      <c r="E385" s="19"/>
      <c r="F385" s="19"/>
      <c r="G385" s="20"/>
      <c r="H385" s="19"/>
      <c r="I385" s="19"/>
      <c r="J385" s="30" t="str">
        <f>VLOOKUP(C385&amp;I385&amp;E385,Orig_Dest!$A$2:$E$1876,5,FALSE)</f>
        <v>#N/A</v>
      </c>
      <c r="K385" s="14" t="str">
        <f t="shared" si="1"/>
        <v>#VALUE!</v>
      </c>
      <c r="L385" s="21" t="str">
        <f>IF(B385="Fornecedor",IF(VLOOKUP(C385,Base_Dados!$E$1:$F$7,2,FALSE)=F385," ","Fornecedor inválido!")," ")</f>
        <v> </v>
      </c>
      <c r="M385" s="22" t="str">
        <f>IF(AND(LEFT(F385,2)="MP",H385&lt;&gt;Base_Dados!$A$1),"Impossível!!!"," ")</f>
        <v> </v>
      </c>
      <c r="N385" s="21" t="str">
        <f>IF(E385="Avião",IF($G385&lt;=VLOOKUP($F385,Base_Dados!$K$1:$O$7,3,FALSE)," ","Limite "&amp;VLOOKUP($F385,Base_Dados!$K$1:$O$11,3,FALSE)&amp;" "&amp;VLOOKUP($F385,Base_Dados!$K$1:$O$11,2,FALSE))," ")</f>
        <v> </v>
      </c>
      <c r="O385" s="21" t="str">
        <f>IF(E385="Caminhão",IF($G385&lt;=VLOOKUP($F385,Base_Dados!$K$1:$O$7,4,FALSE)," ","Limite "&amp;VLOOKUP($F385,Base_Dados!$K$1:$O$11,4,FALSE)&amp;" "&amp;VLOOKUP($F385,Base_Dados!$K$1:$O$11,2,FALSE))," ")</f>
        <v> </v>
      </c>
      <c r="P385" s="21" t="str">
        <f>IF(E385="Navio",IF($G385&lt;=VLOOKUP($F385,Base_Dados!$K$1:$O$7,5,FALSE)," ","Limite "&amp;VLOOKUP($F385,Base_Dados!$K$1:$O$11,5,FALSE)&amp;" "&amp;VLOOKUP($F385,Base_Dados!$K$1:$O$11,2,FALSE))," ")</f>
        <v> </v>
      </c>
      <c r="Q385" s="21" t="str">
        <f t="shared" si="2"/>
        <v>Fluxo Impossível</v>
      </c>
      <c r="R385" s="1"/>
      <c r="S385" s="1"/>
      <c r="T385" s="1"/>
      <c r="U385" s="1"/>
      <c r="V385" s="1"/>
      <c r="W385" s="1"/>
      <c r="X385" s="1"/>
      <c r="Y385" s="1"/>
      <c r="Z385" s="1"/>
    </row>
    <row r="386" ht="24.0" customHeight="1">
      <c r="A386" s="18"/>
      <c r="B386" s="18"/>
      <c r="C386" s="19"/>
      <c r="D386" s="19"/>
      <c r="E386" s="19"/>
      <c r="F386" s="19"/>
      <c r="G386" s="20"/>
      <c r="H386" s="19"/>
      <c r="I386" s="19"/>
      <c r="J386" s="30" t="str">
        <f>VLOOKUP(C386&amp;I386&amp;E386,Orig_Dest!$A$2:$E$1876,5,FALSE)</f>
        <v>#N/A</v>
      </c>
      <c r="K386" s="14" t="str">
        <f t="shared" si="1"/>
        <v>#VALUE!</v>
      </c>
      <c r="L386" s="21" t="str">
        <f>IF(B386="Fornecedor",IF(VLOOKUP(C386,Base_Dados!$E$1:$F$7,2,FALSE)=F386," ","Fornecedor inválido!")," ")</f>
        <v> </v>
      </c>
      <c r="M386" s="22" t="str">
        <f>IF(AND(LEFT(F386,2)="MP",H386&lt;&gt;Base_Dados!$A$1),"Impossível!!!"," ")</f>
        <v> </v>
      </c>
      <c r="N386" s="21" t="str">
        <f>IF(E386="Avião",IF($G386&lt;=VLOOKUP($F386,Base_Dados!$K$1:$O$7,3,FALSE)," ","Limite "&amp;VLOOKUP($F386,Base_Dados!$K$1:$O$11,3,FALSE)&amp;" "&amp;VLOOKUP($F386,Base_Dados!$K$1:$O$11,2,FALSE))," ")</f>
        <v> </v>
      </c>
      <c r="O386" s="21" t="str">
        <f>IF(E386="Caminhão",IF($G386&lt;=VLOOKUP($F386,Base_Dados!$K$1:$O$7,4,FALSE)," ","Limite "&amp;VLOOKUP($F386,Base_Dados!$K$1:$O$11,4,FALSE)&amp;" "&amp;VLOOKUP($F386,Base_Dados!$K$1:$O$11,2,FALSE))," ")</f>
        <v> </v>
      </c>
      <c r="P386" s="21" t="str">
        <f>IF(E386="Navio",IF($G386&lt;=VLOOKUP($F386,Base_Dados!$K$1:$O$7,5,FALSE)," ","Limite "&amp;VLOOKUP($F386,Base_Dados!$K$1:$O$11,5,FALSE)&amp;" "&amp;VLOOKUP($F386,Base_Dados!$K$1:$O$11,2,FALSE))," ")</f>
        <v> </v>
      </c>
      <c r="Q386" s="21" t="str">
        <f t="shared" si="2"/>
        <v>Fluxo Impossível</v>
      </c>
      <c r="R386" s="1"/>
      <c r="S386" s="1"/>
      <c r="T386" s="1"/>
      <c r="U386" s="1"/>
      <c r="V386" s="1"/>
      <c r="W386" s="1"/>
      <c r="X386" s="1"/>
      <c r="Y386" s="1"/>
      <c r="Z386" s="1"/>
    </row>
    <row r="387" ht="24.0" customHeight="1">
      <c r="A387" s="18"/>
      <c r="B387" s="18"/>
      <c r="C387" s="19"/>
      <c r="D387" s="19"/>
      <c r="E387" s="19"/>
      <c r="F387" s="19"/>
      <c r="G387" s="20"/>
      <c r="H387" s="19"/>
      <c r="I387" s="19"/>
      <c r="J387" s="30" t="str">
        <f>VLOOKUP(C387&amp;I387&amp;E387,Orig_Dest!$A$2:$E$1876,5,FALSE)</f>
        <v>#N/A</v>
      </c>
      <c r="K387" s="14" t="str">
        <f t="shared" si="1"/>
        <v>#VALUE!</v>
      </c>
      <c r="L387" s="21" t="str">
        <f>IF(B387="Fornecedor",IF(VLOOKUP(C387,Base_Dados!$E$1:$F$7,2,FALSE)=F387," ","Fornecedor inválido!")," ")</f>
        <v> </v>
      </c>
      <c r="M387" s="22" t="str">
        <f>IF(AND(LEFT(F387,2)="MP",H387&lt;&gt;Base_Dados!$A$1),"Impossível!!!"," ")</f>
        <v> </v>
      </c>
      <c r="N387" s="21" t="str">
        <f>IF(E387="Avião",IF($G387&lt;=VLOOKUP($F387,Base_Dados!$K$1:$O$7,3,FALSE)," ","Limite "&amp;VLOOKUP($F387,Base_Dados!$K$1:$O$11,3,FALSE)&amp;" "&amp;VLOOKUP($F387,Base_Dados!$K$1:$O$11,2,FALSE))," ")</f>
        <v> </v>
      </c>
      <c r="O387" s="21" t="str">
        <f>IF(E387="Caminhão",IF($G387&lt;=VLOOKUP($F387,Base_Dados!$K$1:$O$7,4,FALSE)," ","Limite "&amp;VLOOKUP($F387,Base_Dados!$K$1:$O$11,4,FALSE)&amp;" "&amp;VLOOKUP($F387,Base_Dados!$K$1:$O$11,2,FALSE))," ")</f>
        <v> </v>
      </c>
      <c r="P387" s="21" t="str">
        <f>IF(E387="Navio",IF($G387&lt;=VLOOKUP($F387,Base_Dados!$K$1:$O$7,5,FALSE)," ","Limite "&amp;VLOOKUP($F387,Base_Dados!$K$1:$O$11,5,FALSE)&amp;" "&amp;VLOOKUP($F387,Base_Dados!$K$1:$O$11,2,FALSE))," ")</f>
        <v> </v>
      </c>
      <c r="Q387" s="21" t="str">
        <f t="shared" si="2"/>
        <v>Fluxo Impossível</v>
      </c>
      <c r="R387" s="1"/>
      <c r="S387" s="1"/>
      <c r="T387" s="1"/>
      <c r="U387" s="1"/>
      <c r="V387" s="1"/>
      <c r="W387" s="1"/>
      <c r="X387" s="1"/>
      <c r="Y387" s="1"/>
      <c r="Z387" s="1"/>
    </row>
    <row r="388" ht="24.0" customHeight="1">
      <c r="A388" s="18"/>
      <c r="B388" s="18"/>
      <c r="C388" s="19"/>
      <c r="D388" s="19"/>
      <c r="E388" s="19"/>
      <c r="F388" s="19"/>
      <c r="G388" s="20"/>
      <c r="H388" s="19"/>
      <c r="I388" s="19"/>
      <c r="J388" s="30" t="str">
        <f>VLOOKUP(C388&amp;I388&amp;E388,Orig_Dest!$A$2:$E$1876,5,FALSE)</f>
        <v>#N/A</v>
      </c>
      <c r="K388" s="14" t="str">
        <f t="shared" si="1"/>
        <v>#VALUE!</v>
      </c>
      <c r="L388" s="21" t="str">
        <f>IF(B388="Fornecedor",IF(VLOOKUP(C388,Base_Dados!$E$1:$F$7,2,FALSE)=F388," ","Fornecedor inválido!")," ")</f>
        <v> </v>
      </c>
      <c r="M388" s="22" t="str">
        <f>IF(AND(LEFT(F388,2)="MP",H388&lt;&gt;Base_Dados!$A$1),"Impossível!!!"," ")</f>
        <v> </v>
      </c>
      <c r="N388" s="21" t="str">
        <f>IF(E388="Avião",IF($G388&lt;=VLOOKUP($F388,Base_Dados!$K$1:$O$7,3,FALSE)," ","Limite "&amp;VLOOKUP($F388,Base_Dados!$K$1:$O$11,3,FALSE)&amp;" "&amp;VLOOKUP($F388,Base_Dados!$K$1:$O$11,2,FALSE))," ")</f>
        <v> </v>
      </c>
      <c r="O388" s="21" t="str">
        <f>IF(E388="Caminhão",IF($G388&lt;=VLOOKUP($F388,Base_Dados!$K$1:$O$7,4,FALSE)," ","Limite "&amp;VLOOKUP($F388,Base_Dados!$K$1:$O$11,4,FALSE)&amp;" "&amp;VLOOKUP($F388,Base_Dados!$K$1:$O$11,2,FALSE))," ")</f>
        <v> </v>
      </c>
      <c r="P388" s="21" t="str">
        <f>IF(E388="Navio",IF($G388&lt;=VLOOKUP($F388,Base_Dados!$K$1:$O$7,5,FALSE)," ","Limite "&amp;VLOOKUP($F388,Base_Dados!$K$1:$O$11,5,FALSE)&amp;" "&amp;VLOOKUP($F388,Base_Dados!$K$1:$O$11,2,FALSE))," ")</f>
        <v> </v>
      </c>
      <c r="Q388" s="21" t="str">
        <f t="shared" si="2"/>
        <v>Fluxo Impossível</v>
      </c>
      <c r="R388" s="1"/>
      <c r="S388" s="1"/>
      <c r="T388" s="1"/>
      <c r="U388" s="1"/>
      <c r="V388" s="1"/>
      <c r="W388" s="1"/>
      <c r="X388" s="1"/>
      <c r="Y388" s="1"/>
      <c r="Z388" s="1"/>
    </row>
    <row r="389" ht="24.0" customHeight="1">
      <c r="A389" s="18"/>
      <c r="B389" s="18"/>
      <c r="C389" s="19"/>
      <c r="D389" s="19"/>
      <c r="E389" s="19"/>
      <c r="F389" s="19"/>
      <c r="G389" s="20"/>
      <c r="H389" s="19"/>
      <c r="I389" s="19"/>
      <c r="J389" s="30" t="str">
        <f>VLOOKUP(C389&amp;I389&amp;E389,Orig_Dest!$A$2:$E$1876,5,FALSE)</f>
        <v>#N/A</v>
      </c>
      <c r="K389" s="14" t="str">
        <f t="shared" si="1"/>
        <v>#VALUE!</v>
      </c>
      <c r="L389" s="21" t="str">
        <f>IF(B389="Fornecedor",IF(VLOOKUP(C389,Base_Dados!$E$1:$F$7,2,FALSE)=F389," ","Fornecedor inválido!")," ")</f>
        <v> </v>
      </c>
      <c r="M389" s="22" t="str">
        <f>IF(AND(LEFT(F389,2)="MP",H389&lt;&gt;Base_Dados!$A$1),"Impossível!!!"," ")</f>
        <v> </v>
      </c>
      <c r="N389" s="21" t="str">
        <f>IF(E389="Avião",IF($G389&lt;=VLOOKUP($F389,Base_Dados!$K$1:$O$7,3,FALSE)," ","Limite "&amp;VLOOKUP($F389,Base_Dados!$K$1:$O$11,3,FALSE)&amp;" "&amp;VLOOKUP($F389,Base_Dados!$K$1:$O$11,2,FALSE))," ")</f>
        <v> </v>
      </c>
      <c r="O389" s="21" t="str">
        <f>IF(E389="Caminhão",IF($G389&lt;=VLOOKUP($F389,Base_Dados!$K$1:$O$7,4,FALSE)," ","Limite "&amp;VLOOKUP($F389,Base_Dados!$K$1:$O$11,4,FALSE)&amp;" "&amp;VLOOKUP($F389,Base_Dados!$K$1:$O$11,2,FALSE))," ")</f>
        <v> </v>
      </c>
      <c r="P389" s="21" t="str">
        <f>IF(E389="Navio",IF($G389&lt;=VLOOKUP($F389,Base_Dados!$K$1:$O$7,5,FALSE)," ","Limite "&amp;VLOOKUP($F389,Base_Dados!$K$1:$O$11,5,FALSE)&amp;" "&amp;VLOOKUP($F389,Base_Dados!$K$1:$O$11,2,FALSE))," ")</f>
        <v> </v>
      </c>
      <c r="Q389" s="21" t="str">
        <f t="shared" si="2"/>
        <v>Fluxo Impossível</v>
      </c>
      <c r="R389" s="1"/>
      <c r="S389" s="1"/>
      <c r="T389" s="1"/>
      <c r="U389" s="1"/>
      <c r="V389" s="1"/>
      <c r="W389" s="1"/>
      <c r="X389" s="1"/>
      <c r="Y389" s="1"/>
      <c r="Z389" s="1"/>
    </row>
    <row r="390" ht="24.0" customHeight="1">
      <c r="A390" s="18"/>
      <c r="B390" s="18"/>
      <c r="C390" s="19"/>
      <c r="D390" s="19"/>
      <c r="E390" s="19"/>
      <c r="F390" s="19"/>
      <c r="G390" s="20"/>
      <c r="H390" s="19"/>
      <c r="I390" s="19"/>
      <c r="J390" s="30" t="str">
        <f>VLOOKUP(C390&amp;I390&amp;E390,Orig_Dest!$A$2:$E$1876,5,FALSE)</f>
        <v>#N/A</v>
      </c>
      <c r="K390" s="14" t="str">
        <f t="shared" si="1"/>
        <v>#VALUE!</v>
      </c>
      <c r="L390" s="21" t="str">
        <f>IF(B390="Fornecedor",IF(VLOOKUP(C390,Base_Dados!$E$1:$F$7,2,FALSE)=F390," ","Fornecedor inválido!")," ")</f>
        <v> </v>
      </c>
      <c r="M390" s="22" t="str">
        <f>IF(AND(LEFT(F390,2)="MP",H390&lt;&gt;Base_Dados!$A$1),"Impossível!!!"," ")</f>
        <v> </v>
      </c>
      <c r="N390" s="21" t="str">
        <f>IF(E390="Avião",IF($G390&lt;=VLOOKUP($F390,Base_Dados!$K$1:$O$7,3,FALSE)," ","Limite "&amp;VLOOKUP($F390,Base_Dados!$K$1:$O$11,3,FALSE)&amp;" "&amp;VLOOKUP($F390,Base_Dados!$K$1:$O$11,2,FALSE))," ")</f>
        <v> </v>
      </c>
      <c r="O390" s="21" t="str">
        <f>IF(E390="Caminhão",IF($G390&lt;=VLOOKUP($F390,Base_Dados!$K$1:$O$7,4,FALSE)," ","Limite "&amp;VLOOKUP($F390,Base_Dados!$K$1:$O$11,4,FALSE)&amp;" "&amp;VLOOKUP($F390,Base_Dados!$K$1:$O$11,2,FALSE))," ")</f>
        <v> </v>
      </c>
      <c r="P390" s="21" t="str">
        <f>IF(E390="Navio",IF($G390&lt;=VLOOKUP($F390,Base_Dados!$K$1:$O$7,5,FALSE)," ","Limite "&amp;VLOOKUP($F390,Base_Dados!$K$1:$O$11,5,FALSE)&amp;" "&amp;VLOOKUP($F390,Base_Dados!$K$1:$O$11,2,FALSE))," ")</f>
        <v> </v>
      </c>
      <c r="Q390" s="21" t="str">
        <f t="shared" si="2"/>
        <v>Fluxo Impossível</v>
      </c>
      <c r="R390" s="1"/>
      <c r="S390" s="1"/>
      <c r="T390" s="1"/>
      <c r="U390" s="1"/>
      <c r="V390" s="1"/>
      <c r="W390" s="1"/>
      <c r="X390" s="1"/>
      <c r="Y390" s="1"/>
      <c r="Z390" s="1"/>
    </row>
    <row r="391" ht="24.0" customHeight="1">
      <c r="A391" s="18"/>
      <c r="B391" s="18"/>
      <c r="C391" s="19"/>
      <c r="D391" s="19"/>
      <c r="E391" s="19"/>
      <c r="F391" s="19"/>
      <c r="G391" s="20"/>
      <c r="H391" s="19"/>
      <c r="I391" s="19"/>
      <c r="J391" s="30" t="str">
        <f>VLOOKUP(C391&amp;I391&amp;E391,Orig_Dest!$A$2:$E$1876,5,FALSE)</f>
        <v>#N/A</v>
      </c>
      <c r="K391" s="14" t="str">
        <f t="shared" si="1"/>
        <v>#VALUE!</v>
      </c>
      <c r="L391" s="21" t="str">
        <f>IF(B391="Fornecedor",IF(VLOOKUP(C391,Base_Dados!$E$1:$F$7,2,FALSE)=F391," ","Fornecedor inválido!")," ")</f>
        <v> </v>
      </c>
      <c r="M391" s="22" t="str">
        <f>IF(AND(LEFT(F391,2)="MP",H391&lt;&gt;Base_Dados!$A$1),"Impossível!!!"," ")</f>
        <v> </v>
      </c>
      <c r="N391" s="21" t="str">
        <f>IF(E391="Avião",IF($G391&lt;=VLOOKUP($F391,Base_Dados!$K$1:$O$7,3,FALSE)," ","Limite "&amp;VLOOKUP($F391,Base_Dados!$K$1:$O$11,3,FALSE)&amp;" "&amp;VLOOKUP($F391,Base_Dados!$K$1:$O$11,2,FALSE))," ")</f>
        <v> </v>
      </c>
      <c r="O391" s="21" t="str">
        <f>IF(E391="Caminhão",IF($G391&lt;=VLOOKUP($F391,Base_Dados!$K$1:$O$7,4,FALSE)," ","Limite "&amp;VLOOKUP($F391,Base_Dados!$K$1:$O$11,4,FALSE)&amp;" "&amp;VLOOKUP($F391,Base_Dados!$K$1:$O$11,2,FALSE))," ")</f>
        <v> </v>
      </c>
      <c r="P391" s="21" t="str">
        <f>IF(E391="Navio",IF($G391&lt;=VLOOKUP($F391,Base_Dados!$K$1:$O$7,5,FALSE)," ","Limite "&amp;VLOOKUP($F391,Base_Dados!$K$1:$O$11,5,FALSE)&amp;" "&amp;VLOOKUP($F391,Base_Dados!$K$1:$O$11,2,FALSE))," ")</f>
        <v> </v>
      </c>
      <c r="Q391" s="21" t="str">
        <f t="shared" si="2"/>
        <v>Fluxo Impossível</v>
      </c>
      <c r="R391" s="1"/>
      <c r="S391" s="1"/>
      <c r="T391" s="1"/>
      <c r="U391" s="1"/>
      <c r="V391" s="1"/>
      <c r="W391" s="1"/>
      <c r="X391" s="1"/>
      <c r="Y391" s="1"/>
      <c r="Z391" s="1"/>
    </row>
    <row r="392" ht="24.0" customHeight="1">
      <c r="A392" s="18"/>
      <c r="B392" s="18"/>
      <c r="C392" s="19"/>
      <c r="D392" s="19"/>
      <c r="E392" s="19"/>
      <c r="F392" s="19"/>
      <c r="G392" s="20"/>
      <c r="H392" s="19"/>
      <c r="I392" s="19"/>
      <c r="J392" s="30" t="str">
        <f>VLOOKUP(C392&amp;I392&amp;E392,Orig_Dest!$A$2:$E$1876,5,FALSE)</f>
        <v>#N/A</v>
      </c>
      <c r="K392" s="14" t="str">
        <f t="shared" si="1"/>
        <v>#VALUE!</v>
      </c>
      <c r="L392" s="21" t="str">
        <f>IF(B392="Fornecedor",IF(VLOOKUP(C392,Base_Dados!$E$1:$F$7,2,FALSE)=F392," ","Fornecedor inválido!")," ")</f>
        <v> </v>
      </c>
      <c r="M392" s="22" t="str">
        <f>IF(AND(LEFT(F392,2)="MP",H392&lt;&gt;Base_Dados!$A$1),"Impossível!!!"," ")</f>
        <v> </v>
      </c>
      <c r="N392" s="21" t="str">
        <f>IF(E392="Avião",IF($G392&lt;=VLOOKUP($F392,Base_Dados!$K$1:$O$7,3,FALSE)," ","Limite "&amp;VLOOKUP($F392,Base_Dados!$K$1:$O$11,3,FALSE)&amp;" "&amp;VLOOKUP($F392,Base_Dados!$K$1:$O$11,2,FALSE))," ")</f>
        <v> </v>
      </c>
      <c r="O392" s="21" t="str">
        <f>IF(E392="Caminhão",IF($G392&lt;=VLOOKUP($F392,Base_Dados!$K$1:$O$7,4,FALSE)," ","Limite "&amp;VLOOKUP($F392,Base_Dados!$K$1:$O$11,4,FALSE)&amp;" "&amp;VLOOKUP($F392,Base_Dados!$K$1:$O$11,2,FALSE))," ")</f>
        <v> </v>
      </c>
      <c r="P392" s="21" t="str">
        <f>IF(E392="Navio",IF($G392&lt;=VLOOKUP($F392,Base_Dados!$K$1:$O$7,5,FALSE)," ","Limite "&amp;VLOOKUP($F392,Base_Dados!$K$1:$O$11,5,FALSE)&amp;" "&amp;VLOOKUP($F392,Base_Dados!$K$1:$O$11,2,FALSE))," ")</f>
        <v> </v>
      </c>
      <c r="Q392" s="21" t="str">
        <f t="shared" si="2"/>
        <v>Fluxo Impossível</v>
      </c>
      <c r="R392" s="1"/>
      <c r="S392" s="1"/>
      <c r="T392" s="1"/>
      <c r="U392" s="1"/>
      <c r="V392" s="1"/>
      <c r="W392" s="1"/>
      <c r="X392" s="1"/>
      <c r="Y392" s="1"/>
      <c r="Z392" s="1"/>
    </row>
    <row r="393" ht="24.0" customHeight="1">
      <c r="A393" s="18"/>
      <c r="B393" s="18"/>
      <c r="C393" s="19"/>
      <c r="D393" s="19"/>
      <c r="E393" s="19"/>
      <c r="F393" s="19"/>
      <c r="G393" s="20"/>
      <c r="H393" s="19"/>
      <c r="I393" s="19"/>
      <c r="J393" s="30" t="str">
        <f>VLOOKUP(C393&amp;I393&amp;E393,Orig_Dest!$A$2:$E$1876,5,FALSE)</f>
        <v>#N/A</v>
      </c>
      <c r="K393" s="14" t="str">
        <f t="shared" si="1"/>
        <v>#VALUE!</v>
      </c>
      <c r="L393" s="21" t="str">
        <f>IF(B393="Fornecedor",IF(VLOOKUP(C393,Base_Dados!$E$1:$F$7,2,FALSE)=F393," ","Fornecedor inválido!")," ")</f>
        <v> </v>
      </c>
      <c r="M393" s="22" t="str">
        <f>IF(AND(LEFT(F393,2)="MP",H393&lt;&gt;Base_Dados!$A$1),"Impossível!!!"," ")</f>
        <v> </v>
      </c>
      <c r="N393" s="21" t="str">
        <f>IF(E393="Avião",IF($G393&lt;=VLOOKUP($F393,Base_Dados!$K$1:$O$7,3,FALSE)," ","Limite "&amp;VLOOKUP($F393,Base_Dados!$K$1:$O$11,3,FALSE)&amp;" "&amp;VLOOKUP($F393,Base_Dados!$K$1:$O$11,2,FALSE))," ")</f>
        <v> </v>
      </c>
      <c r="O393" s="21" t="str">
        <f>IF(E393="Caminhão",IF($G393&lt;=VLOOKUP($F393,Base_Dados!$K$1:$O$7,4,FALSE)," ","Limite "&amp;VLOOKUP($F393,Base_Dados!$K$1:$O$11,4,FALSE)&amp;" "&amp;VLOOKUP($F393,Base_Dados!$K$1:$O$11,2,FALSE))," ")</f>
        <v> </v>
      </c>
      <c r="P393" s="21" t="str">
        <f>IF(E393="Navio",IF($G393&lt;=VLOOKUP($F393,Base_Dados!$K$1:$O$7,5,FALSE)," ","Limite "&amp;VLOOKUP($F393,Base_Dados!$K$1:$O$11,5,FALSE)&amp;" "&amp;VLOOKUP($F393,Base_Dados!$K$1:$O$11,2,FALSE))," ")</f>
        <v> </v>
      </c>
      <c r="Q393" s="21" t="str">
        <f t="shared" si="2"/>
        <v>Fluxo Impossível</v>
      </c>
      <c r="R393" s="1"/>
      <c r="S393" s="1"/>
      <c r="T393" s="1"/>
      <c r="U393" s="1"/>
      <c r="V393" s="1"/>
      <c r="W393" s="1"/>
      <c r="X393" s="1"/>
      <c r="Y393" s="1"/>
      <c r="Z393" s="1"/>
    </row>
    <row r="394" ht="24.0" customHeight="1">
      <c r="A394" s="18"/>
      <c r="B394" s="18"/>
      <c r="C394" s="19"/>
      <c r="D394" s="19"/>
      <c r="E394" s="19"/>
      <c r="F394" s="19"/>
      <c r="G394" s="20"/>
      <c r="H394" s="19"/>
      <c r="I394" s="19"/>
      <c r="J394" s="30" t="str">
        <f>VLOOKUP(C394&amp;I394&amp;E394,Orig_Dest!$A$2:$E$1876,5,FALSE)</f>
        <v>#N/A</v>
      </c>
      <c r="K394" s="14" t="str">
        <f t="shared" si="1"/>
        <v>#VALUE!</v>
      </c>
      <c r="L394" s="21" t="str">
        <f>IF(B394="Fornecedor",IF(VLOOKUP(C394,Base_Dados!$E$1:$F$7,2,FALSE)=F394," ","Fornecedor inválido!")," ")</f>
        <v> </v>
      </c>
      <c r="M394" s="22" t="str">
        <f>IF(AND(LEFT(F394,2)="MP",H394&lt;&gt;Base_Dados!$A$1),"Impossível!!!"," ")</f>
        <v> </v>
      </c>
      <c r="N394" s="21" t="str">
        <f>IF(E394="Avião",IF($G394&lt;=VLOOKUP($F394,Base_Dados!$K$1:$O$7,3,FALSE)," ","Limite "&amp;VLOOKUP($F394,Base_Dados!$K$1:$O$11,3,FALSE)&amp;" "&amp;VLOOKUP($F394,Base_Dados!$K$1:$O$11,2,FALSE))," ")</f>
        <v> </v>
      </c>
      <c r="O394" s="21" t="str">
        <f>IF(E394="Caminhão",IF($G394&lt;=VLOOKUP($F394,Base_Dados!$K$1:$O$7,4,FALSE)," ","Limite "&amp;VLOOKUP($F394,Base_Dados!$K$1:$O$11,4,FALSE)&amp;" "&amp;VLOOKUP($F394,Base_Dados!$K$1:$O$11,2,FALSE))," ")</f>
        <v> </v>
      </c>
      <c r="P394" s="21" t="str">
        <f>IF(E394="Navio",IF($G394&lt;=VLOOKUP($F394,Base_Dados!$K$1:$O$7,5,FALSE)," ","Limite "&amp;VLOOKUP($F394,Base_Dados!$K$1:$O$11,5,FALSE)&amp;" "&amp;VLOOKUP($F394,Base_Dados!$K$1:$O$11,2,FALSE))," ")</f>
        <v> </v>
      </c>
      <c r="Q394" s="21" t="str">
        <f t="shared" si="2"/>
        <v>Fluxo Impossível</v>
      </c>
      <c r="R394" s="1"/>
      <c r="S394" s="1"/>
      <c r="T394" s="1"/>
      <c r="U394" s="1"/>
      <c r="V394" s="1"/>
      <c r="W394" s="1"/>
      <c r="X394" s="1"/>
      <c r="Y394" s="1"/>
      <c r="Z394" s="1"/>
    </row>
    <row r="395" ht="24.0" customHeight="1">
      <c r="A395" s="18"/>
      <c r="B395" s="18"/>
      <c r="C395" s="19"/>
      <c r="D395" s="19"/>
      <c r="E395" s="19"/>
      <c r="F395" s="19"/>
      <c r="G395" s="20"/>
      <c r="H395" s="19"/>
      <c r="I395" s="19"/>
      <c r="J395" s="30" t="str">
        <f>VLOOKUP(C395&amp;I395&amp;E395,Orig_Dest!$A$2:$E$1876,5,FALSE)</f>
        <v>#N/A</v>
      </c>
      <c r="K395" s="14" t="str">
        <f t="shared" si="1"/>
        <v>#VALUE!</v>
      </c>
      <c r="L395" s="21" t="str">
        <f>IF(B395="Fornecedor",IF(VLOOKUP(C395,Base_Dados!$E$1:$F$7,2,FALSE)=F395," ","Fornecedor inválido!")," ")</f>
        <v> </v>
      </c>
      <c r="M395" s="22" t="str">
        <f>IF(AND(LEFT(F395,2)="MP",H395&lt;&gt;Base_Dados!$A$1),"Impossível!!!"," ")</f>
        <v> </v>
      </c>
      <c r="N395" s="21" t="str">
        <f>IF(E395="Avião",IF($G395&lt;=VLOOKUP($F395,Base_Dados!$K$1:$O$7,3,FALSE)," ","Limite "&amp;VLOOKUP($F395,Base_Dados!$K$1:$O$11,3,FALSE)&amp;" "&amp;VLOOKUP($F395,Base_Dados!$K$1:$O$11,2,FALSE))," ")</f>
        <v> </v>
      </c>
      <c r="O395" s="21" t="str">
        <f>IF(E395="Caminhão",IF($G395&lt;=VLOOKUP($F395,Base_Dados!$K$1:$O$7,4,FALSE)," ","Limite "&amp;VLOOKUP($F395,Base_Dados!$K$1:$O$11,4,FALSE)&amp;" "&amp;VLOOKUP($F395,Base_Dados!$K$1:$O$11,2,FALSE))," ")</f>
        <v> </v>
      </c>
      <c r="P395" s="21" t="str">
        <f>IF(E395="Navio",IF($G395&lt;=VLOOKUP($F395,Base_Dados!$K$1:$O$7,5,FALSE)," ","Limite "&amp;VLOOKUP($F395,Base_Dados!$K$1:$O$11,5,FALSE)&amp;" "&amp;VLOOKUP($F395,Base_Dados!$K$1:$O$11,2,FALSE))," ")</f>
        <v> </v>
      </c>
      <c r="Q395" s="21" t="str">
        <f t="shared" si="2"/>
        <v>Fluxo Impossível</v>
      </c>
      <c r="R395" s="1"/>
      <c r="S395" s="1"/>
      <c r="T395" s="1"/>
      <c r="U395" s="1"/>
      <c r="V395" s="1"/>
      <c r="W395" s="1"/>
      <c r="X395" s="1"/>
      <c r="Y395" s="1"/>
      <c r="Z395" s="1"/>
    </row>
    <row r="396" ht="24.0" customHeight="1">
      <c r="A396" s="18"/>
      <c r="B396" s="18"/>
      <c r="C396" s="19"/>
      <c r="D396" s="19"/>
      <c r="E396" s="19"/>
      <c r="F396" s="19"/>
      <c r="G396" s="20"/>
      <c r="H396" s="19"/>
      <c r="I396" s="19"/>
      <c r="J396" s="30" t="str">
        <f>VLOOKUP(C396&amp;I396&amp;E396,Orig_Dest!$A$2:$E$1876,5,FALSE)</f>
        <v>#N/A</v>
      </c>
      <c r="K396" s="14" t="str">
        <f t="shared" si="1"/>
        <v>#VALUE!</v>
      </c>
      <c r="L396" s="21" t="str">
        <f>IF(B396="Fornecedor",IF(VLOOKUP(C396,Base_Dados!$E$1:$F$7,2,FALSE)=F396," ","Fornecedor inválido!")," ")</f>
        <v> </v>
      </c>
      <c r="M396" s="22" t="str">
        <f>IF(AND(LEFT(F396,2)="MP",H396&lt;&gt;Base_Dados!$A$1),"Impossível!!!"," ")</f>
        <v> </v>
      </c>
      <c r="N396" s="21" t="str">
        <f>IF(E396="Avião",IF($G396&lt;=VLOOKUP($F396,Base_Dados!$K$1:$O$7,3,FALSE)," ","Limite "&amp;VLOOKUP($F396,Base_Dados!$K$1:$O$11,3,FALSE)&amp;" "&amp;VLOOKUP($F396,Base_Dados!$K$1:$O$11,2,FALSE))," ")</f>
        <v> </v>
      </c>
      <c r="O396" s="21" t="str">
        <f>IF(E396="Caminhão",IF($G396&lt;=VLOOKUP($F396,Base_Dados!$K$1:$O$7,4,FALSE)," ","Limite "&amp;VLOOKUP($F396,Base_Dados!$K$1:$O$11,4,FALSE)&amp;" "&amp;VLOOKUP($F396,Base_Dados!$K$1:$O$11,2,FALSE))," ")</f>
        <v> </v>
      </c>
      <c r="P396" s="21" t="str">
        <f>IF(E396="Navio",IF($G396&lt;=VLOOKUP($F396,Base_Dados!$K$1:$O$7,5,FALSE)," ","Limite "&amp;VLOOKUP($F396,Base_Dados!$K$1:$O$11,5,FALSE)&amp;" "&amp;VLOOKUP($F396,Base_Dados!$K$1:$O$11,2,FALSE))," ")</f>
        <v> </v>
      </c>
      <c r="Q396" s="21" t="str">
        <f t="shared" si="2"/>
        <v>Fluxo Impossível</v>
      </c>
      <c r="R396" s="1"/>
      <c r="S396" s="1"/>
      <c r="T396" s="1"/>
      <c r="U396" s="1"/>
      <c r="V396" s="1"/>
      <c r="W396" s="1"/>
      <c r="X396" s="1"/>
      <c r="Y396" s="1"/>
      <c r="Z396" s="1"/>
    </row>
    <row r="397" ht="24.0" customHeight="1">
      <c r="A397" s="18"/>
      <c r="B397" s="18"/>
      <c r="C397" s="19"/>
      <c r="D397" s="19"/>
      <c r="E397" s="19"/>
      <c r="F397" s="19"/>
      <c r="G397" s="20"/>
      <c r="H397" s="19"/>
      <c r="I397" s="19"/>
      <c r="J397" s="30" t="str">
        <f>VLOOKUP(C397&amp;I397&amp;E397,Orig_Dest!$A$2:$E$1876,5,FALSE)</f>
        <v>#N/A</v>
      </c>
      <c r="K397" s="14" t="str">
        <f t="shared" si="1"/>
        <v>#VALUE!</v>
      </c>
      <c r="L397" s="21" t="str">
        <f>IF(B397="Fornecedor",IF(VLOOKUP(C397,Base_Dados!$E$1:$F$7,2,FALSE)=F397," ","Fornecedor inválido!")," ")</f>
        <v> </v>
      </c>
      <c r="M397" s="22" t="str">
        <f>IF(AND(LEFT(F397,2)="MP",H397&lt;&gt;Base_Dados!$A$1),"Impossível!!!"," ")</f>
        <v> </v>
      </c>
      <c r="N397" s="21" t="str">
        <f>IF(E397="Avião",IF($G397&lt;=VLOOKUP($F397,Base_Dados!$K$1:$O$7,3,FALSE)," ","Limite "&amp;VLOOKUP($F397,Base_Dados!$K$1:$O$11,3,FALSE)&amp;" "&amp;VLOOKUP($F397,Base_Dados!$K$1:$O$11,2,FALSE))," ")</f>
        <v> </v>
      </c>
      <c r="O397" s="21" t="str">
        <f>IF(E397="Caminhão",IF($G397&lt;=VLOOKUP($F397,Base_Dados!$K$1:$O$7,4,FALSE)," ","Limite "&amp;VLOOKUP($F397,Base_Dados!$K$1:$O$11,4,FALSE)&amp;" "&amp;VLOOKUP($F397,Base_Dados!$K$1:$O$11,2,FALSE))," ")</f>
        <v> </v>
      </c>
      <c r="P397" s="21" t="str">
        <f>IF(E397="Navio",IF($G397&lt;=VLOOKUP($F397,Base_Dados!$K$1:$O$7,5,FALSE)," ","Limite "&amp;VLOOKUP($F397,Base_Dados!$K$1:$O$11,5,FALSE)&amp;" "&amp;VLOOKUP($F397,Base_Dados!$K$1:$O$11,2,FALSE))," ")</f>
        <v> </v>
      </c>
      <c r="Q397" s="21" t="str">
        <f t="shared" si="2"/>
        <v>Fluxo Impossível</v>
      </c>
      <c r="R397" s="1"/>
      <c r="S397" s="1"/>
      <c r="T397" s="1"/>
      <c r="U397" s="1"/>
      <c r="V397" s="1"/>
      <c r="W397" s="1"/>
      <c r="X397" s="1"/>
      <c r="Y397" s="1"/>
      <c r="Z397" s="1"/>
    </row>
    <row r="398" ht="24.0" customHeight="1">
      <c r="A398" s="18"/>
      <c r="B398" s="18"/>
      <c r="C398" s="19"/>
      <c r="D398" s="19"/>
      <c r="E398" s="19"/>
      <c r="F398" s="19"/>
      <c r="G398" s="20"/>
      <c r="H398" s="19"/>
      <c r="I398" s="19"/>
      <c r="J398" s="30" t="str">
        <f>VLOOKUP(C398&amp;I398&amp;E398,Orig_Dest!$A$2:$E$1876,5,FALSE)</f>
        <v>#N/A</v>
      </c>
      <c r="K398" s="14" t="str">
        <f t="shared" si="1"/>
        <v>#VALUE!</v>
      </c>
      <c r="L398" s="21" t="str">
        <f>IF(B398="Fornecedor",IF(VLOOKUP(C398,Base_Dados!$E$1:$F$7,2,FALSE)=F398," ","Fornecedor inválido!")," ")</f>
        <v> </v>
      </c>
      <c r="M398" s="22" t="str">
        <f>IF(AND(LEFT(F398,2)="MP",H398&lt;&gt;Base_Dados!$A$1),"Impossível!!!"," ")</f>
        <v> </v>
      </c>
      <c r="N398" s="21" t="str">
        <f>IF(E398="Avião",IF($G398&lt;=VLOOKUP($F398,Base_Dados!$K$1:$O$7,3,FALSE)," ","Limite "&amp;VLOOKUP($F398,Base_Dados!$K$1:$O$11,3,FALSE)&amp;" "&amp;VLOOKUP($F398,Base_Dados!$K$1:$O$11,2,FALSE))," ")</f>
        <v> </v>
      </c>
      <c r="O398" s="21" t="str">
        <f>IF(E398="Caminhão",IF($G398&lt;=VLOOKUP($F398,Base_Dados!$K$1:$O$7,4,FALSE)," ","Limite "&amp;VLOOKUP($F398,Base_Dados!$K$1:$O$11,4,FALSE)&amp;" "&amp;VLOOKUP($F398,Base_Dados!$K$1:$O$11,2,FALSE))," ")</f>
        <v> </v>
      </c>
      <c r="P398" s="21" t="str">
        <f>IF(E398="Navio",IF($G398&lt;=VLOOKUP($F398,Base_Dados!$K$1:$O$7,5,FALSE)," ","Limite "&amp;VLOOKUP($F398,Base_Dados!$K$1:$O$11,5,FALSE)&amp;" "&amp;VLOOKUP($F398,Base_Dados!$K$1:$O$11,2,FALSE))," ")</f>
        <v> </v>
      </c>
      <c r="Q398" s="21" t="str">
        <f t="shared" si="2"/>
        <v>Fluxo Impossível</v>
      </c>
      <c r="R398" s="1"/>
      <c r="S398" s="1"/>
      <c r="T398" s="1"/>
      <c r="U398" s="1"/>
      <c r="V398" s="1"/>
      <c r="W398" s="1"/>
      <c r="X398" s="1"/>
      <c r="Y398" s="1"/>
      <c r="Z398" s="1"/>
    </row>
    <row r="399" ht="24.0" customHeight="1">
      <c r="A399" s="18"/>
      <c r="B399" s="18"/>
      <c r="C399" s="19"/>
      <c r="D399" s="19"/>
      <c r="E399" s="19"/>
      <c r="F399" s="19"/>
      <c r="G399" s="20"/>
      <c r="H399" s="19"/>
      <c r="I399" s="19"/>
      <c r="J399" s="30" t="str">
        <f>VLOOKUP(C399&amp;I399&amp;E399,Orig_Dest!$A$2:$E$1876,5,FALSE)</f>
        <v>#N/A</v>
      </c>
      <c r="K399" s="14" t="str">
        <f t="shared" si="1"/>
        <v>#VALUE!</v>
      </c>
      <c r="L399" s="21" t="str">
        <f>IF(B399="Fornecedor",IF(VLOOKUP(C399,Base_Dados!$E$1:$F$7,2,FALSE)=F399," ","Fornecedor inválido!")," ")</f>
        <v> </v>
      </c>
      <c r="M399" s="22" t="str">
        <f>IF(AND(LEFT(F399,2)="MP",H399&lt;&gt;Base_Dados!$A$1),"Impossível!!!"," ")</f>
        <v> </v>
      </c>
      <c r="N399" s="21" t="str">
        <f>IF(E399="Avião",IF($G399&lt;=VLOOKUP($F399,Base_Dados!$K$1:$O$7,3,FALSE)," ","Limite "&amp;VLOOKUP($F399,Base_Dados!$K$1:$O$11,3,FALSE)&amp;" "&amp;VLOOKUP($F399,Base_Dados!$K$1:$O$11,2,FALSE))," ")</f>
        <v> </v>
      </c>
      <c r="O399" s="21" t="str">
        <f>IF(E399="Caminhão",IF($G399&lt;=VLOOKUP($F399,Base_Dados!$K$1:$O$7,4,FALSE)," ","Limite "&amp;VLOOKUP($F399,Base_Dados!$K$1:$O$11,4,FALSE)&amp;" "&amp;VLOOKUP($F399,Base_Dados!$K$1:$O$11,2,FALSE))," ")</f>
        <v> </v>
      </c>
      <c r="P399" s="21" t="str">
        <f>IF(E399="Navio",IF($G399&lt;=VLOOKUP($F399,Base_Dados!$K$1:$O$7,5,FALSE)," ","Limite "&amp;VLOOKUP($F399,Base_Dados!$K$1:$O$11,5,FALSE)&amp;" "&amp;VLOOKUP($F399,Base_Dados!$K$1:$O$11,2,FALSE))," ")</f>
        <v> </v>
      </c>
      <c r="Q399" s="21" t="str">
        <f t="shared" si="2"/>
        <v>Fluxo Impossível</v>
      </c>
      <c r="R399" s="1"/>
      <c r="S399" s="1"/>
      <c r="T399" s="1"/>
      <c r="U399" s="1"/>
      <c r="V399" s="1"/>
      <c r="W399" s="1"/>
      <c r="X399" s="1"/>
      <c r="Y399" s="1"/>
      <c r="Z399" s="1"/>
    </row>
    <row r="400" ht="24.0" customHeight="1">
      <c r="A400" s="18"/>
      <c r="B400" s="18"/>
      <c r="C400" s="19"/>
      <c r="D400" s="19"/>
      <c r="E400" s="19"/>
      <c r="F400" s="19"/>
      <c r="G400" s="20"/>
      <c r="H400" s="19"/>
      <c r="I400" s="19"/>
      <c r="J400" s="30" t="str">
        <f>VLOOKUP(C400&amp;I400&amp;E400,Orig_Dest!$A$2:$E$1876,5,FALSE)</f>
        <v>#N/A</v>
      </c>
      <c r="K400" s="14" t="str">
        <f t="shared" si="1"/>
        <v>#VALUE!</v>
      </c>
      <c r="L400" s="21" t="str">
        <f>IF(B400="Fornecedor",IF(VLOOKUP(C400,Base_Dados!$E$1:$F$7,2,FALSE)=F400," ","Fornecedor inválido!")," ")</f>
        <v> </v>
      </c>
      <c r="M400" s="22" t="str">
        <f>IF(AND(LEFT(F400,2)="MP",H400&lt;&gt;Base_Dados!$A$1),"Impossível!!!"," ")</f>
        <v> </v>
      </c>
      <c r="N400" s="21" t="str">
        <f>IF(E400="Avião",IF($G400&lt;=VLOOKUP($F400,Base_Dados!$K$1:$O$7,3,FALSE)," ","Limite "&amp;VLOOKUP($F400,Base_Dados!$K$1:$O$11,3,FALSE)&amp;" "&amp;VLOOKUP($F400,Base_Dados!$K$1:$O$11,2,FALSE))," ")</f>
        <v> </v>
      </c>
      <c r="O400" s="21" t="str">
        <f>IF(E400="Caminhão",IF($G400&lt;=VLOOKUP($F400,Base_Dados!$K$1:$O$7,4,FALSE)," ","Limite "&amp;VLOOKUP($F400,Base_Dados!$K$1:$O$11,4,FALSE)&amp;" "&amp;VLOOKUP($F400,Base_Dados!$K$1:$O$11,2,FALSE))," ")</f>
        <v> </v>
      </c>
      <c r="P400" s="21" t="str">
        <f>IF(E400="Navio",IF($G400&lt;=VLOOKUP($F400,Base_Dados!$K$1:$O$7,5,FALSE)," ","Limite "&amp;VLOOKUP($F400,Base_Dados!$K$1:$O$11,5,FALSE)&amp;" "&amp;VLOOKUP($F400,Base_Dados!$K$1:$O$11,2,FALSE))," ")</f>
        <v> </v>
      </c>
      <c r="Q400" s="21" t="str">
        <f t="shared" si="2"/>
        <v>Fluxo Impossível</v>
      </c>
      <c r="R400" s="1"/>
      <c r="S400" s="1"/>
      <c r="T400" s="1"/>
      <c r="U400" s="1"/>
      <c r="V400" s="1"/>
      <c r="W400" s="1"/>
      <c r="X400" s="1"/>
      <c r="Y400" s="1"/>
      <c r="Z400" s="1"/>
    </row>
    <row r="401" ht="24.0" customHeight="1">
      <c r="A401" s="18"/>
      <c r="B401" s="18"/>
      <c r="C401" s="19"/>
      <c r="D401" s="19"/>
      <c r="E401" s="19"/>
      <c r="F401" s="19"/>
      <c r="G401" s="20"/>
      <c r="H401" s="19"/>
      <c r="I401" s="19"/>
      <c r="J401" s="30" t="str">
        <f>VLOOKUP(C401&amp;I401&amp;E401,Orig_Dest!$A$2:$E$1876,5,FALSE)</f>
        <v>#N/A</v>
      </c>
      <c r="K401" s="14" t="str">
        <f t="shared" si="1"/>
        <v>#VALUE!</v>
      </c>
      <c r="L401" s="21" t="str">
        <f>IF(B401="Fornecedor",IF(VLOOKUP(C401,Base_Dados!$E$1:$F$7,2,FALSE)=F401," ","Fornecedor inválido!")," ")</f>
        <v> </v>
      </c>
      <c r="M401" s="22" t="str">
        <f>IF(AND(LEFT(F401,2)="MP",H401&lt;&gt;Base_Dados!$A$1),"Impossível!!!"," ")</f>
        <v> </v>
      </c>
      <c r="N401" s="21" t="str">
        <f>IF(E401="Avião",IF($G401&lt;=VLOOKUP($F401,Base_Dados!$K$1:$O$7,3,FALSE)," ","Limite "&amp;VLOOKUP($F401,Base_Dados!$K$1:$O$11,3,FALSE)&amp;" "&amp;VLOOKUP($F401,Base_Dados!$K$1:$O$11,2,FALSE))," ")</f>
        <v> </v>
      </c>
      <c r="O401" s="21" t="str">
        <f>IF(E401="Caminhão",IF($G401&lt;=VLOOKUP($F401,Base_Dados!$K$1:$O$7,4,FALSE)," ","Limite "&amp;VLOOKUP($F401,Base_Dados!$K$1:$O$11,4,FALSE)&amp;" "&amp;VLOOKUP($F401,Base_Dados!$K$1:$O$11,2,FALSE))," ")</f>
        <v> </v>
      </c>
      <c r="P401" s="21" t="str">
        <f>IF(E401="Navio",IF($G401&lt;=VLOOKUP($F401,Base_Dados!$K$1:$O$7,5,FALSE)," ","Limite "&amp;VLOOKUP($F401,Base_Dados!$K$1:$O$11,5,FALSE)&amp;" "&amp;VLOOKUP($F401,Base_Dados!$K$1:$O$11,2,FALSE))," ")</f>
        <v> </v>
      </c>
      <c r="Q401" s="21" t="str">
        <f t="shared" si="2"/>
        <v>Fluxo Impossível</v>
      </c>
      <c r="R401" s="1"/>
      <c r="S401" s="1"/>
      <c r="T401" s="1"/>
      <c r="U401" s="1"/>
      <c r="V401" s="1"/>
      <c r="W401" s="1"/>
      <c r="X401" s="1"/>
      <c r="Y401" s="1"/>
      <c r="Z401" s="1"/>
    </row>
    <row r="402" ht="24.0" customHeight="1">
      <c r="A402" s="18"/>
      <c r="B402" s="18"/>
      <c r="C402" s="19"/>
      <c r="D402" s="19"/>
      <c r="E402" s="19"/>
      <c r="F402" s="19"/>
      <c r="G402" s="20"/>
      <c r="H402" s="19"/>
      <c r="I402" s="19"/>
      <c r="J402" s="30" t="str">
        <f>VLOOKUP(C402&amp;I402&amp;E402,Orig_Dest!$A$2:$E$1876,5,FALSE)</f>
        <v>#N/A</v>
      </c>
      <c r="K402" s="14" t="str">
        <f t="shared" si="1"/>
        <v>#VALUE!</v>
      </c>
      <c r="L402" s="21" t="str">
        <f>IF(B402="Fornecedor",IF(VLOOKUP(C402,Base_Dados!$E$1:$F$7,2,FALSE)=F402," ","Fornecedor inválido!")," ")</f>
        <v> </v>
      </c>
      <c r="M402" s="22" t="str">
        <f>IF(AND(LEFT(F402,2)="MP",H402&lt;&gt;Base_Dados!$A$1),"Impossível!!!"," ")</f>
        <v> </v>
      </c>
      <c r="N402" s="21" t="str">
        <f>IF(E402="Avião",IF($G402&lt;=VLOOKUP($F402,Base_Dados!$K$1:$O$7,3,FALSE)," ","Limite "&amp;VLOOKUP($F402,Base_Dados!$K$1:$O$11,3,FALSE)&amp;" "&amp;VLOOKUP($F402,Base_Dados!$K$1:$O$11,2,FALSE))," ")</f>
        <v> </v>
      </c>
      <c r="O402" s="21" t="str">
        <f>IF(E402="Caminhão",IF($G402&lt;=VLOOKUP($F402,Base_Dados!$K$1:$O$7,4,FALSE)," ","Limite "&amp;VLOOKUP($F402,Base_Dados!$K$1:$O$11,4,FALSE)&amp;" "&amp;VLOOKUP($F402,Base_Dados!$K$1:$O$11,2,FALSE))," ")</f>
        <v> </v>
      </c>
      <c r="P402" s="21" t="str">
        <f>IF(E402="Navio",IF($G402&lt;=VLOOKUP($F402,Base_Dados!$K$1:$O$7,5,FALSE)," ","Limite "&amp;VLOOKUP($F402,Base_Dados!$K$1:$O$11,5,FALSE)&amp;" "&amp;VLOOKUP($F402,Base_Dados!$K$1:$O$11,2,FALSE))," ")</f>
        <v> </v>
      </c>
      <c r="Q402" s="21" t="str">
        <f t="shared" si="2"/>
        <v>Fluxo Impossível</v>
      </c>
      <c r="R402" s="1"/>
      <c r="S402" s="1"/>
      <c r="T402" s="1"/>
      <c r="U402" s="1"/>
      <c r="V402" s="1"/>
      <c r="W402" s="1"/>
      <c r="X402" s="1"/>
      <c r="Y402" s="1"/>
      <c r="Z402" s="1"/>
    </row>
    <row r="403" ht="24.0" customHeight="1">
      <c r="A403" s="18"/>
      <c r="B403" s="18"/>
      <c r="C403" s="19"/>
      <c r="D403" s="19"/>
      <c r="E403" s="19"/>
      <c r="F403" s="19"/>
      <c r="G403" s="20"/>
      <c r="H403" s="19"/>
      <c r="I403" s="19"/>
      <c r="J403" s="30" t="str">
        <f>VLOOKUP(C403&amp;I403&amp;E403,Orig_Dest!$A$2:$E$1876,5,FALSE)</f>
        <v>#N/A</v>
      </c>
      <c r="K403" s="14" t="str">
        <f t="shared" si="1"/>
        <v>#VALUE!</v>
      </c>
      <c r="L403" s="21" t="str">
        <f>IF(B403="Fornecedor",IF(VLOOKUP(C403,Base_Dados!$E$1:$F$7,2,FALSE)=F403," ","Fornecedor inválido!")," ")</f>
        <v> </v>
      </c>
      <c r="M403" s="22" t="str">
        <f>IF(AND(LEFT(F403,2)="MP",H403&lt;&gt;Base_Dados!$A$1),"Impossível!!!"," ")</f>
        <v> </v>
      </c>
      <c r="N403" s="21" t="str">
        <f>IF(E403="Avião",IF($G403&lt;=VLOOKUP($F403,Base_Dados!$K$1:$O$7,3,FALSE)," ","Limite "&amp;VLOOKUP($F403,Base_Dados!$K$1:$O$11,3,FALSE)&amp;" "&amp;VLOOKUP($F403,Base_Dados!$K$1:$O$11,2,FALSE))," ")</f>
        <v> </v>
      </c>
      <c r="O403" s="21" t="str">
        <f>IF(E403="Caminhão",IF($G403&lt;=VLOOKUP($F403,Base_Dados!$K$1:$O$7,4,FALSE)," ","Limite "&amp;VLOOKUP($F403,Base_Dados!$K$1:$O$11,4,FALSE)&amp;" "&amp;VLOOKUP($F403,Base_Dados!$K$1:$O$11,2,FALSE))," ")</f>
        <v> </v>
      </c>
      <c r="P403" s="21" t="str">
        <f>IF(E403="Navio",IF($G403&lt;=VLOOKUP($F403,Base_Dados!$K$1:$O$7,5,FALSE)," ","Limite "&amp;VLOOKUP($F403,Base_Dados!$K$1:$O$11,5,FALSE)&amp;" "&amp;VLOOKUP($F403,Base_Dados!$K$1:$O$11,2,FALSE))," ")</f>
        <v> </v>
      </c>
      <c r="Q403" s="21" t="str">
        <f t="shared" si="2"/>
        <v>Fluxo Impossível</v>
      </c>
      <c r="R403" s="1"/>
      <c r="S403" s="1"/>
      <c r="T403" s="1"/>
      <c r="U403" s="1"/>
      <c r="V403" s="1"/>
      <c r="W403" s="1"/>
      <c r="X403" s="1"/>
      <c r="Y403" s="1"/>
      <c r="Z403" s="1"/>
    </row>
    <row r="404" ht="24.0" customHeight="1">
      <c r="A404" s="18"/>
      <c r="B404" s="18"/>
      <c r="C404" s="19"/>
      <c r="D404" s="19"/>
      <c r="E404" s="19"/>
      <c r="F404" s="19"/>
      <c r="G404" s="20"/>
      <c r="H404" s="19"/>
      <c r="I404" s="19"/>
      <c r="J404" s="30" t="str">
        <f>VLOOKUP(C404&amp;I404&amp;E404,Orig_Dest!$A$2:$E$1876,5,FALSE)</f>
        <v>#N/A</v>
      </c>
      <c r="K404" s="14" t="str">
        <f t="shared" si="1"/>
        <v>#VALUE!</v>
      </c>
      <c r="L404" s="21" t="str">
        <f>IF(B404="Fornecedor",IF(VLOOKUP(C404,Base_Dados!$E$1:$F$7,2,FALSE)=F404," ","Fornecedor inválido!")," ")</f>
        <v> </v>
      </c>
      <c r="M404" s="22" t="str">
        <f>IF(AND(LEFT(F404,2)="MP",H404&lt;&gt;Base_Dados!$A$1),"Impossível!!!"," ")</f>
        <v> </v>
      </c>
      <c r="N404" s="21" t="str">
        <f>IF(E404="Avião",IF($G404&lt;=VLOOKUP($F404,Base_Dados!$K$1:$O$7,3,FALSE)," ","Limite "&amp;VLOOKUP($F404,Base_Dados!$K$1:$O$11,3,FALSE)&amp;" "&amp;VLOOKUP($F404,Base_Dados!$K$1:$O$11,2,FALSE))," ")</f>
        <v> </v>
      </c>
      <c r="O404" s="21" t="str">
        <f>IF(E404="Caminhão",IF($G404&lt;=VLOOKUP($F404,Base_Dados!$K$1:$O$7,4,FALSE)," ","Limite "&amp;VLOOKUP($F404,Base_Dados!$K$1:$O$11,4,FALSE)&amp;" "&amp;VLOOKUP($F404,Base_Dados!$K$1:$O$11,2,FALSE))," ")</f>
        <v> </v>
      </c>
      <c r="P404" s="21" t="str">
        <f>IF(E404="Navio",IF($G404&lt;=VLOOKUP($F404,Base_Dados!$K$1:$O$7,5,FALSE)," ","Limite "&amp;VLOOKUP($F404,Base_Dados!$K$1:$O$11,5,FALSE)&amp;" "&amp;VLOOKUP($F404,Base_Dados!$K$1:$O$11,2,FALSE))," ")</f>
        <v> </v>
      </c>
      <c r="Q404" s="21" t="str">
        <f t="shared" si="2"/>
        <v>Fluxo Impossível</v>
      </c>
      <c r="R404" s="1"/>
      <c r="S404" s="1"/>
      <c r="T404" s="1"/>
      <c r="U404" s="1"/>
      <c r="V404" s="1"/>
      <c r="W404" s="1"/>
      <c r="X404" s="1"/>
      <c r="Y404" s="1"/>
      <c r="Z404" s="1"/>
    </row>
    <row r="405" ht="24.0" customHeight="1">
      <c r="A405" s="18"/>
      <c r="B405" s="18"/>
      <c r="C405" s="19"/>
      <c r="D405" s="19"/>
      <c r="E405" s="19"/>
      <c r="F405" s="19"/>
      <c r="G405" s="20"/>
      <c r="H405" s="19"/>
      <c r="I405" s="19"/>
      <c r="J405" s="30" t="str">
        <f>VLOOKUP(C405&amp;I405&amp;E405,Orig_Dest!$A$2:$E$1876,5,FALSE)</f>
        <v>#N/A</v>
      </c>
      <c r="K405" s="14" t="str">
        <f t="shared" si="1"/>
        <v>#VALUE!</v>
      </c>
      <c r="L405" s="21" t="str">
        <f>IF(B405="Fornecedor",IF(VLOOKUP(C405,Base_Dados!$E$1:$F$7,2,FALSE)=F405," ","Fornecedor inválido!")," ")</f>
        <v> </v>
      </c>
      <c r="M405" s="22" t="str">
        <f>IF(AND(LEFT(F405,2)="MP",H405&lt;&gt;Base_Dados!$A$1),"Impossível!!!"," ")</f>
        <v> </v>
      </c>
      <c r="N405" s="21" t="str">
        <f>IF(E405="Avião",IF($G405&lt;=VLOOKUP($F405,Base_Dados!$K$1:$O$7,3,FALSE)," ","Limite "&amp;VLOOKUP($F405,Base_Dados!$K$1:$O$11,3,FALSE)&amp;" "&amp;VLOOKUP($F405,Base_Dados!$K$1:$O$11,2,FALSE))," ")</f>
        <v> </v>
      </c>
      <c r="O405" s="21" t="str">
        <f>IF(E405="Caminhão",IF($G405&lt;=VLOOKUP($F405,Base_Dados!$K$1:$O$7,4,FALSE)," ","Limite "&amp;VLOOKUP($F405,Base_Dados!$K$1:$O$11,4,FALSE)&amp;" "&amp;VLOOKUP($F405,Base_Dados!$K$1:$O$11,2,FALSE))," ")</f>
        <v> </v>
      </c>
      <c r="P405" s="21" t="str">
        <f>IF(E405="Navio",IF($G405&lt;=VLOOKUP($F405,Base_Dados!$K$1:$O$7,5,FALSE)," ","Limite "&amp;VLOOKUP($F405,Base_Dados!$K$1:$O$11,5,FALSE)&amp;" "&amp;VLOOKUP($F405,Base_Dados!$K$1:$O$11,2,FALSE))," ")</f>
        <v> </v>
      </c>
      <c r="Q405" s="21" t="str">
        <f t="shared" si="2"/>
        <v>Fluxo Impossível</v>
      </c>
      <c r="R405" s="1"/>
      <c r="S405" s="1"/>
      <c r="T405" s="1"/>
      <c r="U405" s="1"/>
      <c r="V405" s="1"/>
      <c r="W405" s="1"/>
      <c r="X405" s="1"/>
      <c r="Y405" s="1"/>
      <c r="Z405" s="1"/>
    </row>
    <row r="406" ht="24.0" customHeight="1">
      <c r="A406" s="18"/>
      <c r="B406" s="18"/>
      <c r="C406" s="19"/>
      <c r="D406" s="19"/>
      <c r="E406" s="19"/>
      <c r="F406" s="19"/>
      <c r="G406" s="20"/>
      <c r="H406" s="19"/>
      <c r="I406" s="19"/>
      <c r="J406" s="30" t="str">
        <f>VLOOKUP(C406&amp;I406&amp;E406,Orig_Dest!$A$2:$E$1876,5,FALSE)</f>
        <v>#N/A</v>
      </c>
      <c r="K406" s="14" t="str">
        <f t="shared" si="1"/>
        <v>#VALUE!</v>
      </c>
      <c r="L406" s="21" t="str">
        <f>IF(B406="Fornecedor",IF(VLOOKUP(C406,Base_Dados!$E$1:$F$7,2,FALSE)=F406," ","Fornecedor inválido!")," ")</f>
        <v> </v>
      </c>
      <c r="M406" s="22" t="str">
        <f>IF(AND(LEFT(F406,2)="MP",H406&lt;&gt;Base_Dados!$A$1),"Impossível!!!"," ")</f>
        <v> </v>
      </c>
      <c r="N406" s="21" t="str">
        <f>IF(E406="Avião",IF($G406&lt;=VLOOKUP($F406,Base_Dados!$K$1:$O$7,3,FALSE)," ","Limite "&amp;VLOOKUP($F406,Base_Dados!$K$1:$O$11,3,FALSE)&amp;" "&amp;VLOOKUP($F406,Base_Dados!$K$1:$O$11,2,FALSE))," ")</f>
        <v> </v>
      </c>
      <c r="O406" s="21" t="str">
        <f>IF(E406="Caminhão",IF($G406&lt;=VLOOKUP($F406,Base_Dados!$K$1:$O$7,4,FALSE)," ","Limite "&amp;VLOOKUP($F406,Base_Dados!$K$1:$O$11,4,FALSE)&amp;" "&amp;VLOOKUP($F406,Base_Dados!$K$1:$O$11,2,FALSE))," ")</f>
        <v> </v>
      </c>
      <c r="P406" s="21" t="str">
        <f>IF(E406="Navio",IF($G406&lt;=VLOOKUP($F406,Base_Dados!$K$1:$O$7,5,FALSE)," ","Limite "&amp;VLOOKUP($F406,Base_Dados!$K$1:$O$11,5,FALSE)&amp;" "&amp;VLOOKUP($F406,Base_Dados!$K$1:$O$11,2,FALSE))," ")</f>
        <v> </v>
      </c>
      <c r="Q406" s="21" t="str">
        <f t="shared" si="2"/>
        <v>Fluxo Impossível</v>
      </c>
      <c r="R406" s="1"/>
      <c r="S406" s="1"/>
      <c r="T406" s="1"/>
      <c r="U406" s="1"/>
      <c r="V406" s="1"/>
      <c r="W406" s="1"/>
      <c r="X406" s="1"/>
      <c r="Y406" s="1"/>
      <c r="Z406" s="1"/>
    </row>
    <row r="407" ht="24.0" customHeight="1">
      <c r="A407" s="18"/>
      <c r="B407" s="18"/>
      <c r="C407" s="19"/>
      <c r="D407" s="19"/>
      <c r="E407" s="19"/>
      <c r="F407" s="19"/>
      <c r="G407" s="20"/>
      <c r="H407" s="19"/>
      <c r="I407" s="19"/>
      <c r="J407" s="30" t="str">
        <f>VLOOKUP(C407&amp;I407&amp;E407,Orig_Dest!$A$2:$E$1876,5,FALSE)</f>
        <v>#N/A</v>
      </c>
      <c r="K407" s="14" t="str">
        <f t="shared" si="1"/>
        <v>#VALUE!</v>
      </c>
      <c r="L407" s="21" t="str">
        <f>IF(B407="Fornecedor",IF(VLOOKUP(C407,Base_Dados!$E$1:$F$7,2,FALSE)=F407," ","Fornecedor inválido!")," ")</f>
        <v> </v>
      </c>
      <c r="M407" s="22" t="str">
        <f>IF(AND(LEFT(F407,2)="MP",H407&lt;&gt;Base_Dados!$A$1),"Impossível!!!"," ")</f>
        <v> </v>
      </c>
      <c r="N407" s="21" t="str">
        <f>IF(E407="Avião",IF($G407&lt;=VLOOKUP($F407,Base_Dados!$K$1:$O$7,3,FALSE)," ","Limite "&amp;VLOOKUP($F407,Base_Dados!$K$1:$O$11,3,FALSE)&amp;" "&amp;VLOOKUP($F407,Base_Dados!$K$1:$O$11,2,FALSE))," ")</f>
        <v> </v>
      </c>
      <c r="O407" s="21" t="str">
        <f>IF(E407="Caminhão",IF($G407&lt;=VLOOKUP($F407,Base_Dados!$K$1:$O$7,4,FALSE)," ","Limite "&amp;VLOOKUP($F407,Base_Dados!$K$1:$O$11,4,FALSE)&amp;" "&amp;VLOOKUP($F407,Base_Dados!$K$1:$O$11,2,FALSE))," ")</f>
        <v> </v>
      </c>
      <c r="P407" s="21" t="str">
        <f>IF(E407="Navio",IF($G407&lt;=VLOOKUP($F407,Base_Dados!$K$1:$O$7,5,FALSE)," ","Limite "&amp;VLOOKUP($F407,Base_Dados!$K$1:$O$11,5,FALSE)&amp;" "&amp;VLOOKUP($F407,Base_Dados!$K$1:$O$11,2,FALSE))," ")</f>
        <v> </v>
      </c>
      <c r="Q407" s="21" t="str">
        <f t="shared" si="2"/>
        <v>Fluxo Impossível</v>
      </c>
      <c r="R407" s="1"/>
      <c r="S407" s="1"/>
      <c r="T407" s="1"/>
      <c r="U407" s="1"/>
      <c r="V407" s="1"/>
      <c r="W407" s="1"/>
      <c r="X407" s="1"/>
      <c r="Y407" s="1"/>
      <c r="Z407" s="1"/>
    </row>
    <row r="408" ht="24.0" customHeight="1">
      <c r="A408" s="18"/>
      <c r="B408" s="18"/>
      <c r="C408" s="19"/>
      <c r="D408" s="19"/>
      <c r="E408" s="19"/>
      <c r="F408" s="19"/>
      <c r="G408" s="20"/>
      <c r="H408" s="19"/>
      <c r="I408" s="19"/>
      <c r="J408" s="30" t="str">
        <f>VLOOKUP(C408&amp;I408&amp;E408,Orig_Dest!$A$2:$E$1876,5,FALSE)</f>
        <v>#N/A</v>
      </c>
      <c r="K408" s="14" t="str">
        <f t="shared" si="1"/>
        <v>#VALUE!</v>
      </c>
      <c r="L408" s="21" t="str">
        <f>IF(B408="Fornecedor",IF(VLOOKUP(C408,Base_Dados!$E$1:$F$7,2,FALSE)=F408," ","Fornecedor inválido!")," ")</f>
        <v> </v>
      </c>
      <c r="M408" s="22" t="str">
        <f>IF(AND(LEFT(F408,2)="MP",H408&lt;&gt;Base_Dados!$A$1),"Impossível!!!"," ")</f>
        <v> </v>
      </c>
      <c r="N408" s="21" t="str">
        <f>IF(E408="Avião",IF($G408&lt;=VLOOKUP($F408,Base_Dados!$K$1:$O$7,3,FALSE)," ","Limite "&amp;VLOOKUP($F408,Base_Dados!$K$1:$O$11,3,FALSE)&amp;" "&amp;VLOOKUP($F408,Base_Dados!$K$1:$O$11,2,FALSE))," ")</f>
        <v> </v>
      </c>
      <c r="O408" s="21" t="str">
        <f>IF(E408="Caminhão",IF($G408&lt;=VLOOKUP($F408,Base_Dados!$K$1:$O$7,4,FALSE)," ","Limite "&amp;VLOOKUP($F408,Base_Dados!$K$1:$O$11,4,FALSE)&amp;" "&amp;VLOOKUP($F408,Base_Dados!$K$1:$O$11,2,FALSE))," ")</f>
        <v> </v>
      </c>
      <c r="P408" s="21" t="str">
        <f>IF(E408="Navio",IF($G408&lt;=VLOOKUP($F408,Base_Dados!$K$1:$O$7,5,FALSE)," ","Limite "&amp;VLOOKUP($F408,Base_Dados!$K$1:$O$11,5,FALSE)&amp;" "&amp;VLOOKUP($F408,Base_Dados!$K$1:$O$11,2,FALSE))," ")</f>
        <v> </v>
      </c>
      <c r="Q408" s="21" t="str">
        <f t="shared" si="2"/>
        <v>Fluxo Impossível</v>
      </c>
      <c r="R408" s="1"/>
      <c r="S408" s="1"/>
      <c r="T408" s="1"/>
      <c r="U408" s="1"/>
      <c r="V408" s="1"/>
      <c r="W408" s="1"/>
      <c r="X408" s="1"/>
      <c r="Y408" s="1"/>
      <c r="Z408" s="1"/>
    </row>
    <row r="409" ht="24.0" customHeight="1">
      <c r="A409" s="18"/>
      <c r="B409" s="18"/>
      <c r="C409" s="19"/>
      <c r="D409" s="19"/>
      <c r="E409" s="19"/>
      <c r="F409" s="19"/>
      <c r="G409" s="20"/>
      <c r="H409" s="19"/>
      <c r="I409" s="19"/>
      <c r="J409" s="30" t="str">
        <f>VLOOKUP(C409&amp;I409&amp;E409,Orig_Dest!$A$2:$E$1876,5,FALSE)</f>
        <v>#N/A</v>
      </c>
      <c r="K409" s="14" t="str">
        <f t="shared" si="1"/>
        <v>#VALUE!</v>
      </c>
      <c r="L409" s="21" t="str">
        <f>IF(B409="Fornecedor",IF(VLOOKUP(C409,Base_Dados!$E$1:$F$7,2,FALSE)=F409," ","Fornecedor inválido!")," ")</f>
        <v> </v>
      </c>
      <c r="M409" s="22" t="str">
        <f>IF(AND(LEFT(F409,2)="MP",H409&lt;&gt;Base_Dados!$A$1),"Impossível!!!"," ")</f>
        <v> </v>
      </c>
      <c r="N409" s="21" t="str">
        <f>IF(E409="Avião",IF($G409&lt;=VLOOKUP($F409,Base_Dados!$K$1:$O$7,3,FALSE)," ","Limite "&amp;VLOOKUP($F409,Base_Dados!$K$1:$O$11,3,FALSE)&amp;" "&amp;VLOOKUP($F409,Base_Dados!$K$1:$O$11,2,FALSE))," ")</f>
        <v> </v>
      </c>
      <c r="O409" s="21" t="str">
        <f>IF(E409="Caminhão",IF($G409&lt;=VLOOKUP($F409,Base_Dados!$K$1:$O$7,4,FALSE)," ","Limite "&amp;VLOOKUP($F409,Base_Dados!$K$1:$O$11,4,FALSE)&amp;" "&amp;VLOOKUP($F409,Base_Dados!$K$1:$O$11,2,FALSE))," ")</f>
        <v> </v>
      </c>
      <c r="P409" s="21" t="str">
        <f>IF(E409="Navio",IF($G409&lt;=VLOOKUP($F409,Base_Dados!$K$1:$O$7,5,FALSE)," ","Limite "&amp;VLOOKUP($F409,Base_Dados!$K$1:$O$11,5,FALSE)&amp;" "&amp;VLOOKUP($F409,Base_Dados!$K$1:$O$11,2,FALSE))," ")</f>
        <v> </v>
      </c>
      <c r="Q409" s="21" t="str">
        <f t="shared" si="2"/>
        <v>Fluxo Impossível</v>
      </c>
      <c r="R409" s="1"/>
      <c r="S409" s="1"/>
      <c r="T409" s="1"/>
      <c r="U409" s="1"/>
      <c r="V409" s="1"/>
      <c r="W409" s="1"/>
      <c r="X409" s="1"/>
      <c r="Y409" s="1"/>
      <c r="Z409" s="1"/>
    </row>
    <row r="410" ht="24.0" customHeight="1">
      <c r="A410" s="18"/>
      <c r="B410" s="18"/>
      <c r="C410" s="19"/>
      <c r="D410" s="19"/>
      <c r="E410" s="19"/>
      <c r="F410" s="19"/>
      <c r="G410" s="20"/>
      <c r="H410" s="19"/>
      <c r="I410" s="19"/>
      <c r="J410" s="30" t="str">
        <f>VLOOKUP(C410&amp;I410&amp;E410,Orig_Dest!$A$2:$E$1876,5,FALSE)</f>
        <v>#N/A</v>
      </c>
      <c r="K410" s="14" t="str">
        <f t="shared" si="1"/>
        <v>#VALUE!</v>
      </c>
      <c r="L410" s="21" t="str">
        <f>IF(B410="Fornecedor",IF(VLOOKUP(C410,Base_Dados!$E$1:$F$7,2,FALSE)=F410," ","Fornecedor inválido!")," ")</f>
        <v> </v>
      </c>
      <c r="M410" s="22" t="str">
        <f>IF(AND(LEFT(F410,2)="MP",H410&lt;&gt;Base_Dados!$A$1),"Impossível!!!"," ")</f>
        <v> </v>
      </c>
      <c r="N410" s="21" t="str">
        <f>IF(E410="Avião",IF($G410&lt;=VLOOKUP($F410,Base_Dados!$K$1:$O$7,3,FALSE)," ","Limite "&amp;VLOOKUP($F410,Base_Dados!$K$1:$O$11,3,FALSE)&amp;" "&amp;VLOOKUP($F410,Base_Dados!$K$1:$O$11,2,FALSE))," ")</f>
        <v> </v>
      </c>
      <c r="O410" s="21" t="str">
        <f>IF(E410="Caminhão",IF($G410&lt;=VLOOKUP($F410,Base_Dados!$K$1:$O$7,4,FALSE)," ","Limite "&amp;VLOOKUP($F410,Base_Dados!$K$1:$O$11,4,FALSE)&amp;" "&amp;VLOOKUP($F410,Base_Dados!$K$1:$O$11,2,FALSE))," ")</f>
        <v> </v>
      </c>
      <c r="P410" s="21" t="str">
        <f>IF(E410="Navio",IF($G410&lt;=VLOOKUP($F410,Base_Dados!$K$1:$O$7,5,FALSE)," ","Limite "&amp;VLOOKUP($F410,Base_Dados!$K$1:$O$11,5,FALSE)&amp;" "&amp;VLOOKUP($F410,Base_Dados!$K$1:$O$11,2,FALSE))," ")</f>
        <v> </v>
      </c>
      <c r="Q410" s="21" t="str">
        <f t="shared" si="2"/>
        <v>Fluxo Impossível</v>
      </c>
      <c r="R410" s="1"/>
      <c r="S410" s="1"/>
      <c r="T410" s="1"/>
      <c r="U410" s="1"/>
      <c r="V410" s="1"/>
      <c r="W410" s="1"/>
      <c r="X410" s="1"/>
      <c r="Y410" s="1"/>
      <c r="Z410" s="1"/>
    </row>
    <row r="411" ht="24.0" customHeight="1">
      <c r="A411" s="18"/>
      <c r="B411" s="18"/>
      <c r="C411" s="19"/>
      <c r="D411" s="19"/>
      <c r="E411" s="19"/>
      <c r="F411" s="19"/>
      <c r="G411" s="20"/>
      <c r="H411" s="19"/>
      <c r="I411" s="19"/>
      <c r="J411" s="30" t="str">
        <f>VLOOKUP(C411&amp;I411&amp;E411,Orig_Dest!$A$2:$E$1876,5,FALSE)</f>
        <v>#N/A</v>
      </c>
      <c r="K411" s="14" t="str">
        <f t="shared" si="1"/>
        <v>#VALUE!</v>
      </c>
      <c r="L411" s="21" t="str">
        <f>IF(B411="Fornecedor",IF(VLOOKUP(C411,Base_Dados!$E$1:$F$7,2,FALSE)=F411," ","Fornecedor inválido!")," ")</f>
        <v> </v>
      </c>
      <c r="M411" s="22" t="str">
        <f>IF(AND(LEFT(F411,2)="MP",H411&lt;&gt;Base_Dados!$A$1),"Impossível!!!"," ")</f>
        <v> </v>
      </c>
      <c r="N411" s="21" t="str">
        <f>IF(E411="Avião",IF($G411&lt;=VLOOKUP($F411,Base_Dados!$K$1:$O$7,3,FALSE)," ","Limite "&amp;VLOOKUP($F411,Base_Dados!$K$1:$O$11,3,FALSE)&amp;" "&amp;VLOOKUP($F411,Base_Dados!$K$1:$O$11,2,FALSE))," ")</f>
        <v> </v>
      </c>
      <c r="O411" s="21" t="str">
        <f>IF(E411="Caminhão",IF($G411&lt;=VLOOKUP($F411,Base_Dados!$K$1:$O$7,4,FALSE)," ","Limite "&amp;VLOOKUP($F411,Base_Dados!$K$1:$O$11,4,FALSE)&amp;" "&amp;VLOOKUP($F411,Base_Dados!$K$1:$O$11,2,FALSE))," ")</f>
        <v> </v>
      </c>
      <c r="P411" s="21" t="str">
        <f>IF(E411="Navio",IF($G411&lt;=VLOOKUP($F411,Base_Dados!$K$1:$O$7,5,FALSE)," ","Limite "&amp;VLOOKUP($F411,Base_Dados!$K$1:$O$11,5,FALSE)&amp;" "&amp;VLOOKUP($F411,Base_Dados!$K$1:$O$11,2,FALSE))," ")</f>
        <v> </v>
      </c>
      <c r="Q411" s="21" t="str">
        <f t="shared" si="2"/>
        <v>Fluxo Impossível</v>
      </c>
      <c r="R411" s="1"/>
      <c r="S411" s="1"/>
      <c r="T411" s="1"/>
      <c r="U411" s="1"/>
      <c r="V411" s="1"/>
      <c r="W411" s="1"/>
      <c r="X411" s="1"/>
      <c r="Y411" s="1"/>
      <c r="Z411" s="1"/>
    </row>
    <row r="412" ht="24.0" customHeight="1">
      <c r="A412" s="18"/>
      <c r="B412" s="18"/>
      <c r="C412" s="19"/>
      <c r="D412" s="19"/>
      <c r="E412" s="19"/>
      <c r="F412" s="19"/>
      <c r="G412" s="20"/>
      <c r="H412" s="19"/>
      <c r="I412" s="19"/>
      <c r="J412" s="30" t="str">
        <f>VLOOKUP(C412&amp;I412&amp;E412,Orig_Dest!$A$2:$E$1876,5,FALSE)</f>
        <v>#N/A</v>
      </c>
      <c r="K412" s="14" t="str">
        <f t="shared" si="1"/>
        <v>#VALUE!</v>
      </c>
      <c r="L412" s="21" t="str">
        <f>IF(B412="Fornecedor",IF(VLOOKUP(C412,Base_Dados!$E$1:$F$7,2,FALSE)=F412," ","Fornecedor inválido!")," ")</f>
        <v> </v>
      </c>
      <c r="M412" s="22" t="str">
        <f>IF(AND(LEFT(F412,2)="MP",H412&lt;&gt;Base_Dados!$A$1),"Impossível!!!"," ")</f>
        <v> </v>
      </c>
      <c r="N412" s="21" t="str">
        <f>IF(E412="Avião",IF($G412&lt;=VLOOKUP($F412,Base_Dados!$K$1:$O$7,3,FALSE)," ","Limite "&amp;VLOOKUP($F412,Base_Dados!$K$1:$O$11,3,FALSE)&amp;" "&amp;VLOOKUP($F412,Base_Dados!$K$1:$O$11,2,FALSE))," ")</f>
        <v> </v>
      </c>
      <c r="O412" s="21" t="str">
        <f>IF(E412="Caminhão",IF($G412&lt;=VLOOKUP($F412,Base_Dados!$K$1:$O$7,4,FALSE)," ","Limite "&amp;VLOOKUP($F412,Base_Dados!$K$1:$O$11,4,FALSE)&amp;" "&amp;VLOOKUP($F412,Base_Dados!$K$1:$O$11,2,FALSE))," ")</f>
        <v> </v>
      </c>
      <c r="P412" s="21" t="str">
        <f>IF(E412="Navio",IF($G412&lt;=VLOOKUP($F412,Base_Dados!$K$1:$O$7,5,FALSE)," ","Limite "&amp;VLOOKUP($F412,Base_Dados!$K$1:$O$11,5,FALSE)&amp;" "&amp;VLOOKUP($F412,Base_Dados!$K$1:$O$11,2,FALSE))," ")</f>
        <v> </v>
      </c>
      <c r="Q412" s="21" t="str">
        <f t="shared" si="2"/>
        <v>Fluxo Impossível</v>
      </c>
      <c r="R412" s="1"/>
      <c r="S412" s="1"/>
      <c r="T412" s="1"/>
      <c r="U412" s="1"/>
      <c r="V412" s="1"/>
      <c r="W412" s="1"/>
      <c r="X412" s="1"/>
      <c r="Y412" s="1"/>
      <c r="Z412" s="1"/>
    </row>
    <row r="413" ht="24.0" customHeight="1">
      <c r="A413" s="18"/>
      <c r="B413" s="18"/>
      <c r="C413" s="19"/>
      <c r="D413" s="19"/>
      <c r="E413" s="19"/>
      <c r="F413" s="19"/>
      <c r="G413" s="20"/>
      <c r="H413" s="19"/>
      <c r="I413" s="19"/>
      <c r="J413" s="30" t="str">
        <f>VLOOKUP(C413&amp;I413&amp;E413,Orig_Dest!$A$2:$E$1876,5,FALSE)</f>
        <v>#N/A</v>
      </c>
      <c r="K413" s="14" t="str">
        <f t="shared" si="1"/>
        <v>#VALUE!</v>
      </c>
      <c r="L413" s="21" t="str">
        <f>IF(B413="Fornecedor",IF(VLOOKUP(C413,Base_Dados!$E$1:$F$7,2,FALSE)=F413," ","Fornecedor inválido!")," ")</f>
        <v> </v>
      </c>
      <c r="M413" s="22" t="str">
        <f>IF(AND(LEFT(F413,2)="MP",H413&lt;&gt;Base_Dados!$A$1),"Impossível!!!"," ")</f>
        <v> </v>
      </c>
      <c r="N413" s="21" t="str">
        <f>IF(E413="Avião",IF($G413&lt;=VLOOKUP($F413,Base_Dados!$K$1:$O$7,3,FALSE)," ","Limite "&amp;VLOOKUP($F413,Base_Dados!$K$1:$O$11,3,FALSE)&amp;" "&amp;VLOOKUP($F413,Base_Dados!$K$1:$O$11,2,FALSE))," ")</f>
        <v> </v>
      </c>
      <c r="O413" s="21" t="str">
        <f>IF(E413="Caminhão",IF($G413&lt;=VLOOKUP($F413,Base_Dados!$K$1:$O$7,4,FALSE)," ","Limite "&amp;VLOOKUP($F413,Base_Dados!$K$1:$O$11,4,FALSE)&amp;" "&amp;VLOOKUP($F413,Base_Dados!$K$1:$O$11,2,FALSE))," ")</f>
        <v> </v>
      </c>
      <c r="P413" s="21" t="str">
        <f>IF(E413="Navio",IF($G413&lt;=VLOOKUP($F413,Base_Dados!$K$1:$O$7,5,FALSE)," ","Limite "&amp;VLOOKUP($F413,Base_Dados!$K$1:$O$11,5,FALSE)&amp;" "&amp;VLOOKUP($F413,Base_Dados!$K$1:$O$11,2,FALSE))," ")</f>
        <v> </v>
      </c>
      <c r="Q413" s="21" t="str">
        <f t="shared" si="2"/>
        <v>Fluxo Impossível</v>
      </c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5.7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5.7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5.7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5.7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5.7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5.7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5.7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5.7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5.7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5.7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5.7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5.7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5.7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5.7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5.7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5.7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5.7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5.7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5.7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5.7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5.7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5.7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5.7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5.7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5.7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5.7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5.7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5.7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5.7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5.7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5.7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5.7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5.7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5.7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5.7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5.7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5.7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5.7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5.7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5.7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5.7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5.7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5.7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5.7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5.7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5.7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5.7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5.7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5.7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5.7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5.7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5.7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5.7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5.7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5.7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5.7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5.7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5.7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5.7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5.7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5.7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5.7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5.7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5.7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5.7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5.7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5.7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5.7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5.7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5.7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5.7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5.7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5.7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5.7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5.7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5.7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5.7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5.7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5.7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5.7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5.7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5.7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5.7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5.7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5.7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5.7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5.7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5.7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5.7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5.7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5.7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5.7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5.7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5.7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5.7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5.7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5.7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5.7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5.7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5.7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5.7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5.7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5.7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5.7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5.7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5.7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5.7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5.7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5.7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5.7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5.7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5.7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5.7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5.7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5.7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5.7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5.7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5.7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5.7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5.7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5.7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5.7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5.7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5.7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5.7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5.7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5.7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5.7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5.7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5.7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5.7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5.7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5.7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5.7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5.7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5.7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5.7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5.7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5.7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5.7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5.7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5.7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5.7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5.7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5.7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5.7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5.7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5.7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5.7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5.7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5.7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5.7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5.7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5.7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5.7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5.7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5.7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5.7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5.7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5.7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5.7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5.7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5.7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5.7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5.7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5.7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5.7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5.7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5.7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5.7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5.7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5.7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5.7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5.7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5.7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5.7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5.7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5.7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5.7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5.7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5.7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5.7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5.7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5.7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5.7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5.7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5.7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5.7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5.7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5.7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5.7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5.7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5.7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5.7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5.7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5.7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5.7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5.7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5.7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5.7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5.7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5.7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5.7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5.7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5.7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5.7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5.7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5.7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5.7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5.7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5.7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5.7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5.7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5.7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5.7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5.7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5.7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5.7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5.7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5.7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5.7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5.7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5.7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5.7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5.7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5.7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5.7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5.7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5.7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5.7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5.7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5.7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5.7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5.7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5.7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5.7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5.7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5.7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5.7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5.7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5.7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5.7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5.7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5.7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5.7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5.7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5.7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5.7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5.7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5.7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5.7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5.7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5.7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5.7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5.7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5.7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5.7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5.7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5.7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5.7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5.7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5.7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5.7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5.7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5.7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5.7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5.7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5.7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5.7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5.7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5.7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5.7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5.7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5.7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5.7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5.7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5.7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5.7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5.7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5.7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5.7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5.7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5.7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5.7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5.7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5.7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5.7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5.7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5.7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5.7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5.7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5.7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5.7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5.7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5.7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5.7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5.7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5.7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5.7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5.7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5.7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5.7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5.7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5.7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5.7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5.7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5.7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5.7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5.7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5.7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5.7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5.7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5.7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5.7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5.7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5.7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5.7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5.7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5.7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5.7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5.7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5.7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5.7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5.7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5.7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5.7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5.7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5.7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5.7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5.7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5.7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5.7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5.7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5.7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5.7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5.7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5.7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5.7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5.7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5.7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5.7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5.7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5.7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5.7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5.7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5.7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5.7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5.7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5.7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5.7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5.7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5.7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5.7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5.7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5.7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5.7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5.7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5.7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5.7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5.7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5.7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5.7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5.7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5.7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5.7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5.7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5.7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5.7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5.7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5.7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5.7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5.7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5.7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5.7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5.7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5.7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5.7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5.7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5.7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5.7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5.7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5.7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5.7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5.7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5.7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5.7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  <row r="1001" ht="15.75" customHeight="1">
      <c r="A1001" s="31"/>
      <c r="B1001" s="31"/>
      <c r="C1001" s="31"/>
      <c r="D1001" s="31"/>
      <c r="E1001" s="31"/>
      <c r="F1001" s="31"/>
      <c r="G1001" s="31"/>
      <c r="H1001" s="31"/>
      <c r="I1001" s="31"/>
      <c r="J1001" s="31"/>
      <c r="K1001" s="31"/>
      <c r="L1001" s="31"/>
      <c r="M1001" s="31"/>
      <c r="N1001" s="31"/>
      <c r="O1001" s="31"/>
      <c r="P1001" s="3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</row>
    <row r="1002" ht="15.75" customHeight="1">
      <c r="A1002" s="31"/>
      <c r="B1002" s="31"/>
      <c r="C1002" s="31"/>
      <c r="D1002" s="31"/>
      <c r="E1002" s="31"/>
      <c r="F1002" s="31"/>
      <c r="G1002" s="31"/>
      <c r="H1002" s="31"/>
      <c r="I1002" s="31"/>
      <c r="J1002" s="31"/>
      <c r="K1002" s="31"/>
      <c r="L1002" s="31"/>
      <c r="M1002" s="31"/>
      <c r="N1002" s="31"/>
      <c r="O1002" s="31"/>
      <c r="P1002" s="3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</row>
    <row r="1003" ht="15.75" customHeight="1">
      <c r="A1003" s="31"/>
      <c r="B1003" s="31"/>
      <c r="C1003" s="31"/>
      <c r="D1003" s="31"/>
      <c r="E1003" s="31"/>
      <c r="F1003" s="31"/>
      <c r="G1003" s="31"/>
      <c r="H1003" s="31"/>
      <c r="I1003" s="31"/>
      <c r="J1003" s="31"/>
      <c r="K1003" s="31"/>
      <c r="L1003" s="31"/>
      <c r="M1003" s="31"/>
      <c r="N1003" s="31"/>
      <c r="O1003" s="31"/>
      <c r="P1003" s="3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</row>
    <row r="1004" ht="15.75" customHeight="1">
      <c r="A1004" s="31"/>
      <c r="B1004" s="31"/>
      <c r="C1004" s="31"/>
      <c r="D1004" s="31"/>
      <c r="E1004" s="31"/>
      <c r="F1004" s="31"/>
      <c r="G1004" s="31"/>
      <c r="H1004" s="31"/>
      <c r="I1004" s="31"/>
      <c r="J1004" s="31"/>
      <c r="K1004" s="31"/>
      <c r="L1004" s="31"/>
      <c r="M1004" s="31"/>
      <c r="N1004" s="31"/>
      <c r="O1004" s="31"/>
      <c r="P1004" s="3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</row>
    <row r="1005" ht="15.75" customHeight="1">
      <c r="A1005" s="31"/>
      <c r="B1005" s="31"/>
      <c r="C1005" s="31"/>
      <c r="D1005" s="31"/>
      <c r="E1005" s="31"/>
      <c r="F1005" s="31"/>
      <c r="G1005" s="31"/>
      <c r="H1005" s="31"/>
      <c r="I1005" s="31"/>
      <c r="J1005" s="31"/>
      <c r="K1005" s="31"/>
      <c r="L1005" s="31"/>
      <c r="M1005" s="31"/>
      <c r="N1005" s="31"/>
      <c r="O1005" s="31"/>
      <c r="P1005" s="3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</row>
    <row r="1006" ht="15.75" customHeight="1">
      <c r="A1006" s="31"/>
      <c r="B1006" s="31"/>
      <c r="C1006" s="31"/>
      <c r="D1006" s="31"/>
      <c r="E1006" s="31"/>
      <c r="F1006" s="31"/>
      <c r="G1006" s="31"/>
      <c r="H1006" s="31"/>
      <c r="I1006" s="31"/>
      <c r="J1006" s="31"/>
      <c r="K1006" s="31"/>
      <c r="L1006" s="31"/>
      <c r="M1006" s="31"/>
      <c r="N1006" s="31"/>
      <c r="O1006" s="31"/>
      <c r="P1006" s="3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</row>
    <row r="1007" ht="15.75" customHeight="1">
      <c r="A1007" s="31"/>
      <c r="B1007" s="31"/>
      <c r="C1007" s="31"/>
      <c r="D1007" s="31"/>
      <c r="E1007" s="31"/>
      <c r="F1007" s="31"/>
      <c r="G1007" s="31"/>
      <c r="H1007" s="31"/>
      <c r="I1007" s="31"/>
      <c r="J1007" s="31"/>
      <c r="K1007" s="31"/>
      <c r="L1007" s="31"/>
      <c r="M1007" s="31"/>
      <c r="N1007" s="31"/>
      <c r="O1007" s="31"/>
      <c r="P1007" s="3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</row>
    <row r="1008" ht="15.75" customHeight="1">
      <c r="A1008" s="31"/>
      <c r="B1008" s="31"/>
      <c r="C1008" s="31"/>
      <c r="D1008" s="31"/>
      <c r="E1008" s="31"/>
      <c r="F1008" s="31"/>
      <c r="G1008" s="31"/>
      <c r="H1008" s="31"/>
      <c r="I1008" s="31"/>
      <c r="J1008" s="31"/>
      <c r="K1008" s="31"/>
      <c r="L1008" s="31"/>
      <c r="M1008" s="31"/>
      <c r="N1008" s="31"/>
      <c r="O1008" s="31"/>
      <c r="P1008" s="3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</row>
    <row r="1009" ht="15.75" customHeight="1">
      <c r="A1009" s="31"/>
      <c r="B1009" s="31"/>
      <c r="C1009" s="31"/>
      <c r="D1009" s="31"/>
      <c r="E1009" s="31"/>
      <c r="F1009" s="31"/>
      <c r="G1009" s="31"/>
      <c r="H1009" s="31"/>
      <c r="I1009" s="31"/>
      <c r="J1009" s="31"/>
      <c r="K1009" s="31"/>
      <c r="L1009" s="31"/>
      <c r="M1009" s="31"/>
      <c r="N1009" s="31"/>
      <c r="O1009" s="31"/>
      <c r="P1009" s="3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</row>
    <row r="1010" ht="15.75" customHeight="1">
      <c r="A1010" s="31"/>
      <c r="B1010" s="31"/>
      <c r="C1010" s="31"/>
      <c r="D1010" s="31"/>
      <c r="E1010" s="31"/>
      <c r="F1010" s="31"/>
      <c r="G1010" s="31"/>
      <c r="H1010" s="31"/>
      <c r="I1010" s="31"/>
      <c r="J1010" s="31"/>
      <c r="K1010" s="31"/>
      <c r="L1010" s="31"/>
      <c r="M1010" s="31"/>
      <c r="N1010" s="31"/>
      <c r="O1010" s="31"/>
      <c r="P1010" s="3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</row>
    <row r="1011" ht="15.75" customHeight="1">
      <c r="A1011" s="31"/>
      <c r="B1011" s="31"/>
      <c r="C1011" s="31"/>
      <c r="D1011" s="31"/>
      <c r="E1011" s="31"/>
      <c r="F1011" s="31"/>
      <c r="G1011" s="31"/>
      <c r="H1011" s="31"/>
      <c r="I1011" s="31"/>
      <c r="J1011" s="31"/>
      <c r="K1011" s="31"/>
      <c r="L1011" s="31"/>
      <c r="M1011" s="31"/>
      <c r="N1011" s="31"/>
      <c r="O1011" s="31"/>
      <c r="P1011" s="3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</row>
    <row r="1012" ht="15.75" customHeight="1">
      <c r="A1012" s="31"/>
      <c r="B1012" s="31"/>
      <c r="C1012" s="31"/>
      <c r="D1012" s="31"/>
      <c r="E1012" s="31"/>
      <c r="F1012" s="31"/>
      <c r="G1012" s="31"/>
      <c r="H1012" s="31"/>
      <c r="I1012" s="31"/>
      <c r="J1012" s="31"/>
      <c r="K1012" s="31"/>
      <c r="L1012" s="31"/>
      <c r="M1012" s="31"/>
      <c r="N1012" s="31"/>
      <c r="O1012" s="31"/>
      <c r="P1012" s="3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</row>
    <row r="1013" ht="15.75" customHeight="1">
      <c r="A1013" s="31"/>
      <c r="B1013" s="31"/>
      <c r="C1013" s="31"/>
      <c r="D1013" s="31"/>
      <c r="E1013" s="31"/>
      <c r="F1013" s="31"/>
      <c r="G1013" s="31"/>
      <c r="H1013" s="31"/>
      <c r="I1013" s="31"/>
      <c r="J1013" s="31"/>
      <c r="K1013" s="31"/>
      <c r="L1013" s="31"/>
      <c r="M1013" s="31"/>
      <c r="N1013" s="31"/>
      <c r="O1013" s="31"/>
      <c r="P1013" s="3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</row>
  </sheetData>
  <conditionalFormatting sqref="L5:L413">
    <cfRule type="containsText" dxfId="0" priority="1" operator="containsText" text="For">
      <formula>NOT(ISERROR(SEARCH(("For"),(L5))))</formula>
    </cfRule>
  </conditionalFormatting>
  <conditionalFormatting sqref="M5:M413">
    <cfRule type="containsText" dxfId="0" priority="2" operator="containsText" text="Imp">
      <formula>NOT(ISERROR(SEARCH(("Imp"),(M5))))</formula>
    </cfRule>
  </conditionalFormatting>
  <conditionalFormatting sqref="N5:P413">
    <cfRule type="containsText" dxfId="0" priority="3" operator="containsText" text="Limite">
      <formula>NOT(ISERROR(SEARCH(("Limite"),(N5))))</formula>
    </cfRule>
  </conditionalFormatting>
  <conditionalFormatting sqref="Q5:Q413">
    <cfRule type="containsText" dxfId="0" priority="4" operator="containsText" text="Limite">
      <formula>NOT(ISERROR(SEARCH(("Limite"),(Q5))))</formula>
    </cfRule>
  </conditionalFormatting>
  <conditionalFormatting sqref="Q5:Q413">
    <cfRule type="containsText" dxfId="0" priority="5" operator="containsText" text="Fluxo Impossível">
      <formula>NOT(ISERROR(SEARCH(("Fluxo Impossível"),(Q5))))</formula>
    </cfRule>
  </conditionalFormatting>
  <conditionalFormatting sqref="Q5:Q413">
    <cfRule type="containsText" dxfId="0" priority="6" operator="containsText" text="Fluxo">
      <formula>NOT(ISERROR(SEARCH(("Fluxo"),(Q5))))</formula>
    </cfRule>
  </conditionalFormatting>
  <dataValidations>
    <dataValidation type="list" allowBlank="1" showErrorMessage="1" sqref="C5:C413">
      <formula1>INDIRECT($B5)</formula1>
    </dataValidation>
    <dataValidation type="list" allowBlank="1" showErrorMessage="1" sqref="F5:F17">
      <formula1>#REF!</formula1>
    </dataValidation>
    <dataValidation type="list" allowBlank="1" showErrorMessage="1" sqref="H5:H17">
      <formula1>#REF!</formula1>
    </dataValidation>
    <dataValidation type="list" allowBlank="1" showErrorMessage="1" sqref="H18:H413">
      <formula1>Destino</formula1>
    </dataValidation>
    <dataValidation type="list" allowBlank="1" showErrorMessage="1" sqref="E18:E413">
      <formula1>Modal</formula1>
    </dataValidation>
    <dataValidation type="list" allowBlank="1" showErrorMessage="1" sqref="A5:A17">
      <formula1>#REF!</formula1>
    </dataValidation>
    <dataValidation type="list" allowBlank="1" showErrorMessage="1" sqref="A18:A413">
      <formula1>Rodada</formula1>
    </dataValidation>
    <dataValidation type="list" allowBlank="1" showErrorMessage="1" sqref="B18:B413">
      <formula1>Origem</formula1>
    </dataValidation>
    <dataValidation type="list" allowBlank="1" showErrorMessage="1" sqref="I5:I413">
      <formula1>INDIRECT($H5)</formula1>
    </dataValidation>
    <dataValidation type="list" allowBlank="1" showErrorMessage="1" sqref="B5:B17">
      <formula1>#REF!</formula1>
    </dataValidation>
    <dataValidation type="list" allowBlank="1" showErrorMessage="1" sqref="F18:F413">
      <formula1>Produto</formula1>
    </dataValidation>
    <dataValidation type="list" allowBlank="1" showErrorMessage="1" sqref="D5:D413">
      <formula1>INDIRECT($A5)</formula1>
    </dataValidation>
    <dataValidation type="list" allowBlank="1" showErrorMessage="1" sqref="E5:E17">
      <formula1>#REF!</formula1>
    </dataValidation>
  </dataValidations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5">
    <pageSetUpPr/>
  </sheetPr>
  <sheetViews>
    <sheetView workbookViewId="0"/>
  </sheetViews>
  <sheetFormatPr customHeight="1" defaultColWidth="14.43" defaultRowHeight="15.0"/>
  <cols>
    <col customWidth="1" min="1" max="1" width="15.29"/>
    <col customWidth="1" min="2" max="2" width="24.71"/>
    <col customWidth="1" min="3" max="3" width="17.0"/>
    <col customWidth="1" min="4" max="4" width="18.71"/>
    <col customWidth="1" min="5" max="5" width="2.71"/>
    <col customWidth="1" min="6" max="6" width="12.29"/>
    <col customWidth="1" min="7" max="7" width="2.71"/>
    <col customWidth="1" min="8" max="8" width="15.0"/>
    <col customWidth="1" min="9" max="26" width="5.86"/>
  </cols>
  <sheetData>
    <row r="1" ht="15.0" customHeight="1">
      <c r="A1" s="32" t="s">
        <v>80</v>
      </c>
      <c r="B1" s="33"/>
      <c r="C1" s="33"/>
      <c r="D1" s="34"/>
      <c r="E1" s="34"/>
      <c r="F1" s="35" t="str">
        <f>SOL_TRANSP!L2</f>
        <v>JOGO 2</v>
      </c>
      <c r="G1" s="35"/>
      <c r="H1" s="35" t="s">
        <v>2</v>
      </c>
      <c r="I1" s="36" t="str">
        <f>SOL_TRANSP!N2</f>
        <v>FLAMENGO</v>
      </c>
      <c r="J1" s="37"/>
      <c r="K1" s="37"/>
      <c r="L1" s="37"/>
      <c r="M1" s="37"/>
      <c r="N1" s="37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</row>
    <row r="3">
      <c r="A3" s="38" t="s">
        <v>27</v>
      </c>
      <c r="B3" s="38" t="s">
        <v>81</v>
      </c>
      <c r="C3" s="38" t="s">
        <v>82</v>
      </c>
      <c r="D3" s="38" t="s">
        <v>83</v>
      </c>
      <c r="E3" s="34"/>
      <c r="F3" s="39" t="s">
        <v>84</v>
      </c>
      <c r="G3" s="40"/>
      <c r="H3" s="41" t="s">
        <v>85</v>
      </c>
      <c r="I3" s="42"/>
      <c r="J3" s="42"/>
      <c r="K3" s="42"/>
      <c r="L3" s="42"/>
      <c r="M3" s="42"/>
      <c r="N3" s="43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</row>
    <row r="4">
      <c r="A4" s="38" t="s">
        <v>86</v>
      </c>
      <c r="B4" s="44" t="str">
        <f>VLOOKUP($A4,'INSTALAÇÕES'!$A:$I,2,FALSE)</f>
        <v>Joinville</v>
      </c>
      <c r="C4" s="45">
        <f>VLOOKUP($A4,'INSTALAÇÕES'!$A:$I,3,FALSE)</f>
        <v>7</v>
      </c>
      <c r="D4" s="45">
        <f>VLOOKUP($A4,'INSTALAÇÕES'!$A:$I,5,FALSE)</f>
        <v>21</v>
      </c>
      <c r="E4" s="34"/>
      <c r="F4" s="46" t="s">
        <v>70</v>
      </c>
      <c r="G4" s="47"/>
      <c r="H4" s="48"/>
      <c r="I4" s="49"/>
      <c r="J4" s="49"/>
      <c r="K4" s="49"/>
      <c r="L4" s="49"/>
      <c r="M4" s="49"/>
      <c r="N4" s="50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</row>
    <row r="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</row>
    <row r="6">
      <c r="A6" s="51" t="str">
        <f>F4</f>
        <v>Rodada_3</v>
      </c>
      <c r="B6" s="51" t="s">
        <v>34</v>
      </c>
      <c r="C6" s="51" t="s">
        <v>40</v>
      </c>
      <c r="D6" s="51" t="s">
        <v>42</v>
      </c>
      <c r="E6" s="34"/>
      <c r="F6" s="52" t="s">
        <v>87</v>
      </c>
      <c r="G6" s="42"/>
      <c r="H6" s="42"/>
      <c r="I6" s="42"/>
      <c r="J6" s="42"/>
      <c r="K6" s="42"/>
      <c r="L6" s="42"/>
      <c r="M6" s="42"/>
      <c r="N6" s="43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>
      <c r="A7" s="51" t="str">
        <f>HLOOKUP($A$6,Base_Dados!$Q$1:$BL$6,2,FALSE)</f>
        <v>Dia 11</v>
      </c>
      <c r="B7" s="53">
        <v>0.0</v>
      </c>
      <c r="C7" s="53">
        <v>1290.0</v>
      </c>
      <c r="D7" s="53">
        <v>601974.0</v>
      </c>
      <c r="E7" s="34"/>
      <c r="F7" s="54"/>
      <c r="N7" s="55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</row>
    <row r="8">
      <c r="A8" s="51" t="str">
        <f>HLOOKUP($A$6,Base_Dados!$Q$1:$BL$6,3,FALSE)</f>
        <v>Dia 12</v>
      </c>
      <c r="B8" s="53">
        <v>0.0</v>
      </c>
      <c r="C8" s="53">
        <v>6000.0</v>
      </c>
      <c r="D8" s="53">
        <v>592570.0</v>
      </c>
      <c r="E8" s="34"/>
      <c r="F8" s="54"/>
      <c r="N8" s="55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</row>
    <row r="9">
      <c r="A9" s="51" t="str">
        <f>HLOOKUP($A$6,Base_Dados!$Q$1:$BL$6,4,FALSE)</f>
        <v>Dia 13</v>
      </c>
      <c r="B9" s="53">
        <v>0.0</v>
      </c>
      <c r="C9" s="53">
        <v>302400.0</v>
      </c>
      <c r="D9" s="53">
        <v>0.0</v>
      </c>
      <c r="E9" s="34"/>
      <c r="F9" s="54"/>
      <c r="N9" s="55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>
      <c r="A10" s="51" t="str">
        <f>HLOOKUP($A$6,Base_Dados!$Q$1:$BL$6,5,FALSE)</f>
        <v>Dia 14</v>
      </c>
      <c r="B10" s="53">
        <v>0.0</v>
      </c>
      <c r="C10" s="53">
        <v>90310.0</v>
      </c>
      <c r="D10" s="53">
        <v>149149.0</v>
      </c>
      <c r="E10" s="34"/>
      <c r="F10" s="54"/>
      <c r="N10" s="55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</row>
    <row r="11">
      <c r="A11" s="51" t="str">
        <f>HLOOKUP($A$6,Base_Dados!$Q$1:$BL$6,6,FALSE)</f>
        <v>Dia 15</v>
      </c>
      <c r="B11" s="53">
        <v>0.0</v>
      </c>
      <c r="C11" s="53">
        <v>0.0</v>
      </c>
      <c r="D11" s="53">
        <v>0.0</v>
      </c>
      <c r="E11" s="34"/>
      <c r="F11" s="56"/>
      <c r="G11" s="49"/>
      <c r="H11" s="49"/>
      <c r="I11" s="49"/>
      <c r="J11" s="49"/>
      <c r="K11" s="49"/>
      <c r="L11" s="49"/>
      <c r="M11" s="49"/>
      <c r="N11" s="50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>
      <c r="A13" s="38" t="s">
        <v>27</v>
      </c>
      <c r="B13" s="38" t="s">
        <v>81</v>
      </c>
      <c r="C13" s="38" t="s">
        <v>82</v>
      </c>
      <c r="D13" s="38" t="s">
        <v>83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</row>
    <row r="14">
      <c r="A14" s="38" t="s">
        <v>88</v>
      </c>
      <c r="B14" s="44" t="str">
        <f>VLOOKUP($A14,'INSTALAÇÕES'!$A:$I,2,FALSE)</f>
        <v/>
      </c>
      <c r="C14" s="45" t="str">
        <f>VLOOKUP($A14,'INSTALAÇÕES'!$A:$I,3,FALSE)</f>
        <v/>
      </c>
      <c r="D14" s="45">
        <f>VLOOKUP($A14,'INSTALAÇÕES'!$A:$I,5,FALSE)</f>
        <v>0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</row>
    <row r="1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</row>
    <row r="16">
      <c r="A16" s="51" t="str">
        <f>F4</f>
        <v>Rodada_3</v>
      </c>
      <c r="B16" s="51" t="s">
        <v>34</v>
      </c>
      <c r="C16" s="51" t="s">
        <v>40</v>
      </c>
      <c r="D16" s="51" t="s">
        <v>42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</row>
    <row r="17">
      <c r="A17" s="51" t="str">
        <f>HLOOKUP($A$6,Base_Dados!$Q$1:$BL$6,2,FALSE)</f>
        <v>Dia 11</v>
      </c>
      <c r="B17" s="53">
        <v>0.0</v>
      </c>
      <c r="C17" s="53">
        <v>0.0</v>
      </c>
      <c r="D17" s="53">
        <v>0.0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</row>
    <row r="18">
      <c r="A18" s="51" t="str">
        <f>HLOOKUP($A$6,Base_Dados!$Q$1:$BL$6,3,FALSE)</f>
        <v>Dia 12</v>
      </c>
      <c r="B18" s="53">
        <v>0.0</v>
      </c>
      <c r="C18" s="53">
        <v>0.0</v>
      </c>
      <c r="D18" s="53">
        <v>0.0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</row>
    <row r="19">
      <c r="A19" s="51" t="str">
        <f>HLOOKUP($A$6,Base_Dados!$Q$1:$BL$6,4,FALSE)</f>
        <v>Dia 13</v>
      </c>
      <c r="B19" s="53">
        <v>0.0</v>
      </c>
      <c r="C19" s="53">
        <v>0.0</v>
      </c>
      <c r="D19" s="53">
        <v>0.0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</row>
    <row r="20">
      <c r="A20" s="51" t="str">
        <f>HLOOKUP($A$6,Base_Dados!$Q$1:$BL$6,5,FALSE)</f>
        <v>Dia 14</v>
      </c>
      <c r="B20" s="53">
        <v>0.0</v>
      </c>
      <c r="C20" s="53">
        <v>0.0</v>
      </c>
      <c r="D20" s="53">
        <v>0.0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</row>
    <row r="21" ht="15.75" customHeight="1">
      <c r="A21" s="51" t="str">
        <f>HLOOKUP($A$6,Base_Dados!$Q$1:$BL$6,6,FALSE)</f>
        <v>Dia 15</v>
      </c>
      <c r="B21" s="53">
        <v>0.0</v>
      </c>
      <c r="C21" s="53">
        <v>0.0</v>
      </c>
      <c r="D21" s="53">
        <v>0.0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ht="15.75" customHeight="1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ht="15.75" customHeight="1">
      <c r="A23" s="57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ht="15.75" customHeight="1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ht="15.75" customHeight="1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 ht="15.75" customHeight="1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 ht="15.75" customHeight="1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 ht="15.75" customHeight="1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</row>
    <row r="29" ht="15.75" customHeight="1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</row>
    <row r="30" ht="15.75" customHeight="1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</row>
    <row r="31" ht="15.75" customHeight="1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</row>
    <row r="32" ht="15.75" customHeight="1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</row>
    <row r="33" ht="15.75" customHeight="1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</row>
    <row r="34" ht="15.75" customHeight="1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</row>
    <row r="35" ht="15.75" customHeight="1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</row>
    <row r="36" ht="15.75" customHeight="1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</row>
    <row r="37" ht="15.75" customHeight="1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</row>
    <row r="38" ht="15.75" customHeight="1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</row>
    <row r="39" ht="15.75" customHeight="1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</row>
    <row r="40" ht="15.75" customHeight="1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</row>
    <row r="41" ht="15.75" customHeight="1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</row>
    <row r="42" ht="15.75" customHeight="1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</row>
    <row r="43" ht="15.75" customHeight="1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</row>
    <row r="44" ht="15.75" customHeight="1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</row>
    <row r="45" ht="15.75" customHeight="1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</row>
    <row r="46" ht="15.75" customHeight="1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</row>
    <row r="47" ht="15.75" customHeight="1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</row>
    <row r="48" ht="15.75" customHeight="1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</row>
    <row r="49" ht="15.75" customHeight="1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</row>
    <row r="50" ht="15.75" customHeight="1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</row>
    <row r="51" ht="15.75" customHeight="1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</row>
    <row r="52" ht="15.75" customHeight="1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</row>
    <row r="53" ht="15.75" customHeight="1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</row>
    <row r="54" ht="15.75" customHeight="1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</row>
    <row r="55" ht="15.75" customHeight="1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</row>
    <row r="56" ht="15.75" customHeight="1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</row>
    <row r="57" ht="15.75" customHeight="1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</row>
    <row r="58" ht="15.75" customHeight="1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</row>
    <row r="59" ht="15.75" customHeight="1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</row>
    <row r="60" ht="15.75" customHeight="1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</row>
    <row r="61" ht="15.75" customHeight="1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</row>
    <row r="62" ht="15.75" customHeight="1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</row>
    <row r="63" ht="15.75" customHeight="1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</row>
    <row r="64" ht="15.75" customHeight="1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</row>
    <row r="65" ht="15.75" customHeight="1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</row>
    <row r="66" ht="15.75" customHeight="1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</row>
    <row r="67" ht="15.75" customHeight="1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</row>
    <row r="68" ht="15.75" customHeight="1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</row>
    <row r="69" ht="15.75" customHeight="1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</row>
    <row r="70" ht="15.75" customHeight="1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</row>
    <row r="71" ht="15.75" customHeight="1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</row>
    <row r="72" ht="15.75" customHeight="1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</row>
    <row r="73" ht="15.75" customHeight="1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</row>
    <row r="74" ht="15.75" customHeight="1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</row>
    <row r="75" ht="15.75" customHeight="1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</row>
    <row r="76" ht="15.75" customHeight="1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</row>
    <row r="77" ht="15.75" customHeight="1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</row>
    <row r="78" ht="15.75" customHeight="1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</row>
    <row r="79" ht="15.75" customHeight="1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</row>
    <row r="80" ht="15.75" customHeight="1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</row>
    <row r="81" ht="15.75" customHeight="1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</row>
    <row r="82" ht="15.75" customHeight="1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</row>
    <row r="83" ht="15.75" customHeight="1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</row>
    <row r="84" ht="15.75" customHeight="1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</row>
    <row r="85" ht="15.75" customHeight="1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</row>
    <row r="86" ht="15.75" customHeight="1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</row>
    <row r="87" ht="15.75" customHeight="1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</row>
    <row r="88" ht="15.75" customHeight="1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</row>
    <row r="89" ht="15.75" customHeight="1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</row>
    <row r="90" ht="15.75" customHeight="1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</row>
    <row r="91" ht="15.75" customHeight="1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</row>
    <row r="92" ht="15.75" customHeight="1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</row>
    <row r="93" ht="15.75" customHeight="1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</row>
    <row r="94" ht="15.75" customHeight="1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</row>
    <row r="95" ht="15.75" customHeight="1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</row>
    <row r="96" ht="15.75" customHeight="1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</row>
    <row r="97" ht="15.75" customHeight="1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</row>
    <row r="98" ht="15.75" customHeight="1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</row>
    <row r="99" ht="15.75" customHeight="1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</row>
    <row r="100" ht="15.75" customHeight="1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</row>
    <row r="101" ht="15.75" customHeight="1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</row>
    <row r="102" ht="15.75" customHeight="1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</row>
    <row r="103" ht="15.75" customHeight="1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</row>
    <row r="104" ht="15.75" customHeight="1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</row>
    <row r="105" ht="15.75" customHeight="1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</row>
    <row r="106" ht="15.75" customHeight="1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</row>
    <row r="107" ht="15.75" customHeight="1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</row>
    <row r="108" ht="15.75" customHeight="1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</row>
    <row r="109" ht="15.75" customHeight="1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</row>
    <row r="110" ht="15.75" customHeight="1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</row>
    <row r="111" ht="15.75" customHeight="1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</row>
    <row r="112" ht="15.75" customHeight="1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</row>
    <row r="113" ht="15.75" customHeight="1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</row>
    <row r="114" ht="15.75" customHeight="1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</row>
    <row r="115" ht="15.75" customHeight="1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</row>
    <row r="116" ht="15.75" customHeight="1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</row>
    <row r="117" ht="15.75" customHeight="1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</row>
    <row r="118" ht="15.75" customHeight="1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</row>
    <row r="119" ht="15.75" customHeight="1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</row>
    <row r="120" ht="15.75" customHeight="1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</row>
    <row r="121" ht="15.75" customHeight="1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</row>
    <row r="122" ht="15.75" customHeight="1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</row>
    <row r="123" ht="15.75" customHeight="1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</row>
    <row r="124" ht="15.75" customHeight="1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</row>
    <row r="125" ht="15.75" customHeight="1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</row>
    <row r="126" ht="15.75" customHeight="1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</row>
    <row r="127" ht="15.75" customHeight="1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</row>
    <row r="128" ht="15.75" customHeight="1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</row>
    <row r="129" ht="15.75" customHeight="1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</row>
    <row r="130" ht="15.75" customHeight="1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</row>
    <row r="131" ht="15.75" customHeight="1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</row>
    <row r="132" ht="15.75" customHeight="1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</row>
    <row r="133" ht="15.75" customHeight="1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</row>
    <row r="134" ht="15.75" customHeight="1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</row>
    <row r="135" ht="15.75" customHeight="1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</row>
    <row r="136" ht="15.75" customHeight="1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</row>
    <row r="137" ht="15.75" customHeight="1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</row>
    <row r="138" ht="15.75" customHeight="1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</row>
    <row r="139" ht="15.75" customHeight="1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</row>
    <row r="140" ht="15.75" customHeight="1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</row>
    <row r="141" ht="15.75" customHeight="1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</row>
    <row r="142" ht="15.75" customHeight="1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</row>
    <row r="143" ht="15.75" customHeight="1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</row>
    <row r="144" ht="15.75" customHeight="1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</row>
    <row r="145" ht="15.75" customHeight="1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</row>
    <row r="146" ht="15.75" customHeight="1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</row>
    <row r="147" ht="15.75" customHeight="1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</row>
    <row r="148" ht="15.75" customHeight="1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</row>
    <row r="149" ht="15.75" customHeight="1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</row>
    <row r="150" ht="15.75" customHeight="1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</row>
    <row r="151" ht="15.75" customHeight="1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</row>
    <row r="152" ht="15.75" customHeight="1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</row>
    <row r="153" ht="15.75" customHeight="1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</row>
    <row r="154" ht="15.75" customHeight="1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</row>
    <row r="155" ht="15.75" customHeight="1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</row>
    <row r="156" ht="15.75" customHeight="1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</row>
    <row r="157" ht="15.75" customHeight="1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</row>
    <row r="158" ht="15.75" customHeight="1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</row>
    <row r="159" ht="15.75" customHeight="1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</row>
    <row r="160" ht="15.75" customHeight="1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</row>
    <row r="161" ht="15.75" customHeight="1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</row>
    <row r="162" ht="15.75" customHeight="1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</row>
    <row r="163" ht="15.75" customHeight="1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</row>
    <row r="164" ht="15.75" customHeight="1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</row>
    <row r="165" ht="15.75" customHeight="1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</row>
    <row r="166" ht="15.75" customHeight="1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</row>
    <row r="167" ht="15.75" customHeight="1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</row>
    <row r="168" ht="15.75" customHeight="1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</row>
    <row r="169" ht="15.75" customHeight="1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</row>
    <row r="170" ht="15.75" customHeight="1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</row>
    <row r="171" ht="15.75" customHeight="1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</row>
    <row r="172" ht="15.75" customHeight="1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</row>
    <row r="173" ht="15.75" customHeight="1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</row>
    <row r="174" ht="15.75" customHeight="1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</row>
    <row r="175" ht="15.75" customHeight="1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</row>
    <row r="176" ht="15.75" customHeight="1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</row>
    <row r="177" ht="15.75" customHeight="1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</row>
    <row r="178" ht="15.75" customHeight="1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</row>
    <row r="179" ht="15.75" customHeight="1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</row>
    <row r="180" ht="15.75" customHeight="1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</row>
    <row r="181" ht="15.75" customHeight="1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</row>
    <row r="182" ht="15.75" customHeight="1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</row>
    <row r="183" ht="15.75" customHeight="1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</row>
    <row r="184" ht="15.75" customHeight="1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</row>
    <row r="185" ht="15.75" customHeight="1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</row>
    <row r="186" ht="15.75" customHeight="1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</row>
    <row r="187" ht="15.75" customHeight="1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</row>
    <row r="188" ht="15.75" customHeight="1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</row>
    <row r="189" ht="15.75" customHeight="1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</row>
    <row r="190" ht="15.75" customHeight="1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</row>
    <row r="191" ht="15.75" customHeight="1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</row>
    <row r="192" ht="15.75" customHeight="1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</row>
    <row r="193" ht="15.75" customHeight="1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</row>
    <row r="194" ht="15.75" customHeight="1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</row>
    <row r="195" ht="15.75" customHeight="1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</row>
    <row r="196" ht="15.75" customHeight="1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</row>
    <row r="197" ht="15.75" customHeight="1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</row>
    <row r="198" ht="15.75" customHeight="1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</row>
    <row r="199" ht="15.75" customHeight="1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</row>
    <row r="200" ht="15.75" customHeight="1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</row>
    <row r="201" ht="15.75" customHeight="1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</row>
    <row r="202" ht="15.75" customHeight="1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</row>
    <row r="203" ht="15.75" customHeight="1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</row>
    <row r="204" ht="15.75" customHeight="1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</row>
    <row r="205" ht="15.75" customHeight="1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</row>
    <row r="206" ht="15.75" customHeight="1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</row>
    <row r="207" ht="15.75" customHeight="1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</row>
    <row r="208" ht="15.75" customHeight="1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</row>
    <row r="209" ht="15.75" customHeight="1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</row>
    <row r="210" ht="15.75" customHeight="1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</row>
    <row r="211" ht="15.75" customHeight="1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</row>
    <row r="212" ht="15.75" customHeight="1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</row>
    <row r="213" ht="15.75" customHeight="1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</row>
    <row r="214" ht="15.75" customHeight="1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</row>
    <row r="215" ht="15.75" customHeight="1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</row>
    <row r="216" ht="15.75" customHeight="1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</row>
    <row r="217" ht="15.75" customHeight="1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</row>
    <row r="218" ht="15.75" customHeight="1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</row>
    <row r="219" ht="15.75" customHeight="1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</row>
    <row r="220" ht="15.75" customHeight="1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</row>
    <row r="221" ht="15.75" customHeight="1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</row>
    <row r="222" ht="15.7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ht="15.7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ht="15.7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ht="15.7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ht="15.7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ht="15.7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ht="15.7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ht="15.7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ht="15.7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ht="15.7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ht="15.7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ht="15.7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ht="15.7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ht="15.7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ht="15.7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ht="15.7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ht="15.7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ht="15.7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ht="15.7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ht="15.7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ht="15.7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ht="15.7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ht="15.7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ht="15.7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ht="15.7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ht="15.7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ht="15.7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ht="15.7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ht="15.7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ht="15.7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ht="15.7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ht="15.7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ht="15.7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ht="15.7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ht="15.7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ht="15.7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ht="15.7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ht="15.7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ht="15.7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ht="15.7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ht="15.7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ht="15.7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ht="15.7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ht="15.7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ht="15.7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ht="15.7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ht="15.7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ht="15.7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ht="15.7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ht="15.7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ht="15.7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ht="15.7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ht="15.7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ht="15.7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ht="15.7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ht="15.7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ht="15.7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ht="15.7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ht="15.7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ht="15.7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ht="15.7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ht="15.7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ht="15.7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ht="15.7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ht="15.7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ht="15.7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ht="15.7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ht="15.7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ht="15.7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ht="15.7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ht="15.7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ht="15.7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ht="15.7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ht="15.7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ht="15.7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ht="15.7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ht="15.7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ht="15.7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ht="15.7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ht="15.7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ht="15.7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ht="15.7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ht="15.7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ht="15.7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ht="15.7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ht="15.7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ht="15.7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ht="15.7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ht="15.7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ht="15.7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ht="15.7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ht="15.7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ht="15.7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ht="15.7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ht="15.7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ht="15.7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ht="15.7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ht="15.7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ht="15.7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ht="15.7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ht="15.7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ht="15.7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ht="15.7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ht="15.7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ht="15.7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ht="15.7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ht="15.7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ht="15.7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ht="15.7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ht="15.7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ht="15.7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ht="15.7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ht="15.7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ht="15.7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ht="15.7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ht="15.7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ht="15.7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ht="15.7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ht="15.7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ht="15.7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ht="15.7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ht="15.7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ht="15.7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ht="15.7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ht="15.7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ht="15.7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ht="15.7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ht="15.7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ht="15.7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ht="15.7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ht="15.7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ht="15.7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ht="15.7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ht="15.7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ht="15.7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ht="15.7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ht="15.7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ht="15.7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ht="15.7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ht="15.7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ht="15.7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ht="15.7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ht="15.7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ht="15.7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ht="15.7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ht="15.7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ht="15.7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ht="15.7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ht="15.7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ht="15.7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ht="15.7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ht="15.7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ht="15.7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ht="15.7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ht="15.7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ht="15.7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ht="15.7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ht="15.7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ht="15.7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ht="15.7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ht="15.7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ht="15.7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ht="15.7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ht="15.7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ht="15.7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ht="15.7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ht="15.7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ht="15.7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ht="15.7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ht="15.7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ht="15.7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ht="15.7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ht="15.7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ht="15.7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ht="15.7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ht="15.7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ht="15.7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ht="15.7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ht="15.7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ht="15.7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ht="15.7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ht="15.7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ht="15.7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ht="15.7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ht="15.7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ht="15.7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ht="15.7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ht="15.7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ht="15.7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ht="15.7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ht="15.7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ht="15.7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ht="15.7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ht="15.7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ht="15.7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ht="15.7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ht="15.7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ht="15.7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ht="15.7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ht="15.7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ht="15.7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ht="15.7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ht="15.7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ht="15.7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ht="15.7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ht="15.7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ht="15.7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ht="15.7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ht="15.7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ht="15.7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ht="15.7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ht="15.7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ht="15.7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ht="15.7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ht="15.7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ht="15.7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ht="15.7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ht="15.7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ht="15.7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ht="15.7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ht="15.7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ht="15.7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ht="15.7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ht="15.7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ht="15.7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ht="15.7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ht="15.7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ht="15.7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ht="15.7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ht="15.7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ht="15.7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ht="15.7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ht="15.7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ht="15.7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ht="15.7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ht="15.7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ht="15.7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ht="15.7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ht="15.7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ht="15.7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ht="15.7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ht="15.7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ht="15.7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ht="15.7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ht="15.7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ht="15.7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ht="15.7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ht="15.7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ht="15.7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ht="15.7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ht="15.7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ht="15.7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ht="15.7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ht="15.7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ht="15.7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ht="15.7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ht="15.7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ht="15.7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ht="15.7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ht="15.7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ht="15.7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ht="15.7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ht="15.7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ht="15.7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ht="15.7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ht="15.7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ht="15.7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ht="15.7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ht="15.7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ht="15.7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ht="15.7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ht="15.7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ht="15.7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ht="15.7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ht="15.7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ht="15.7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ht="15.7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ht="15.7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ht="15.7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ht="15.7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ht="15.7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ht="15.7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ht="15.7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ht="15.7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ht="15.7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ht="15.7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ht="15.7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ht="15.7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ht="15.7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ht="15.7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ht="15.7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ht="15.7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ht="15.7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ht="15.7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ht="15.7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ht="15.7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ht="15.7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ht="15.7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ht="15.7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ht="15.7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ht="15.7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ht="15.7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ht="15.7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ht="15.7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ht="15.7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ht="15.7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ht="15.7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ht="15.7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ht="15.7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ht="15.7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ht="15.7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ht="15.7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ht="15.7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ht="15.7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ht="15.7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ht="15.7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ht="15.7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ht="15.7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ht="15.7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ht="15.7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ht="15.7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ht="15.7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ht="15.7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ht="15.7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ht="15.7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ht="15.7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ht="15.7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ht="15.7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ht="15.7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ht="15.7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ht="15.7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ht="15.7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ht="15.7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ht="15.7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ht="15.7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ht="15.7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ht="15.7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ht="15.7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ht="15.7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ht="15.7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ht="15.7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ht="15.7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ht="15.7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ht="15.7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ht="15.7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ht="15.7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ht="15.7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ht="15.7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ht="15.7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ht="15.7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ht="15.7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ht="15.7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ht="15.7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ht="15.7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ht="15.7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ht="15.7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ht="15.7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ht="15.7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ht="15.7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ht="15.7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ht="15.7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ht="15.7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ht="15.7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ht="15.7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ht="15.7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ht="15.7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ht="15.7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ht="15.7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ht="15.7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ht="15.7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ht="15.7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ht="15.7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ht="15.7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ht="15.7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ht="15.7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ht="15.7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ht="15.7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ht="15.7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ht="15.7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ht="15.7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ht="15.7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ht="15.7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ht="15.7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ht="15.7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ht="15.7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ht="15.7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ht="15.7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ht="15.7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ht="15.7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ht="15.7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ht="15.7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ht="15.7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ht="15.7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5.7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5.7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5.7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5.7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5.7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5.7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5.7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5.7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5.7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5.7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5.7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5.7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5.7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5.7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5.7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5.7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5.7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5.7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5.7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5.7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5.7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5.7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5.7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5.7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5.7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5.7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5.7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5.7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5.7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5.7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5.7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5.7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5.7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5.7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5.7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5.7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5.7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5.7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5.7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5.7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5.7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5.7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5.7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5.7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5.7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5.7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5.7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5.7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5.7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5.7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5.7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5.7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5.7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5.7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5.7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5.7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5.7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5.7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5.7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5.7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5.7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5.7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5.7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5.7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5.7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5.7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5.7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5.7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5.7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5.7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5.7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5.7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5.7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5.7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5.7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5.7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5.7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5.7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5.7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5.7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5.7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5.7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5.7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5.7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5.7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5.7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5.7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5.7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5.7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5.7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5.7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5.7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5.7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5.7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5.7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5.7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5.7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5.7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5.7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5.7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5.7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5.7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5.7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5.7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5.7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5.7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5.7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5.7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5.7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5.7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5.7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5.7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5.7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5.7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5.7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5.7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5.7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5.7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5.7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5.7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5.7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5.7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5.7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5.7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5.7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5.7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5.7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5.7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5.7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5.7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5.7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5.7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5.7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5.7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5.7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5.7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5.7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5.7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5.7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5.7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5.7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5.7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5.7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5.7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5.7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5.7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5.7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5.7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5.7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5.7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5.7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5.7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5.7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5.7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5.7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5.7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5.7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5.7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5.7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5.7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5.7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5.7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5.7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5.7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5.7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5.7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5.7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5.7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5.7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5.7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5.7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5.7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5.7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5.7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5.7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5.7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5.7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5.7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5.7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5.7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5.7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5.7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5.7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5.7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5.7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5.7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5.7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5.7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5.7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5.7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5.7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5.7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5.7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5.7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5.7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5.7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5.7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5.7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5.7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5.7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5.7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5.7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5.7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5.7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5.7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5.7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5.7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5.7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5.7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5.7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5.7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5.7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5.7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5.7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5.7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5.7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5.7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5.7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5.7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5.7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5.7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5.7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5.7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5.7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5.7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5.7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5.7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5.7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5.7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5.7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5.7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5.7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5.7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5.7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5.7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5.7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5.7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5.7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5.7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5.7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5.7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5.7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5.7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5.7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5.7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5.7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5.7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5.7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5.7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5.7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5.7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5.7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5.7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5.7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5.7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5.7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5.7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5.7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5.7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5.7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5.7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5.7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5.7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5.7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5.7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5.7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5.7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5.7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5.7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5.7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5.7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5.7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5.7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5.7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5.7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5.7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5.7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5.7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5.7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5.7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5.7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5.7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5.7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5.7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5.7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5.7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5.7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5.7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5.7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5.7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5.7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5.7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5.7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5.7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5.7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5.7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5.7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5.7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5.7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5.7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5.7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5.7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5.7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5.7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5.7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5.7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5.7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5.7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5.7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5.7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5.7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5.7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5.7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5.7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5.7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5.7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5.7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5.7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5.7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5.7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5.7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5.7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5.7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5.7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5.7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5.7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5.7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5.7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5.7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5.7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5.7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5.7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5.7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5.7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5.7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5.7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5.7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5.7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5.7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5.7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5.7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5.7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5.7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5.7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5.7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5.7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5.7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5.7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5.7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5.7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5.7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5.7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5.7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5.7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5.7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5.7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5.7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5.7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5.7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5.7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5.7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5.7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5.7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5.7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5.7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5.7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5.7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5.7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5.7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5.7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5.7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5.7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5.7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5.7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5.7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5.7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5.7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5.7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5.7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5.7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5.7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5.7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5.7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5.7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5.7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5.7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mergeCells count="2">
    <mergeCell ref="H3:N4"/>
    <mergeCell ref="F6:N11"/>
  </mergeCells>
  <dataValidations>
    <dataValidation type="list" allowBlank="1" showErrorMessage="1" sqref="F4">
      <formula1>Rodada</formula1>
    </dataValidation>
  </dataValidations>
  <printOptions/>
  <pageMargins bottom="0.787401575" footer="0.0" header="0.0" left="0.511811024" right="0.511811024" top="0.7874015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4">
    <pageSetUpPr/>
  </sheetPr>
  <sheetViews>
    <sheetView showGridLines="0" workbookViewId="0"/>
  </sheetViews>
  <sheetFormatPr customHeight="1" defaultColWidth="14.43" defaultRowHeight="15.0"/>
  <cols>
    <col customWidth="1" min="1" max="8" width="8.71"/>
  </cols>
  <sheetData>
    <row r="1">
      <c r="A1" s="31" t="s">
        <v>1</v>
      </c>
      <c r="B1" s="31" t="s">
        <v>2</v>
      </c>
      <c r="C1" s="31" t="s">
        <v>3</v>
      </c>
      <c r="D1" s="31"/>
      <c r="E1" s="58" t="s">
        <v>89</v>
      </c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ht="15.0" customHeight="1">
      <c r="A2" s="31"/>
      <c r="B2" s="31"/>
      <c r="C2" s="31"/>
      <c r="D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>
      <c r="A3" s="31"/>
      <c r="B3" s="31"/>
      <c r="C3" s="31"/>
      <c r="D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>
      <c r="A4" s="31" t="s">
        <v>90</v>
      </c>
      <c r="B4" s="31"/>
      <c r="C4" s="31"/>
      <c r="D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>
      <c r="A6" s="31" t="s">
        <v>91</v>
      </c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 ht="15.0" customHeight="1">
      <c r="A7" s="31" t="s">
        <v>27</v>
      </c>
      <c r="B7" s="31" t="s">
        <v>81</v>
      </c>
      <c r="C7" s="31" t="s">
        <v>92</v>
      </c>
      <c r="D7" s="31" t="s">
        <v>93</v>
      </c>
      <c r="E7" s="59" t="s">
        <v>94</v>
      </c>
      <c r="F7" s="59" t="s">
        <v>95</v>
      </c>
      <c r="G7" s="59" t="s">
        <v>96</v>
      </c>
      <c r="H7" s="59" t="s">
        <v>97</v>
      </c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>
      <c r="A8" s="31" t="s">
        <v>86</v>
      </c>
      <c r="B8" s="31" t="s">
        <v>28</v>
      </c>
      <c r="C8" s="31">
        <v>7.0</v>
      </c>
      <c r="D8" s="31">
        <v>3.0</v>
      </c>
      <c r="E8" s="31">
        <v>21.0</v>
      </c>
      <c r="F8" s="31">
        <v>127.0</v>
      </c>
      <c r="G8" s="31">
        <v>36.0</v>
      </c>
      <c r="H8" s="31">
        <v>42.0</v>
      </c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>
      <c r="A9" s="31" t="s">
        <v>88</v>
      </c>
      <c r="B9" s="31"/>
      <c r="C9" s="31"/>
      <c r="D9" s="31"/>
      <c r="E9" s="31">
        <v>0.0</v>
      </c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>
      <c r="A11" s="31" t="s">
        <v>98</v>
      </c>
      <c r="B11" s="31" t="s">
        <v>81</v>
      </c>
      <c r="C11" s="31" t="s">
        <v>99</v>
      </c>
      <c r="D11" s="31" t="s">
        <v>100</v>
      </c>
      <c r="E11" s="31" t="s">
        <v>101</v>
      </c>
      <c r="F11" s="31" t="s">
        <v>102</v>
      </c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>
      <c r="A12" s="31" t="s">
        <v>103</v>
      </c>
      <c r="B12" s="31" t="s">
        <v>36</v>
      </c>
      <c r="C12" s="31">
        <v>110.0</v>
      </c>
      <c r="D12" s="31">
        <v>108.0</v>
      </c>
      <c r="E12" s="31">
        <v>873.0</v>
      </c>
      <c r="F12" s="31">
        <v>1091.0</v>
      </c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 ht="15.0" customHeight="1">
      <c r="A13" s="31" t="s">
        <v>104</v>
      </c>
      <c r="B13" s="31" t="s">
        <v>38</v>
      </c>
      <c r="C13" s="31">
        <v>100.0</v>
      </c>
      <c r="D13" s="31">
        <v>100.0</v>
      </c>
      <c r="E13" s="31">
        <v>800.0</v>
      </c>
      <c r="F13" s="31">
        <v>1000.0</v>
      </c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</row>
    <row r="14" ht="15.0" customHeight="1">
      <c r="A14" s="31" t="s">
        <v>105</v>
      </c>
      <c r="B14" s="31"/>
      <c r="C14" s="31"/>
      <c r="D14" s="31"/>
      <c r="E14" s="31"/>
      <c r="F14" s="31">
        <v>0.0</v>
      </c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</row>
    <row r="15" ht="15.0" customHeight="1">
      <c r="A15" s="31" t="s">
        <v>106</v>
      </c>
      <c r="B15" s="31"/>
      <c r="C15" s="31"/>
      <c r="D15" s="31"/>
      <c r="E15" s="31"/>
      <c r="F15" s="31">
        <v>0.0</v>
      </c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</row>
    <row r="16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</row>
    <row r="17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</row>
    <row r="19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</row>
    <row r="20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</row>
    <row r="21" ht="15.75" customHeight="1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</row>
    <row r="22" ht="15.75" customHeight="1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</row>
    <row r="23" ht="15.75" customHeight="1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</row>
    <row r="24" ht="15.75" customHeight="1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</row>
    <row r="25" ht="15.75" customHeight="1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</row>
    <row r="26" ht="15.75" customHeight="1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</row>
    <row r="27" ht="15.75" customHeight="1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</row>
    <row r="28" ht="15.75" customHeight="1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</row>
    <row r="29" ht="15.75" customHeight="1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</row>
    <row r="30" ht="15.75" customHeight="1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ht="15.75" customHeight="1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ht="15.75" customHeight="1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ht="15.75" customHeight="1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ht="15.75" customHeight="1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ht="15.75" customHeight="1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ht="15.75" customHeight="1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ht="15.75" customHeight="1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ht="15.75" customHeight="1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ht="15.75" customHeight="1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ht="15.75" customHeight="1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ht="15.75" customHeight="1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ht="15.75" customHeight="1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ht="15.75" customHeight="1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ht="15.75" customHeight="1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ht="15.75" customHeight="1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ht="15.75" customHeight="1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ht="15.75" customHeight="1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ht="15.75" customHeight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ht="15.75" customHeight="1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ht="15.75" customHeight="1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ht="15.75" customHeight="1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ht="15.75" customHeight="1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ht="15.75" customHeight="1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ht="15.75" customHeight="1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ht="15.75" customHeight="1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ht="15.75" customHeight="1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ht="15.75" customHeight="1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ht="15.75" customHeight="1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ht="15.75" customHeight="1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ht="15.75" customHeight="1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ht="15.75" customHeight="1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ht="15.75" customHeight="1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ht="15.75" customHeight="1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ht="15.75" customHeight="1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ht="15.75" customHeight="1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ht="15.75" customHeight="1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ht="15.75" customHeight="1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ht="15.75" customHeight="1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ht="15.75" customHeight="1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ht="15.75" customHeight="1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ht="15.75" customHeight="1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ht="15.75" customHeight="1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ht="15.75" customHeight="1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ht="15.75" customHeight="1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ht="15.75" customHeight="1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ht="15.75" customHeight="1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ht="15.75" customHeight="1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ht="15.75" customHeight="1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ht="15.75" customHeight="1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ht="15.75" customHeight="1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ht="15.75" customHeight="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ht="15.75" customHeight="1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ht="15.75" customHeight="1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ht="15.75" customHeight="1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ht="15.75" customHeight="1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ht="15.75" customHeight="1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ht="15.75" customHeight="1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ht="15.75" customHeight="1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ht="15.75" customHeight="1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ht="15.75" customHeight="1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ht="15.75" customHeight="1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ht="15.75" customHeight="1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ht="15.75" customHeight="1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ht="15.75" customHeight="1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ht="15.75" customHeight="1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ht="15.75" customHeight="1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ht="15.75" customHeight="1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ht="15.75" customHeight="1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ht="15.75" customHeight="1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ht="15.75" customHeight="1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ht="15.75" customHeight="1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ht="15.75" customHeight="1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ht="15.75" customHeight="1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ht="15.75" customHeight="1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ht="15.75" customHeight="1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ht="15.75" customHeight="1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ht="15.75" customHeight="1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ht="15.75" customHeight="1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ht="15.75" customHeight="1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ht="15.75" customHeight="1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ht="15.75" customHeight="1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ht="15.75" customHeigh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ht="15.75" customHeigh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ht="15.75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ht="15.7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ht="15.7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ht="15.7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ht="15.7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ht="15.7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ht="15.7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ht="15.7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ht="15.7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ht="15.7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ht="15.7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ht="15.7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ht="15.7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ht="15.7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ht="15.7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ht="15.7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ht="15.7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ht="15.7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ht="15.7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ht="15.7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ht="15.7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ht="15.7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ht="15.7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ht="15.7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ht="15.7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ht="15.7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ht="15.7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ht="15.7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ht="15.7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ht="15.7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ht="15.7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ht="15.7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ht="15.7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ht="15.7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ht="15.7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ht="15.7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ht="15.7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ht="15.7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ht="15.7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ht="15.7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ht="15.7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ht="15.7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ht="15.7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ht="15.7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ht="15.7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ht="15.7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ht="15.7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ht="15.7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ht="15.7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ht="15.7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ht="15.7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ht="15.7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ht="15.7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ht="15.7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ht="15.7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ht="15.7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ht="15.7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ht="15.7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ht="15.7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ht="15.7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ht="15.7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ht="15.7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ht="15.7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ht="15.7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ht="15.7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ht="15.7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ht="15.7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ht="15.7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ht="15.7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ht="15.7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ht="15.7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ht="15.7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ht="15.7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ht="15.7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ht="15.7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ht="15.7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ht="15.7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ht="15.7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ht="15.7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ht="15.7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ht="15.7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ht="15.7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ht="15.7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ht="15.7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ht="15.7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ht="15.7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ht="15.7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ht="15.7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ht="15.7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ht="15.7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ht="15.7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ht="15.7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ht="15.7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ht="15.7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ht="15.7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ht="15.7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ht="15.7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ht="15.7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ht="15.7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ht="15.7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ht="15.7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ht="15.7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ht="15.7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ht="15.7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ht="15.7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ht="15.7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ht="15.7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ht="15.7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ht="15.7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ht="15.7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ht="15.7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ht="15.7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ht="15.7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ht="15.7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ht="15.7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ht="15.7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ht="15.7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ht="15.7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ht="15.7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ht="15.7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ht="15.7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ht="15.7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ht="15.7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ht="15.7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ht="15.7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ht="15.7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ht="15.7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ht="15.7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ht="15.7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ht="15.7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ht="15.7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ht="15.7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ht="15.7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ht="15.7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ht="15.7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ht="15.7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ht="15.7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ht="15.7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ht="15.7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ht="15.7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ht="15.7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ht="15.7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ht="15.7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ht="15.7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ht="15.7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ht="15.7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ht="15.7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ht="15.7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ht="15.7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ht="15.7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ht="15.7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ht="15.7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ht="15.7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ht="15.7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ht="15.7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ht="15.7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ht="15.7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ht="15.7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ht="15.7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ht="15.7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ht="15.7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ht="15.7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ht="15.7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ht="15.7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ht="15.7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ht="15.7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ht="15.7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ht="15.7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ht="15.7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ht="15.7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ht="15.7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ht="15.7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ht="15.7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ht="15.7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ht="15.7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ht="15.7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ht="15.7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ht="15.7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ht="15.7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ht="15.7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ht="15.7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ht="15.7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ht="15.7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ht="15.7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ht="15.7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ht="15.7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ht="15.7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ht="15.7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ht="15.7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ht="15.7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ht="15.7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ht="15.7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ht="15.7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ht="15.7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ht="15.7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ht="15.7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ht="15.7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ht="15.7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ht="15.7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ht="15.7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ht="15.7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ht="15.7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ht="15.7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ht="15.7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ht="15.7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ht="15.7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ht="15.7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ht="15.7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ht="15.7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ht="15.7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ht="15.7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ht="15.7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ht="15.7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ht="15.7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ht="15.7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ht="15.7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ht="15.7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ht="15.7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ht="15.7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ht="15.7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ht="15.7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ht="15.7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ht="15.7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ht="15.7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ht="15.7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ht="15.7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ht="15.7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ht="15.7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ht="15.7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ht="15.7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ht="15.7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ht="15.7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ht="15.7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ht="15.7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ht="15.7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ht="15.7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ht="15.7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ht="15.7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ht="15.7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ht="15.7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ht="15.7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ht="15.7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ht="15.7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ht="15.7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ht="15.7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ht="15.7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ht="15.7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ht="15.7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ht="15.7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ht="15.7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ht="15.7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ht="15.7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ht="15.7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ht="15.7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ht="15.7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ht="15.7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ht="15.7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ht="15.7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ht="15.7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ht="15.7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ht="15.7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ht="15.7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ht="15.7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ht="15.7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ht="15.7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ht="15.7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ht="15.7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ht="15.7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ht="15.7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ht="15.7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ht="15.7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ht="15.7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ht="15.7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ht="15.7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ht="15.7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ht="15.7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ht="15.7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ht="15.7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ht="15.7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ht="15.7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ht="15.7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ht="15.7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ht="15.7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ht="15.7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ht="15.7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ht="15.7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ht="15.7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ht="15.7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ht="15.7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ht="15.7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ht="15.7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ht="15.7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ht="15.7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ht="15.7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ht="15.7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ht="15.7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ht="15.7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ht="15.7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ht="15.7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ht="15.7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ht="15.7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ht="15.7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ht="15.7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ht="15.7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ht="15.7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ht="15.7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ht="15.7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ht="15.7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ht="15.7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ht="15.7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ht="15.7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ht="15.7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ht="15.7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ht="15.7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ht="15.7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ht="15.7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ht="15.7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ht="15.7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ht="15.7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ht="15.7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ht="15.7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ht="15.7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ht="15.7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ht="15.7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ht="15.7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ht="15.7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ht="15.7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ht="15.7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ht="15.7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ht="15.7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ht="15.7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ht="15.7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ht="15.7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ht="15.7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ht="15.7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ht="15.7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ht="15.7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ht="15.7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ht="15.7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ht="15.7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ht="15.7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ht="15.7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ht="15.7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ht="15.7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ht="15.7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ht="15.7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ht="15.7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ht="15.7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ht="15.7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ht="15.7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ht="15.7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ht="15.7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ht="15.7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ht="15.7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ht="15.7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ht="15.7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ht="15.7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ht="15.7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ht="15.7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ht="15.7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ht="15.7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ht="15.7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ht="15.7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ht="15.7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ht="15.7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ht="15.7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ht="15.7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ht="15.7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ht="15.7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ht="15.7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ht="15.7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ht="15.7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ht="15.7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ht="15.7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ht="15.7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ht="15.7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ht="15.7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ht="15.7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ht="15.7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ht="15.7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ht="15.7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ht="15.7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ht="15.7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ht="15.7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ht="15.7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ht="15.7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ht="15.7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ht="15.7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ht="15.7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ht="15.7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ht="15.7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ht="15.7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ht="15.7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ht="15.7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ht="15.7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ht="15.7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ht="15.7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ht="15.7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ht="15.7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ht="15.7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ht="15.7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ht="15.7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ht="15.7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ht="15.7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ht="15.7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ht="15.7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ht="15.7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ht="15.7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ht="15.7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ht="15.7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ht="15.7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ht="15.7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ht="15.7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ht="15.7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ht="15.7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ht="15.7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ht="15.7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ht="15.7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ht="15.7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ht="15.7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ht="15.7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ht="15.7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ht="15.7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ht="15.7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ht="15.7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ht="15.7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ht="15.7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ht="15.7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ht="15.7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ht="15.7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ht="15.7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ht="15.7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ht="15.7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ht="15.7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ht="15.7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ht="15.7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ht="15.7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ht="15.7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ht="15.7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ht="15.7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ht="15.7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ht="15.7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ht="15.7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ht="15.7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ht="15.7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ht="15.7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ht="15.7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ht="15.7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ht="15.7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ht="15.7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ht="15.7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ht="15.7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ht="15.7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ht="15.7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ht="15.7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ht="15.7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ht="15.7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ht="15.7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ht="15.7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ht="15.7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ht="15.7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ht="15.7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ht="15.7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ht="15.7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ht="15.7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ht="15.7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ht="15.7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ht="15.7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ht="15.7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ht="15.7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ht="15.7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ht="15.7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ht="15.7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ht="15.7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ht="15.7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ht="15.7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ht="15.7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ht="15.7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ht="15.7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ht="15.7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ht="15.7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ht="15.7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ht="15.7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ht="15.7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ht="15.7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ht="15.7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ht="15.7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ht="15.7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ht="15.7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ht="15.7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ht="15.7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ht="15.7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ht="15.7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ht="15.7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ht="15.7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ht="15.7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ht="15.7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ht="15.7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ht="15.7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ht="15.7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ht="15.7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5.7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5.7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5.7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5.7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5.7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5.7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5.7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5.7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5.7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5.7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5.7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5.7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5.7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5.7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5.7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5.7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5.7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5.7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5.7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5.7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5.7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5.7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5.7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5.7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5.7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5.7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5.7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5.7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5.7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5.7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5.7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5.7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5.7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5.7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5.7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5.7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5.7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5.7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5.7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5.7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5.7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5.7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5.7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5.7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5.7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5.7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5.7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5.7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5.7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5.7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5.7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5.7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5.7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5.7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5.7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5.7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5.7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5.7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5.7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5.7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5.7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5.7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5.7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5.7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5.7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5.7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5.7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5.7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5.7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5.7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5.7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5.7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5.7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5.7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5.7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5.7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5.7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5.7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5.7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5.7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5.7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5.7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5.7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5.7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5.7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5.7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5.7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5.7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5.7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5.7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5.7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5.7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5.7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5.7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5.7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5.7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5.7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5.7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5.7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5.7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5.7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5.7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5.7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5.7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5.7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5.7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5.7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5.7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5.7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5.7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5.7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5.7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5.7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5.7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5.7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5.7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5.7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5.7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5.7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5.7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5.7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5.7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5.7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5.7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5.7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5.7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5.7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5.7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5.7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5.7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5.7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5.7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5.7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5.7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5.7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5.7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5.7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5.7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5.7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5.7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5.7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5.7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5.7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5.7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5.7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5.7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5.7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5.7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5.7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5.7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5.7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5.7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5.7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5.7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5.7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5.7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5.7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5.7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5.7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5.7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5.7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5.7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5.7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5.7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5.7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5.7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5.7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5.7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5.7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5.7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5.7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5.7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5.7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5.7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5.7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5.7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5.7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5.7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5.7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5.7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5.7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5.7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5.7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5.7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5.7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5.7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5.7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5.7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5.7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5.7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5.7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5.7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5.7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5.7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5.7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5.7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5.7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5.7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5.7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5.7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5.7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5.7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5.7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5.7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5.7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5.7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5.7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5.7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5.7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5.7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5.7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5.7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5.7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5.7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5.7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5.7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5.7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5.7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5.7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5.7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5.7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5.7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5.7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5.7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5.7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5.7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5.7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5.7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5.7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5.7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5.7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5.7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5.7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5.7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5.7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5.7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5.7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5.7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5.7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5.7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5.7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5.7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5.7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5.7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5.7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5.7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5.7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5.7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5.7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5.7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5.7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5.7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5.7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5.7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5.7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5.7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5.7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5.7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5.7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5.7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5.7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5.7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5.7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5.7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5.7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5.7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5.7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5.7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5.7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5.7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5.7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5.7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5.7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5.7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5.7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5.7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5.7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5.7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5.7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5.7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5.7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5.7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5.7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5.7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5.7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5.7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5.7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5.7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5.7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5.7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5.7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5.7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5.7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5.7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5.7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5.7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5.7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5.7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5.7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5.7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5.7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5.7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5.7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5.7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5.7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5.7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5.7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5.7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5.7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5.7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5.7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5.7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5.7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5.7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5.7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5.7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5.7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5.7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5.7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5.7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5.7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5.7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5.7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5.7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5.7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5.7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5.7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5.7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5.7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5.7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5.7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5.7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5.7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5.7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5.7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5.7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5.7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5.7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5.7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5.7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5.7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5.7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5.7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5.7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5.7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5.7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5.7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5.7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5.7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5.7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5.7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5.7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5.7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5.7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5.7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5.7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5.7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5.7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5.7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5.7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5.7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5.7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5.7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5.7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5.7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5.7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5.7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5.7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5.7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5.7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5.7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5.7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5.7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5.7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5.7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5.7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5.7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5.7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5.7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5.7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5.7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5.7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5.7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5.7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5.7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5.7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mergeCells count="1">
    <mergeCell ref="E1:H4"/>
  </mergeCells>
  <printOptions/>
  <pageMargins bottom="0.787401575" footer="0.0" header="0.0" left="0.511811024" right="0.511811024" top="0.7874015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2"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9.29"/>
    <col customWidth="1" min="3" max="4" width="17.71"/>
    <col customWidth="1" min="5" max="5" width="13.43"/>
    <col customWidth="1" min="6" max="6" width="8.71"/>
  </cols>
  <sheetData>
    <row r="1" ht="15.75" customHeight="1">
      <c r="A1" s="60" t="s">
        <v>107</v>
      </c>
      <c r="B1" s="60" t="s">
        <v>108</v>
      </c>
      <c r="C1" s="60" t="s">
        <v>109</v>
      </c>
      <c r="D1" s="60" t="s">
        <v>110</v>
      </c>
      <c r="E1" s="60" t="s">
        <v>111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>
      <c r="A2" s="61" t="str">
        <f t="shared" ref="A2:A1876" si="1">C2&amp;D2&amp;B2</f>
        <v>BelémBelémCaminhão</v>
      </c>
      <c r="B2" s="62" t="s">
        <v>25</v>
      </c>
      <c r="C2" s="63" t="s">
        <v>51</v>
      </c>
      <c r="D2" s="63" t="s">
        <v>51</v>
      </c>
      <c r="E2" s="64">
        <v>0.0</v>
      </c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>
      <c r="A3" s="61" t="str">
        <f t="shared" si="1"/>
        <v>BelémBelo HorizonteCaminhão</v>
      </c>
      <c r="B3" s="62" t="s">
        <v>25</v>
      </c>
      <c r="C3" s="63" t="s">
        <v>51</v>
      </c>
      <c r="D3" s="63" t="s">
        <v>57</v>
      </c>
      <c r="E3" s="64">
        <v>2.0</v>
      </c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>
      <c r="A4" s="61" t="str">
        <f t="shared" si="1"/>
        <v>BelémBrasíliaCaminhão</v>
      </c>
      <c r="B4" s="62" t="s">
        <v>25</v>
      </c>
      <c r="C4" s="63" t="s">
        <v>51</v>
      </c>
      <c r="D4" s="63" t="s">
        <v>58</v>
      </c>
      <c r="E4" s="64">
        <v>2.0</v>
      </c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>
      <c r="A5" s="61" t="str">
        <f t="shared" si="1"/>
        <v>BelémCampinasCaminhão</v>
      </c>
      <c r="B5" s="62" t="s">
        <v>25</v>
      </c>
      <c r="C5" s="63" t="s">
        <v>51</v>
      </c>
      <c r="D5" s="63" t="s">
        <v>77</v>
      </c>
      <c r="E5" s="64">
        <v>2.0</v>
      </c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>
      <c r="A6" s="61" t="str">
        <f t="shared" si="1"/>
        <v>BelémCampo GrandeCaminhão</v>
      </c>
      <c r="B6" s="62" t="s">
        <v>25</v>
      </c>
      <c r="C6" s="63" t="s">
        <v>51</v>
      </c>
      <c r="D6" s="63" t="s">
        <v>59</v>
      </c>
      <c r="E6" s="64">
        <v>2.0</v>
      </c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>
      <c r="A7" s="61" t="str">
        <f t="shared" si="1"/>
        <v>BelémCuiabáCaminhão</v>
      </c>
      <c r="B7" s="62" t="s">
        <v>25</v>
      </c>
      <c r="C7" s="63" t="s">
        <v>51</v>
      </c>
      <c r="D7" s="63" t="s">
        <v>29</v>
      </c>
      <c r="E7" s="64">
        <v>2.0</v>
      </c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>
      <c r="A8" s="61" t="str">
        <f t="shared" si="1"/>
        <v>BelémCuritibaCaminhão</v>
      </c>
      <c r="B8" s="62" t="s">
        <v>25</v>
      </c>
      <c r="C8" s="63" t="s">
        <v>51</v>
      </c>
      <c r="D8" s="63" t="s">
        <v>76</v>
      </c>
      <c r="E8" s="64">
        <v>3.0</v>
      </c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>
      <c r="A9" s="61" t="str">
        <f t="shared" si="1"/>
        <v>BelémFortalezaCaminhão</v>
      </c>
      <c r="B9" s="62" t="s">
        <v>25</v>
      </c>
      <c r="C9" s="63" t="s">
        <v>51</v>
      </c>
      <c r="D9" s="63" t="s">
        <v>60</v>
      </c>
      <c r="E9" s="64">
        <v>1.0</v>
      </c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>
      <c r="A10" s="61" t="str">
        <f t="shared" si="1"/>
        <v>BelémGoiâniaCaminhão</v>
      </c>
      <c r="B10" s="62" t="s">
        <v>25</v>
      </c>
      <c r="C10" s="63" t="s">
        <v>51</v>
      </c>
      <c r="D10" s="63" t="s">
        <v>61</v>
      </c>
      <c r="E10" s="64">
        <v>2.0</v>
      </c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>
      <c r="A11" s="61" t="str">
        <f t="shared" si="1"/>
        <v>BelémJoão PessoaCaminhão</v>
      </c>
      <c r="B11" s="62" t="s">
        <v>25</v>
      </c>
      <c r="C11" s="63" t="s">
        <v>51</v>
      </c>
      <c r="D11" s="63" t="s">
        <v>62</v>
      </c>
      <c r="E11" s="64">
        <v>2.0</v>
      </c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>
      <c r="A12" s="61" t="str">
        <f t="shared" si="1"/>
        <v>BelémJoinvilleCaminhão</v>
      </c>
      <c r="B12" s="62" t="s">
        <v>25</v>
      </c>
      <c r="C12" s="63" t="s">
        <v>51</v>
      </c>
      <c r="D12" s="63" t="s">
        <v>28</v>
      </c>
      <c r="E12" s="64">
        <v>3.0</v>
      </c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>
      <c r="A13" s="61" t="str">
        <f t="shared" si="1"/>
        <v>BelémMaceióCaminhão</v>
      </c>
      <c r="B13" s="62" t="s">
        <v>25</v>
      </c>
      <c r="C13" s="63" t="s">
        <v>51</v>
      </c>
      <c r="D13" s="63" t="s">
        <v>63</v>
      </c>
      <c r="E13" s="64">
        <v>2.0</v>
      </c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</row>
    <row r="14">
      <c r="A14" s="61" t="str">
        <f t="shared" si="1"/>
        <v>BelémManausCaminhão</v>
      </c>
      <c r="B14" s="62" t="s">
        <v>25</v>
      </c>
      <c r="C14" s="63" t="s">
        <v>51</v>
      </c>
      <c r="D14" s="63" t="s">
        <v>23</v>
      </c>
      <c r="E14" s="64">
        <v>4.0</v>
      </c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</row>
    <row r="15">
      <c r="A15" s="61" t="str">
        <f t="shared" si="1"/>
        <v>BelémNatalCaminhão</v>
      </c>
      <c r="B15" s="62" t="s">
        <v>25</v>
      </c>
      <c r="C15" s="63" t="s">
        <v>51</v>
      </c>
      <c r="D15" s="63" t="s">
        <v>64</v>
      </c>
      <c r="E15" s="64">
        <v>2.0</v>
      </c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</row>
    <row r="16">
      <c r="A16" s="61" t="str">
        <f t="shared" si="1"/>
        <v>BelémPorto AlegreCaminhão</v>
      </c>
      <c r="B16" s="62" t="s">
        <v>25</v>
      </c>
      <c r="C16" s="63" t="s">
        <v>51</v>
      </c>
      <c r="D16" s="63" t="s">
        <v>31</v>
      </c>
      <c r="E16" s="64">
        <v>3.0</v>
      </c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</row>
    <row r="17">
      <c r="A17" s="61" t="str">
        <f t="shared" si="1"/>
        <v>BelémRecifeCaminhão</v>
      </c>
      <c r="B17" s="62" t="s">
        <v>25</v>
      </c>
      <c r="C17" s="63" t="s">
        <v>51</v>
      </c>
      <c r="D17" s="63" t="s">
        <v>65</v>
      </c>
      <c r="E17" s="64">
        <v>2.0</v>
      </c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>
      <c r="A18" s="61" t="str">
        <f t="shared" si="1"/>
        <v>BelémRibeirão PretoCaminhão</v>
      </c>
      <c r="B18" s="62" t="s">
        <v>25</v>
      </c>
      <c r="C18" s="63" t="s">
        <v>51</v>
      </c>
      <c r="D18" s="63" t="s">
        <v>78</v>
      </c>
      <c r="E18" s="64">
        <v>2.0</v>
      </c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</row>
    <row r="19">
      <c r="A19" s="61" t="str">
        <f t="shared" si="1"/>
        <v>BelémRio de JaneiroCaminhão</v>
      </c>
      <c r="B19" s="62" t="s">
        <v>25</v>
      </c>
      <c r="C19" s="63" t="s">
        <v>51</v>
      </c>
      <c r="D19" s="63" t="s">
        <v>66</v>
      </c>
      <c r="E19" s="64">
        <v>3.0</v>
      </c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</row>
    <row r="20">
      <c r="A20" s="61" t="str">
        <f t="shared" si="1"/>
        <v>BelémSalvadorCaminhão</v>
      </c>
      <c r="B20" s="62" t="s">
        <v>25</v>
      </c>
      <c r="C20" s="63" t="s">
        <v>51</v>
      </c>
      <c r="D20" s="63" t="s">
        <v>67</v>
      </c>
      <c r="E20" s="64">
        <v>2.0</v>
      </c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</row>
    <row r="21" ht="15.75" customHeight="1">
      <c r="A21" s="61" t="str">
        <f t="shared" si="1"/>
        <v>BelémSantosCaminhão</v>
      </c>
      <c r="B21" s="62" t="s">
        <v>25</v>
      </c>
      <c r="C21" s="63" t="s">
        <v>51</v>
      </c>
      <c r="D21" s="63" t="s">
        <v>38</v>
      </c>
      <c r="E21" s="64">
        <v>3.0</v>
      </c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</row>
    <row r="22" ht="15.75" customHeight="1">
      <c r="A22" s="61" t="str">
        <f t="shared" si="1"/>
        <v>BelémSão LuísCaminhão</v>
      </c>
      <c r="B22" s="62" t="s">
        <v>25</v>
      </c>
      <c r="C22" s="63" t="s">
        <v>51</v>
      </c>
      <c r="D22" s="63" t="s">
        <v>36</v>
      </c>
      <c r="E22" s="64">
        <v>1.0</v>
      </c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</row>
    <row r="23" ht="15.75" customHeight="1">
      <c r="A23" s="61" t="str">
        <f t="shared" si="1"/>
        <v>BelémSão PauloCaminhão</v>
      </c>
      <c r="B23" s="62" t="s">
        <v>25</v>
      </c>
      <c r="C23" s="63" t="s">
        <v>51</v>
      </c>
      <c r="D23" s="63" t="s">
        <v>75</v>
      </c>
      <c r="E23" s="64">
        <v>2.0</v>
      </c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</row>
    <row r="24" ht="15.75" customHeight="1">
      <c r="A24" s="61" t="str">
        <f t="shared" si="1"/>
        <v>BelémUberlândiaCaminhão</v>
      </c>
      <c r="B24" s="62" t="s">
        <v>25</v>
      </c>
      <c r="C24" s="63" t="s">
        <v>51</v>
      </c>
      <c r="D24" s="63" t="s">
        <v>68</v>
      </c>
      <c r="E24" s="64">
        <v>2.0</v>
      </c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</row>
    <row r="25" ht="15.75" customHeight="1">
      <c r="A25" s="61" t="str">
        <f t="shared" si="1"/>
        <v>BelémVitóriaCaminhão</v>
      </c>
      <c r="B25" s="62" t="s">
        <v>25</v>
      </c>
      <c r="C25" s="63" t="s">
        <v>51</v>
      </c>
      <c r="D25" s="63" t="s">
        <v>69</v>
      </c>
      <c r="E25" s="64">
        <v>3.0</v>
      </c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</row>
    <row r="26" ht="15.75" customHeight="1">
      <c r="A26" s="61" t="str">
        <f t="shared" si="1"/>
        <v>BelémVitória da ConquistaCaminhão</v>
      </c>
      <c r="B26" s="62" t="s">
        <v>25</v>
      </c>
      <c r="C26" s="63" t="s">
        <v>51</v>
      </c>
      <c r="D26" s="63" t="s">
        <v>52</v>
      </c>
      <c r="E26" s="64">
        <v>2.0</v>
      </c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</row>
    <row r="27" ht="15.75" customHeight="1">
      <c r="A27" s="61" t="str">
        <f t="shared" si="1"/>
        <v>Belo HorizonteBelémCaminhão</v>
      </c>
      <c r="B27" s="62" t="s">
        <v>25</v>
      </c>
      <c r="C27" s="62" t="s">
        <v>57</v>
      </c>
      <c r="D27" s="63" t="s">
        <v>51</v>
      </c>
      <c r="E27" s="64">
        <v>2.0</v>
      </c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</row>
    <row r="28" ht="15.75" customHeight="1">
      <c r="A28" s="61" t="str">
        <f t="shared" si="1"/>
        <v>Belo HorizonteBelo HorizonteCaminhão</v>
      </c>
      <c r="B28" s="62" t="s">
        <v>25</v>
      </c>
      <c r="C28" s="62" t="s">
        <v>57</v>
      </c>
      <c r="D28" s="63" t="s">
        <v>57</v>
      </c>
      <c r="E28" s="64">
        <v>0.0</v>
      </c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</row>
    <row r="29" ht="15.75" customHeight="1">
      <c r="A29" s="61" t="str">
        <f t="shared" si="1"/>
        <v>Belo HorizonteBrasíliaCaminhão</v>
      </c>
      <c r="B29" s="62" t="s">
        <v>25</v>
      </c>
      <c r="C29" s="62" t="s">
        <v>57</v>
      </c>
      <c r="D29" s="63" t="s">
        <v>58</v>
      </c>
      <c r="E29" s="64">
        <v>1.0</v>
      </c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</row>
    <row r="30" ht="15.75" customHeight="1">
      <c r="A30" s="61" t="str">
        <f t="shared" si="1"/>
        <v>Belo HorizonteCampinasCaminhão</v>
      </c>
      <c r="B30" s="62" t="s">
        <v>25</v>
      </c>
      <c r="C30" s="62" t="s">
        <v>57</v>
      </c>
      <c r="D30" s="63" t="s">
        <v>77</v>
      </c>
      <c r="E30" s="64">
        <v>1.0</v>
      </c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ht="15.75" customHeight="1">
      <c r="A31" s="61" t="str">
        <f t="shared" si="1"/>
        <v>Belo HorizonteCampo GrandeCaminhão</v>
      </c>
      <c r="B31" s="62" t="s">
        <v>25</v>
      </c>
      <c r="C31" s="62" t="s">
        <v>57</v>
      </c>
      <c r="D31" s="63" t="s">
        <v>59</v>
      </c>
      <c r="E31" s="64">
        <v>1.0</v>
      </c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ht="15.75" customHeight="1">
      <c r="A32" s="61" t="str">
        <f t="shared" si="1"/>
        <v>Belo HorizonteCuiabáCaminhão</v>
      </c>
      <c r="B32" s="62" t="s">
        <v>25</v>
      </c>
      <c r="C32" s="62" t="s">
        <v>57</v>
      </c>
      <c r="D32" s="63" t="s">
        <v>29</v>
      </c>
      <c r="E32" s="64">
        <v>1.0</v>
      </c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ht="15.75" customHeight="1">
      <c r="A33" s="61" t="str">
        <f t="shared" si="1"/>
        <v>Belo HorizonteCuritibaCaminhão</v>
      </c>
      <c r="B33" s="62" t="s">
        <v>25</v>
      </c>
      <c r="C33" s="62" t="s">
        <v>57</v>
      </c>
      <c r="D33" s="63" t="s">
        <v>76</v>
      </c>
      <c r="E33" s="64">
        <v>1.0</v>
      </c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ht="15.75" customHeight="1">
      <c r="A34" s="61" t="str">
        <f t="shared" si="1"/>
        <v>Belo HorizonteFortalezaCaminhão</v>
      </c>
      <c r="B34" s="62" t="s">
        <v>25</v>
      </c>
      <c r="C34" s="62" t="s">
        <v>57</v>
      </c>
      <c r="D34" s="63" t="s">
        <v>60</v>
      </c>
      <c r="E34" s="64">
        <v>2.0</v>
      </c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ht="15.75" customHeight="1">
      <c r="A35" s="61" t="str">
        <f t="shared" si="1"/>
        <v>Belo HorizonteGoiâniaCaminhão</v>
      </c>
      <c r="B35" s="62" t="s">
        <v>25</v>
      </c>
      <c r="C35" s="62" t="s">
        <v>57</v>
      </c>
      <c r="D35" s="63" t="s">
        <v>61</v>
      </c>
      <c r="E35" s="64">
        <v>1.0</v>
      </c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ht="15.75" customHeight="1">
      <c r="A36" s="61" t="str">
        <f t="shared" si="1"/>
        <v>Belo HorizonteJoão PessoaCaminhão</v>
      </c>
      <c r="B36" s="62" t="s">
        <v>25</v>
      </c>
      <c r="C36" s="62" t="s">
        <v>57</v>
      </c>
      <c r="D36" s="63" t="s">
        <v>62</v>
      </c>
      <c r="E36" s="64">
        <v>2.0</v>
      </c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ht="15.75" customHeight="1">
      <c r="A37" s="61" t="str">
        <f t="shared" si="1"/>
        <v>Belo HorizonteJoinvilleCaminhão</v>
      </c>
      <c r="B37" s="62" t="s">
        <v>25</v>
      </c>
      <c r="C37" s="62" t="s">
        <v>57</v>
      </c>
      <c r="D37" s="63" t="s">
        <v>28</v>
      </c>
      <c r="E37" s="64">
        <v>1.0</v>
      </c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ht="15.75" customHeight="1">
      <c r="A38" s="61" t="str">
        <f t="shared" si="1"/>
        <v>Belo HorizonteMaceióCaminhão</v>
      </c>
      <c r="B38" s="62" t="s">
        <v>25</v>
      </c>
      <c r="C38" s="62" t="s">
        <v>57</v>
      </c>
      <c r="D38" s="63" t="s">
        <v>63</v>
      </c>
      <c r="E38" s="64">
        <v>2.0</v>
      </c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ht="15.75" customHeight="1">
      <c r="A39" s="61" t="str">
        <f t="shared" si="1"/>
        <v>Belo HorizonteManausCaminhão</v>
      </c>
      <c r="B39" s="62" t="s">
        <v>25</v>
      </c>
      <c r="C39" s="62" t="s">
        <v>57</v>
      </c>
      <c r="D39" s="63" t="s">
        <v>23</v>
      </c>
      <c r="E39" s="64">
        <v>3.0</v>
      </c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ht="15.75" customHeight="1">
      <c r="A40" s="61" t="str">
        <f t="shared" si="1"/>
        <v>Belo HorizonteNatalCaminhão</v>
      </c>
      <c r="B40" s="62" t="s">
        <v>25</v>
      </c>
      <c r="C40" s="62" t="s">
        <v>57</v>
      </c>
      <c r="D40" s="63" t="s">
        <v>64</v>
      </c>
      <c r="E40" s="64">
        <v>2.0</v>
      </c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ht="15.75" customHeight="1">
      <c r="A41" s="61" t="str">
        <f t="shared" si="1"/>
        <v>Belo HorizontePorto AlegreCaminhão</v>
      </c>
      <c r="B41" s="62" t="s">
        <v>25</v>
      </c>
      <c r="C41" s="62" t="s">
        <v>57</v>
      </c>
      <c r="D41" s="63" t="s">
        <v>31</v>
      </c>
      <c r="E41" s="64">
        <v>1.0</v>
      </c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ht="15.75" customHeight="1">
      <c r="A42" s="61" t="str">
        <f t="shared" si="1"/>
        <v>Belo HorizonteRecifeCaminhão</v>
      </c>
      <c r="B42" s="62" t="s">
        <v>25</v>
      </c>
      <c r="C42" s="62" t="s">
        <v>57</v>
      </c>
      <c r="D42" s="63" t="s">
        <v>65</v>
      </c>
      <c r="E42" s="64">
        <v>2.0</v>
      </c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ht="15.75" customHeight="1">
      <c r="A43" s="61" t="str">
        <f t="shared" si="1"/>
        <v>Belo HorizonteRibeirão PretoCaminhão</v>
      </c>
      <c r="B43" s="62" t="s">
        <v>25</v>
      </c>
      <c r="C43" s="62" t="s">
        <v>57</v>
      </c>
      <c r="D43" s="63" t="s">
        <v>78</v>
      </c>
      <c r="E43" s="64">
        <v>0.0</v>
      </c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ht="15.75" customHeight="1">
      <c r="A44" s="61" t="str">
        <f t="shared" si="1"/>
        <v>Belo HorizonteRio de JaneiroCaminhão</v>
      </c>
      <c r="B44" s="62" t="s">
        <v>25</v>
      </c>
      <c r="C44" s="62" t="s">
        <v>57</v>
      </c>
      <c r="D44" s="63" t="s">
        <v>66</v>
      </c>
      <c r="E44" s="64">
        <v>0.0</v>
      </c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ht="15.75" customHeight="1">
      <c r="A45" s="61" t="str">
        <f t="shared" si="1"/>
        <v>Belo HorizonteSalvadorCaminhão</v>
      </c>
      <c r="B45" s="62" t="s">
        <v>25</v>
      </c>
      <c r="C45" s="62" t="s">
        <v>57</v>
      </c>
      <c r="D45" s="63" t="s">
        <v>67</v>
      </c>
      <c r="E45" s="64">
        <v>1.0</v>
      </c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ht="15.75" customHeight="1">
      <c r="A46" s="61" t="str">
        <f t="shared" si="1"/>
        <v>Belo HorizonteSantosCaminhão</v>
      </c>
      <c r="B46" s="62" t="s">
        <v>25</v>
      </c>
      <c r="C46" s="62" t="s">
        <v>57</v>
      </c>
      <c r="D46" s="63" t="s">
        <v>38</v>
      </c>
      <c r="E46" s="64">
        <v>1.0</v>
      </c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ht="15.75" customHeight="1">
      <c r="A47" s="61" t="str">
        <f t="shared" si="1"/>
        <v>Belo HorizonteSão LuísCaminhão</v>
      </c>
      <c r="B47" s="62" t="s">
        <v>25</v>
      </c>
      <c r="C47" s="62" t="s">
        <v>57</v>
      </c>
      <c r="D47" s="63" t="s">
        <v>36</v>
      </c>
      <c r="E47" s="64">
        <v>2.0</v>
      </c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ht="15.75" customHeight="1">
      <c r="A48" s="61" t="str">
        <f t="shared" si="1"/>
        <v>Belo HorizonteSão PauloCaminhão</v>
      </c>
      <c r="B48" s="62" t="s">
        <v>25</v>
      </c>
      <c r="C48" s="62" t="s">
        <v>57</v>
      </c>
      <c r="D48" s="63" t="s">
        <v>75</v>
      </c>
      <c r="E48" s="64">
        <v>0.0</v>
      </c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ht="15.75" customHeight="1">
      <c r="A49" s="61" t="str">
        <f t="shared" si="1"/>
        <v>Belo HorizonteUberlândiaCaminhão</v>
      </c>
      <c r="B49" s="62" t="s">
        <v>25</v>
      </c>
      <c r="C49" s="62" t="s">
        <v>57</v>
      </c>
      <c r="D49" s="63" t="s">
        <v>68</v>
      </c>
      <c r="E49" s="64">
        <v>0.0</v>
      </c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ht="15.75" customHeight="1">
      <c r="A50" s="61" t="str">
        <f t="shared" si="1"/>
        <v>Belo HorizonteVitóriaCaminhão</v>
      </c>
      <c r="B50" s="62" t="s">
        <v>25</v>
      </c>
      <c r="C50" s="62" t="s">
        <v>57</v>
      </c>
      <c r="D50" s="63" t="s">
        <v>69</v>
      </c>
      <c r="E50" s="64">
        <v>0.0</v>
      </c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ht="15.75" customHeight="1">
      <c r="A51" s="61" t="str">
        <f t="shared" si="1"/>
        <v>Belo HorizonteVitória da ConquistaCaminhão</v>
      </c>
      <c r="B51" s="62" t="s">
        <v>25</v>
      </c>
      <c r="C51" s="62" t="s">
        <v>57</v>
      </c>
      <c r="D51" s="63" t="s">
        <v>52</v>
      </c>
      <c r="E51" s="64">
        <v>1.0</v>
      </c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ht="15.75" customHeight="1">
      <c r="A52" s="61" t="str">
        <f t="shared" si="1"/>
        <v>BrasíliaBelémCaminhão</v>
      </c>
      <c r="B52" s="62" t="s">
        <v>25</v>
      </c>
      <c r="C52" s="63" t="s">
        <v>58</v>
      </c>
      <c r="D52" s="63" t="s">
        <v>51</v>
      </c>
      <c r="E52" s="64">
        <v>2.0</v>
      </c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ht="15.75" customHeight="1">
      <c r="A53" s="61" t="str">
        <f t="shared" si="1"/>
        <v>BrasíliaBelo HorizonteCaminhão</v>
      </c>
      <c r="B53" s="62" t="s">
        <v>25</v>
      </c>
      <c r="C53" s="63" t="s">
        <v>58</v>
      </c>
      <c r="D53" s="63" t="s">
        <v>57</v>
      </c>
      <c r="E53" s="64">
        <v>1.0</v>
      </c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ht="15.75" customHeight="1">
      <c r="A54" s="61" t="str">
        <f t="shared" si="1"/>
        <v>BrasíliaBrasíliaCaminhão</v>
      </c>
      <c r="B54" s="62" t="s">
        <v>25</v>
      </c>
      <c r="C54" s="63" t="s">
        <v>58</v>
      </c>
      <c r="D54" s="63" t="s">
        <v>58</v>
      </c>
      <c r="E54" s="64">
        <v>0.0</v>
      </c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ht="15.75" customHeight="1">
      <c r="A55" s="61" t="str">
        <f t="shared" si="1"/>
        <v>BrasíliaCampinasCaminhão</v>
      </c>
      <c r="B55" s="62" t="s">
        <v>25</v>
      </c>
      <c r="C55" s="63" t="s">
        <v>58</v>
      </c>
      <c r="D55" s="63" t="s">
        <v>77</v>
      </c>
      <c r="E55" s="64">
        <v>1.0</v>
      </c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ht="15.75" customHeight="1">
      <c r="A56" s="61" t="str">
        <f t="shared" si="1"/>
        <v>BrasíliaCampo GrandeCaminhão</v>
      </c>
      <c r="B56" s="62" t="s">
        <v>25</v>
      </c>
      <c r="C56" s="63" t="s">
        <v>58</v>
      </c>
      <c r="D56" s="63" t="s">
        <v>59</v>
      </c>
      <c r="E56" s="64">
        <v>1.0</v>
      </c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ht="15.75" customHeight="1">
      <c r="A57" s="61" t="str">
        <f t="shared" si="1"/>
        <v>BrasíliaCuiabáCaminhão</v>
      </c>
      <c r="B57" s="62" t="s">
        <v>25</v>
      </c>
      <c r="C57" s="63" t="s">
        <v>58</v>
      </c>
      <c r="D57" s="63" t="s">
        <v>29</v>
      </c>
      <c r="E57" s="64">
        <v>1.0</v>
      </c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ht="15.75" customHeight="1">
      <c r="A58" s="61" t="str">
        <f t="shared" si="1"/>
        <v>BrasíliaCuritibaCaminhão</v>
      </c>
      <c r="B58" s="62" t="s">
        <v>25</v>
      </c>
      <c r="C58" s="63" t="s">
        <v>58</v>
      </c>
      <c r="D58" s="63" t="s">
        <v>76</v>
      </c>
      <c r="E58" s="64">
        <v>1.0</v>
      </c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ht="15.75" customHeight="1">
      <c r="A59" s="61" t="str">
        <f t="shared" si="1"/>
        <v>BrasíliaFortalezaCaminhão</v>
      </c>
      <c r="B59" s="62" t="s">
        <v>25</v>
      </c>
      <c r="C59" s="63" t="s">
        <v>58</v>
      </c>
      <c r="D59" s="63" t="s">
        <v>60</v>
      </c>
      <c r="E59" s="64">
        <v>2.0</v>
      </c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ht="15.75" customHeight="1">
      <c r="A60" s="61" t="str">
        <f t="shared" si="1"/>
        <v>BrasíliaGoiâniaCaminhão</v>
      </c>
      <c r="B60" s="62" t="s">
        <v>25</v>
      </c>
      <c r="C60" s="63" t="s">
        <v>58</v>
      </c>
      <c r="D60" s="63" t="s">
        <v>61</v>
      </c>
      <c r="E60" s="64">
        <v>0.0</v>
      </c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ht="15.75" customHeight="1">
      <c r="A61" s="61" t="str">
        <f t="shared" si="1"/>
        <v>BrasíliaJoão PessoaCaminhão</v>
      </c>
      <c r="B61" s="62" t="s">
        <v>25</v>
      </c>
      <c r="C61" s="63" t="s">
        <v>58</v>
      </c>
      <c r="D61" s="63" t="s">
        <v>62</v>
      </c>
      <c r="E61" s="64">
        <v>2.0</v>
      </c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ht="15.75" customHeight="1">
      <c r="A62" s="61" t="str">
        <f t="shared" si="1"/>
        <v>BrasíliaJoinvilleCaminhão</v>
      </c>
      <c r="B62" s="62" t="s">
        <v>25</v>
      </c>
      <c r="C62" s="63" t="s">
        <v>58</v>
      </c>
      <c r="D62" s="63" t="s">
        <v>28</v>
      </c>
      <c r="E62" s="64">
        <v>1.0</v>
      </c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ht="15.75" customHeight="1">
      <c r="A63" s="61" t="str">
        <f t="shared" si="1"/>
        <v>BrasíliaMaceióCaminhão</v>
      </c>
      <c r="B63" s="62" t="s">
        <v>25</v>
      </c>
      <c r="C63" s="63" t="s">
        <v>58</v>
      </c>
      <c r="D63" s="63" t="s">
        <v>63</v>
      </c>
      <c r="E63" s="64">
        <v>2.0</v>
      </c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ht="15.75" customHeight="1">
      <c r="A64" s="61" t="str">
        <f t="shared" si="1"/>
        <v>BrasíliaManausCaminhão</v>
      </c>
      <c r="B64" s="62" t="s">
        <v>25</v>
      </c>
      <c r="C64" s="63" t="s">
        <v>58</v>
      </c>
      <c r="D64" s="63" t="s">
        <v>23</v>
      </c>
      <c r="E64" s="64">
        <v>3.0</v>
      </c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ht="15.75" customHeight="1">
      <c r="A65" s="61" t="str">
        <f t="shared" si="1"/>
        <v>BrasíliaNatalCaminhão</v>
      </c>
      <c r="B65" s="62" t="s">
        <v>25</v>
      </c>
      <c r="C65" s="63" t="s">
        <v>58</v>
      </c>
      <c r="D65" s="63" t="s">
        <v>64</v>
      </c>
      <c r="E65" s="64">
        <v>2.0</v>
      </c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ht="15.75" customHeight="1">
      <c r="A66" s="61" t="str">
        <f t="shared" si="1"/>
        <v>BrasíliaPorto AlegreCaminhão</v>
      </c>
      <c r="B66" s="62" t="s">
        <v>25</v>
      </c>
      <c r="C66" s="63" t="s">
        <v>58</v>
      </c>
      <c r="D66" s="63" t="s">
        <v>31</v>
      </c>
      <c r="E66" s="64">
        <v>2.0</v>
      </c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ht="15.75" customHeight="1">
      <c r="A67" s="61" t="str">
        <f t="shared" si="1"/>
        <v>BrasíliaRecifeCaminhão</v>
      </c>
      <c r="B67" s="62" t="s">
        <v>25</v>
      </c>
      <c r="C67" s="63" t="s">
        <v>58</v>
      </c>
      <c r="D67" s="63" t="s">
        <v>65</v>
      </c>
      <c r="E67" s="64">
        <v>2.0</v>
      </c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ht="15.75" customHeight="1">
      <c r="A68" s="61" t="str">
        <f t="shared" si="1"/>
        <v>BrasíliaRibeirão PretoCaminhão</v>
      </c>
      <c r="B68" s="62" t="s">
        <v>25</v>
      </c>
      <c r="C68" s="63" t="s">
        <v>58</v>
      </c>
      <c r="D68" s="63" t="s">
        <v>78</v>
      </c>
      <c r="E68" s="64">
        <v>1.0</v>
      </c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ht="15.75" customHeight="1">
      <c r="A69" s="61" t="str">
        <f t="shared" si="1"/>
        <v>BrasíliaRio de JaneiroCaminhão</v>
      </c>
      <c r="B69" s="62" t="s">
        <v>25</v>
      </c>
      <c r="C69" s="63" t="s">
        <v>58</v>
      </c>
      <c r="D69" s="63" t="s">
        <v>66</v>
      </c>
      <c r="E69" s="64">
        <v>1.0</v>
      </c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ht="15.75" customHeight="1">
      <c r="A70" s="61" t="str">
        <f t="shared" si="1"/>
        <v>BrasíliaSalvadorCaminhão</v>
      </c>
      <c r="B70" s="62" t="s">
        <v>25</v>
      </c>
      <c r="C70" s="63" t="s">
        <v>58</v>
      </c>
      <c r="D70" s="63" t="s">
        <v>67</v>
      </c>
      <c r="E70" s="64">
        <v>1.0</v>
      </c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ht="15.75" customHeight="1">
      <c r="A71" s="61" t="str">
        <f t="shared" si="1"/>
        <v>BrasíliaSantosCaminhão</v>
      </c>
      <c r="B71" s="62" t="s">
        <v>25</v>
      </c>
      <c r="C71" s="63" t="s">
        <v>58</v>
      </c>
      <c r="D71" s="63" t="s">
        <v>38</v>
      </c>
      <c r="E71" s="64">
        <v>1.0</v>
      </c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ht="15.75" customHeight="1">
      <c r="A72" s="61" t="str">
        <f t="shared" si="1"/>
        <v>BrasíliaSão LuísCaminhão</v>
      </c>
      <c r="B72" s="62" t="s">
        <v>25</v>
      </c>
      <c r="C72" s="63" t="s">
        <v>58</v>
      </c>
      <c r="D72" s="63" t="s">
        <v>36</v>
      </c>
      <c r="E72" s="64">
        <v>2.0</v>
      </c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ht="15.75" customHeight="1">
      <c r="A73" s="61" t="str">
        <f t="shared" si="1"/>
        <v>BrasíliaSão PauloCaminhão</v>
      </c>
      <c r="B73" s="62" t="s">
        <v>25</v>
      </c>
      <c r="C73" s="63" t="s">
        <v>58</v>
      </c>
      <c r="D73" s="63" t="s">
        <v>75</v>
      </c>
      <c r="E73" s="64">
        <v>1.0</v>
      </c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ht="15.75" customHeight="1">
      <c r="A74" s="61" t="str">
        <f t="shared" si="1"/>
        <v>BrasíliaUberlândiaCaminhão</v>
      </c>
      <c r="B74" s="62" t="s">
        <v>25</v>
      </c>
      <c r="C74" s="63" t="s">
        <v>58</v>
      </c>
      <c r="D74" s="63" t="s">
        <v>68</v>
      </c>
      <c r="E74" s="64">
        <v>0.0</v>
      </c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ht="15.75" customHeight="1">
      <c r="A75" s="61" t="str">
        <f t="shared" si="1"/>
        <v>BrasíliaVitóriaCaminhão</v>
      </c>
      <c r="B75" s="62" t="s">
        <v>25</v>
      </c>
      <c r="C75" s="63" t="s">
        <v>58</v>
      </c>
      <c r="D75" s="63" t="s">
        <v>69</v>
      </c>
      <c r="E75" s="64">
        <v>1.0</v>
      </c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ht="15.75" customHeight="1">
      <c r="A76" s="61" t="str">
        <f t="shared" si="1"/>
        <v>BrasíliaVitória da ConquistaCaminhão</v>
      </c>
      <c r="B76" s="62" t="s">
        <v>25</v>
      </c>
      <c r="C76" s="63" t="s">
        <v>58</v>
      </c>
      <c r="D76" s="63" t="s">
        <v>52</v>
      </c>
      <c r="E76" s="64">
        <v>1.0</v>
      </c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ht="15.75" customHeight="1">
      <c r="A77" s="61" t="str">
        <f t="shared" si="1"/>
        <v>CampinasBelémCaminhão</v>
      </c>
      <c r="B77" s="62" t="s">
        <v>25</v>
      </c>
      <c r="C77" s="62" t="s">
        <v>77</v>
      </c>
      <c r="D77" s="63" t="s">
        <v>51</v>
      </c>
      <c r="E77" s="64">
        <v>2.0</v>
      </c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ht="15.75" customHeight="1">
      <c r="A78" s="61" t="str">
        <f t="shared" si="1"/>
        <v>CampinasBelo HorizonteCaminhão</v>
      </c>
      <c r="B78" s="62" t="s">
        <v>25</v>
      </c>
      <c r="C78" s="62" t="s">
        <v>77</v>
      </c>
      <c r="D78" s="63" t="s">
        <v>57</v>
      </c>
      <c r="E78" s="64">
        <v>1.0</v>
      </c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ht="15.75" customHeight="1">
      <c r="A79" s="61" t="str">
        <f t="shared" si="1"/>
        <v>CampinasBrasíliaCaminhão</v>
      </c>
      <c r="B79" s="62" t="s">
        <v>25</v>
      </c>
      <c r="C79" s="62" t="s">
        <v>77</v>
      </c>
      <c r="D79" s="63" t="s">
        <v>58</v>
      </c>
      <c r="E79" s="64">
        <v>1.0</v>
      </c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ht="15.75" customHeight="1">
      <c r="A80" s="61" t="str">
        <f t="shared" si="1"/>
        <v>CampinasCampinasCaminhão</v>
      </c>
      <c r="B80" s="62" t="s">
        <v>25</v>
      </c>
      <c r="C80" s="62" t="s">
        <v>77</v>
      </c>
      <c r="D80" s="63" t="s">
        <v>77</v>
      </c>
      <c r="E80" s="64">
        <v>0.0</v>
      </c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ht="15.75" customHeight="1">
      <c r="A81" s="61" t="str">
        <f t="shared" si="1"/>
        <v>CampinasCampo GrandeCaminhão</v>
      </c>
      <c r="B81" s="62" t="s">
        <v>25</v>
      </c>
      <c r="C81" s="62" t="s">
        <v>77</v>
      </c>
      <c r="D81" s="63" t="s">
        <v>59</v>
      </c>
      <c r="E81" s="64">
        <v>1.0</v>
      </c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ht="15.75" customHeight="1">
      <c r="A82" s="61" t="str">
        <f t="shared" si="1"/>
        <v>CampinasCuiabáCaminhão</v>
      </c>
      <c r="B82" s="62" t="s">
        <v>25</v>
      </c>
      <c r="C82" s="62" t="s">
        <v>77</v>
      </c>
      <c r="D82" s="63" t="s">
        <v>29</v>
      </c>
      <c r="E82" s="64">
        <v>1.0</v>
      </c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ht="15.75" customHeight="1">
      <c r="A83" s="61" t="str">
        <f t="shared" si="1"/>
        <v>CampinasCuritibaCaminhão</v>
      </c>
      <c r="B83" s="62" t="s">
        <v>25</v>
      </c>
      <c r="C83" s="62" t="s">
        <v>77</v>
      </c>
      <c r="D83" s="63" t="s">
        <v>76</v>
      </c>
      <c r="E83" s="64">
        <v>0.0</v>
      </c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ht="15.75" customHeight="1">
      <c r="A84" s="61" t="str">
        <f t="shared" si="1"/>
        <v>CampinasFortalezaCaminhão</v>
      </c>
      <c r="B84" s="62" t="s">
        <v>25</v>
      </c>
      <c r="C84" s="62" t="s">
        <v>77</v>
      </c>
      <c r="D84" s="63" t="s">
        <v>60</v>
      </c>
      <c r="E84" s="64">
        <v>3.0</v>
      </c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ht="15.75" customHeight="1">
      <c r="A85" s="61" t="str">
        <f t="shared" si="1"/>
        <v>CampinasGoiâniaCaminhão</v>
      </c>
      <c r="B85" s="62" t="s">
        <v>25</v>
      </c>
      <c r="C85" s="62" t="s">
        <v>77</v>
      </c>
      <c r="D85" s="63" t="s">
        <v>61</v>
      </c>
      <c r="E85" s="64">
        <v>1.0</v>
      </c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ht="15.75" customHeight="1">
      <c r="A86" s="61" t="str">
        <f t="shared" si="1"/>
        <v>CampinasJoão PessoaCaminhão</v>
      </c>
      <c r="B86" s="62" t="s">
        <v>25</v>
      </c>
      <c r="C86" s="62" t="s">
        <v>77</v>
      </c>
      <c r="D86" s="63" t="s">
        <v>62</v>
      </c>
      <c r="E86" s="64">
        <v>2.0</v>
      </c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ht="15.75" customHeight="1">
      <c r="A87" s="61" t="str">
        <f t="shared" si="1"/>
        <v>CampinasJoinvilleCaminhão</v>
      </c>
      <c r="B87" s="62" t="s">
        <v>25</v>
      </c>
      <c r="C87" s="62" t="s">
        <v>77</v>
      </c>
      <c r="D87" s="63" t="s">
        <v>28</v>
      </c>
      <c r="E87" s="64">
        <v>1.0</v>
      </c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ht="15.75" customHeight="1">
      <c r="A88" s="61" t="str">
        <f t="shared" si="1"/>
        <v>CampinasMaceióCaminhão</v>
      </c>
      <c r="B88" s="62" t="s">
        <v>25</v>
      </c>
      <c r="C88" s="62" t="s">
        <v>77</v>
      </c>
      <c r="D88" s="63" t="s">
        <v>63</v>
      </c>
      <c r="E88" s="64">
        <v>2.0</v>
      </c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ht="15.75" customHeight="1">
      <c r="A89" s="61" t="str">
        <f t="shared" si="1"/>
        <v>CampinasManausCaminhão</v>
      </c>
      <c r="B89" s="62" t="s">
        <v>25</v>
      </c>
      <c r="C89" s="62" t="s">
        <v>77</v>
      </c>
      <c r="D89" s="63" t="s">
        <v>23</v>
      </c>
      <c r="E89" s="64">
        <v>3.0</v>
      </c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ht="15.75" customHeight="1">
      <c r="A90" s="61" t="str">
        <f t="shared" si="1"/>
        <v>CampinasNatalCaminhão</v>
      </c>
      <c r="B90" s="62" t="s">
        <v>25</v>
      </c>
      <c r="C90" s="62" t="s">
        <v>77</v>
      </c>
      <c r="D90" s="63" t="s">
        <v>64</v>
      </c>
      <c r="E90" s="64">
        <v>2.0</v>
      </c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ht="15.75" customHeight="1">
      <c r="A91" s="61" t="str">
        <f t="shared" si="1"/>
        <v>CampinasPorto AlegreCaminhão</v>
      </c>
      <c r="B91" s="62" t="s">
        <v>25</v>
      </c>
      <c r="C91" s="62" t="s">
        <v>77</v>
      </c>
      <c r="D91" s="63" t="s">
        <v>31</v>
      </c>
      <c r="E91" s="64">
        <v>1.0</v>
      </c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ht="15.75" customHeight="1">
      <c r="A92" s="61" t="str">
        <f t="shared" si="1"/>
        <v>CampinasRecifeCaminhão</v>
      </c>
      <c r="B92" s="62" t="s">
        <v>25</v>
      </c>
      <c r="C92" s="62" t="s">
        <v>77</v>
      </c>
      <c r="D92" s="63" t="s">
        <v>65</v>
      </c>
      <c r="E92" s="64">
        <v>2.0</v>
      </c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ht="15.75" customHeight="1">
      <c r="A93" s="61" t="str">
        <f t="shared" si="1"/>
        <v>CampinasRibeirão PretoCaminhão</v>
      </c>
      <c r="B93" s="62" t="s">
        <v>25</v>
      </c>
      <c r="C93" s="62" t="s">
        <v>77</v>
      </c>
      <c r="D93" s="63" t="s">
        <v>78</v>
      </c>
      <c r="E93" s="64">
        <v>0.0</v>
      </c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ht="15.75" customHeight="1">
      <c r="A94" s="61" t="str">
        <f t="shared" si="1"/>
        <v>CampinasRio de JaneiroCaminhão</v>
      </c>
      <c r="B94" s="62" t="s">
        <v>25</v>
      </c>
      <c r="C94" s="62" t="s">
        <v>77</v>
      </c>
      <c r="D94" s="63" t="s">
        <v>66</v>
      </c>
      <c r="E94" s="64">
        <v>0.0</v>
      </c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ht="15.75" customHeight="1">
      <c r="A95" s="61" t="str">
        <f t="shared" si="1"/>
        <v>CampinasSalvadorCaminhão</v>
      </c>
      <c r="B95" s="62" t="s">
        <v>25</v>
      </c>
      <c r="C95" s="62" t="s">
        <v>77</v>
      </c>
      <c r="D95" s="63" t="s">
        <v>67</v>
      </c>
      <c r="E95" s="64">
        <v>2.0</v>
      </c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ht="15.75" customHeight="1">
      <c r="A96" s="61" t="str">
        <f t="shared" si="1"/>
        <v>CampinasSantosCaminhão</v>
      </c>
      <c r="B96" s="62" t="s">
        <v>25</v>
      </c>
      <c r="C96" s="62" t="s">
        <v>77</v>
      </c>
      <c r="D96" s="63" t="s">
        <v>38</v>
      </c>
      <c r="E96" s="64">
        <v>0.0</v>
      </c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ht="15.75" customHeight="1">
      <c r="A97" s="61" t="str">
        <f t="shared" si="1"/>
        <v>CampinasSão LuísCaminhão</v>
      </c>
      <c r="B97" s="62" t="s">
        <v>25</v>
      </c>
      <c r="C97" s="62" t="s">
        <v>77</v>
      </c>
      <c r="D97" s="63" t="s">
        <v>36</v>
      </c>
      <c r="E97" s="64">
        <v>2.0</v>
      </c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ht="15.75" customHeight="1">
      <c r="A98" s="61" t="str">
        <f t="shared" si="1"/>
        <v>CampinasSão PauloCaminhão</v>
      </c>
      <c r="B98" s="62" t="s">
        <v>25</v>
      </c>
      <c r="C98" s="62" t="s">
        <v>77</v>
      </c>
      <c r="D98" s="63" t="s">
        <v>75</v>
      </c>
      <c r="E98" s="64">
        <v>0.0</v>
      </c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ht="15.75" customHeight="1">
      <c r="A99" s="61" t="str">
        <f t="shared" si="1"/>
        <v>CampinasUberlândiaCaminhão</v>
      </c>
      <c r="B99" s="62" t="s">
        <v>25</v>
      </c>
      <c r="C99" s="62" t="s">
        <v>77</v>
      </c>
      <c r="D99" s="63" t="s">
        <v>68</v>
      </c>
      <c r="E99" s="64">
        <v>0.0</v>
      </c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ht="15.75" customHeight="1">
      <c r="A100" s="61" t="str">
        <f t="shared" si="1"/>
        <v>CampinasVitóriaCaminhão</v>
      </c>
      <c r="B100" s="62" t="s">
        <v>25</v>
      </c>
      <c r="C100" s="62" t="s">
        <v>77</v>
      </c>
      <c r="D100" s="63" t="s">
        <v>69</v>
      </c>
      <c r="E100" s="64">
        <v>1.0</v>
      </c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ht="15.75" customHeight="1">
      <c r="A101" s="61" t="str">
        <f t="shared" si="1"/>
        <v>CampinasVitória da ConquistaCaminhão</v>
      </c>
      <c r="B101" s="62" t="s">
        <v>25</v>
      </c>
      <c r="C101" s="62" t="s">
        <v>77</v>
      </c>
      <c r="D101" s="63" t="s">
        <v>52</v>
      </c>
      <c r="E101" s="64">
        <v>1.0</v>
      </c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ht="15.75" customHeight="1">
      <c r="A102" s="61" t="str">
        <f t="shared" si="1"/>
        <v>Campo GrandeBelémCaminhão</v>
      </c>
      <c r="B102" s="62" t="s">
        <v>25</v>
      </c>
      <c r="C102" s="62" t="s">
        <v>59</v>
      </c>
      <c r="D102" s="63" t="s">
        <v>51</v>
      </c>
      <c r="E102" s="64">
        <v>2.0</v>
      </c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ht="15.75" customHeight="1">
      <c r="A103" s="61" t="str">
        <f t="shared" si="1"/>
        <v>Campo GrandeBelo HorizonteCaminhão</v>
      </c>
      <c r="B103" s="62" t="s">
        <v>25</v>
      </c>
      <c r="C103" s="62" t="s">
        <v>59</v>
      </c>
      <c r="D103" s="63" t="s">
        <v>57</v>
      </c>
      <c r="E103" s="64">
        <v>1.0</v>
      </c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ht="15.75" customHeight="1">
      <c r="A104" s="61" t="str">
        <f t="shared" si="1"/>
        <v>Campo GrandeBrasíliaCaminhão</v>
      </c>
      <c r="B104" s="62" t="s">
        <v>25</v>
      </c>
      <c r="C104" s="62" t="s">
        <v>59</v>
      </c>
      <c r="D104" s="63" t="s">
        <v>58</v>
      </c>
      <c r="E104" s="64">
        <v>1.0</v>
      </c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ht="15.75" customHeight="1">
      <c r="A105" s="61" t="str">
        <f t="shared" si="1"/>
        <v>Campo GrandeCampinasCaminhão</v>
      </c>
      <c r="B105" s="62" t="s">
        <v>25</v>
      </c>
      <c r="C105" s="62" t="s">
        <v>59</v>
      </c>
      <c r="D105" s="63" t="s">
        <v>77</v>
      </c>
      <c r="E105" s="64">
        <v>1.0</v>
      </c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ht="15.75" customHeight="1">
      <c r="A106" s="61" t="str">
        <f t="shared" si="1"/>
        <v>Campo GrandeCampo GrandeCaminhão</v>
      </c>
      <c r="B106" s="62" t="s">
        <v>25</v>
      </c>
      <c r="C106" s="62" t="s">
        <v>59</v>
      </c>
      <c r="D106" s="63" t="s">
        <v>59</v>
      </c>
      <c r="E106" s="64">
        <v>0.0</v>
      </c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ht="15.75" customHeight="1">
      <c r="A107" s="61" t="str">
        <f t="shared" si="1"/>
        <v>Campo GrandeCuiabáCaminhão</v>
      </c>
      <c r="B107" s="62" t="s">
        <v>25</v>
      </c>
      <c r="C107" s="62" t="s">
        <v>59</v>
      </c>
      <c r="D107" s="63" t="s">
        <v>29</v>
      </c>
      <c r="E107" s="64">
        <v>1.0</v>
      </c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ht="15.75" customHeight="1">
      <c r="A108" s="61" t="str">
        <f t="shared" si="1"/>
        <v>Campo GrandeCuritibaCaminhão</v>
      </c>
      <c r="B108" s="62" t="s">
        <v>25</v>
      </c>
      <c r="C108" s="62" t="s">
        <v>59</v>
      </c>
      <c r="D108" s="63" t="s">
        <v>76</v>
      </c>
      <c r="E108" s="64">
        <v>1.0</v>
      </c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ht="15.75" customHeight="1">
      <c r="A109" s="61" t="str">
        <f t="shared" si="1"/>
        <v>Campo GrandeFortalezaCaminhão</v>
      </c>
      <c r="B109" s="62" t="s">
        <v>25</v>
      </c>
      <c r="C109" s="62" t="s">
        <v>59</v>
      </c>
      <c r="D109" s="63" t="s">
        <v>60</v>
      </c>
      <c r="E109" s="64">
        <v>3.0</v>
      </c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ht="15.75" customHeight="1">
      <c r="A110" s="61" t="str">
        <f t="shared" si="1"/>
        <v>Campo GrandeGoiâniaCaminhão</v>
      </c>
      <c r="B110" s="62" t="s">
        <v>25</v>
      </c>
      <c r="C110" s="62" t="s">
        <v>59</v>
      </c>
      <c r="D110" s="63" t="s">
        <v>61</v>
      </c>
      <c r="E110" s="64">
        <v>1.0</v>
      </c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ht="15.75" customHeight="1">
      <c r="A111" s="61" t="str">
        <f t="shared" si="1"/>
        <v>Campo GrandeJoão PessoaCaminhão</v>
      </c>
      <c r="B111" s="62" t="s">
        <v>25</v>
      </c>
      <c r="C111" s="62" t="s">
        <v>59</v>
      </c>
      <c r="D111" s="63" t="s">
        <v>62</v>
      </c>
      <c r="E111" s="64">
        <v>3.0</v>
      </c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ht="15.75" customHeight="1">
      <c r="A112" s="61" t="str">
        <f t="shared" si="1"/>
        <v>Campo GrandeJoinvilleCaminhão</v>
      </c>
      <c r="B112" s="62" t="s">
        <v>25</v>
      </c>
      <c r="C112" s="62" t="s">
        <v>59</v>
      </c>
      <c r="D112" s="63" t="s">
        <v>28</v>
      </c>
      <c r="E112" s="64">
        <v>1.0</v>
      </c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ht="15.75" customHeight="1">
      <c r="A113" s="61" t="str">
        <f t="shared" si="1"/>
        <v>Campo GrandeMaceióCaminhão</v>
      </c>
      <c r="B113" s="62" t="s">
        <v>25</v>
      </c>
      <c r="C113" s="62" t="s">
        <v>59</v>
      </c>
      <c r="D113" s="63" t="s">
        <v>63</v>
      </c>
      <c r="E113" s="64">
        <v>3.0</v>
      </c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ht="15.75" customHeight="1">
      <c r="A114" s="61" t="str">
        <f t="shared" si="1"/>
        <v>Campo GrandeManausCaminhão</v>
      </c>
      <c r="B114" s="62" t="s">
        <v>25</v>
      </c>
      <c r="C114" s="62" t="s">
        <v>59</v>
      </c>
      <c r="D114" s="63" t="s">
        <v>23</v>
      </c>
      <c r="E114" s="64">
        <v>3.0</v>
      </c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ht="15.75" customHeight="1">
      <c r="A115" s="61" t="str">
        <f t="shared" si="1"/>
        <v>Campo GrandeNatalCaminhão</v>
      </c>
      <c r="B115" s="62" t="s">
        <v>25</v>
      </c>
      <c r="C115" s="62" t="s">
        <v>59</v>
      </c>
      <c r="D115" s="63" t="s">
        <v>64</v>
      </c>
      <c r="E115" s="64">
        <v>3.0</v>
      </c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ht="15.75" customHeight="1">
      <c r="A116" s="61" t="str">
        <f t="shared" si="1"/>
        <v>Campo GrandePorto AlegreCaminhão</v>
      </c>
      <c r="B116" s="62" t="s">
        <v>25</v>
      </c>
      <c r="C116" s="62" t="s">
        <v>59</v>
      </c>
      <c r="D116" s="63" t="s">
        <v>31</v>
      </c>
      <c r="E116" s="64">
        <v>1.0</v>
      </c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ht="15.75" customHeight="1">
      <c r="A117" s="61" t="str">
        <f t="shared" si="1"/>
        <v>Campo GrandeRecifeCaminhão</v>
      </c>
      <c r="B117" s="62" t="s">
        <v>25</v>
      </c>
      <c r="C117" s="62" t="s">
        <v>59</v>
      </c>
      <c r="D117" s="63" t="s">
        <v>65</v>
      </c>
      <c r="E117" s="64">
        <v>3.0</v>
      </c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ht="15.75" customHeight="1">
      <c r="A118" s="61" t="str">
        <f t="shared" si="1"/>
        <v>Campo GrandeRibeirão PretoCaminhão</v>
      </c>
      <c r="B118" s="62" t="s">
        <v>25</v>
      </c>
      <c r="C118" s="62" t="s">
        <v>59</v>
      </c>
      <c r="D118" s="63" t="s">
        <v>78</v>
      </c>
      <c r="E118" s="64">
        <v>1.0</v>
      </c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ht="15.75" customHeight="1">
      <c r="A119" s="61" t="str">
        <f t="shared" si="1"/>
        <v>Campo GrandeRio de JaneiroCaminhão</v>
      </c>
      <c r="B119" s="62" t="s">
        <v>25</v>
      </c>
      <c r="C119" s="62" t="s">
        <v>59</v>
      </c>
      <c r="D119" s="63" t="s">
        <v>66</v>
      </c>
      <c r="E119" s="64">
        <v>1.0</v>
      </c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ht="15.75" customHeight="1">
      <c r="A120" s="61" t="str">
        <f t="shared" si="1"/>
        <v>Campo GrandeSalvadorCaminhão</v>
      </c>
      <c r="B120" s="62" t="s">
        <v>25</v>
      </c>
      <c r="C120" s="62" t="s">
        <v>59</v>
      </c>
      <c r="D120" s="63" t="s">
        <v>67</v>
      </c>
      <c r="E120" s="64">
        <v>2.0</v>
      </c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ht="15.75" customHeight="1">
      <c r="A121" s="61" t="str">
        <f t="shared" si="1"/>
        <v>Campo GrandeSantosCaminhão</v>
      </c>
      <c r="B121" s="62" t="s">
        <v>25</v>
      </c>
      <c r="C121" s="62" t="s">
        <v>59</v>
      </c>
      <c r="D121" s="63" t="s">
        <v>38</v>
      </c>
      <c r="E121" s="64">
        <v>1.0</v>
      </c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ht="15.75" customHeight="1">
      <c r="A122" s="61" t="str">
        <f t="shared" si="1"/>
        <v>Campo GrandeSão LuísCaminhão</v>
      </c>
      <c r="B122" s="62" t="s">
        <v>25</v>
      </c>
      <c r="C122" s="62" t="s">
        <v>59</v>
      </c>
      <c r="D122" s="63" t="s">
        <v>36</v>
      </c>
      <c r="E122" s="64">
        <v>2.0</v>
      </c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ht="15.75" customHeight="1">
      <c r="A123" s="61" t="str">
        <f t="shared" si="1"/>
        <v>Campo GrandeSão PauloCaminhão</v>
      </c>
      <c r="B123" s="62" t="s">
        <v>25</v>
      </c>
      <c r="C123" s="62" t="s">
        <v>59</v>
      </c>
      <c r="D123" s="63" t="s">
        <v>75</v>
      </c>
      <c r="E123" s="64">
        <v>1.0</v>
      </c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ht="15.75" customHeight="1">
      <c r="A124" s="61" t="str">
        <f t="shared" si="1"/>
        <v>Campo GrandeUberlândiaCaminhão</v>
      </c>
      <c r="B124" s="62" t="s">
        <v>25</v>
      </c>
      <c r="C124" s="62" t="s">
        <v>59</v>
      </c>
      <c r="D124" s="63" t="s">
        <v>68</v>
      </c>
      <c r="E124" s="64">
        <v>1.0</v>
      </c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ht="15.75" customHeight="1">
      <c r="A125" s="61" t="str">
        <f t="shared" si="1"/>
        <v>Campo GrandeVitóriaCaminhão</v>
      </c>
      <c r="B125" s="62" t="s">
        <v>25</v>
      </c>
      <c r="C125" s="62" t="s">
        <v>59</v>
      </c>
      <c r="D125" s="63" t="s">
        <v>69</v>
      </c>
      <c r="E125" s="64">
        <v>2.0</v>
      </c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ht="15.75" customHeight="1">
      <c r="A126" s="61" t="str">
        <f t="shared" si="1"/>
        <v>Campo GrandeVitória da ConquistaCaminhão</v>
      </c>
      <c r="B126" s="62" t="s">
        <v>25</v>
      </c>
      <c r="C126" s="62" t="s">
        <v>59</v>
      </c>
      <c r="D126" s="63" t="s">
        <v>52</v>
      </c>
      <c r="E126" s="64">
        <v>2.0</v>
      </c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ht="15.75" customHeight="1">
      <c r="A127" s="61" t="str">
        <f t="shared" si="1"/>
        <v>CuiabáBelémCaminhão</v>
      </c>
      <c r="B127" s="62" t="s">
        <v>25</v>
      </c>
      <c r="C127" s="63" t="s">
        <v>29</v>
      </c>
      <c r="D127" s="63" t="s">
        <v>51</v>
      </c>
      <c r="E127" s="64">
        <v>2.0</v>
      </c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ht="15.75" customHeight="1">
      <c r="A128" s="61" t="str">
        <f t="shared" si="1"/>
        <v>CuiabáBelo HorizonteCaminhão</v>
      </c>
      <c r="B128" s="62" t="s">
        <v>25</v>
      </c>
      <c r="C128" s="63" t="s">
        <v>29</v>
      </c>
      <c r="D128" s="63" t="s">
        <v>57</v>
      </c>
      <c r="E128" s="64">
        <v>1.0</v>
      </c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ht="15.75" customHeight="1">
      <c r="A129" s="61" t="str">
        <f t="shared" si="1"/>
        <v>CuiabáBrasíliaCaminhão</v>
      </c>
      <c r="B129" s="62" t="s">
        <v>25</v>
      </c>
      <c r="C129" s="63" t="s">
        <v>29</v>
      </c>
      <c r="D129" s="63" t="s">
        <v>58</v>
      </c>
      <c r="E129" s="64">
        <v>1.0</v>
      </c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ht="15.75" customHeight="1">
      <c r="A130" s="61" t="str">
        <f t="shared" si="1"/>
        <v>CuiabáCampinasCaminhão</v>
      </c>
      <c r="B130" s="62" t="s">
        <v>25</v>
      </c>
      <c r="C130" s="63" t="s">
        <v>29</v>
      </c>
      <c r="D130" s="63" t="s">
        <v>77</v>
      </c>
      <c r="E130" s="64">
        <v>1.0</v>
      </c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ht="15.75" customHeight="1">
      <c r="A131" s="61" t="str">
        <f t="shared" si="1"/>
        <v>CuiabáCampo GrandeCaminhão</v>
      </c>
      <c r="B131" s="62" t="s">
        <v>25</v>
      </c>
      <c r="C131" s="63" t="s">
        <v>29</v>
      </c>
      <c r="D131" s="63" t="s">
        <v>59</v>
      </c>
      <c r="E131" s="64">
        <v>1.0</v>
      </c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ht="15.75" customHeight="1">
      <c r="A132" s="61" t="str">
        <f t="shared" si="1"/>
        <v>CuiabáCuiabáCaminhão</v>
      </c>
      <c r="B132" s="62" t="s">
        <v>25</v>
      </c>
      <c r="C132" s="63" t="s">
        <v>29</v>
      </c>
      <c r="D132" s="63" t="s">
        <v>29</v>
      </c>
      <c r="E132" s="64">
        <v>0.0</v>
      </c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ht="15.75" customHeight="1">
      <c r="A133" s="61" t="str">
        <f t="shared" si="1"/>
        <v>CuiabáCuritibaCaminhão</v>
      </c>
      <c r="B133" s="62" t="s">
        <v>25</v>
      </c>
      <c r="C133" s="63" t="s">
        <v>29</v>
      </c>
      <c r="D133" s="63" t="s">
        <v>76</v>
      </c>
      <c r="E133" s="64">
        <v>1.0</v>
      </c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ht="15.75" customHeight="1">
      <c r="A134" s="61" t="str">
        <f t="shared" si="1"/>
        <v>CuiabáFortalezaCaminhão</v>
      </c>
      <c r="B134" s="62" t="s">
        <v>25</v>
      </c>
      <c r="C134" s="63" t="s">
        <v>29</v>
      </c>
      <c r="D134" s="63" t="s">
        <v>60</v>
      </c>
      <c r="E134" s="64">
        <v>3.0</v>
      </c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ht="15.75" customHeight="1">
      <c r="A135" s="61" t="str">
        <f t="shared" si="1"/>
        <v>CuiabáGoiâniaCaminhão</v>
      </c>
      <c r="B135" s="62" t="s">
        <v>25</v>
      </c>
      <c r="C135" s="63" t="s">
        <v>29</v>
      </c>
      <c r="D135" s="63" t="s">
        <v>61</v>
      </c>
      <c r="E135" s="64">
        <v>1.0</v>
      </c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ht="15.75" customHeight="1">
      <c r="A136" s="61" t="str">
        <f t="shared" si="1"/>
        <v>CuiabáJoão PessoaCaminhão</v>
      </c>
      <c r="B136" s="62" t="s">
        <v>25</v>
      </c>
      <c r="C136" s="63" t="s">
        <v>29</v>
      </c>
      <c r="D136" s="63" t="s">
        <v>62</v>
      </c>
      <c r="E136" s="64">
        <v>3.0</v>
      </c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ht="15.75" customHeight="1">
      <c r="A137" s="61" t="str">
        <f t="shared" si="1"/>
        <v>CuiabáJoinvilleCaminhão</v>
      </c>
      <c r="B137" s="62" t="s">
        <v>25</v>
      </c>
      <c r="C137" s="63" t="s">
        <v>29</v>
      </c>
      <c r="D137" s="63" t="s">
        <v>28</v>
      </c>
      <c r="E137" s="64">
        <v>2.0</v>
      </c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ht="15.75" customHeight="1">
      <c r="A138" s="61" t="str">
        <f t="shared" si="1"/>
        <v>CuiabáMaceióCaminhão</v>
      </c>
      <c r="B138" s="62" t="s">
        <v>25</v>
      </c>
      <c r="C138" s="63" t="s">
        <v>29</v>
      </c>
      <c r="D138" s="63" t="s">
        <v>63</v>
      </c>
      <c r="E138" s="64">
        <v>3.0</v>
      </c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ht="15.75" customHeight="1">
      <c r="A139" s="61" t="str">
        <f t="shared" si="1"/>
        <v>CuiabáManausCaminhão</v>
      </c>
      <c r="B139" s="62" t="s">
        <v>25</v>
      </c>
      <c r="C139" s="63" t="s">
        <v>29</v>
      </c>
      <c r="D139" s="63" t="s">
        <v>23</v>
      </c>
      <c r="E139" s="64">
        <v>2.0</v>
      </c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ht="15.75" customHeight="1">
      <c r="A140" s="61" t="str">
        <f t="shared" si="1"/>
        <v>CuiabáNatalCaminhão</v>
      </c>
      <c r="B140" s="62" t="s">
        <v>25</v>
      </c>
      <c r="C140" s="63" t="s">
        <v>29</v>
      </c>
      <c r="D140" s="63" t="s">
        <v>64</v>
      </c>
      <c r="E140" s="64">
        <v>3.0</v>
      </c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ht="15.75" customHeight="1">
      <c r="A141" s="61" t="str">
        <f t="shared" si="1"/>
        <v>CuiabáPorto AlegreCaminhão</v>
      </c>
      <c r="B141" s="62" t="s">
        <v>25</v>
      </c>
      <c r="C141" s="63" t="s">
        <v>29</v>
      </c>
      <c r="D141" s="63" t="s">
        <v>31</v>
      </c>
      <c r="E141" s="64">
        <v>2.0</v>
      </c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ht="15.75" customHeight="1">
      <c r="A142" s="61" t="str">
        <f t="shared" si="1"/>
        <v>CuiabáRecifeCaminhão</v>
      </c>
      <c r="B142" s="62" t="s">
        <v>25</v>
      </c>
      <c r="C142" s="63" t="s">
        <v>29</v>
      </c>
      <c r="D142" s="63" t="s">
        <v>65</v>
      </c>
      <c r="E142" s="64">
        <v>3.0</v>
      </c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ht="15.75" customHeight="1">
      <c r="A143" s="61" t="str">
        <f t="shared" si="1"/>
        <v>CuiabáRibeirão PretoCaminhão</v>
      </c>
      <c r="B143" s="62" t="s">
        <v>25</v>
      </c>
      <c r="C143" s="63" t="s">
        <v>29</v>
      </c>
      <c r="D143" s="63" t="s">
        <v>78</v>
      </c>
      <c r="E143" s="64">
        <v>1.0</v>
      </c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ht="15.75" customHeight="1">
      <c r="A144" s="61" t="str">
        <f t="shared" si="1"/>
        <v>CuiabáRio de JaneiroCaminhão</v>
      </c>
      <c r="B144" s="62" t="s">
        <v>25</v>
      </c>
      <c r="C144" s="63" t="s">
        <v>29</v>
      </c>
      <c r="D144" s="63" t="s">
        <v>66</v>
      </c>
      <c r="E144" s="64">
        <v>2.0</v>
      </c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ht="15.75" customHeight="1">
      <c r="A145" s="61" t="str">
        <f t="shared" si="1"/>
        <v>CuiabáSalvadorCaminhão</v>
      </c>
      <c r="B145" s="62" t="s">
        <v>25</v>
      </c>
      <c r="C145" s="63" t="s">
        <v>29</v>
      </c>
      <c r="D145" s="63" t="s">
        <v>67</v>
      </c>
      <c r="E145" s="64">
        <v>2.0</v>
      </c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ht="15.75" customHeight="1">
      <c r="A146" s="61" t="str">
        <f t="shared" si="1"/>
        <v>CuiabáSantosCaminhão</v>
      </c>
      <c r="B146" s="62" t="s">
        <v>25</v>
      </c>
      <c r="C146" s="63" t="s">
        <v>29</v>
      </c>
      <c r="D146" s="63" t="s">
        <v>38</v>
      </c>
      <c r="E146" s="64">
        <v>1.0</v>
      </c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ht="15.75" customHeight="1">
      <c r="A147" s="61" t="str">
        <f t="shared" si="1"/>
        <v>CuiabáSão LuísCaminhão</v>
      </c>
      <c r="B147" s="62" t="s">
        <v>25</v>
      </c>
      <c r="C147" s="63" t="s">
        <v>29</v>
      </c>
      <c r="D147" s="63" t="s">
        <v>36</v>
      </c>
      <c r="E147" s="64">
        <v>2.0</v>
      </c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ht="15.75" customHeight="1">
      <c r="A148" s="61" t="str">
        <f t="shared" si="1"/>
        <v>CuiabáSão PauloCaminhão</v>
      </c>
      <c r="B148" s="62" t="s">
        <v>25</v>
      </c>
      <c r="C148" s="63" t="s">
        <v>29</v>
      </c>
      <c r="D148" s="63" t="s">
        <v>75</v>
      </c>
      <c r="E148" s="64">
        <v>1.0</v>
      </c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ht="15.75" customHeight="1">
      <c r="A149" s="61" t="str">
        <f t="shared" si="1"/>
        <v>CuiabáUberlândiaCaminhão</v>
      </c>
      <c r="B149" s="62" t="s">
        <v>25</v>
      </c>
      <c r="C149" s="63" t="s">
        <v>29</v>
      </c>
      <c r="D149" s="63" t="s">
        <v>68</v>
      </c>
      <c r="E149" s="64">
        <v>1.0</v>
      </c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ht="15.75" customHeight="1">
      <c r="A150" s="61" t="str">
        <f t="shared" si="1"/>
        <v>CuiabáVitóriaCaminhão</v>
      </c>
      <c r="B150" s="62" t="s">
        <v>25</v>
      </c>
      <c r="C150" s="63" t="s">
        <v>29</v>
      </c>
      <c r="D150" s="63" t="s">
        <v>69</v>
      </c>
      <c r="E150" s="64">
        <v>2.0</v>
      </c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ht="15.75" customHeight="1">
      <c r="A151" s="61" t="str">
        <f t="shared" si="1"/>
        <v>CuiabáVitória da ConquistaCaminhão</v>
      </c>
      <c r="B151" s="62" t="s">
        <v>25</v>
      </c>
      <c r="C151" s="63" t="s">
        <v>29</v>
      </c>
      <c r="D151" s="63" t="s">
        <v>52</v>
      </c>
      <c r="E151" s="64">
        <v>2.0</v>
      </c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ht="15.75" customHeight="1">
      <c r="A152" s="61" t="str">
        <f t="shared" si="1"/>
        <v>CuritibaBelémCaminhão</v>
      </c>
      <c r="B152" s="62" t="s">
        <v>25</v>
      </c>
      <c r="C152" s="62" t="s">
        <v>76</v>
      </c>
      <c r="D152" s="63" t="s">
        <v>51</v>
      </c>
      <c r="E152" s="64">
        <v>3.0</v>
      </c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ht="15.75" customHeight="1">
      <c r="A153" s="61" t="str">
        <f t="shared" si="1"/>
        <v>CuritibaBelo HorizonteCaminhão</v>
      </c>
      <c r="B153" s="62" t="s">
        <v>25</v>
      </c>
      <c r="C153" s="62" t="s">
        <v>76</v>
      </c>
      <c r="D153" s="63" t="s">
        <v>57</v>
      </c>
      <c r="E153" s="64">
        <v>1.0</v>
      </c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ht="15.75" customHeight="1">
      <c r="A154" s="61" t="str">
        <f t="shared" si="1"/>
        <v>CuritibaBrasíliaCaminhão</v>
      </c>
      <c r="B154" s="62" t="s">
        <v>25</v>
      </c>
      <c r="C154" s="62" t="s">
        <v>76</v>
      </c>
      <c r="D154" s="63" t="s">
        <v>58</v>
      </c>
      <c r="E154" s="64">
        <v>1.0</v>
      </c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ht="15.75" customHeight="1">
      <c r="A155" s="61" t="str">
        <f t="shared" si="1"/>
        <v>CuritibaCampinasCaminhão</v>
      </c>
      <c r="B155" s="62" t="s">
        <v>25</v>
      </c>
      <c r="C155" s="62" t="s">
        <v>76</v>
      </c>
      <c r="D155" s="63" t="s">
        <v>77</v>
      </c>
      <c r="E155" s="64">
        <v>0.0</v>
      </c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ht="15.75" customHeight="1">
      <c r="A156" s="61" t="str">
        <f t="shared" si="1"/>
        <v>CuritibaCampo GrandeCaminhão</v>
      </c>
      <c r="B156" s="62" t="s">
        <v>25</v>
      </c>
      <c r="C156" s="62" t="s">
        <v>76</v>
      </c>
      <c r="D156" s="63" t="s">
        <v>59</v>
      </c>
      <c r="E156" s="64">
        <v>1.0</v>
      </c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ht="15.75" customHeight="1">
      <c r="A157" s="61" t="str">
        <f t="shared" si="1"/>
        <v>CuritibaCuiabáCaminhão</v>
      </c>
      <c r="B157" s="62" t="s">
        <v>25</v>
      </c>
      <c r="C157" s="62" t="s">
        <v>76</v>
      </c>
      <c r="D157" s="63" t="s">
        <v>29</v>
      </c>
      <c r="E157" s="64">
        <v>1.0</v>
      </c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ht="15.75" customHeight="1">
      <c r="A158" s="61" t="str">
        <f t="shared" si="1"/>
        <v>CuritibaCuritibaCaminhão</v>
      </c>
      <c r="B158" s="62" t="s">
        <v>25</v>
      </c>
      <c r="C158" s="62" t="s">
        <v>76</v>
      </c>
      <c r="D158" s="63" t="s">
        <v>76</v>
      </c>
      <c r="E158" s="64">
        <v>0.0</v>
      </c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ht="15.75" customHeight="1">
      <c r="A159" s="61" t="str">
        <f t="shared" si="1"/>
        <v>CuritibaFortalezaCaminhão</v>
      </c>
      <c r="B159" s="62" t="s">
        <v>25</v>
      </c>
      <c r="C159" s="62" t="s">
        <v>76</v>
      </c>
      <c r="D159" s="63" t="s">
        <v>60</v>
      </c>
      <c r="E159" s="64">
        <v>3.0</v>
      </c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ht="15.75" customHeight="1">
      <c r="A160" s="61" t="str">
        <f t="shared" si="1"/>
        <v>CuritibaGoiâniaCaminhão</v>
      </c>
      <c r="B160" s="62" t="s">
        <v>25</v>
      </c>
      <c r="C160" s="62" t="s">
        <v>76</v>
      </c>
      <c r="D160" s="63" t="s">
        <v>61</v>
      </c>
      <c r="E160" s="64">
        <v>1.0</v>
      </c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ht="15.75" customHeight="1">
      <c r="A161" s="61" t="str">
        <f t="shared" si="1"/>
        <v>CuritibaJoão PessoaCaminhão</v>
      </c>
      <c r="B161" s="62" t="s">
        <v>25</v>
      </c>
      <c r="C161" s="62" t="s">
        <v>76</v>
      </c>
      <c r="D161" s="63" t="s">
        <v>62</v>
      </c>
      <c r="E161" s="64">
        <v>3.0</v>
      </c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ht="15.75" customHeight="1">
      <c r="A162" s="61" t="str">
        <f t="shared" si="1"/>
        <v>CuritibaJoinvilleCaminhão</v>
      </c>
      <c r="B162" s="62" t="s">
        <v>25</v>
      </c>
      <c r="C162" s="62" t="s">
        <v>76</v>
      </c>
      <c r="D162" s="63" t="s">
        <v>28</v>
      </c>
      <c r="E162" s="64">
        <v>0.0</v>
      </c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ht="15.75" customHeight="1">
      <c r="A163" s="61" t="str">
        <f t="shared" si="1"/>
        <v>CuritibaMaceióCaminhão</v>
      </c>
      <c r="B163" s="62" t="s">
        <v>25</v>
      </c>
      <c r="C163" s="62" t="s">
        <v>76</v>
      </c>
      <c r="D163" s="63" t="s">
        <v>63</v>
      </c>
      <c r="E163" s="64">
        <v>2.0</v>
      </c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ht="15.75" customHeight="1">
      <c r="A164" s="61" t="str">
        <f t="shared" si="1"/>
        <v>CuritibaManausCaminhão</v>
      </c>
      <c r="B164" s="62" t="s">
        <v>25</v>
      </c>
      <c r="C164" s="62" t="s">
        <v>76</v>
      </c>
      <c r="D164" s="63" t="s">
        <v>23</v>
      </c>
      <c r="E164" s="64">
        <v>3.0</v>
      </c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ht="15.75" customHeight="1">
      <c r="A165" s="61" t="str">
        <f t="shared" si="1"/>
        <v>CuritibaNatalCaminhão</v>
      </c>
      <c r="B165" s="62" t="s">
        <v>25</v>
      </c>
      <c r="C165" s="62" t="s">
        <v>76</v>
      </c>
      <c r="D165" s="63" t="s">
        <v>64</v>
      </c>
      <c r="E165" s="64">
        <v>3.0</v>
      </c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ht="15.75" customHeight="1">
      <c r="A166" s="61" t="str">
        <f t="shared" si="1"/>
        <v>CuritibaPorto AlegreCaminhão</v>
      </c>
      <c r="B166" s="62" t="s">
        <v>25</v>
      </c>
      <c r="C166" s="62" t="s">
        <v>76</v>
      </c>
      <c r="D166" s="63" t="s">
        <v>31</v>
      </c>
      <c r="E166" s="64">
        <v>1.0</v>
      </c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ht="15.75" customHeight="1">
      <c r="A167" s="61" t="str">
        <f t="shared" si="1"/>
        <v>CuritibaRecifeCaminhão</v>
      </c>
      <c r="B167" s="62" t="s">
        <v>25</v>
      </c>
      <c r="C167" s="62" t="s">
        <v>76</v>
      </c>
      <c r="D167" s="63" t="s">
        <v>65</v>
      </c>
      <c r="E167" s="64">
        <v>3.0</v>
      </c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ht="15.75" customHeight="1">
      <c r="A168" s="61" t="str">
        <f t="shared" si="1"/>
        <v>CuritibaRibeirão PretoCaminhão</v>
      </c>
      <c r="B168" s="62" t="s">
        <v>25</v>
      </c>
      <c r="C168" s="62" t="s">
        <v>76</v>
      </c>
      <c r="D168" s="63" t="s">
        <v>78</v>
      </c>
      <c r="E168" s="64">
        <v>1.0</v>
      </c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ht="15.75" customHeight="1">
      <c r="A169" s="61" t="str">
        <f t="shared" si="1"/>
        <v>CuritibaRio de JaneiroCaminhão</v>
      </c>
      <c r="B169" s="62" t="s">
        <v>25</v>
      </c>
      <c r="C169" s="62" t="s">
        <v>76</v>
      </c>
      <c r="D169" s="63" t="s">
        <v>66</v>
      </c>
      <c r="E169" s="64">
        <v>1.0</v>
      </c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ht="15.75" customHeight="1">
      <c r="A170" s="61" t="str">
        <f t="shared" si="1"/>
        <v>CuritibaSalvadorCaminhão</v>
      </c>
      <c r="B170" s="62" t="s">
        <v>25</v>
      </c>
      <c r="C170" s="62" t="s">
        <v>76</v>
      </c>
      <c r="D170" s="63" t="s">
        <v>67</v>
      </c>
      <c r="E170" s="64">
        <v>2.0</v>
      </c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ht="15.75" customHeight="1">
      <c r="A171" s="61" t="str">
        <f t="shared" si="1"/>
        <v>CuritibaSantosCaminhão</v>
      </c>
      <c r="B171" s="62" t="s">
        <v>25</v>
      </c>
      <c r="C171" s="62" t="s">
        <v>76</v>
      </c>
      <c r="D171" s="63" t="s">
        <v>38</v>
      </c>
      <c r="E171" s="64">
        <v>0.0</v>
      </c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ht="15.75" customHeight="1">
      <c r="A172" s="61" t="str">
        <f t="shared" si="1"/>
        <v>CuritibaSão LuísCaminhão</v>
      </c>
      <c r="B172" s="62" t="s">
        <v>25</v>
      </c>
      <c r="C172" s="62" t="s">
        <v>76</v>
      </c>
      <c r="D172" s="63" t="s">
        <v>36</v>
      </c>
      <c r="E172" s="64">
        <v>3.0</v>
      </c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ht="15.75" customHeight="1">
      <c r="A173" s="61" t="str">
        <f t="shared" si="1"/>
        <v>CuritibaSão PauloCaminhão</v>
      </c>
      <c r="B173" s="62" t="s">
        <v>25</v>
      </c>
      <c r="C173" s="62" t="s">
        <v>76</v>
      </c>
      <c r="D173" s="63" t="s">
        <v>75</v>
      </c>
      <c r="E173" s="64">
        <v>0.0</v>
      </c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ht="15.75" customHeight="1">
      <c r="A174" s="61" t="str">
        <f t="shared" si="1"/>
        <v>CuritibaUberlândiaCaminhão</v>
      </c>
      <c r="B174" s="62" t="s">
        <v>25</v>
      </c>
      <c r="C174" s="62" t="s">
        <v>76</v>
      </c>
      <c r="D174" s="63" t="s">
        <v>68</v>
      </c>
      <c r="E174" s="64">
        <v>1.0</v>
      </c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ht="15.75" customHeight="1">
      <c r="A175" s="61" t="str">
        <f t="shared" si="1"/>
        <v>CuritibaVitóriaCaminhão</v>
      </c>
      <c r="B175" s="62" t="s">
        <v>25</v>
      </c>
      <c r="C175" s="62" t="s">
        <v>76</v>
      </c>
      <c r="D175" s="63" t="s">
        <v>69</v>
      </c>
      <c r="E175" s="64">
        <v>1.0</v>
      </c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ht="15.75" customHeight="1">
      <c r="A176" s="61" t="str">
        <f t="shared" si="1"/>
        <v>CuritibaVitória da ConquistaCaminhão</v>
      </c>
      <c r="B176" s="62" t="s">
        <v>25</v>
      </c>
      <c r="C176" s="62" t="s">
        <v>76</v>
      </c>
      <c r="D176" s="63" t="s">
        <v>52</v>
      </c>
      <c r="E176" s="64">
        <v>2.0</v>
      </c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ht="15.75" customHeight="1">
      <c r="A177" s="61" t="str">
        <f t="shared" si="1"/>
        <v>FortalezaBelémCaminhão</v>
      </c>
      <c r="B177" s="62" t="s">
        <v>25</v>
      </c>
      <c r="C177" s="62" t="s">
        <v>60</v>
      </c>
      <c r="D177" s="63" t="s">
        <v>51</v>
      </c>
      <c r="E177" s="64">
        <v>1.0</v>
      </c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ht="15.75" customHeight="1">
      <c r="A178" s="61" t="str">
        <f t="shared" si="1"/>
        <v>FortalezaBelo HorizonteCaminhão</v>
      </c>
      <c r="B178" s="62" t="s">
        <v>25</v>
      </c>
      <c r="C178" s="62" t="s">
        <v>60</v>
      </c>
      <c r="D178" s="63" t="s">
        <v>57</v>
      </c>
      <c r="E178" s="64">
        <v>2.0</v>
      </c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ht="15.75" customHeight="1">
      <c r="A179" s="61" t="str">
        <f t="shared" si="1"/>
        <v>FortalezaBrasíliaCaminhão</v>
      </c>
      <c r="B179" s="62" t="s">
        <v>25</v>
      </c>
      <c r="C179" s="62" t="s">
        <v>60</v>
      </c>
      <c r="D179" s="63" t="s">
        <v>58</v>
      </c>
      <c r="E179" s="64">
        <v>2.0</v>
      </c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ht="15.75" customHeight="1">
      <c r="A180" s="61" t="str">
        <f t="shared" si="1"/>
        <v>FortalezaCampinasCaminhão</v>
      </c>
      <c r="B180" s="62" t="s">
        <v>25</v>
      </c>
      <c r="C180" s="62" t="s">
        <v>60</v>
      </c>
      <c r="D180" s="63" t="s">
        <v>77</v>
      </c>
      <c r="E180" s="64">
        <v>3.0</v>
      </c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ht="15.75" customHeight="1">
      <c r="A181" s="61" t="str">
        <f t="shared" si="1"/>
        <v>FortalezaCampo GrandeCaminhão</v>
      </c>
      <c r="B181" s="62" t="s">
        <v>25</v>
      </c>
      <c r="C181" s="62" t="s">
        <v>60</v>
      </c>
      <c r="D181" s="63" t="s">
        <v>59</v>
      </c>
      <c r="E181" s="64">
        <v>3.0</v>
      </c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ht="15.75" customHeight="1">
      <c r="A182" s="61" t="str">
        <f t="shared" si="1"/>
        <v>FortalezaCuiabáCaminhão</v>
      </c>
      <c r="B182" s="62" t="s">
        <v>25</v>
      </c>
      <c r="C182" s="62" t="s">
        <v>60</v>
      </c>
      <c r="D182" s="63" t="s">
        <v>29</v>
      </c>
      <c r="E182" s="64">
        <v>3.0</v>
      </c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ht="15.75" customHeight="1">
      <c r="A183" s="61" t="str">
        <f t="shared" si="1"/>
        <v>FortalezaCuritibaCaminhão</v>
      </c>
      <c r="B183" s="62" t="s">
        <v>25</v>
      </c>
      <c r="C183" s="62" t="s">
        <v>60</v>
      </c>
      <c r="D183" s="63" t="s">
        <v>76</v>
      </c>
      <c r="E183" s="64">
        <v>3.0</v>
      </c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ht="15.75" customHeight="1">
      <c r="A184" s="61" t="str">
        <f t="shared" si="1"/>
        <v>FortalezaFortalezaCaminhão</v>
      </c>
      <c r="B184" s="62" t="s">
        <v>25</v>
      </c>
      <c r="C184" s="62" t="s">
        <v>60</v>
      </c>
      <c r="D184" s="63" t="s">
        <v>60</v>
      </c>
      <c r="E184" s="64">
        <v>0.0</v>
      </c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ht="15.75" customHeight="1">
      <c r="A185" s="61" t="str">
        <f t="shared" si="1"/>
        <v>FortalezaGoiâniaCaminhão</v>
      </c>
      <c r="B185" s="62" t="s">
        <v>25</v>
      </c>
      <c r="C185" s="62" t="s">
        <v>60</v>
      </c>
      <c r="D185" s="63" t="s">
        <v>61</v>
      </c>
      <c r="E185" s="64">
        <v>2.0</v>
      </c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ht="15.75" customHeight="1">
      <c r="A186" s="61" t="str">
        <f t="shared" si="1"/>
        <v>FortalezaJoão PessoaCaminhão</v>
      </c>
      <c r="B186" s="62" t="s">
        <v>25</v>
      </c>
      <c r="C186" s="62" t="s">
        <v>60</v>
      </c>
      <c r="D186" s="63" t="s">
        <v>62</v>
      </c>
      <c r="E186" s="64">
        <v>1.0</v>
      </c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ht="15.75" customHeight="1">
      <c r="A187" s="61" t="str">
        <f t="shared" si="1"/>
        <v>FortalezaJoinvilleCaminhão</v>
      </c>
      <c r="B187" s="62" t="s">
        <v>25</v>
      </c>
      <c r="C187" s="62" t="s">
        <v>60</v>
      </c>
      <c r="D187" s="63" t="s">
        <v>28</v>
      </c>
      <c r="E187" s="64">
        <v>3.0</v>
      </c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ht="15.75" customHeight="1">
      <c r="A188" s="61" t="str">
        <f t="shared" si="1"/>
        <v>FortalezaMaceióCaminhão</v>
      </c>
      <c r="B188" s="62" t="s">
        <v>25</v>
      </c>
      <c r="C188" s="62" t="s">
        <v>60</v>
      </c>
      <c r="D188" s="63" t="s">
        <v>63</v>
      </c>
      <c r="E188" s="64">
        <v>1.0</v>
      </c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ht="15.75" customHeight="1">
      <c r="A189" s="61" t="str">
        <f t="shared" si="1"/>
        <v>FortalezaManausCaminhão</v>
      </c>
      <c r="B189" s="62" t="s">
        <v>25</v>
      </c>
      <c r="C189" s="62" t="s">
        <v>60</v>
      </c>
      <c r="D189" s="63" t="s">
        <v>23</v>
      </c>
      <c r="E189" s="64">
        <v>5.0</v>
      </c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ht="15.75" customHeight="1">
      <c r="A190" s="61" t="str">
        <f t="shared" si="1"/>
        <v>FortalezaNatalCaminhão</v>
      </c>
      <c r="B190" s="62" t="s">
        <v>25</v>
      </c>
      <c r="C190" s="62" t="s">
        <v>60</v>
      </c>
      <c r="D190" s="63" t="s">
        <v>64</v>
      </c>
      <c r="E190" s="64">
        <v>0.0</v>
      </c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ht="15.75" customHeight="1">
      <c r="A191" s="61" t="str">
        <f t="shared" si="1"/>
        <v>FortalezaPorto AlegreCaminhão</v>
      </c>
      <c r="B191" s="62" t="s">
        <v>25</v>
      </c>
      <c r="C191" s="62" t="s">
        <v>60</v>
      </c>
      <c r="D191" s="63" t="s">
        <v>31</v>
      </c>
      <c r="E191" s="64">
        <v>4.0</v>
      </c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ht="15.75" customHeight="1">
      <c r="A192" s="61" t="str">
        <f t="shared" si="1"/>
        <v>FortalezaRecifeCaminhão</v>
      </c>
      <c r="B192" s="62" t="s">
        <v>25</v>
      </c>
      <c r="C192" s="62" t="s">
        <v>60</v>
      </c>
      <c r="D192" s="63" t="s">
        <v>65</v>
      </c>
      <c r="E192" s="64">
        <v>1.0</v>
      </c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ht="15.75" customHeight="1">
      <c r="A193" s="61" t="str">
        <f t="shared" si="1"/>
        <v>FortalezaRibeirão PretoCaminhão</v>
      </c>
      <c r="B193" s="62" t="s">
        <v>25</v>
      </c>
      <c r="C193" s="62" t="s">
        <v>60</v>
      </c>
      <c r="D193" s="63" t="s">
        <v>78</v>
      </c>
      <c r="E193" s="64">
        <v>2.0</v>
      </c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ht="15.75" customHeight="1">
      <c r="A194" s="61" t="str">
        <f t="shared" si="1"/>
        <v>FortalezaRio de JaneiroCaminhão</v>
      </c>
      <c r="B194" s="62" t="s">
        <v>25</v>
      </c>
      <c r="C194" s="62" t="s">
        <v>60</v>
      </c>
      <c r="D194" s="63" t="s">
        <v>66</v>
      </c>
      <c r="E194" s="64">
        <v>2.0</v>
      </c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ht="15.75" customHeight="1">
      <c r="A195" s="61" t="str">
        <f t="shared" si="1"/>
        <v>FortalezaSalvadorCaminhão</v>
      </c>
      <c r="B195" s="62" t="s">
        <v>25</v>
      </c>
      <c r="C195" s="62" t="s">
        <v>60</v>
      </c>
      <c r="D195" s="63" t="s">
        <v>67</v>
      </c>
      <c r="E195" s="64">
        <v>1.0</v>
      </c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ht="15.75" customHeight="1">
      <c r="A196" s="61" t="str">
        <f t="shared" si="1"/>
        <v>FortalezaSantosCaminhão</v>
      </c>
      <c r="B196" s="62" t="s">
        <v>25</v>
      </c>
      <c r="C196" s="62" t="s">
        <v>60</v>
      </c>
      <c r="D196" s="63" t="s">
        <v>38</v>
      </c>
      <c r="E196" s="64">
        <v>3.0</v>
      </c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ht="15.75" customHeight="1">
      <c r="A197" s="61" t="str">
        <f t="shared" si="1"/>
        <v>FortalezaSão LuísCaminhão</v>
      </c>
      <c r="B197" s="62" t="s">
        <v>25</v>
      </c>
      <c r="C197" s="62" t="s">
        <v>60</v>
      </c>
      <c r="D197" s="63" t="s">
        <v>36</v>
      </c>
      <c r="E197" s="64">
        <v>1.0</v>
      </c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ht="15.75" customHeight="1">
      <c r="A198" s="61" t="str">
        <f t="shared" si="1"/>
        <v>FortalezaSão PauloCaminhão</v>
      </c>
      <c r="B198" s="62" t="s">
        <v>25</v>
      </c>
      <c r="C198" s="62" t="s">
        <v>60</v>
      </c>
      <c r="D198" s="63" t="s">
        <v>75</v>
      </c>
      <c r="E198" s="64">
        <v>3.0</v>
      </c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ht="15.75" customHeight="1">
      <c r="A199" s="61" t="str">
        <f t="shared" si="1"/>
        <v>FortalezaUberlândiaCaminhão</v>
      </c>
      <c r="B199" s="62" t="s">
        <v>25</v>
      </c>
      <c r="C199" s="62" t="s">
        <v>60</v>
      </c>
      <c r="D199" s="63" t="s">
        <v>68</v>
      </c>
      <c r="E199" s="64">
        <v>2.0</v>
      </c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ht="15.75" customHeight="1">
      <c r="A200" s="61" t="str">
        <f t="shared" si="1"/>
        <v>FortalezaVitóriaCaminhão</v>
      </c>
      <c r="B200" s="62" t="s">
        <v>25</v>
      </c>
      <c r="C200" s="62" t="s">
        <v>60</v>
      </c>
      <c r="D200" s="63" t="s">
        <v>69</v>
      </c>
      <c r="E200" s="64">
        <v>2.0</v>
      </c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ht="15.75" customHeight="1">
      <c r="A201" s="61" t="str">
        <f t="shared" si="1"/>
        <v>FortalezaVitória da ConquistaCaminhão</v>
      </c>
      <c r="B201" s="62" t="s">
        <v>25</v>
      </c>
      <c r="C201" s="62" t="s">
        <v>60</v>
      </c>
      <c r="D201" s="63" t="s">
        <v>52</v>
      </c>
      <c r="E201" s="64">
        <v>1.0</v>
      </c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ht="15.75" customHeight="1">
      <c r="A202" s="61" t="str">
        <f t="shared" si="1"/>
        <v>GoiâniaBelémCaminhão</v>
      </c>
      <c r="B202" s="62" t="s">
        <v>25</v>
      </c>
      <c r="C202" s="63" t="s">
        <v>61</v>
      </c>
      <c r="D202" s="63" t="s">
        <v>51</v>
      </c>
      <c r="E202" s="64">
        <v>2.0</v>
      </c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ht="15.75" customHeight="1">
      <c r="A203" s="61" t="str">
        <f t="shared" si="1"/>
        <v>GoiâniaBelo HorizonteCaminhão</v>
      </c>
      <c r="B203" s="62" t="s">
        <v>25</v>
      </c>
      <c r="C203" s="63" t="s">
        <v>61</v>
      </c>
      <c r="D203" s="63" t="s">
        <v>57</v>
      </c>
      <c r="E203" s="64">
        <v>1.0</v>
      </c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ht="15.75" customHeight="1">
      <c r="A204" s="61" t="str">
        <f t="shared" si="1"/>
        <v>GoiâniaBrasíliaCaminhão</v>
      </c>
      <c r="B204" s="62" t="s">
        <v>25</v>
      </c>
      <c r="C204" s="63" t="s">
        <v>61</v>
      </c>
      <c r="D204" s="63" t="s">
        <v>58</v>
      </c>
      <c r="E204" s="64">
        <v>0.0</v>
      </c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ht="15.75" customHeight="1">
      <c r="A205" s="61" t="str">
        <f t="shared" si="1"/>
        <v>GoiâniaCampinasCaminhão</v>
      </c>
      <c r="B205" s="62" t="s">
        <v>25</v>
      </c>
      <c r="C205" s="63" t="s">
        <v>61</v>
      </c>
      <c r="D205" s="63" t="s">
        <v>77</v>
      </c>
      <c r="E205" s="64">
        <v>1.0</v>
      </c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ht="15.75" customHeight="1">
      <c r="A206" s="61" t="str">
        <f t="shared" si="1"/>
        <v>GoiâniaCampo GrandeCaminhão</v>
      </c>
      <c r="B206" s="62" t="s">
        <v>25</v>
      </c>
      <c r="C206" s="63" t="s">
        <v>61</v>
      </c>
      <c r="D206" s="63" t="s">
        <v>59</v>
      </c>
      <c r="E206" s="64">
        <v>1.0</v>
      </c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ht="15.75" customHeight="1">
      <c r="A207" s="61" t="str">
        <f t="shared" si="1"/>
        <v>GoiâniaCuiabáCaminhão</v>
      </c>
      <c r="B207" s="62" t="s">
        <v>25</v>
      </c>
      <c r="C207" s="63" t="s">
        <v>61</v>
      </c>
      <c r="D207" s="63" t="s">
        <v>29</v>
      </c>
      <c r="E207" s="64">
        <v>1.0</v>
      </c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ht="15.75" customHeight="1">
      <c r="A208" s="61" t="str">
        <f t="shared" si="1"/>
        <v>GoiâniaCuritibaCaminhão</v>
      </c>
      <c r="B208" s="62" t="s">
        <v>25</v>
      </c>
      <c r="C208" s="63" t="s">
        <v>61</v>
      </c>
      <c r="D208" s="63" t="s">
        <v>76</v>
      </c>
      <c r="E208" s="64">
        <v>1.0</v>
      </c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ht="15.75" customHeight="1">
      <c r="A209" s="61" t="str">
        <f t="shared" si="1"/>
        <v>GoiâniaFortalezaCaminhão</v>
      </c>
      <c r="B209" s="62" t="s">
        <v>25</v>
      </c>
      <c r="C209" s="63" t="s">
        <v>61</v>
      </c>
      <c r="D209" s="63" t="s">
        <v>60</v>
      </c>
      <c r="E209" s="64">
        <v>2.0</v>
      </c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ht="15.75" customHeight="1">
      <c r="A210" s="61" t="str">
        <f t="shared" si="1"/>
        <v>GoiâniaGoiâniaCaminhão</v>
      </c>
      <c r="B210" s="62" t="s">
        <v>25</v>
      </c>
      <c r="C210" s="63" t="s">
        <v>61</v>
      </c>
      <c r="D210" s="63" t="s">
        <v>61</v>
      </c>
      <c r="E210" s="64">
        <v>0.0</v>
      </c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ht="15.75" customHeight="1">
      <c r="A211" s="61" t="str">
        <f t="shared" si="1"/>
        <v>GoiâniaJoão PessoaCaminhão</v>
      </c>
      <c r="B211" s="62" t="s">
        <v>25</v>
      </c>
      <c r="C211" s="63" t="s">
        <v>61</v>
      </c>
      <c r="D211" s="63" t="s">
        <v>62</v>
      </c>
      <c r="E211" s="64">
        <v>2.0</v>
      </c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ht="15.75" customHeight="1">
      <c r="A212" s="61" t="str">
        <f t="shared" si="1"/>
        <v>GoiâniaJoinvilleCaminhão</v>
      </c>
      <c r="B212" s="62" t="s">
        <v>25</v>
      </c>
      <c r="C212" s="63" t="s">
        <v>61</v>
      </c>
      <c r="D212" s="63" t="s">
        <v>28</v>
      </c>
      <c r="E212" s="64">
        <v>1.0</v>
      </c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ht="15.75" customHeight="1">
      <c r="A213" s="61" t="str">
        <f t="shared" si="1"/>
        <v>GoiâniaMaceióCaminhão</v>
      </c>
      <c r="B213" s="62" t="s">
        <v>25</v>
      </c>
      <c r="C213" s="63" t="s">
        <v>61</v>
      </c>
      <c r="D213" s="63" t="s">
        <v>63</v>
      </c>
      <c r="E213" s="64">
        <v>2.0</v>
      </c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ht="15.75" customHeight="1">
      <c r="A214" s="61" t="str">
        <f t="shared" si="1"/>
        <v>GoiâniaManausCaminhão</v>
      </c>
      <c r="B214" s="62" t="s">
        <v>25</v>
      </c>
      <c r="C214" s="63" t="s">
        <v>61</v>
      </c>
      <c r="D214" s="63" t="s">
        <v>23</v>
      </c>
      <c r="E214" s="64">
        <v>3.0</v>
      </c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ht="15.75" customHeight="1">
      <c r="A215" s="61" t="str">
        <f t="shared" si="1"/>
        <v>GoiâniaNatalCaminhão</v>
      </c>
      <c r="B215" s="62" t="s">
        <v>25</v>
      </c>
      <c r="C215" s="63" t="s">
        <v>61</v>
      </c>
      <c r="D215" s="63" t="s">
        <v>64</v>
      </c>
      <c r="E215" s="64">
        <v>2.0</v>
      </c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ht="15.75" customHeight="1">
      <c r="A216" s="61" t="str">
        <f t="shared" si="1"/>
        <v>GoiâniaPorto AlegreCaminhão</v>
      </c>
      <c r="B216" s="62" t="s">
        <v>25</v>
      </c>
      <c r="C216" s="63" t="s">
        <v>61</v>
      </c>
      <c r="D216" s="63" t="s">
        <v>31</v>
      </c>
      <c r="E216" s="64">
        <v>2.0</v>
      </c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ht="15.75" customHeight="1">
      <c r="A217" s="61" t="str">
        <f t="shared" si="1"/>
        <v>GoiâniaRecifeCaminhão</v>
      </c>
      <c r="B217" s="62" t="s">
        <v>25</v>
      </c>
      <c r="C217" s="63" t="s">
        <v>61</v>
      </c>
      <c r="D217" s="63" t="s">
        <v>65</v>
      </c>
      <c r="E217" s="64">
        <v>2.0</v>
      </c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ht="15.75" customHeight="1">
      <c r="A218" s="61" t="str">
        <f t="shared" si="1"/>
        <v>GoiâniaRibeirão PretoCaminhão</v>
      </c>
      <c r="B218" s="62" t="s">
        <v>25</v>
      </c>
      <c r="C218" s="63" t="s">
        <v>61</v>
      </c>
      <c r="D218" s="63" t="s">
        <v>78</v>
      </c>
      <c r="E218" s="64">
        <v>1.0</v>
      </c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ht="15.75" customHeight="1">
      <c r="A219" s="61" t="str">
        <f t="shared" si="1"/>
        <v>GoiâniaRio de JaneiroCaminhão</v>
      </c>
      <c r="B219" s="62" t="s">
        <v>25</v>
      </c>
      <c r="C219" s="63" t="s">
        <v>61</v>
      </c>
      <c r="D219" s="63" t="s">
        <v>66</v>
      </c>
      <c r="E219" s="64">
        <v>1.0</v>
      </c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ht="15.75" customHeight="1">
      <c r="A220" s="61" t="str">
        <f t="shared" si="1"/>
        <v>GoiâniaSalvadorCaminhão</v>
      </c>
      <c r="B220" s="62" t="s">
        <v>25</v>
      </c>
      <c r="C220" s="63" t="s">
        <v>61</v>
      </c>
      <c r="D220" s="63" t="s">
        <v>67</v>
      </c>
      <c r="E220" s="64">
        <v>1.0</v>
      </c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ht="15.75" customHeight="1">
      <c r="A221" s="61" t="str">
        <f t="shared" si="1"/>
        <v>GoiâniaSantosCaminhão</v>
      </c>
      <c r="B221" s="62" t="s">
        <v>25</v>
      </c>
      <c r="C221" s="63" t="s">
        <v>61</v>
      </c>
      <c r="D221" s="63" t="s">
        <v>38</v>
      </c>
      <c r="E221" s="64">
        <v>1.0</v>
      </c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ht="15.75" customHeight="1">
      <c r="A222" s="61" t="str">
        <f t="shared" si="1"/>
        <v>GoiâniaSão LuísCaminhão</v>
      </c>
      <c r="B222" s="62" t="s">
        <v>25</v>
      </c>
      <c r="C222" s="63" t="s">
        <v>61</v>
      </c>
      <c r="D222" s="63" t="s">
        <v>36</v>
      </c>
      <c r="E222" s="64">
        <v>2.0</v>
      </c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ht="15.75" customHeight="1">
      <c r="A223" s="61" t="str">
        <f t="shared" si="1"/>
        <v>GoiâniaSão PauloCaminhão</v>
      </c>
      <c r="B223" s="62" t="s">
        <v>25</v>
      </c>
      <c r="C223" s="63" t="s">
        <v>61</v>
      </c>
      <c r="D223" s="63" t="s">
        <v>75</v>
      </c>
      <c r="E223" s="64">
        <v>1.0</v>
      </c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ht="15.75" customHeight="1">
      <c r="A224" s="61" t="str">
        <f t="shared" si="1"/>
        <v>GoiâniaUberlândiaCaminhão</v>
      </c>
      <c r="B224" s="62" t="s">
        <v>25</v>
      </c>
      <c r="C224" s="63" t="s">
        <v>61</v>
      </c>
      <c r="D224" s="63" t="s">
        <v>68</v>
      </c>
      <c r="E224" s="64">
        <v>0.0</v>
      </c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ht="15.75" customHeight="1">
      <c r="A225" s="61" t="str">
        <f t="shared" si="1"/>
        <v>GoiâniaVitóriaCaminhão</v>
      </c>
      <c r="B225" s="62" t="s">
        <v>25</v>
      </c>
      <c r="C225" s="63" t="s">
        <v>61</v>
      </c>
      <c r="D225" s="63" t="s">
        <v>69</v>
      </c>
      <c r="E225" s="64">
        <v>1.0</v>
      </c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ht="15.75" customHeight="1">
      <c r="A226" s="61" t="str">
        <f t="shared" si="1"/>
        <v>GoiâniaVitória da ConquistaCaminhão</v>
      </c>
      <c r="B226" s="62" t="s">
        <v>25</v>
      </c>
      <c r="C226" s="63" t="s">
        <v>61</v>
      </c>
      <c r="D226" s="63" t="s">
        <v>52</v>
      </c>
      <c r="E226" s="64">
        <v>1.0</v>
      </c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ht="15.75" customHeight="1">
      <c r="A227" s="61" t="str">
        <f t="shared" si="1"/>
        <v>João PessoaBelémCaminhão</v>
      </c>
      <c r="B227" s="62" t="s">
        <v>25</v>
      </c>
      <c r="C227" s="63" t="s">
        <v>62</v>
      </c>
      <c r="D227" s="63" t="s">
        <v>51</v>
      </c>
      <c r="E227" s="64">
        <v>2.0</v>
      </c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ht="15.75" customHeight="1">
      <c r="A228" s="61" t="str">
        <f t="shared" si="1"/>
        <v>João PessoaBelo HorizonteCaminhão</v>
      </c>
      <c r="B228" s="62" t="s">
        <v>25</v>
      </c>
      <c r="C228" s="63" t="s">
        <v>62</v>
      </c>
      <c r="D228" s="63" t="s">
        <v>57</v>
      </c>
      <c r="E228" s="64">
        <v>2.0</v>
      </c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ht="15.75" customHeight="1">
      <c r="A229" s="61" t="str">
        <f t="shared" si="1"/>
        <v>João PessoaBrasíliaCaminhão</v>
      </c>
      <c r="B229" s="62" t="s">
        <v>25</v>
      </c>
      <c r="C229" s="63" t="s">
        <v>62</v>
      </c>
      <c r="D229" s="63" t="s">
        <v>58</v>
      </c>
      <c r="E229" s="64">
        <v>2.0</v>
      </c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ht="15.75" customHeight="1">
      <c r="A230" s="61" t="str">
        <f t="shared" si="1"/>
        <v>João PessoaCampinasCaminhão</v>
      </c>
      <c r="B230" s="62" t="s">
        <v>25</v>
      </c>
      <c r="C230" s="63" t="s">
        <v>62</v>
      </c>
      <c r="D230" s="63" t="s">
        <v>77</v>
      </c>
      <c r="E230" s="64">
        <v>2.0</v>
      </c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ht="15.75" customHeight="1">
      <c r="A231" s="61" t="str">
        <f t="shared" si="1"/>
        <v>João PessoaCampo GrandeCaminhão</v>
      </c>
      <c r="B231" s="62" t="s">
        <v>25</v>
      </c>
      <c r="C231" s="63" t="s">
        <v>62</v>
      </c>
      <c r="D231" s="63" t="s">
        <v>59</v>
      </c>
      <c r="E231" s="64">
        <v>3.0</v>
      </c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ht="15.75" customHeight="1">
      <c r="A232" s="61" t="str">
        <f t="shared" si="1"/>
        <v>João PessoaCuiabáCaminhão</v>
      </c>
      <c r="B232" s="62" t="s">
        <v>25</v>
      </c>
      <c r="C232" s="63" t="s">
        <v>62</v>
      </c>
      <c r="D232" s="63" t="s">
        <v>29</v>
      </c>
      <c r="E232" s="64">
        <v>3.0</v>
      </c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ht="15.75" customHeight="1">
      <c r="A233" s="61" t="str">
        <f t="shared" si="1"/>
        <v>João PessoaCuritibaCaminhão</v>
      </c>
      <c r="B233" s="62" t="s">
        <v>25</v>
      </c>
      <c r="C233" s="63" t="s">
        <v>62</v>
      </c>
      <c r="D233" s="63" t="s">
        <v>76</v>
      </c>
      <c r="E233" s="64">
        <v>3.0</v>
      </c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ht="15.75" customHeight="1">
      <c r="A234" s="61" t="str">
        <f t="shared" si="1"/>
        <v>João PessoaFortalezaCaminhão</v>
      </c>
      <c r="B234" s="62" t="s">
        <v>25</v>
      </c>
      <c r="C234" s="63" t="s">
        <v>62</v>
      </c>
      <c r="D234" s="63" t="s">
        <v>60</v>
      </c>
      <c r="E234" s="64">
        <v>1.0</v>
      </c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ht="15.75" customHeight="1">
      <c r="A235" s="61" t="str">
        <f t="shared" si="1"/>
        <v>João PessoaGoiâniaCaminhão</v>
      </c>
      <c r="B235" s="62" t="s">
        <v>25</v>
      </c>
      <c r="C235" s="63" t="s">
        <v>62</v>
      </c>
      <c r="D235" s="63" t="s">
        <v>61</v>
      </c>
      <c r="E235" s="64">
        <v>2.0</v>
      </c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ht="15.75" customHeight="1">
      <c r="A236" s="61" t="str">
        <f t="shared" si="1"/>
        <v>João PessoaJoão PessoaCaminhão</v>
      </c>
      <c r="B236" s="62" t="s">
        <v>25</v>
      </c>
      <c r="C236" s="63" t="s">
        <v>62</v>
      </c>
      <c r="D236" s="63" t="s">
        <v>62</v>
      </c>
      <c r="E236" s="64">
        <v>0.0</v>
      </c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ht="15.75" customHeight="1">
      <c r="A237" s="61" t="str">
        <f t="shared" si="1"/>
        <v>João PessoaJoinvilleCaminhão</v>
      </c>
      <c r="B237" s="62" t="s">
        <v>25</v>
      </c>
      <c r="C237" s="63" t="s">
        <v>62</v>
      </c>
      <c r="D237" s="63" t="s">
        <v>28</v>
      </c>
      <c r="E237" s="64">
        <v>3.0</v>
      </c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ht="15.75" customHeight="1">
      <c r="A238" s="61" t="str">
        <f t="shared" si="1"/>
        <v>João PessoaMaceióCaminhão</v>
      </c>
      <c r="B238" s="62" t="s">
        <v>25</v>
      </c>
      <c r="C238" s="63" t="s">
        <v>62</v>
      </c>
      <c r="D238" s="63" t="s">
        <v>63</v>
      </c>
      <c r="E238" s="64">
        <v>0.0</v>
      </c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ht="15.75" customHeight="1">
      <c r="A239" s="61" t="str">
        <f t="shared" si="1"/>
        <v>João PessoaManausCaminhão</v>
      </c>
      <c r="B239" s="62" t="s">
        <v>25</v>
      </c>
      <c r="C239" s="63" t="s">
        <v>62</v>
      </c>
      <c r="D239" s="63" t="s">
        <v>23</v>
      </c>
      <c r="E239" s="64">
        <v>5.0</v>
      </c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ht="15.75" customHeight="1">
      <c r="A240" s="61" t="str">
        <f t="shared" si="1"/>
        <v>João PessoaNatalCaminhão</v>
      </c>
      <c r="B240" s="62" t="s">
        <v>25</v>
      </c>
      <c r="C240" s="63" t="s">
        <v>62</v>
      </c>
      <c r="D240" s="63" t="s">
        <v>64</v>
      </c>
      <c r="E240" s="64">
        <v>0.0</v>
      </c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ht="15.75" customHeight="1">
      <c r="A241" s="61" t="str">
        <f t="shared" si="1"/>
        <v>João PessoaPorto AlegreCaminhão</v>
      </c>
      <c r="B241" s="62" t="s">
        <v>25</v>
      </c>
      <c r="C241" s="63" t="s">
        <v>62</v>
      </c>
      <c r="D241" s="63" t="s">
        <v>31</v>
      </c>
      <c r="E241" s="64">
        <v>3.0</v>
      </c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ht="15.75" customHeight="1">
      <c r="A242" s="61" t="str">
        <f t="shared" si="1"/>
        <v>João PessoaRecifeCaminhão</v>
      </c>
      <c r="B242" s="62" t="s">
        <v>25</v>
      </c>
      <c r="C242" s="63" t="s">
        <v>62</v>
      </c>
      <c r="D242" s="63" t="s">
        <v>65</v>
      </c>
      <c r="E242" s="64">
        <v>0.0</v>
      </c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ht="15.75" customHeight="1">
      <c r="A243" s="61" t="str">
        <f t="shared" si="1"/>
        <v>João PessoaRibeirão PretoCaminhão</v>
      </c>
      <c r="B243" s="62" t="s">
        <v>25</v>
      </c>
      <c r="C243" s="63" t="s">
        <v>62</v>
      </c>
      <c r="D243" s="63" t="s">
        <v>78</v>
      </c>
      <c r="E243" s="64">
        <v>2.0</v>
      </c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ht="15.75" customHeight="1">
      <c r="A244" s="61" t="str">
        <f t="shared" si="1"/>
        <v>João PessoaRio de JaneiroCaminhão</v>
      </c>
      <c r="B244" s="62" t="s">
        <v>25</v>
      </c>
      <c r="C244" s="63" t="s">
        <v>62</v>
      </c>
      <c r="D244" s="63" t="s">
        <v>66</v>
      </c>
      <c r="E244" s="64">
        <v>2.0</v>
      </c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ht="15.75" customHeight="1">
      <c r="A245" s="61" t="str">
        <f t="shared" si="1"/>
        <v>João PessoaSalvadorCaminhão</v>
      </c>
      <c r="B245" s="62" t="s">
        <v>25</v>
      </c>
      <c r="C245" s="63" t="s">
        <v>62</v>
      </c>
      <c r="D245" s="63" t="s">
        <v>67</v>
      </c>
      <c r="E245" s="64">
        <v>1.0</v>
      </c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ht="15.75" customHeight="1">
      <c r="A246" s="61" t="str">
        <f t="shared" si="1"/>
        <v>João PessoaSantosCaminhão</v>
      </c>
      <c r="B246" s="62" t="s">
        <v>25</v>
      </c>
      <c r="C246" s="63" t="s">
        <v>62</v>
      </c>
      <c r="D246" s="63" t="s">
        <v>38</v>
      </c>
      <c r="E246" s="64">
        <v>2.0</v>
      </c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ht="15.75" customHeight="1">
      <c r="A247" s="61" t="str">
        <f t="shared" si="1"/>
        <v>João PessoaSão LuísCaminhão</v>
      </c>
      <c r="B247" s="62" t="s">
        <v>25</v>
      </c>
      <c r="C247" s="63" t="s">
        <v>62</v>
      </c>
      <c r="D247" s="63" t="s">
        <v>36</v>
      </c>
      <c r="E247" s="64">
        <v>1.0</v>
      </c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ht="15.75" customHeight="1">
      <c r="A248" s="61" t="str">
        <f t="shared" si="1"/>
        <v>João PessoaSão PauloCaminhão</v>
      </c>
      <c r="B248" s="62" t="s">
        <v>25</v>
      </c>
      <c r="C248" s="63" t="s">
        <v>62</v>
      </c>
      <c r="D248" s="63" t="s">
        <v>75</v>
      </c>
      <c r="E248" s="64">
        <v>2.0</v>
      </c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ht="15.75" customHeight="1">
      <c r="A249" s="61" t="str">
        <f t="shared" si="1"/>
        <v>João PessoaUberlândiaCaminhão</v>
      </c>
      <c r="B249" s="62" t="s">
        <v>25</v>
      </c>
      <c r="C249" s="63" t="s">
        <v>62</v>
      </c>
      <c r="D249" s="63" t="s">
        <v>68</v>
      </c>
      <c r="E249" s="64">
        <v>2.0</v>
      </c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ht="15.75" customHeight="1">
      <c r="A250" s="61" t="str">
        <f t="shared" si="1"/>
        <v>João PessoaVitóriaCaminhão</v>
      </c>
      <c r="B250" s="62" t="s">
        <v>25</v>
      </c>
      <c r="C250" s="63" t="s">
        <v>62</v>
      </c>
      <c r="D250" s="63" t="s">
        <v>69</v>
      </c>
      <c r="E250" s="64">
        <v>2.0</v>
      </c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ht="15.75" customHeight="1">
      <c r="A251" s="61" t="str">
        <f t="shared" si="1"/>
        <v>João PessoaVitória da ConquistaCaminhão</v>
      </c>
      <c r="B251" s="62" t="s">
        <v>25</v>
      </c>
      <c r="C251" s="63" t="s">
        <v>62</v>
      </c>
      <c r="D251" s="63" t="s">
        <v>52</v>
      </c>
      <c r="E251" s="64">
        <v>1.0</v>
      </c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ht="15.75" customHeight="1">
      <c r="A252" s="61" t="str">
        <f t="shared" si="1"/>
        <v>JoinvilleBelémCaminhão</v>
      </c>
      <c r="B252" s="62" t="s">
        <v>25</v>
      </c>
      <c r="C252" s="62" t="s">
        <v>28</v>
      </c>
      <c r="D252" s="63" t="s">
        <v>51</v>
      </c>
      <c r="E252" s="64">
        <v>3.0</v>
      </c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ht="15.75" customHeight="1">
      <c r="A253" s="61" t="str">
        <f t="shared" si="1"/>
        <v>JoinvilleBelo HorizonteCaminhão</v>
      </c>
      <c r="B253" s="62" t="s">
        <v>25</v>
      </c>
      <c r="C253" s="62" t="s">
        <v>28</v>
      </c>
      <c r="D253" s="63" t="s">
        <v>57</v>
      </c>
      <c r="E253" s="64">
        <v>1.0</v>
      </c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ht="15.75" customHeight="1">
      <c r="A254" s="61" t="str">
        <f t="shared" si="1"/>
        <v>JoinvilleBrasíliaCaminhão</v>
      </c>
      <c r="B254" s="62" t="s">
        <v>25</v>
      </c>
      <c r="C254" s="62" t="s">
        <v>28</v>
      </c>
      <c r="D254" s="63" t="s">
        <v>58</v>
      </c>
      <c r="E254" s="64">
        <v>1.0</v>
      </c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ht="15.75" customHeight="1">
      <c r="A255" s="61" t="str">
        <f t="shared" si="1"/>
        <v>JoinvilleCampinasCaminhão</v>
      </c>
      <c r="B255" s="62" t="s">
        <v>25</v>
      </c>
      <c r="C255" s="62" t="s">
        <v>28</v>
      </c>
      <c r="D255" s="63" t="s">
        <v>77</v>
      </c>
      <c r="E255" s="64">
        <v>1.0</v>
      </c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ht="15.75" customHeight="1">
      <c r="A256" s="61" t="str">
        <f t="shared" si="1"/>
        <v>JoinvilleCampo GrandeCaminhão</v>
      </c>
      <c r="B256" s="62" t="s">
        <v>25</v>
      </c>
      <c r="C256" s="62" t="s">
        <v>28</v>
      </c>
      <c r="D256" s="63" t="s">
        <v>59</v>
      </c>
      <c r="E256" s="64">
        <v>1.0</v>
      </c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ht="15.75" customHeight="1">
      <c r="A257" s="61" t="str">
        <f t="shared" si="1"/>
        <v>JoinvilleCuiabáCaminhão</v>
      </c>
      <c r="B257" s="62" t="s">
        <v>25</v>
      </c>
      <c r="C257" s="62" t="s">
        <v>28</v>
      </c>
      <c r="D257" s="63" t="s">
        <v>29</v>
      </c>
      <c r="E257" s="64">
        <v>2.0</v>
      </c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ht="15.75" customHeight="1">
      <c r="A258" s="61" t="str">
        <f t="shared" si="1"/>
        <v>JoinvilleCuritibaCaminhão</v>
      </c>
      <c r="B258" s="62" t="s">
        <v>25</v>
      </c>
      <c r="C258" s="62" t="s">
        <v>28</v>
      </c>
      <c r="D258" s="63" t="s">
        <v>76</v>
      </c>
      <c r="E258" s="64">
        <v>0.0</v>
      </c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ht="15.75" customHeight="1">
      <c r="A259" s="61" t="str">
        <f t="shared" si="1"/>
        <v>JoinvilleFortalezaCaminhão</v>
      </c>
      <c r="B259" s="62" t="s">
        <v>25</v>
      </c>
      <c r="C259" s="62" t="s">
        <v>28</v>
      </c>
      <c r="D259" s="63" t="s">
        <v>60</v>
      </c>
      <c r="E259" s="64">
        <v>3.0</v>
      </c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ht="15.75" customHeight="1">
      <c r="A260" s="61" t="str">
        <f t="shared" si="1"/>
        <v>JoinvilleGoiâniaCaminhão</v>
      </c>
      <c r="B260" s="62" t="s">
        <v>25</v>
      </c>
      <c r="C260" s="62" t="s">
        <v>28</v>
      </c>
      <c r="D260" s="63" t="s">
        <v>61</v>
      </c>
      <c r="E260" s="64">
        <v>1.0</v>
      </c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ht="15.75" customHeight="1">
      <c r="A261" s="61" t="str">
        <f t="shared" si="1"/>
        <v>JoinvilleJoão PessoaCaminhão</v>
      </c>
      <c r="B261" s="62" t="s">
        <v>25</v>
      </c>
      <c r="C261" s="62" t="s">
        <v>28</v>
      </c>
      <c r="D261" s="63" t="s">
        <v>62</v>
      </c>
      <c r="E261" s="64">
        <v>3.0</v>
      </c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ht="15.75" customHeight="1">
      <c r="A262" s="61" t="str">
        <f t="shared" si="1"/>
        <v>JoinvilleJoinvilleCaminhão</v>
      </c>
      <c r="B262" s="62" t="s">
        <v>25</v>
      </c>
      <c r="C262" s="62" t="s">
        <v>28</v>
      </c>
      <c r="D262" s="63" t="s">
        <v>28</v>
      </c>
      <c r="E262" s="64">
        <v>0.0</v>
      </c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ht="15.75" customHeight="1">
      <c r="A263" s="61" t="str">
        <f t="shared" si="1"/>
        <v>JoinvilleMaceióCaminhão</v>
      </c>
      <c r="B263" s="62" t="s">
        <v>25</v>
      </c>
      <c r="C263" s="62" t="s">
        <v>28</v>
      </c>
      <c r="D263" s="63" t="s">
        <v>63</v>
      </c>
      <c r="E263" s="64">
        <v>2.0</v>
      </c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ht="15.75" customHeight="1">
      <c r="A264" s="61" t="str">
        <f t="shared" si="1"/>
        <v>JoinvilleManausCaminhão</v>
      </c>
      <c r="B264" s="62" t="s">
        <v>25</v>
      </c>
      <c r="C264" s="62" t="s">
        <v>28</v>
      </c>
      <c r="D264" s="63" t="s">
        <v>23</v>
      </c>
      <c r="E264" s="64">
        <v>3.0</v>
      </c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ht="15.75" customHeight="1">
      <c r="A265" s="61" t="str">
        <f t="shared" si="1"/>
        <v>JoinvilleNatalCaminhão</v>
      </c>
      <c r="B265" s="62" t="s">
        <v>25</v>
      </c>
      <c r="C265" s="62" t="s">
        <v>28</v>
      </c>
      <c r="D265" s="63" t="s">
        <v>64</v>
      </c>
      <c r="E265" s="64">
        <v>3.0</v>
      </c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ht="15.75" customHeight="1">
      <c r="A266" s="61" t="str">
        <f t="shared" si="1"/>
        <v>JoinvillePorto AlegreCaminhão</v>
      </c>
      <c r="B266" s="62" t="s">
        <v>25</v>
      </c>
      <c r="C266" s="62" t="s">
        <v>28</v>
      </c>
      <c r="D266" s="63" t="s">
        <v>31</v>
      </c>
      <c r="E266" s="64">
        <v>1.0</v>
      </c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ht="15.75" customHeight="1">
      <c r="A267" s="61" t="str">
        <f t="shared" si="1"/>
        <v>JoinvilleRecifeCaminhão</v>
      </c>
      <c r="B267" s="62" t="s">
        <v>25</v>
      </c>
      <c r="C267" s="62" t="s">
        <v>28</v>
      </c>
      <c r="D267" s="63" t="s">
        <v>65</v>
      </c>
      <c r="E267" s="64">
        <v>3.0</v>
      </c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ht="15.75" customHeight="1">
      <c r="A268" s="61" t="str">
        <f t="shared" si="1"/>
        <v>JoinvilleRibeirão PretoCaminhão</v>
      </c>
      <c r="B268" s="62" t="s">
        <v>25</v>
      </c>
      <c r="C268" s="62" t="s">
        <v>28</v>
      </c>
      <c r="D268" s="63" t="s">
        <v>78</v>
      </c>
      <c r="E268" s="64">
        <v>1.0</v>
      </c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ht="15.75" customHeight="1">
      <c r="A269" s="61" t="str">
        <f t="shared" si="1"/>
        <v>JoinvilleRio de JaneiroCaminhão</v>
      </c>
      <c r="B269" s="62" t="s">
        <v>25</v>
      </c>
      <c r="C269" s="62" t="s">
        <v>28</v>
      </c>
      <c r="D269" s="63" t="s">
        <v>66</v>
      </c>
      <c r="E269" s="64">
        <v>1.0</v>
      </c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ht="15.75" customHeight="1">
      <c r="A270" s="61" t="str">
        <f t="shared" si="1"/>
        <v>JoinvilleSalvadorCaminhão</v>
      </c>
      <c r="B270" s="62" t="s">
        <v>25</v>
      </c>
      <c r="C270" s="62" t="s">
        <v>28</v>
      </c>
      <c r="D270" s="63" t="s">
        <v>67</v>
      </c>
      <c r="E270" s="64">
        <v>2.0</v>
      </c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ht="15.75" customHeight="1">
      <c r="A271" s="61" t="str">
        <f t="shared" si="1"/>
        <v>JoinvilleSantosCaminhão</v>
      </c>
      <c r="B271" s="62" t="s">
        <v>25</v>
      </c>
      <c r="C271" s="62" t="s">
        <v>28</v>
      </c>
      <c r="D271" s="63" t="s">
        <v>38</v>
      </c>
      <c r="E271" s="64">
        <v>1.0</v>
      </c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ht="15.75" customHeight="1">
      <c r="A272" s="61" t="str">
        <f t="shared" si="1"/>
        <v>JoinvilleSão LuísCaminhão</v>
      </c>
      <c r="B272" s="62" t="s">
        <v>25</v>
      </c>
      <c r="C272" s="62" t="s">
        <v>28</v>
      </c>
      <c r="D272" s="63" t="s">
        <v>36</v>
      </c>
      <c r="E272" s="64">
        <v>3.0</v>
      </c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ht="15.75" customHeight="1">
      <c r="A273" s="61" t="str">
        <f t="shared" si="1"/>
        <v>JoinvilleSão PauloCaminhão</v>
      </c>
      <c r="B273" s="62" t="s">
        <v>25</v>
      </c>
      <c r="C273" s="62" t="s">
        <v>28</v>
      </c>
      <c r="D273" s="63" t="s">
        <v>75</v>
      </c>
      <c r="E273" s="64">
        <v>0.0</v>
      </c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ht="15.75" customHeight="1">
      <c r="A274" s="61" t="str">
        <f t="shared" si="1"/>
        <v>JoinvilleUberlândiaCaminhão</v>
      </c>
      <c r="B274" s="62" t="s">
        <v>25</v>
      </c>
      <c r="C274" s="62" t="s">
        <v>28</v>
      </c>
      <c r="D274" s="63" t="s">
        <v>68</v>
      </c>
      <c r="E274" s="64">
        <v>1.0</v>
      </c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ht="15.75" customHeight="1">
      <c r="A275" s="61" t="str">
        <f t="shared" si="1"/>
        <v>JoinvilleVitóriaCaminhão</v>
      </c>
      <c r="B275" s="62" t="s">
        <v>25</v>
      </c>
      <c r="C275" s="62" t="s">
        <v>28</v>
      </c>
      <c r="D275" s="63" t="s">
        <v>69</v>
      </c>
      <c r="E275" s="64">
        <v>1.0</v>
      </c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ht="15.75" customHeight="1">
      <c r="A276" s="61" t="str">
        <f t="shared" si="1"/>
        <v>JoinvilleVitória da ConquistaCaminhão</v>
      </c>
      <c r="B276" s="62" t="s">
        <v>25</v>
      </c>
      <c r="C276" s="62" t="s">
        <v>28</v>
      </c>
      <c r="D276" s="63" t="s">
        <v>52</v>
      </c>
      <c r="E276" s="64">
        <v>2.0</v>
      </c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ht="15.75" customHeight="1">
      <c r="A277" s="61" t="str">
        <f t="shared" si="1"/>
        <v>MaceióBelémCaminhão</v>
      </c>
      <c r="B277" s="62" t="s">
        <v>25</v>
      </c>
      <c r="C277" s="63" t="s">
        <v>63</v>
      </c>
      <c r="D277" s="63" t="s">
        <v>51</v>
      </c>
      <c r="E277" s="64">
        <v>2.0</v>
      </c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ht="15.75" customHeight="1">
      <c r="A278" s="61" t="str">
        <f t="shared" si="1"/>
        <v>MaceióBelo HorizonteCaminhão</v>
      </c>
      <c r="B278" s="62" t="s">
        <v>25</v>
      </c>
      <c r="C278" s="63" t="s">
        <v>63</v>
      </c>
      <c r="D278" s="63" t="s">
        <v>57</v>
      </c>
      <c r="E278" s="64">
        <v>2.0</v>
      </c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ht="15.75" customHeight="1">
      <c r="A279" s="61" t="str">
        <f t="shared" si="1"/>
        <v>MaceióBrasíliaCaminhão</v>
      </c>
      <c r="B279" s="62" t="s">
        <v>25</v>
      </c>
      <c r="C279" s="63" t="s">
        <v>63</v>
      </c>
      <c r="D279" s="63" t="s">
        <v>58</v>
      </c>
      <c r="E279" s="64">
        <v>2.0</v>
      </c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ht="15.75" customHeight="1">
      <c r="A280" s="61" t="str">
        <f t="shared" si="1"/>
        <v>MaceióCampinasCaminhão</v>
      </c>
      <c r="B280" s="62" t="s">
        <v>25</v>
      </c>
      <c r="C280" s="63" t="s">
        <v>63</v>
      </c>
      <c r="D280" s="63" t="s">
        <v>77</v>
      </c>
      <c r="E280" s="64">
        <v>2.0</v>
      </c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ht="15.75" customHeight="1">
      <c r="A281" s="61" t="str">
        <f t="shared" si="1"/>
        <v>MaceióCampo GrandeCaminhão</v>
      </c>
      <c r="B281" s="62" t="s">
        <v>25</v>
      </c>
      <c r="C281" s="63" t="s">
        <v>63</v>
      </c>
      <c r="D281" s="63" t="s">
        <v>59</v>
      </c>
      <c r="E281" s="64">
        <v>3.0</v>
      </c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ht="15.75" customHeight="1">
      <c r="A282" s="61" t="str">
        <f t="shared" si="1"/>
        <v>MaceióCuiabáCaminhão</v>
      </c>
      <c r="B282" s="62" t="s">
        <v>25</v>
      </c>
      <c r="C282" s="63" t="s">
        <v>63</v>
      </c>
      <c r="D282" s="63" t="s">
        <v>29</v>
      </c>
      <c r="E282" s="64">
        <v>3.0</v>
      </c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ht="15.75" customHeight="1">
      <c r="A283" s="61" t="str">
        <f t="shared" si="1"/>
        <v>MaceióCuritibaCaminhão</v>
      </c>
      <c r="B283" s="62" t="s">
        <v>25</v>
      </c>
      <c r="C283" s="63" t="s">
        <v>63</v>
      </c>
      <c r="D283" s="63" t="s">
        <v>76</v>
      </c>
      <c r="E283" s="64">
        <v>2.0</v>
      </c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ht="15.75" customHeight="1">
      <c r="A284" s="61" t="str">
        <f t="shared" si="1"/>
        <v>MaceióFortalezaCaminhão</v>
      </c>
      <c r="B284" s="62" t="s">
        <v>25</v>
      </c>
      <c r="C284" s="63" t="s">
        <v>63</v>
      </c>
      <c r="D284" s="63" t="s">
        <v>60</v>
      </c>
      <c r="E284" s="64">
        <v>1.0</v>
      </c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ht="15.75" customHeight="1">
      <c r="A285" s="61" t="str">
        <f t="shared" si="1"/>
        <v>MaceióGoiâniaCaminhão</v>
      </c>
      <c r="B285" s="62" t="s">
        <v>25</v>
      </c>
      <c r="C285" s="63" t="s">
        <v>63</v>
      </c>
      <c r="D285" s="63" t="s">
        <v>61</v>
      </c>
      <c r="E285" s="64">
        <v>2.0</v>
      </c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ht="15.75" customHeight="1">
      <c r="A286" s="61" t="str">
        <f t="shared" si="1"/>
        <v>MaceióJoão PessoaCaminhão</v>
      </c>
      <c r="B286" s="62" t="s">
        <v>25</v>
      </c>
      <c r="C286" s="63" t="s">
        <v>63</v>
      </c>
      <c r="D286" s="63" t="s">
        <v>62</v>
      </c>
      <c r="E286" s="64">
        <v>0.0</v>
      </c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ht="15.75" customHeight="1">
      <c r="A287" s="61" t="str">
        <f t="shared" si="1"/>
        <v>MaceióJoinvilleCaminhão</v>
      </c>
      <c r="B287" s="62" t="s">
        <v>25</v>
      </c>
      <c r="C287" s="63" t="s">
        <v>63</v>
      </c>
      <c r="D287" s="63" t="s">
        <v>28</v>
      </c>
      <c r="E287" s="64">
        <v>2.0</v>
      </c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ht="15.75" customHeight="1">
      <c r="A288" s="61" t="str">
        <f t="shared" si="1"/>
        <v>MaceióMaceióCaminhão</v>
      </c>
      <c r="B288" s="62" t="s">
        <v>25</v>
      </c>
      <c r="C288" s="63" t="s">
        <v>63</v>
      </c>
      <c r="D288" s="63" t="s">
        <v>63</v>
      </c>
      <c r="E288" s="64">
        <v>0.0</v>
      </c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ht="15.75" customHeight="1">
      <c r="A289" s="61" t="str">
        <f t="shared" si="1"/>
        <v>MaceióManausCaminhão</v>
      </c>
      <c r="B289" s="62" t="s">
        <v>25</v>
      </c>
      <c r="C289" s="63" t="s">
        <v>63</v>
      </c>
      <c r="D289" s="63" t="s">
        <v>23</v>
      </c>
      <c r="E289" s="64">
        <v>5.0</v>
      </c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ht="15.75" customHeight="1">
      <c r="A290" s="61" t="str">
        <f t="shared" si="1"/>
        <v>MaceióNatalCaminhão</v>
      </c>
      <c r="B290" s="62" t="s">
        <v>25</v>
      </c>
      <c r="C290" s="63" t="s">
        <v>63</v>
      </c>
      <c r="D290" s="63" t="s">
        <v>64</v>
      </c>
      <c r="E290" s="64">
        <v>0.0</v>
      </c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ht="15.75" customHeight="1">
      <c r="A291" s="61" t="str">
        <f t="shared" si="1"/>
        <v>MaceióPorto AlegreCaminhão</v>
      </c>
      <c r="B291" s="62" t="s">
        <v>25</v>
      </c>
      <c r="C291" s="63" t="s">
        <v>63</v>
      </c>
      <c r="D291" s="63" t="s">
        <v>31</v>
      </c>
      <c r="E291" s="64">
        <v>3.0</v>
      </c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ht="15.75" customHeight="1">
      <c r="A292" s="61" t="str">
        <f t="shared" si="1"/>
        <v>MaceióRecifeCaminhão</v>
      </c>
      <c r="B292" s="62" t="s">
        <v>25</v>
      </c>
      <c r="C292" s="63" t="s">
        <v>63</v>
      </c>
      <c r="D292" s="63" t="s">
        <v>65</v>
      </c>
      <c r="E292" s="64">
        <v>0.0</v>
      </c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ht="15.75" customHeight="1">
      <c r="A293" s="61" t="str">
        <f t="shared" si="1"/>
        <v>MaceióRibeirão PretoCaminhão</v>
      </c>
      <c r="B293" s="62" t="s">
        <v>25</v>
      </c>
      <c r="C293" s="63" t="s">
        <v>63</v>
      </c>
      <c r="D293" s="63" t="s">
        <v>78</v>
      </c>
      <c r="E293" s="64">
        <v>2.0</v>
      </c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ht="15.75" customHeight="1">
      <c r="A294" s="61" t="str">
        <f t="shared" si="1"/>
        <v>MaceióRio de JaneiroCaminhão</v>
      </c>
      <c r="B294" s="62" t="s">
        <v>25</v>
      </c>
      <c r="C294" s="63" t="s">
        <v>63</v>
      </c>
      <c r="D294" s="63" t="s">
        <v>66</v>
      </c>
      <c r="E294" s="64">
        <v>2.0</v>
      </c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ht="15.75" customHeight="1">
      <c r="A295" s="61" t="str">
        <f t="shared" si="1"/>
        <v>MaceióSalvadorCaminhão</v>
      </c>
      <c r="B295" s="62" t="s">
        <v>25</v>
      </c>
      <c r="C295" s="63" t="s">
        <v>63</v>
      </c>
      <c r="D295" s="63" t="s">
        <v>67</v>
      </c>
      <c r="E295" s="64">
        <v>1.0</v>
      </c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ht="15.75" customHeight="1">
      <c r="A296" s="61" t="str">
        <f t="shared" si="1"/>
        <v>MaceióSantosCaminhão</v>
      </c>
      <c r="B296" s="62" t="s">
        <v>25</v>
      </c>
      <c r="C296" s="63" t="s">
        <v>63</v>
      </c>
      <c r="D296" s="63" t="s">
        <v>38</v>
      </c>
      <c r="E296" s="64">
        <v>2.0</v>
      </c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ht="15.75" customHeight="1">
      <c r="A297" s="61" t="str">
        <f t="shared" si="1"/>
        <v>MaceióSão LuísCaminhão</v>
      </c>
      <c r="B297" s="62" t="s">
        <v>25</v>
      </c>
      <c r="C297" s="63" t="s">
        <v>63</v>
      </c>
      <c r="D297" s="63" t="s">
        <v>36</v>
      </c>
      <c r="E297" s="64">
        <v>1.0</v>
      </c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ht="15.75" customHeight="1">
      <c r="A298" s="61" t="str">
        <f t="shared" si="1"/>
        <v>MaceióSão PauloCaminhão</v>
      </c>
      <c r="B298" s="62" t="s">
        <v>25</v>
      </c>
      <c r="C298" s="63" t="s">
        <v>63</v>
      </c>
      <c r="D298" s="63" t="s">
        <v>75</v>
      </c>
      <c r="E298" s="64">
        <v>2.0</v>
      </c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ht="15.75" customHeight="1">
      <c r="A299" s="61" t="str">
        <f t="shared" si="1"/>
        <v>MaceióUberlândiaCaminhão</v>
      </c>
      <c r="B299" s="62" t="s">
        <v>25</v>
      </c>
      <c r="C299" s="63" t="s">
        <v>63</v>
      </c>
      <c r="D299" s="63" t="s">
        <v>68</v>
      </c>
      <c r="E299" s="64">
        <v>2.0</v>
      </c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ht="15.75" customHeight="1">
      <c r="A300" s="61" t="str">
        <f t="shared" si="1"/>
        <v>MaceióVitóriaCaminhão</v>
      </c>
      <c r="B300" s="62" t="s">
        <v>25</v>
      </c>
      <c r="C300" s="63" t="s">
        <v>63</v>
      </c>
      <c r="D300" s="63" t="s">
        <v>69</v>
      </c>
      <c r="E300" s="64">
        <v>1.0</v>
      </c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ht="15.75" customHeight="1">
      <c r="A301" s="61" t="str">
        <f t="shared" si="1"/>
        <v>MaceióVitória da ConquistaCaminhão</v>
      </c>
      <c r="B301" s="62" t="s">
        <v>25</v>
      </c>
      <c r="C301" s="63" t="s">
        <v>63</v>
      </c>
      <c r="D301" s="63" t="s">
        <v>52</v>
      </c>
      <c r="E301" s="64">
        <v>1.0</v>
      </c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ht="15.75" customHeight="1">
      <c r="A302" s="61" t="str">
        <f t="shared" si="1"/>
        <v>ManausBelémCaminhão</v>
      </c>
      <c r="B302" s="62" t="s">
        <v>25</v>
      </c>
      <c r="C302" s="62" t="s">
        <v>23</v>
      </c>
      <c r="D302" s="63" t="s">
        <v>51</v>
      </c>
      <c r="E302" s="64">
        <v>4.0</v>
      </c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ht="15.75" customHeight="1">
      <c r="A303" s="61" t="str">
        <f t="shared" si="1"/>
        <v>ManausBelo HorizonteCaminhão</v>
      </c>
      <c r="B303" s="62" t="s">
        <v>25</v>
      </c>
      <c r="C303" s="62" t="s">
        <v>23</v>
      </c>
      <c r="D303" s="63" t="s">
        <v>57</v>
      </c>
      <c r="E303" s="64">
        <v>3.0</v>
      </c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ht="15.75" customHeight="1">
      <c r="A304" s="61" t="str">
        <f t="shared" si="1"/>
        <v>ManausBrasíliaCaminhão</v>
      </c>
      <c r="B304" s="62" t="s">
        <v>25</v>
      </c>
      <c r="C304" s="62" t="s">
        <v>23</v>
      </c>
      <c r="D304" s="63" t="s">
        <v>58</v>
      </c>
      <c r="E304" s="64">
        <v>3.0</v>
      </c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ht="15.75" customHeight="1">
      <c r="A305" s="61" t="str">
        <f t="shared" si="1"/>
        <v>ManausCampinasCaminhão</v>
      </c>
      <c r="B305" s="62" t="s">
        <v>25</v>
      </c>
      <c r="C305" s="62" t="s">
        <v>23</v>
      </c>
      <c r="D305" s="63" t="s">
        <v>77</v>
      </c>
      <c r="E305" s="64">
        <v>3.0</v>
      </c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ht="15.75" customHeight="1">
      <c r="A306" s="61" t="str">
        <f t="shared" si="1"/>
        <v>ManausCampo GrandeCaminhão</v>
      </c>
      <c r="B306" s="62" t="s">
        <v>25</v>
      </c>
      <c r="C306" s="62" t="s">
        <v>23</v>
      </c>
      <c r="D306" s="63" t="s">
        <v>59</v>
      </c>
      <c r="E306" s="64">
        <v>3.0</v>
      </c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ht="15.75" customHeight="1">
      <c r="A307" s="61" t="str">
        <f t="shared" si="1"/>
        <v>ManausCuiabáCaminhão</v>
      </c>
      <c r="B307" s="62" t="s">
        <v>25</v>
      </c>
      <c r="C307" s="62" t="s">
        <v>23</v>
      </c>
      <c r="D307" s="63" t="s">
        <v>29</v>
      </c>
      <c r="E307" s="64">
        <v>2.0</v>
      </c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ht="15.75" customHeight="1">
      <c r="A308" s="61" t="str">
        <f t="shared" si="1"/>
        <v>ManausCuritibaCaminhão</v>
      </c>
      <c r="B308" s="62" t="s">
        <v>25</v>
      </c>
      <c r="C308" s="62" t="s">
        <v>23</v>
      </c>
      <c r="D308" s="63" t="s">
        <v>76</v>
      </c>
      <c r="E308" s="64">
        <v>3.0</v>
      </c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ht="15.75" customHeight="1">
      <c r="A309" s="61" t="str">
        <f t="shared" si="1"/>
        <v>ManausFortalezaCaminhão</v>
      </c>
      <c r="B309" s="62" t="s">
        <v>25</v>
      </c>
      <c r="C309" s="62" t="s">
        <v>23</v>
      </c>
      <c r="D309" s="63" t="s">
        <v>60</v>
      </c>
      <c r="E309" s="64">
        <v>5.0</v>
      </c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ht="15.75" customHeight="1">
      <c r="A310" s="61" t="str">
        <f t="shared" si="1"/>
        <v>ManausGoiâniaCaminhão</v>
      </c>
      <c r="B310" s="62" t="s">
        <v>25</v>
      </c>
      <c r="C310" s="62" t="s">
        <v>23</v>
      </c>
      <c r="D310" s="63" t="s">
        <v>61</v>
      </c>
      <c r="E310" s="64">
        <v>3.0</v>
      </c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ht="15.75" customHeight="1">
      <c r="A311" s="61" t="str">
        <f t="shared" si="1"/>
        <v>ManausJoão PessoaCaminhão</v>
      </c>
      <c r="B311" s="62" t="s">
        <v>25</v>
      </c>
      <c r="C311" s="62" t="s">
        <v>23</v>
      </c>
      <c r="D311" s="63" t="s">
        <v>62</v>
      </c>
      <c r="E311" s="64">
        <v>5.0</v>
      </c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ht="15.75" customHeight="1">
      <c r="A312" s="61" t="str">
        <f t="shared" si="1"/>
        <v>ManausJoinvilleCaminhão</v>
      </c>
      <c r="B312" s="62" t="s">
        <v>25</v>
      </c>
      <c r="C312" s="62" t="s">
        <v>23</v>
      </c>
      <c r="D312" s="63" t="s">
        <v>28</v>
      </c>
      <c r="E312" s="64">
        <v>3.0</v>
      </c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ht="15.75" customHeight="1">
      <c r="A313" s="61" t="str">
        <f t="shared" si="1"/>
        <v>ManausMaceióCaminhão</v>
      </c>
      <c r="B313" s="62" t="s">
        <v>25</v>
      </c>
      <c r="C313" s="62" t="s">
        <v>23</v>
      </c>
      <c r="D313" s="63" t="s">
        <v>63</v>
      </c>
      <c r="E313" s="64">
        <v>5.0</v>
      </c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ht="15.75" customHeight="1">
      <c r="A314" s="61" t="str">
        <f t="shared" si="1"/>
        <v>ManausManausCaminhão</v>
      </c>
      <c r="B314" s="62" t="s">
        <v>25</v>
      </c>
      <c r="C314" s="62" t="s">
        <v>23</v>
      </c>
      <c r="D314" s="63" t="s">
        <v>23</v>
      </c>
      <c r="E314" s="64">
        <v>0.0</v>
      </c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ht="15.75" customHeight="1">
      <c r="A315" s="61" t="str">
        <f t="shared" si="1"/>
        <v>ManausNatalCaminhão</v>
      </c>
      <c r="B315" s="62" t="s">
        <v>25</v>
      </c>
      <c r="C315" s="62" t="s">
        <v>23</v>
      </c>
      <c r="D315" s="63" t="s">
        <v>64</v>
      </c>
      <c r="E315" s="64">
        <v>5.0</v>
      </c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ht="15.75" customHeight="1">
      <c r="A316" s="61" t="str">
        <f t="shared" si="1"/>
        <v>ManausPorto AlegreCaminhão</v>
      </c>
      <c r="B316" s="62" t="s">
        <v>25</v>
      </c>
      <c r="C316" s="62" t="s">
        <v>23</v>
      </c>
      <c r="D316" s="63" t="s">
        <v>31</v>
      </c>
      <c r="E316" s="64">
        <v>4.0</v>
      </c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ht="15.75" customHeight="1">
      <c r="A317" s="61" t="str">
        <f t="shared" si="1"/>
        <v>ManausRecifeCaminhão</v>
      </c>
      <c r="B317" s="62" t="s">
        <v>25</v>
      </c>
      <c r="C317" s="62" t="s">
        <v>23</v>
      </c>
      <c r="D317" s="63" t="s">
        <v>65</v>
      </c>
      <c r="E317" s="64">
        <v>5.0</v>
      </c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ht="15.75" customHeight="1">
      <c r="A318" s="61" t="str">
        <f t="shared" si="1"/>
        <v>ManausRibeirão PretoCaminhão</v>
      </c>
      <c r="B318" s="62" t="s">
        <v>25</v>
      </c>
      <c r="C318" s="62" t="s">
        <v>23</v>
      </c>
      <c r="D318" s="63" t="s">
        <v>78</v>
      </c>
      <c r="E318" s="64">
        <v>3.0</v>
      </c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ht="15.75" customHeight="1">
      <c r="A319" s="61" t="str">
        <f t="shared" si="1"/>
        <v>ManausRio de JaneiroCaminhão</v>
      </c>
      <c r="B319" s="62" t="s">
        <v>25</v>
      </c>
      <c r="C319" s="62" t="s">
        <v>23</v>
      </c>
      <c r="D319" s="63" t="s">
        <v>66</v>
      </c>
      <c r="E319" s="64">
        <v>4.0</v>
      </c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ht="15.75" customHeight="1">
      <c r="A320" s="61" t="str">
        <f t="shared" si="1"/>
        <v>ManausSalvadorCaminhão</v>
      </c>
      <c r="B320" s="62" t="s">
        <v>25</v>
      </c>
      <c r="C320" s="62" t="s">
        <v>23</v>
      </c>
      <c r="D320" s="63" t="s">
        <v>67</v>
      </c>
      <c r="E320" s="64">
        <v>4.0</v>
      </c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ht="15.75" customHeight="1">
      <c r="A321" s="61" t="str">
        <f t="shared" si="1"/>
        <v>ManausSantosCaminhão</v>
      </c>
      <c r="B321" s="62" t="s">
        <v>25</v>
      </c>
      <c r="C321" s="62" t="s">
        <v>23</v>
      </c>
      <c r="D321" s="63" t="s">
        <v>38</v>
      </c>
      <c r="E321" s="64">
        <v>3.0</v>
      </c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ht="15.75" customHeight="1">
      <c r="A322" s="61" t="str">
        <f t="shared" si="1"/>
        <v>ManausSão LuísCaminhão</v>
      </c>
      <c r="B322" s="62" t="s">
        <v>25</v>
      </c>
      <c r="C322" s="62" t="s">
        <v>23</v>
      </c>
      <c r="D322" s="63" t="s">
        <v>36</v>
      </c>
      <c r="E322" s="64">
        <v>4.0</v>
      </c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ht="15.75" customHeight="1">
      <c r="A323" s="61" t="str">
        <f t="shared" si="1"/>
        <v>ManausSão PauloCaminhão</v>
      </c>
      <c r="B323" s="62" t="s">
        <v>25</v>
      </c>
      <c r="C323" s="62" t="s">
        <v>23</v>
      </c>
      <c r="D323" s="63" t="s">
        <v>75</v>
      </c>
      <c r="E323" s="64">
        <v>3.0</v>
      </c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ht="15.75" customHeight="1">
      <c r="A324" s="61" t="str">
        <f t="shared" si="1"/>
        <v>ManausUberlândiaCaminhão</v>
      </c>
      <c r="B324" s="62" t="s">
        <v>25</v>
      </c>
      <c r="C324" s="62" t="s">
        <v>23</v>
      </c>
      <c r="D324" s="63" t="s">
        <v>68</v>
      </c>
      <c r="E324" s="64">
        <v>3.0</v>
      </c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ht="15.75" customHeight="1">
      <c r="A325" s="61" t="str">
        <f t="shared" si="1"/>
        <v>ManausVitóriaCaminhão</v>
      </c>
      <c r="B325" s="62" t="s">
        <v>25</v>
      </c>
      <c r="C325" s="62" t="s">
        <v>23</v>
      </c>
      <c r="D325" s="63" t="s">
        <v>69</v>
      </c>
      <c r="E325" s="64">
        <v>4.0</v>
      </c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ht="15.75" customHeight="1">
      <c r="A326" s="61" t="str">
        <f t="shared" si="1"/>
        <v>ManausVitória da ConquistaCaminhão</v>
      </c>
      <c r="B326" s="62" t="s">
        <v>25</v>
      </c>
      <c r="C326" s="62" t="s">
        <v>23</v>
      </c>
      <c r="D326" s="63" t="s">
        <v>52</v>
      </c>
      <c r="E326" s="64">
        <v>4.0</v>
      </c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ht="15.75" customHeight="1">
      <c r="A327" s="61" t="str">
        <f t="shared" si="1"/>
        <v>NatalBelémCaminhão</v>
      </c>
      <c r="B327" s="62" t="s">
        <v>25</v>
      </c>
      <c r="C327" s="62" t="s">
        <v>64</v>
      </c>
      <c r="D327" s="63" t="s">
        <v>51</v>
      </c>
      <c r="E327" s="64">
        <v>2.0</v>
      </c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ht="15.75" customHeight="1">
      <c r="A328" s="61" t="str">
        <f t="shared" si="1"/>
        <v>NatalBelo HorizonteCaminhão</v>
      </c>
      <c r="B328" s="62" t="s">
        <v>25</v>
      </c>
      <c r="C328" s="62" t="s">
        <v>64</v>
      </c>
      <c r="D328" s="63" t="s">
        <v>57</v>
      </c>
      <c r="E328" s="64">
        <v>2.0</v>
      </c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ht="15.75" customHeight="1">
      <c r="A329" s="61" t="str">
        <f t="shared" si="1"/>
        <v>NatalBrasíliaCaminhão</v>
      </c>
      <c r="B329" s="62" t="s">
        <v>25</v>
      </c>
      <c r="C329" s="62" t="s">
        <v>64</v>
      </c>
      <c r="D329" s="63" t="s">
        <v>58</v>
      </c>
      <c r="E329" s="64">
        <v>2.0</v>
      </c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ht="15.75" customHeight="1">
      <c r="A330" s="61" t="str">
        <f t="shared" si="1"/>
        <v>NatalCampinasCaminhão</v>
      </c>
      <c r="B330" s="62" t="s">
        <v>25</v>
      </c>
      <c r="C330" s="62" t="s">
        <v>64</v>
      </c>
      <c r="D330" s="63" t="s">
        <v>77</v>
      </c>
      <c r="E330" s="64">
        <v>2.0</v>
      </c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ht="15.75" customHeight="1">
      <c r="A331" s="61" t="str">
        <f t="shared" si="1"/>
        <v>NatalCampo GrandeCaminhão</v>
      </c>
      <c r="B331" s="62" t="s">
        <v>25</v>
      </c>
      <c r="C331" s="62" t="s">
        <v>64</v>
      </c>
      <c r="D331" s="63" t="s">
        <v>59</v>
      </c>
      <c r="E331" s="64">
        <v>3.0</v>
      </c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ht="15.75" customHeight="1">
      <c r="A332" s="61" t="str">
        <f t="shared" si="1"/>
        <v>NatalCuiabáCaminhão</v>
      </c>
      <c r="B332" s="62" t="s">
        <v>25</v>
      </c>
      <c r="C332" s="62" t="s">
        <v>64</v>
      </c>
      <c r="D332" s="63" t="s">
        <v>29</v>
      </c>
      <c r="E332" s="64">
        <v>3.0</v>
      </c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ht="15.75" customHeight="1">
      <c r="A333" s="61" t="str">
        <f t="shared" si="1"/>
        <v>NatalCuritibaCaminhão</v>
      </c>
      <c r="B333" s="62" t="s">
        <v>25</v>
      </c>
      <c r="C333" s="62" t="s">
        <v>64</v>
      </c>
      <c r="D333" s="63" t="s">
        <v>76</v>
      </c>
      <c r="E333" s="64">
        <v>3.0</v>
      </c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ht="15.75" customHeight="1">
      <c r="A334" s="61" t="str">
        <f t="shared" si="1"/>
        <v>NatalFortalezaCaminhão</v>
      </c>
      <c r="B334" s="62" t="s">
        <v>25</v>
      </c>
      <c r="C334" s="62" t="s">
        <v>64</v>
      </c>
      <c r="D334" s="63" t="s">
        <v>60</v>
      </c>
      <c r="E334" s="64">
        <v>0.0</v>
      </c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ht="15.75" customHeight="1">
      <c r="A335" s="61" t="str">
        <f t="shared" si="1"/>
        <v>NatalGoiâniaCaminhão</v>
      </c>
      <c r="B335" s="62" t="s">
        <v>25</v>
      </c>
      <c r="C335" s="62" t="s">
        <v>64</v>
      </c>
      <c r="D335" s="63" t="s">
        <v>61</v>
      </c>
      <c r="E335" s="64">
        <v>2.0</v>
      </c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ht="15.75" customHeight="1">
      <c r="A336" s="61" t="str">
        <f t="shared" si="1"/>
        <v>NatalJoão PessoaCaminhão</v>
      </c>
      <c r="B336" s="62" t="s">
        <v>25</v>
      </c>
      <c r="C336" s="62" t="s">
        <v>64</v>
      </c>
      <c r="D336" s="63" t="s">
        <v>62</v>
      </c>
      <c r="E336" s="64">
        <v>0.0</v>
      </c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ht="15.75" customHeight="1">
      <c r="A337" s="61" t="str">
        <f t="shared" si="1"/>
        <v>NatalJoinvilleCaminhão</v>
      </c>
      <c r="B337" s="62" t="s">
        <v>25</v>
      </c>
      <c r="C337" s="62" t="s">
        <v>64</v>
      </c>
      <c r="D337" s="63" t="s">
        <v>28</v>
      </c>
      <c r="E337" s="64">
        <v>3.0</v>
      </c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ht="15.75" customHeight="1">
      <c r="A338" s="61" t="str">
        <f t="shared" si="1"/>
        <v>NatalMaceióCaminhão</v>
      </c>
      <c r="B338" s="62" t="s">
        <v>25</v>
      </c>
      <c r="C338" s="62" t="s">
        <v>64</v>
      </c>
      <c r="D338" s="63" t="s">
        <v>63</v>
      </c>
      <c r="E338" s="64">
        <v>0.0</v>
      </c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ht="15.75" customHeight="1">
      <c r="A339" s="61" t="str">
        <f t="shared" si="1"/>
        <v>NatalManausCaminhão</v>
      </c>
      <c r="B339" s="62" t="s">
        <v>25</v>
      </c>
      <c r="C339" s="62" t="s">
        <v>64</v>
      </c>
      <c r="D339" s="63" t="s">
        <v>23</v>
      </c>
      <c r="E339" s="64">
        <v>5.0</v>
      </c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ht="15.75" customHeight="1">
      <c r="A340" s="61" t="str">
        <f t="shared" si="1"/>
        <v>NatalNatalCaminhão</v>
      </c>
      <c r="B340" s="62" t="s">
        <v>25</v>
      </c>
      <c r="C340" s="62" t="s">
        <v>64</v>
      </c>
      <c r="D340" s="63" t="s">
        <v>64</v>
      </c>
      <c r="E340" s="64">
        <v>0.0</v>
      </c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ht="15.75" customHeight="1">
      <c r="A341" s="61" t="str">
        <f t="shared" si="1"/>
        <v>NatalPorto AlegreCaminhão</v>
      </c>
      <c r="B341" s="62" t="s">
        <v>25</v>
      </c>
      <c r="C341" s="62" t="s">
        <v>64</v>
      </c>
      <c r="D341" s="63" t="s">
        <v>31</v>
      </c>
      <c r="E341" s="64">
        <v>3.0</v>
      </c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ht="15.75" customHeight="1">
      <c r="A342" s="61" t="str">
        <f t="shared" si="1"/>
        <v>NatalRecifeCaminhão</v>
      </c>
      <c r="B342" s="62" t="s">
        <v>25</v>
      </c>
      <c r="C342" s="62" t="s">
        <v>64</v>
      </c>
      <c r="D342" s="63" t="s">
        <v>65</v>
      </c>
      <c r="E342" s="64">
        <v>0.0</v>
      </c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ht="15.75" customHeight="1">
      <c r="A343" s="61" t="str">
        <f t="shared" si="1"/>
        <v>NatalRibeirão PretoCaminhão</v>
      </c>
      <c r="B343" s="62" t="s">
        <v>25</v>
      </c>
      <c r="C343" s="62" t="s">
        <v>64</v>
      </c>
      <c r="D343" s="63" t="s">
        <v>78</v>
      </c>
      <c r="E343" s="64">
        <v>2.0</v>
      </c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ht="15.75" customHeight="1">
      <c r="A344" s="61" t="str">
        <f t="shared" si="1"/>
        <v>NatalRio de JaneiroCaminhão</v>
      </c>
      <c r="B344" s="62" t="s">
        <v>25</v>
      </c>
      <c r="C344" s="62" t="s">
        <v>64</v>
      </c>
      <c r="D344" s="63" t="s">
        <v>66</v>
      </c>
      <c r="E344" s="64">
        <v>2.0</v>
      </c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ht="15.75" customHeight="1">
      <c r="A345" s="61" t="str">
        <f t="shared" si="1"/>
        <v>NatalSalvadorCaminhão</v>
      </c>
      <c r="B345" s="62" t="s">
        <v>25</v>
      </c>
      <c r="C345" s="62" t="s">
        <v>64</v>
      </c>
      <c r="D345" s="63" t="s">
        <v>67</v>
      </c>
      <c r="E345" s="64">
        <v>1.0</v>
      </c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ht="15.75" customHeight="1">
      <c r="A346" s="61" t="str">
        <f t="shared" si="1"/>
        <v>NatalSantosCaminhão</v>
      </c>
      <c r="B346" s="62" t="s">
        <v>25</v>
      </c>
      <c r="C346" s="62" t="s">
        <v>64</v>
      </c>
      <c r="D346" s="63" t="s">
        <v>38</v>
      </c>
      <c r="E346" s="64">
        <v>3.0</v>
      </c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ht="15.75" customHeight="1">
      <c r="A347" s="61" t="str">
        <f t="shared" si="1"/>
        <v>NatalSão LuísCaminhão</v>
      </c>
      <c r="B347" s="62" t="s">
        <v>25</v>
      </c>
      <c r="C347" s="62" t="s">
        <v>64</v>
      </c>
      <c r="D347" s="63" t="s">
        <v>36</v>
      </c>
      <c r="E347" s="64">
        <v>1.0</v>
      </c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ht="15.75" customHeight="1">
      <c r="A348" s="61" t="str">
        <f t="shared" si="1"/>
        <v>NatalSão PauloCaminhão</v>
      </c>
      <c r="B348" s="62" t="s">
        <v>25</v>
      </c>
      <c r="C348" s="62" t="s">
        <v>64</v>
      </c>
      <c r="D348" s="63" t="s">
        <v>75</v>
      </c>
      <c r="E348" s="64">
        <v>2.0</v>
      </c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ht="15.75" customHeight="1">
      <c r="A349" s="61" t="str">
        <f t="shared" si="1"/>
        <v>NatalUberlândiaCaminhão</v>
      </c>
      <c r="B349" s="62" t="s">
        <v>25</v>
      </c>
      <c r="C349" s="62" t="s">
        <v>64</v>
      </c>
      <c r="D349" s="63" t="s">
        <v>68</v>
      </c>
      <c r="E349" s="64">
        <v>2.0</v>
      </c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ht="15.75" customHeight="1">
      <c r="A350" s="61" t="str">
        <f t="shared" si="1"/>
        <v>NatalVitóriaCaminhão</v>
      </c>
      <c r="B350" s="62" t="s">
        <v>25</v>
      </c>
      <c r="C350" s="62" t="s">
        <v>64</v>
      </c>
      <c r="D350" s="63" t="s">
        <v>69</v>
      </c>
      <c r="E350" s="64">
        <v>2.0</v>
      </c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ht="15.75" customHeight="1">
      <c r="A351" s="61" t="str">
        <f t="shared" si="1"/>
        <v>NatalVitória da ConquistaCaminhão</v>
      </c>
      <c r="B351" s="62" t="s">
        <v>25</v>
      </c>
      <c r="C351" s="62" t="s">
        <v>64</v>
      </c>
      <c r="D351" s="63" t="s">
        <v>52</v>
      </c>
      <c r="E351" s="64">
        <v>1.0</v>
      </c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ht="15.75" customHeight="1">
      <c r="A352" s="61" t="str">
        <f t="shared" si="1"/>
        <v>Porto AlegreBelémCaminhão</v>
      </c>
      <c r="B352" s="62" t="s">
        <v>25</v>
      </c>
      <c r="C352" s="62" t="s">
        <v>31</v>
      </c>
      <c r="D352" s="63" t="s">
        <v>51</v>
      </c>
      <c r="E352" s="64">
        <v>3.0</v>
      </c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ht="15.75" customHeight="1">
      <c r="A353" s="61" t="str">
        <f t="shared" si="1"/>
        <v>Porto AlegreBelo HorizonteCaminhão</v>
      </c>
      <c r="B353" s="62" t="s">
        <v>25</v>
      </c>
      <c r="C353" s="62" t="s">
        <v>31</v>
      </c>
      <c r="D353" s="63" t="s">
        <v>57</v>
      </c>
      <c r="E353" s="64">
        <v>1.0</v>
      </c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ht="15.75" customHeight="1">
      <c r="A354" s="61" t="str">
        <f t="shared" si="1"/>
        <v>Porto AlegreBrasíliaCaminhão</v>
      </c>
      <c r="B354" s="62" t="s">
        <v>25</v>
      </c>
      <c r="C354" s="62" t="s">
        <v>31</v>
      </c>
      <c r="D354" s="63" t="s">
        <v>58</v>
      </c>
      <c r="E354" s="64">
        <v>2.0</v>
      </c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ht="15.75" customHeight="1">
      <c r="A355" s="61" t="str">
        <f t="shared" si="1"/>
        <v>Porto AlegreCampinasCaminhão</v>
      </c>
      <c r="B355" s="62" t="s">
        <v>25</v>
      </c>
      <c r="C355" s="62" t="s">
        <v>31</v>
      </c>
      <c r="D355" s="63" t="s">
        <v>77</v>
      </c>
      <c r="E355" s="64">
        <v>1.0</v>
      </c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ht="15.75" customHeight="1">
      <c r="A356" s="61" t="str">
        <f t="shared" si="1"/>
        <v>Porto AlegreCampo GrandeCaminhão</v>
      </c>
      <c r="B356" s="62" t="s">
        <v>25</v>
      </c>
      <c r="C356" s="62" t="s">
        <v>31</v>
      </c>
      <c r="D356" s="63" t="s">
        <v>59</v>
      </c>
      <c r="E356" s="64">
        <v>1.0</v>
      </c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ht="15.75" customHeight="1">
      <c r="A357" s="61" t="str">
        <f t="shared" si="1"/>
        <v>Porto AlegreCuiabáCaminhão</v>
      </c>
      <c r="B357" s="62" t="s">
        <v>25</v>
      </c>
      <c r="C357" s="62" t="s">
        <v>31</v>
      </c>
      <c r="D357" s="63" t="s">
        <v>29</v>
      </c>
      <c r="E357" s="64">
        <v>2.0</v>
      </c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ht="15.75" customHeight="1">
      <c r="A358" s="61" t="str">
        <f t="shared" si="1"/>
        <v>Porto AlegreCuritibaCaminhão</v>
      </c>
      <c r="B358" s="62" t="s">
        <v>25</v>
      </c>
      <c r="C358" s="62" t="s">
        <v>31</v>
      </c>
      <c r="D358" s="63" t="s">
        <v>76</v>
      </c>
      <c r="E358" s="64">
        <v>1.0</v>
      </c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ht="15.75" customHeight="1">
      <c r="A359" s="61" t="str">
        <f t="shared" si="1"/>
        <v>Porto AlegreFortalezaCaminhão</v>
      </c>
      <c r="B359" s="62" t="s">
        <v>25</v>
      </c>
      <c r="C359" s="62" t="s">
        <v>31</v>
      </c>
      <c r="D359" s="63" t="s">
        <v>60</v>
      </c>
      <c r="E359" s="64">
        <v>4.0</v>
      </c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ht="15.75" customHeight="1">
      <c r="A360" s="61" t="str">
        <f t="shared" si="1"/>
        <v>Porto AlegreGoiâniaCaminhão</v>
      </c>
      <c r="B360" s="62" t="s">
        <v>25</v>
      </c>
      <c r="C360" s="62" t="s">
        <v>31</v>
      </c>
      <c r="D360" s="63" t="s">
        <v>61</v>
      </c>
      <c r="E360" s="64">
        <v>2.0</v>
      </c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ht="15.75" customHeight="1">
      <c r="A361" s="61" t="str">
        <f t="shared" si="1"/>
        <v>Porto AlegreJoão PessoaCaminhão</v>
      </c>
      <c r="B361" s="62" t="s">
        <v>25</v>
      </c>
      <c r="C361" s="62" t="s">
        <v>31</v>
      </c>
      <c r="D361" s="63" t="s">
        <v>62</v>
      </c>
      <c r="E361" s="64">
        <v>3.0</v>
      </c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ht="15.75" customHeight="1">
      <c r="A362" s="61" t="str">
        <f t="shared" si="1"/>
        <v>Porto AlegreJoinvilleCaminhão</v>
      </c>
      <c r="B362" s="62" t="s">
        <v>25</v>
      </c>
      <c r="C362" s="62" t="s">
        <v>31</v>
      </c>
      <c r="D362" s="63" t="s">
        <v>28</v>
      </c>
      <c r="E362" s="64">
        <v>1.0</v>
      </c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ht="15.75" customHeight="1">
      <c r="A363" s="61" t="str">
        <f t="shared" si="1"/>
        <v>Porto AlegreMaceióCaminhão</v>
      </c>
      <c r="B363" s="62" t="s">
        <v>25</v>
      </c>
      <c r="C363" s="62" t="s">
        <v>31</v>
      </c>
      <c r="D363" s="63" t="s">
        <v>63</v>
      </c>
      <c r="E363" s="64">
        <v>3.0</v>
      </c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ht="15.75" customHeight="1">
      <c r="A364" s="61" t="str">
        <f t="shared" si="1"/>
        <v>Porto AlegreManausCaminhão</v>
      </c>
      <c r="B364" s="62" t="s">
        <v>25</v>
      </c>
      <c r="C364" s="62" t="s">
        <v>31</v>
      </c>
      <c r="D364" s="63" t="s">
        <v>23</v>
      </c>
      <c r="E364" s="64">
        <v>4.0</v>
      </c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ht="15.75" customHeight="1">
      <c r="A365" s="61" t="str">
        <f t="shared" si="1"/>
        <v>Porto AlegreNatalCaminhão</v>
      </c>
      <c r="B365" s="62" t="s">
        <v>25</v>
      </c>
      <c r="C365" s="62" t="s">
        <v>31</v>
      </c>
      <c r="D365" s="63" t="s">
        <v>64</v>
      </c>
      <c r="E365" s="64">
        <v>3.0</v>
      </c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ht="15.75" customHeight="1">
      <c r="A366" s="61" t="str">
        <f t="shared" si="1"/>
        <v>Porto AlegrePorto AlegreCaminhão</v>
      </c>
      <c r="B366" s="62" t="s">
        <v>25</v>
      </c>
      <c r="C366" s="62" t="s">
        <v>31</v>
      </c>
      <c r="D366" s="63" t="s">
        <v>31</v>
      </c>
      <c r="E366" s="64">
        <v>0.0</v>
      </c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ht="15.75" customHeight="1">
      <c r="A367" s="61" t="str">
        <f t="shared" si="1"/>
        <v>Porto AlegreRecifeCaminhão</v>
      </c>
      <c r="B367" s="62" t="s">
        <v>25</v>
      </c>
      <c r="C367" s="62" t="s">
        <v>31</v>
      </c>
      <c r="D367" s="63" t="s">
        <v>65</v>
      </c>
      <c r="E367" s="64">
        <v>3.0</v>
      </c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ht="15.75" customHeight="1">
      <c r="A368" s="61" t="str">
        <f t="shared" si="1"/>
        <v>Porto AlegreRibeirão PretoCaminhão</v>
      </c>
      <c r="B368" s="62" t="s">
        <v>25</v>
      </c>
      <c r="C368" s="62" t="s">
        <v>31</v>
      </c>
      <c r="D368" s="63" t="s">
        <v>78</v>
      </c>
      <c r="E368" s="64">
        <v>1.0</v>
      </c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ht="15.75" customHeight="1">
      <c r="A369" s="61" t="str">
        <f t="shared" si="1"/>
        <v>Porto AlegreRio de JaneiroCaminhão</v>
      </c>
      <c r="B369" s="62" t="s">
        <v>25</v>
      </c>
      <c r="C369" s="62" t="s">
        <v>31</v>
      </c>
      <c r="D369" s="63" t="s">
        <v>66</v>
      </c>
      <c r="E369" s="64">
        <v>1.0</v>
      </c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ht="15.75" customHeight="1">
      <c r="A370" s="61" t="str">
        <f t="shared" si="1"/>
        <v>Porto AlegreSalvadorCaminhão</v>
      </c>
      <c r="B370" s="62" t="s">
        <v>25</v>
      </c>
      <c r="C370" s="62" t="s">
        <v>31</v>
      </c>
      <c r="D370" s="63" t="s">
        <v>67</v>
      </c>
      <c r="E370" s="64">
        <v>3.0</v>
      </c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ht="15.75" customHeight="1">
      <c r="A371" s="61" t="str">
        <f t="shared" si="1"/>
        <v>Porto AlegreSantosCaminhão</v>
      </c>
      <c r="B371" s="62" t="s">
        <v>25</v>
      </c>
      <c r="C371" s="62" t="s">
        <v>31</v>
      </c>
      <c r="D371" s="63" t="s">
        <v>38</v>
      </c>
      <c r="E371" s="64">
        <v>1.0</v>
      </c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ht="15.75" customHeight="1">
      <c r="A372" s="61" t="str">
        <f t="shared" si="1"/>
        <v>Porto AlegreSão LuísCaminhão</v>
      </c>
      <c r="B372" s="62" t="s">
        <v>25</v>
      </c>
      <c r="C372" s="62" t="s">
        <v>31</v>
      </c>
      <c r="D372" s="63" t="s">
        <v>36</v>
      </c>
      <c r="E372" s="64">
        <v>3.0</v>
      </c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ht="15.75" customHeight="1">
      <c r="A373" s="61" t="str">
        <f t="shared" si="1"/>
        <v>Porto AlegreSão PauloCaminhão</v>
      </c>
      <c r="B373" s="62" t="s">
        <v>25</v>
      </c>
      <c r="C373" s="62" t="s">
        <v>31</v>
      </c>
      <c r="D373" s="63" t="s">
        <v>75</v>
      </c>
      <c r="E373" s="64">
        <v>1.0</v>
      </c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ht="15.75" customHeight="1">
      <c r="A374" s="61" t="str">
        <f t="shared" si="1"/>
        <v>Porto AlegreUberlândiaCaminhão</v>
      </c>
      <c r="B374" s="62" t="s">
        <v>25</v>
      </c>
      <c r="C374" s="62" t="s">
        <v>31</v>
      </c>
      <c r="D374" s="63" t="s">
        <v>68</v>
      </c>
      <c r="E374" s="64">
        <v>1.0</v>
      </c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ht="15.75" customHeight="1">
      <c r="A375" s="61" t="str">
        <f t="shared" si="1"/>
        <v>Porto AlegreVitóriaCaminhão</v>
      </c>
      <c r="B375" s="62" t="s">
        <v>25</v>
      </c>
      <c r="C375" s="62" t="s">
        <v>31</v>
      </c>
      <c r="D375" s="63" t="s">
        <v>69</v>
      </c>
      <c r="E375" s="64">
        <v>2.0</v>
      </c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ht="15.75" customHeight="1">
      <c r="A376" s="61" t="str">
        <f t="shared" si="1"/>
        <v>Porto AlegreVitória da ConquistaCaminhão</v>
      </c>
      <c r="B376" s="62" t="s">
        <v>25</v>
      </c>
      <c r="C376" s="62" t="s">
        <v>31</v>
      </c>
      <c r="D376" s="63" t="s">
        <v>52</v>
      </c>
      <c r="E376" s="64">
        <v>3.0</v>
      </c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ht="15.75" customHeight="1">
      <c r="A377" s="61" t="str">
        <f t="shared" si="1"/>
        <v>RecifeBelémCaminhão</v>
      </c>
      <c r="B377" s="62" t="s">
        <v>25</v>
      </c>
      <c r="C377" s="62" t="s">
        <v>65</v>
      </c>
      <c r="D377" s="63" t="s">
        <v>51</v>
      </c>
      <c r="E377" s="64">
        <v>2.0</v>
      </c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ht="15.75" customHeight="1">
      <c r="A378" s="61" t="str">
        <f t="shared" si="1"/>
        <v>RecifeBelo HorizonteCaminhão</v>
      </c>
      <c r="B378" s="62" t="s">
        <v>25</v>
      </c>
      <c r="C378" s="62" t="s">
        <v>65</v>
      </c>
      <c r="D378" s="63" t="s">
        <v>57</v>
      </c>
      <c r="E378" s="64">
        <v>2.0</v>
      </c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ht="15.75" customHeight="1">
      <c r="A379" s="61" t="str">
        <f t="shared" si="1"/>
        <v>RecifeBrasíliaCaminhão</v>
      </c>
      <c r="B379" s="62" t="s">
        <v>25</v>
      </c>
      <c r="C379" s="62" t="s">
        <v>65</v>
      </c>
      <c r="D379" s="63" t="s">
        <v>58</v>
      </c>
      <c r="E379" s="64">
        <v>2.0</v>
      </c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ht="15.75" customHeight="1">
      <c r="A380" s="61" t="str">
        <f t="shared" si="1"/>
        <v>RecifeCampinasCaminhão</v>
      </c>
      <c r="B380" s="62" t="s">
        <v>25</v>
      </c>
      <c r="C380" s="62" t="s">
        <v>65</v>
      </c>
      <c r="D380" s="63" t="s">
        <v>77</v>
      </c>
      <c r="E380" s="64">
        <v>2.0</v>
      </c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ht="15.75" customHeight="1">
      <c r="A381" s="61" t="str">
        <f t="shared" si="1"/>
        <v>RecifeCampo GrandeCaminhão</v>
      </c>
      <c r="B381" s="62" t="s">
        <v>25</v>
      </c>
      <c r="C381" s="62" t="s">
        <v>65</v>
      </c>
      <c r="D381" s="63" t="s">
        <v>59</v>
      </c>
      <c r="E381" s="64">
        <v>3.0</v>
      </c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ht="15.75" customHeight="1">
      <c r="A382" s="61" t="str">
        <f t="shared" si="1"/>
        <v>RecifeCuiabáCaminhão</v>
      </c>
      <c r="B382" s="62" t="s">
        <v>25</v>
      </c>
      <c r="C382" s="62" t="s">
        <v>65</v>
      </c>
      <c r="D382" s="63" t="s">
        <v>29</v>
      </c>
      <c r="E382" s="64">
        <v>3.0</v>
      </c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ht="15.75" customHeight="1">
      <c r="A383" s="61" t="str">
        <f t="shared" si="1"/>
        <v>RecifeCuritibaCaminhão</v>
      </c>
      <c r="B383" s="62" t="s">
        <v>25</v>
      </c>
      <c r="C383" s="62" t="s">
        <v>65</v>
      </c>
      <c r="D383" s="63" t="s">
        <v>76</v>
      </c>
      <c r="E383" s="64">
        <v>3.0</v>
      </c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ht="15.75" customHeight="1">
      <c r="A384" s="61" t="str">
        <f t="shared" si="1"/>
        <v>RecifeFortalezaCaminhão</v>
      </c>
      <c r="B384" s="62" t="s">
        <v>25</v>
      </c>
      <c r="C384" s="62" t="s">
        <v>65</v>
      </c>
      <c r="D384" s="63" t="s">
        <v>60</v>
      </c>
      <c r="E384" s="64">
        <v>1.0</v>
      </c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ht="15.75" customHeight="1">
      <c r="A385" s="61" t="str">
        <f t="shared" si="1"/>
        <v>RecifeGoiâniaCaminhão</v>
      </c>
      <c r="B385" s="62" t="s">
        <v>25</v>
      </c>
      <c r="C385" s="62" t="s">
        <v>65</v>
      </c>
      <c r="D385" s="63" t="s">
        <v>61</v>
      </c>
      <c r="E385" s="64">
        <v>2.0</v>
      </c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ht="15.75" customHeight="1">
      <c r="A386" s="61" t="str">
        <f t="shared" si="1"/>
        <v>RecifeJoão PessoaCaminhão</v>
      </c>
      <c r="B386" s="62" t="s">
        <v>25</v>
      </c>
      <c r="C386" s="62" t="s">
        <v>65</v>
      </c>
      <c r="D386" s="63" t="s">
        <v>62</v>
      </c>
      <c r="E386" s="64">
        <v>0.0</v>
      </c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ht="15.75" customHeight="1">
      <c r="A387" s="61" t="str">
        <f t="shared" si="1"/>
        <v>RecifeJoinvilleCaminhão</v>
      </c>
      <c r="B387" s="62" t="s">
        <v>25</v>
      </c>
      <c r="C387" s="62" t="s">
        <v>65</v>
      </c>
      <c r="D387" s="63" t="s">
        <v>28</v>
      </c>
      <c r="E387" s="64">
        <v>3.0</v>
      </c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ht="15.75" customHeight="1">
      <c r="A388" s="61" t="str">
        <f t="shared" si="1"/>
        <v>RecifeMaceióCaminhão</v>
      </c>
      <c r="B388" s="62" t="s">
        <v>25</v>
      </c>
      <c r="C388" s="62" t="s">
        <v>65</v>
      </c>
      <c r="D388" s="63" t="s">
        <v>63</v>
      </c>
      <c r="E388" s="64">
        <v>0.0</v>
      </c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ht="15.75" customHeight="1">
      <c r="A389" s="61" t="str">
        <f t="shared" si="1"/>
        <v>RecifeManausCaminhão</v>
      </c>
      <c r="B389" s="62" t="s">
        <v>25</v>
      </c>
      <c r="C389" s="62" t="s">
        <v>65</v>
      </c>
      <c r="D389" s="63" t="s">
        <v>23</v>
      </c>
      <c r="E389" s="64">
        <v>5.0</v>
      </c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ht="15.75" customHeight="1">
      <c r="A390" s="61" t="str">
        <f t="shared" si="1"/>
        <v>RecifeNatalCaminhão</v>
      </c>
      <c r="B390" s="62" t="s">
        <v>25</v>
      </c>
      <c r="C390" s="62" t="s">
        <v>65</v>
      </c>
      <c r="D390" s="63" t="s">
        <v>64</v>
      </c>
      <c r="E390" s="64">
        <v>0.0</v>
      </c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ht="15.75" customHeight="1">
      <c r="A391" s="61" t="str">
        <f t="shared" si="1"/>
        <v>RecifePorto AlegreCaminhão</v>
      </c>
      <c r="B391" s="62" t="s">
        <v>25</v>
      </c>
      <c r="C391" s="62" t="s">
        <v>65</v>
      </c>
      <c r="D391" s="63" t="s">
        <v>31</v>
      </c>
      <c r="E391" s="64">
        <v>3.0</v>
      </c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ht="15.75" customHeight="1">
      <c r="A392" s="61" t="str">
        <f t="shared" si="1"/>
        <v>RecifeRecifeCaminhão</v>
      </c>
      <c r="B392" s="62" t="s">
        <v>25</v>
      </c>
      <c r="C392" s="62" t="s">
        <v>65</v>
      </c>
      <c r="D392" s="63" t="s">
        <v>65</v>
      </c>
      <c r="E392" s="64">
        <v>0.0</v>
      </c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ht="15.75" customHeight="1">
      <c r="A393" s="61" t="str">
        <f t="shared" si="1"/>
        <v>RecifeRibeirão PretoCaminhão</v>
      </c>
      <c r="B393" s="62" t="s">
        <v>25</v>
      </c>
      <c r="C393" s="62" t="s">
        <v>65</v>
      </c>
      <c r="D393" s="63" t="s">
        <v>78</v>
      </c>
      <c r="E393" s="64">
        <v>2.0</v>
      </c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ht="15.75" customHeight="1">
      <c r="A394" s="61" t="str">
        <f t="shared" si="1"/>
        <v>RecifeRio de JaneiroCaminhão</v>
      </c>
      <c r="B394" s="62" t="s">
        <v>25</v>
      </c>
      <c r="C394" s="62" t="s">
        <v>65</v>
      </c>
      <c r="D394" s="63" t="s">
        <v>66</v>
      </c>
      <c r="E394" s="64">
        <v>2.0</v>
      </c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ht="15.75" customHeight="1">
      <c r="A395" s="61" t="str">
        <f t="shared" si="1"/>
        <v>RecifeSalvadorCaminhão</v>
      </c>
      <c r="B395" s="62" t="s">
        <v>25</v>
      </c>
      <c r="C395" s="62" t="s">
        <v>65</v>
      </c>
      <c r="D395" s="63" t="s">
        <v>67</v>
      </c>
      <c r="E395" s="64">
        <v>1.0</v>
      </c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ht="15.75" customHeight="1">
      <c r="A396" s="61" t="str">
        <f t="shared" si="1"/>
        <v>RecifeSantosCaminhão</v>
      </c>
      <c r="B396" s="62" t="s">
        <v>25</v>
      </c>
      <c r="C396" s="62" t="s">
        <v>65</v>
      </c>
      <c r="D396" s="63" t="s">
        <v>38</v>
      </c>
      <c r="E396" s="64">
        <v>2.0</v>
      </c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ht="15.75" customHeight="1">
      <c r="A397" s="61" t="str">
        <f t="shared" si="1"/>
        <v>RecifeSão LuísCaminhão</v>
      </c>
      <c r="B397" s="62" t="s">
        <v>25</v>
      </c>
      <c r="C397" s="62" t="s">
        <v>65</v>
      </c>
      <c r="D397" s="63" t="s">
        <v>36</v>
      </c>
      <c r="E397" s="64">
        <v>1.0</v>
      </c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ht="15.75" customHeight="1">
      <c r="A398" s="61" t="str">
        <f t="shared" si="1"/>
        <v>RecifeSão PauloCaminhão</v>
      </c>
      <c r="B398" s="62" t="s">
        <v>25</v>
      </c>
      <c r="C398" s="62" t="s">
        <v>65</v>
      </c>
      <c r="D398" s="63" t="s">
        <v>75</v>
      </c>
      <c r="E398" s="64">
        <v>2.0</v>
      </c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ht="15.75" customHeight="1">
      <c r="A399" s="61" t="str">
        <f t="shared" si="1"/>
        <v>RecifeUberlândiaCaminhão</v>
      </c>
      <c r="B399" s="62" t="s">
        <v>25</v>
      </c>
      <c r="C399" s="62" t="s">
        <v>65</v>
      </c>
      <c r="D399" s="63" t="s">
        <v>68</v>
      </c>
      <c r="E399" s="64">
        <v>2.0</v>
      </c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ht="15.75" customHeight="1">
      <c r="A400" s="61" t="str">
        <f t="shared" si="1"/>
        <v>RecifeVitóriaCaminhão</v>
      </c>
      <c r="B400" s="62" t="s">
        <v>25</v>
      </c>
      <c r="C400" s="62" t="s">
        <v>65</v>
      </c>
      <c r="D400" s="63" t="s">
        <v>69</v>
      </c>
      <c r="E400" s="64">
        <v>2.0</v>
      </c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ht="15.75" customHeight="1">
      <c r="A401" s="61" t="str">
        <f t="shared" si="1"/>
        <v>RecifeVitória da ConquistaCaminhão</v>
      </c>
      <c r="B401" s="62" t="s">
        <v>25</v>
      </c>
      <c r="C401" s="62" t="s">
        <v>65</v>
      </c>
      <c r="D401" s="63" t="s">
        <v>52</v>
      </c>
      <c r="E401" s="64">
        <v>1.0</v>
      </c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ht="15.75" customHeight="1">
      <c r="A402" s="61" t="str">
        <f t="shared" si="1"/>
        <v>Ribeirão PretoBelémCaminhão</v>
      </c>
      <c r="B402" s="62" t="s">
        <v>25</v>
      </c>
      <c r="C402" s="63" t="s">
        <v>78</v>
      </c>
      <c r="D402" s="63" t="s">
        <v>51</v>
      </c>
      <c r="E402" s="64">
        <v>2.0</v>
      </c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ht="15.75" customHeight="1">
      <c r="A403" s="61" t="str">
        <f t="shared" si="1"/>
        <v>Ribeirão PretoBelo HorizonteCaminhão</v>
      </c>
      <c r="B403" s="62" t="s">
        <v>25</v>
      </c>
      <c r="C403" s="63" t="s">
        <v>78</v>
      </c>
      <c r="D403" s="63" t="s">
        <v>57</v>
      </c>
      <c r="E403" s="64">
        <v>0.0</v>
      </c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ht="15.75" customHeight="1">
      <c r="A404" s="61" t="str">
        <f t="shared" si="1"/>
        <v>Ribeirão PretoBrasíliaCaminhão</v>
      </c>
      <c r="B404" s="62" t="s">
        <v>25</v>
      </c>
      <c r="C404" s="63" t="s">
        <v>78</v>
      </c>
      <c r="D404" s="63" t="s">
        <v>58</v>
      </c>
      <c r="E404" s="64">
        <v>1.0</v>
      </c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ht="15.75" customHeight="1">
      <c r="A405" s="61" t="str">
        <f t="shared" si="1"/>
        <v>Ribeirão PretoCampinasCaminhão</v>
      </c>
      <c r="B405" s="62" t="s">
        <v>25</v>
      </c>
      <c r="C405" s="63" t="s">
        <v>78</v>
      </c>
      <c r="D405" s="63" t="s">
        <v>77</v>
      </c>
      <c r="E405" s="64">
        <v>0.0</v>
      </c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ht="15.75" customHeight="1">
      <c r="A406" s="61" t="str">
        <f t="shared" si="1"/>
        <v>Ribeirão PretoCampo GrandeCaminhão</v>
      </c>
      <c r="B406" s="62" t="s">
        <v>25</v>
      </c>
      <c r="C406" s="63" t="s">
        <v>78</v>
      </c>
      <c r="D406" s="63" t="s">
        <v>59</v>
      </c>
      <c r="E406" s="64">
        <v>1.0</v>
      </c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ht="15.75" customHeight="1">
      <c r="A407" s="61" t="str">
        <f t="shared" si="1"/>
        <v>Ribeirão PretoCuiabáCaminhão</v>
      </c>
      <c r="B407" s="62" t="s">
        <v>25</v>
      </c>
      <c r="C407" s="63" t="s">
        <v>78</v>
      </c>
      <c r="D407" s="63" t="s">
        <v>29</v>
      </c>
      <c r="E407" s="64">
        <v>1.0</v>
      </c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ht="15.75" customHeight="1">
      <c r="A408" s="61" t="str">
        <f t="shared" si="1"/>
        <v>Ribeirão PretoCuritibaCaminhão</v>
      </c>
      <c r="B408" s="62" t="s">
        <v>25</v>
      </c>
      <c r="C408" s="63" t="s">
        <v>78</v>
      </c>
      <c r="D408" s="63" t="s">
        <v>76</v>
      </c>
      <c r="E408" s="64">
        <v>1.0</v>
      </c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ht="15.75" customHeight="1">
      <c r="A409" s="61" t="str">
        <f t="shared" si="1"/>
        <v>Ribeirão PretoFortalezaCaminhão</v>
      </c>
      <c r="B409" s="62" t="s">
        <v>25</v>
      </c>
      <c r="C409" s="63" t="s">
        <v>78</v>
      </c>
      <c r="D409" s="63" t="s">
        <v>60</v>
      </c>
      <c r="E409" s="64">
        <v>2.0</v>
      </c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ht="15.75" customHeight="1">
      <c r="A410" s="61" t="str">
        <f t="shared" si="1"/>
        <v>Ribeirão PretoGoiâniaCaminhão</v>
      </c>
      <c r="B410" s="62" t="s">
        <v>25</v>
      </c>
      <c r="C410" s="63" t="s">
        <v>78</v>
      </c>
      <c r="D410" s="63" t="s">
        <v>61</v>
      </c>
      <c r="E410" s="64">
        <v>1.0</v>
      </c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ht="15.75" customHeight="1">
      <c r="A411" s="61" t="str">
        <f t="shared" si="1"/>
        <v>Ribeirão PretoJoão PessoaCaminhão</v>
      </c>
      <c r="B411" s="62" t="s">
        <v>25</v>
      </c>
      <c r="C411" s="63" t="s">
        <v>78</v>
      </c>
      <c r="D411" s="63" t="s">
        <v>62</v>
      </c>
      <c r="E411" s="64">
        <v>2.0</v>
      </c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ht="15.75" customHeight="1">
      <c r="A412" s="61" t="str">
        <f t="shared" si="1"/>
        <v>Ribeirão PretoJoinvilleCaminhão</v>
      </c>
      <c r="B412" s="62" t="s">
        <v>25</v>
      </c>
      <c r="C412" s="63" t="s">
        <v>78</v>
      </c>
      <c r="D412" s="63" t="s">
        <v>28</v>
      </c>
      <c r="E412" s="64">
        <v>1.0</v>
      </c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ht="15.75" customHeight="1">
      <c r="A413" s="61" t="str">
        <f t="shared" si="1"/>
        <v>Ribeirão PretoMaceióCaminhão</v>
      </c>
      <c r="B413" s="62" t="s">
        <v>25</v>
      </c>
      <c r="C413" s="63" t="s">
        <v>78</v>
      </c>
      <c r="D413" s="63" t="s">
        <v>63</v>
      </c>
      <c r="E413" s="64">
        <v>2.0</v>
      </c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ht="15.75" customHeight="1">
      <c r="A414" s="61" t="str">
        <f t="shared" si="1"/>
        <v>Ribeirão PretoManausCaminhão</v>
      </c>
      <c r="B414" s="62" t="s">
        <v>25</v>
      </c>
      <c r="C414" s="63" t="s">
        <v>78</v>
      </c>
      <c r="D414" s="63" t="s">
        <v>23</v>
      </c>
      <c r="E414" s="64">
        <v>3.0</v>
      </c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ht="15.75" customHeight="1">
      <c r="A415" s="61" t="str">
        <f t="shared" si="1"/>
        <v>Ribeirão PretoNatalCaminhão</v>
      </c>
      <c r="B415" s="62" t="s">
        <v>25</v>
      </c>
      <c r="C415" s="63" t="s">
        <v>78</v>
      </c>
      <c r="D415" s="63" t="s">
        <v>64</v>
      </c>
      <c r="E415" s="64">
        <v>2.0</v>
      </c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ht="15.75" customHeight="1">
      <c r="A416" s="61" t="str">
        <f t="shared" si="1"/>
        <v>Ribeirão PretoPorto AlegreCaminhão</v>
      </c>
      <c r="B416" s="62" t="s">
        <v>25</v>
      </c>
      <c r="C416" s="63" t="s">
        <v>78</v>
      </c>
      <c r="D416" s="63" t="s">
        <v>31</v>
      </c>
      <c r="E416" s="64">
        <v>1.0</v>
      </c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ht="15.75" customHeight="1">
      <c r="A417" s="61" t="str">
        <f t="shared" si="1"/>
        <v>Ribeirão PretoRecifeCaminhão</v>
      </c>
      <c r="B417" s="62" t="s">
        <v>25</v>
      </c>
      <c r="C417" s="63" t="s">
        <v>78</v>
      </c>
      <c r="D417" s="63" t="s">
        <v>65</v>
      </c>
      <c r="E417" s="64">
        <v>2.0</v>
      </c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ht="15.75" customHeight="1">
      <c r="A418" s="61" t="str">
        <f t="shared" si="1"/>
        <v>Ribeirão PretoRibeirão PretoCaminhão</v>
      </c>
      <c r="B418" s="62" t="s">
        <v>25</v>
      </c>
      <c r="C418" s="63" t="s">
        <v>78</v>
      </c>
      <c r="D418" s="63" t="s">
        <v>78</v>
      </c>
      <c r="E418" s="64">
        <v>0.0</v>
      </c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ht="15.75" customHeight="1">
      <c r="A419" s="61" t="str">
        <f t="shared" si="1"/>
        <v>Ribeirão PretoRio de JaneiroCaminhão</v>
      </c>
      <c r="B419" s="62" t="s">
        <v>25</v>
      </c>
      <c r="C419" s="63" t="s">
        <v>78</v>
      </c>
      <c r="D419" s="63" t="s">
        <v>66</v>
      </c>
      <c r="E419" s="64">
        <v>1.0</v>
      </c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ht="15.75" customHeight="1">
      <c r="A420" s="61" t="str">
        <f t="shared" si="1"/>
        <v>Ribeirão PretoSalvadorCaminhão</v>
      </c>
      <c r="B420" s="62" t="s">
        <v>25</v>
      </c>
      <c r="C420" s="63" t="s">
        <v>78</v>
      </c>
      <c r="D420" s="63" t="s">
        <v>67</v>
      </c>
      <c r="E420" s="64">
        <v>2.0</v>
      </c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ht="15.75" customHeight="1">
      <c r="A421" s="61" t="str">
        <f t="shared" si="1"/>
        <v>Ribeirão PretoSantosCaminhão</v>
      </c>
      <c r="B421" s="62" t="s">
        <v>25</v>
      </c>
      <c r="C421" s="63" t="s">
        <v>78</v>
      </c>
      <c r="D421" s="63" t="s">
        <v>38</v>
      </c>
      <c r="E421" s="64">
        <v>0.0</v>
      </c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ht="15.75" customHeight="1">
      <c r="A422" s="61" t="str">
        <f t="shared" si="1"/>
        <v>Ribeirão PretoSão LuísCaminhão</v>
      </c>
      <c r="B422" s="62" t="s">
        <v>25</v>
      </c>
      <c r="C422" s="63" t="s">
        <v>78</v>
      </c>
      <c r="D422" s="63" t="s">
        <v>36</v>
      </c>
      <c r="E422" s="64">
        <v>2.0</v>
      </c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ht="15.75" customHeight="1">
      <c r="A423" s="61" t="str">
        <f t="shared" si="1"/>
        <v>Ribeirão PretoSão PauloCaminhão</v>
      </c>
      <c r="B423" s="62" t="s">
        <v>25</v>
      </c>
      <c r="C423" s="63" t="s">
        <v>78</v>
      </c>
      <c r="D423" s="63" t="s">
        <v>75</v>
      </c>
      <c r="E423" s="64">
        <v>0.0</v>
      </c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ht="15.75" customHeight="1">
      <c r="A424" s="61" t="str">
        <f t="shared" si="1"/>
        <v>Ribeirão PretoUberlândiaCaminhão</v>
      </c>
      <c r="B424" s="62" t="s">
        <v>25</v>
      </c>
      <c r="C424" s="63" t="s">
        <v>78</v>
      </c>
      <c r="D424" s="63" t="s">
        <v>68</v>
      </c>
      <c r="E424" s="64">
        <v>0.0</v>
      </c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ht="15.75" customHeight="1">
      <c r="A425" s="61" t="str">
        <f t="shared" si="1"/>
        <v>Ribeirão PretoVitóriaCaminhão</v>
      </c>
      <c r="B425" s="62" t="s">
        <v>25</v>
      </c>
      <c r="C425" s="63" t="s">
        <v>78</v>
      </c>
      <c r="D425" s="63" t="s">
        <v>69</v>
      </c>
      <c r="E425" s="64">
        <v>1.0</v>
      </c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ht="15.75" customHeight="1">
      <c r="A426" s="61" t="str">
        <f t="shared" si="1"/>
        <v>Ribeirão PretoVitória da ConquistaCaminhão</v>
      </c>
      <c r="B426" s="62" t="s">
        <v>25</v>
      </c>
      <c r="C426" s="63" t="s">
        <v>78</v>
      </c>
      <c r="D426" s="63" t="s">
        <v>52</v>
      </c>
      <c r="E426" s="64">
        <v>1.0</v>
      </c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ht="15.75" customHeight="1">
      <c r="A427" s="61" t="str">
        <f t="shared" si="1"/>
        <v>Rio de JaneiroBelémCaminhão</v>
      </c>
      <c r="B427" s="62" t="s">
        <v>25</v>
      </c>
      <c r="C427" s="62" t="s">
        <v>66</v>
      </c>
      <c r="D427" s="63" t="s">
        <v>51</v>
      </c>
      <c r="E427" s="64">
        <v>3.0</v>
      </c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ht="15.75" customHeight="1">
      <c r="A428" s="61" t="str">
        <f t="shared" si="1"/>
        <v>Rio de JaneiroBelo HorizonteCaminhão</v>
      </c>
      <c r="B428" s="62" t="s">
        <v>25</v>
      </c>
      <c r="C428" s="62" t="s">
        <v>66</v>
      </c>
      <c r="D428" s="63" t="s">
        <v>57</v>
      </c>
      <c r="E428" s="64">
        <v>0.0</v>
      </c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ht="15.75" customHeight="1">
      <c r="A429" s="61" t="str">
        <f t="shared" si="1"/>
        <v>Rio de JaneiroBrasíliaCaminhão</v>
      </c>
      <c r="B429" s="62" t="s">
        <v>25</v>
      </c>
      <c r="C429" s="62" t="s">
        <v>66</v>
      </c>
      <c r="D429" s="63" t="s">
        <v>58</v>
      </c>
      <c r="E429" s="64">
        <v>1.0</v>
      </c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ht="15.75" customHeight="1">
      <c r="A430" s="61" t="str">
        <f t="shared" si="1"/>
        <v>Rio de JaneiroCampinasCaminhão</v>
      </c>
      <c r="B430" s="62" t="s">
        <v>25</v>
      </c>
      <c r="C430" s="62" t="s">
        <v>66</v>
      </c>
      <c r="D430" s="63" t="s">
        <v>77</v>
      </c>
      <c r="E430" s="64">
        <v>0.0</v>
      </c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ht="15.75" customHeight="1">
      <c r="A431" s="61" t="str">
        <f t="shared" si="1"/>
        <v>Rio de JaneiroCampo GrandeCaminhão</v>
      </c>
      <c r="B431" s="62" t="s">
        <v>25</v>
      </c>
      <c r="C431" s="62" t="s">
        <v>66</v>
      </c>
      <c r="D431" s="63" t="s">
        <v>59</v>
      </c>
      <c r="E431" s="64">
        <v>1.0</v>
      </c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ht="15.75" customHeight="1">
      <c r="A432" s="61" t="str">
        <f t="shared" si="1"/>
        <v>Rio de JaneiroCuiabáCaminhão</v>
      </c>
      <c r="B432" s="62" t="s">
        <v>25</v>
      </c>
      <c r="C432" s="62" t="s">
        <v>66</v>
      </c>
      <c r="D432" s="63" t="s">
        <v>29</v>
      </c>
      <c r="E432" s="64">
        <v>2.0</v>
      </c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ht="15.75" customHeight="1">
      <c r="A433" s="61" t="str">
        <f t="shared" si="1"/>
        <v>Rio de JaneiroCuritibaCaminhão</v>
      </c>
      <c r="B433" s="62" t="s">
        <v>25</v>
      </c>
      <c r="C433" s="62" t="s">
        <v>66</v>
      </c>
      <c r="D433" s="63" t="s">
        <v>76</v>
      </c>
      <c r="E433" s="64">
        <v>1.0</v>
      </c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ht="15.75" customHeight="1">
      <c r="A434" s="61" t="str">
        <f t="shared" si="1"/>
        <v>Rio de JaneiroFortalezaCaminhão</v>
      </c>
      <c r="B434" s="62" t="s">
        <v>25</v>
      </c>
      <c r="C434" s="62" t="s">
        <v>66</v>
      </c>
      <c r="D434" s="63" t="s">
        <v>60</v>
      </c>
      <c r="E434" s="64">
        <v>2.0</v>
      </c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ht="15.75" customHeight="1">
      <c r="A435" s="61" t="str">
        <f t="shared" si="1"/>
        <v>Rio de JaneiroGoiâniaCaminhão</v>
      </c>
      <c r="B435" s="62" t="s">
        <v>25</v>
      </c>
      <c r="C435" s="62" t="s">
        <v>66</v>
      </c>
      <c r="D435" s="63" t="s">
        <v>61</v>
      </c>
      <c r="E435" s="64">
        <v>1.0</v>
      </c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ht="15.75" customHeight="1">
      <c r="A436" s="61" t="str">
        <f t="shared" si="1"/>
        <v>Rio de JaneiroJoão PessoaCaminhão</v>
      </c>
      <c r="B436" s="62" t="s">
        <v>25</v>
      </c>
      <c r="C436" s="62" t="s">
        <v>66</v>
      </c>
      <c r="D436" s="63" t="s">
        <v>62</v>
      </c>
      <c r="E436" s="64">
        <v>2.0</v>
      </c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ht="15.75" customHeight="1">
      <c r="A437" s="61" t="str">
        <f t="shared" si="1"/>
        <v>Rio de JaneiroJoinvilleCaminhão</v>
      </c>
      <c r="B437" s="62" t="s">
        <v>25</v>
      </c>
      <c r="C437" s="62" t="s">
        <v>66</v>
      </c>
      <c r="D437" s="63" t="s">
        <v>28</v>
      </c>
      <c r="E437" s="64">
        <v>1.0</v>
      </c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ht="15.75" customHeight="1">
      <c r="A438" s="61" t="str">
        <f t="shared" si="1"/>
        <v>Rio de JaneiroMaceióCaminhão</v>
      </c>
      <c r="B438" s="62" t="s">
        <v>25</v>
      </c>
      <c r="C438" s="62" t="s">
        <v>66</v>
      </c>
      <c r="D438" s="63" t="s">
        <v>63</v>
      </c>
      <c r="E438" s="64">
        <v>2.0</v>
      </c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ht="15.75" customHeight="1">
      <c r="A439" s="61" t="str">
        <f t="shared" si="1"/>
        <v>Rio de JaneiroManausCaminhão</v>
      </c>
      <c r="B439" s="62" t="s">
        <v>25</v>
      </c>
      <c r="C439" s="62" t="s">
        <v>66</v>
      </c>
      <c r="D439" s="63" t="s">
        <v>23</v>
      </c>
      <c r="E439" s="64">
        <v>4.0</v>
      </c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ht="15.75" customHeight="1">
      <c r="A440" s="61" t="str">
        <f t="shared" si="1"/>
        <v>Rio de JaneiroNatalCaminhão</v>
      </c>
      <c r="B440" s="62" t="s">
        <v>25</v>
      </c>
      <c r="C440" s="62" t="s">
        <v>66</v>
      </c>
      <c r="D440" s="63" t="s">
        <v>64</v>
      </c>
      <c r="E440" s="64">
        <v>2.0</v>
      </c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ht="15.75" customHeight="1">
      <c r="A441" s="61" t="str">
        <f t="shared" si="1"/>
        <v>Rio de JaneiroPorto AlegreCaminhão</v>
      </c>
      <c r="B441" s="62" t="s">
        <v>25</v>
      </c>
      <c r="C441" s="62" t="s">
        <v>66</v>
      </c>
      <c r="D441" s="63" t="s">
        <v>31</v>
      </c>
      <c r="E441" s="64">
        <v>1.0</v>
      </c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ht="15.75" customHeight="1">
      <c r="A442" s="61" t="str">
        <f t="shared" si="1"/>
        <v>Rio de JaneiroRecifeCaminhão</v>
      </c>
      <c r="B442" s="62" t="s">
        <v>25</v>
      </c>
      <c r="C442" s="62" t="s">
        <v>66</v>
      </c>
      <c r="D442" s="63" t="s">
        <v>65</v>
      </c>
      <c r="E442" s="64">
        <v>2.0</v>
      </c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ht="15.75" customHeight="1">
      <c r="A443" s="61" t="str">
        <f t="shared" si="1"/>
        <v>Rio de JaneiroRibeirão PretoCaminhão</v>
      </c>
      <c r="B443" s="62" t="s">
        <v>25</v>
      </c>
      <c r="C443" s="62" t="s">
        <v>66</v>
      </c>
      <c r="D443" s="63" t="s">
        <v>78</v>
      </c>
      <c r="E443" s="64">
        <v>1.0</v>
      </c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ht="15.75" customHeight="1">
      <c r="A444" s="61" t="str">
        <f t="shared" si="1"/>
        <v>Rio de JaneiroRio de JaneiroCaminhão</v>
      </c>
      <c r="B444" s="62" t="s">
        <v>25</v>
      </c>
      <c r="C444" s="62" t="s">
        <v>66</v>
      </c>
      <c r="D444" s="63" t="s">
        <v>66</v>
      </c>
      <c r="E444" s="64">
        <v>0.0</v>
      </c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ht="15.75" customHeight="1">
      <c r="A445" s="61" t="str">
        <f t="shared" si="1"/>
        <v>Rio de JaneiroSalvadorCaminhão</v>
      </c>
      <c r="B445" s="62" t="s">
        <v>25</v>
      </c>
      <c r="C445" s="62" t="s">
        <v>66</v>
      </c>
      <c r="D445" s="63" t="s">
        <v>67</v>
      </c>
      <c r="E445" s="64">
        <v>1.0</v>
      </c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ht="15.75" customHeight="1">
      <c r="A446" s="61" t="str">
        <f t="shared" si="1"/>
        <v>Rio de JaneiroSantosCaminhão</v>
      </c>
      <c r="B446" s="62" t="s">
        <v>25</v>
      </c>
      <c r="C446" s="62" t="s">
        <v>66</v>
      </c>
      <c r="D446" s="63" t="s">
        <v>38</v>
      </c>
      <c r="E446" s="64">
        <v>0.0</v>
      </c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ht="15.75" customHeight="1">
      <c r="A447" s="61" t="str">
        <f t="shared" si="1"/>
        <v>Rio de JaneiroSão LuísCaminhão</v>
      </c>
      <c r="B447" s="62" t="s">
        <v>25</v>
      </c>
      <c r="C447" s="62" t="s">
        <v>66</v>
      </c>
      <c r="D447" s="63" t="s">
        <v>36</v>
      </c>
      <c r="E447" s="64">
        <v>3.0</v>
      </c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ht="15.75" customHeight="1">
      <c r="A448" s="61" t="str">
        <f t="shared" si="1"/>
        <v>Rio de JaneiroSão PauloCaminhão</v>
      </c>
      <c r="B448" s="62" t="s">
        <v>25</v>
      </c>
      <c r="C448" s="62" t="s">
        <v>66</v>
      </c>
      <c r="D448" s="63" t="s">
        <v>75</v>
      </c>
      <c r="E448" s="64">
        <v>0.0</v>
      </c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ht="15.75" customHeight="1">
      <c r="A449" s="61" t="str">
        <f t="shared" si="1"/>
        <v>Rio de JaneiroUberlândiaCaminhão</v>
      </c>
      <c r="B449" s="62" t="s">
        <v>25</v>
      </c>
      <c r="C449" s="62" t="s">
        <v>66</v>
      </c>
      <c r="D449" s="63" t="s">
        <v>68</v>
      </c>
      <c r="E449" s="64">
        <v>1.0</v>
      </c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ht="15.75" customHeight="1">
      <c r="A450" s="61" t="str">
        <f t="shared" si="1"/>
        <v>Rio de JaneiroVitóriaCaminhão</v>
      </c>
      <c r="B450" s="62" t="s">
        <v>25</v>
      </c>
      <c r="C450" s="62" t="s">
        <v>66</v>
      </c>
      <c r="D450" s="63" t="s">
        <v>69</v>
      </c>
      <c r="E450" s="64">
        <v>0.0</v>
      </c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ht="15.75" customHeight="1">
      <c r="A451" s="61" t="str">
        <f t="shared" si="1"/>
        <v>Rio de JaneiroVitória da ConquistaCaminhão</v>
      </c>
      <c r="B451" s="62" t="s">
        <v>25</v>
      </c>
      <c r="C451" s="62" t="s">
        <v>66</v>
      </c>
      <c r="D451" s="63" t="s">
        <v>52</v>
      </c>
      <c r="E451" s="64">
        <v>1.0</v>
      </c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ht="15.75" customHeight="1">
      <c r="A452" s="61" t="str">
        <f t="shared" si="1"/>
        <v>SalvadorBelémCaminhão</v>
      </c>
      <c r="B452" s="62" t="s">
        <v>25</v>
      </c>
      <c r="C452" s="62" t="s">
        <v>67</v>
      </c>
      <c r="D452" s="63" t="s">
        <v>51</v>
      </c>
      <c r="E452" s="64">
        <v>2.0</v>
      </c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ht="15.75" customHeight="1">
      <c r="A453" s="61" t="str">
        <f t="shared" si="1"/>
        <v>SalvadorBelo HorizonteCaminhão</v>
      </c>
      <c r="B453" s="62" t="s">
        <v>25</v>
      </c>
      <c r="C453" s="62" t="s">
        <v>67</v>
      </c>
      <c r="D453" s="63" t="s">
        <v>57</v>
      </c>
      <c r="E453" s="64">
        <v>1.0</v>
      </c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ht="15.75" customHeight="1">
      <c r="A454" s="61" t="str">
        <f t="shared" si="1"/>
        <v>SalvadorBrasíliaCaminhão</v>
      </c>
      <c r="B454" s="62" t="s">
        <v>25</v>
      </c>
      <c r="C454" s="62" t="s">
        <v>67</v>
      </c>
      <c r="D454" s="63" t="s">
        <v>58</v>
      </c>
      <c r="E454" s="64">
        <v>1.0</v>
      </c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ht="15.75" customHeight="1">
      <c r="A455" s="61" t="str">
        <f t="shared" si="1"/>
        <v>SalvadorCampinasCaminhão</v>
      </c>
      <c r="B455" s="62" t="s">
        <v>25</v>
      </c>
      <c r="C455" s="62" t="s">
        <v>67</v>
      </c>
      <c r="D455" s="63" t="s">
        <v>77</v>
      </c>
      <c r="E455" s="64">
        <v>2.0</v>
      </c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ht="15.75" customHeight="1">
      <c r="A456" s="61" t="str">
        <f t="shared" si="1"/>
        <v>SalvadorCampo GrandeCaminhão</v>
      </c>
      <c r="B456" s="62" t="s">
        <v>25</v>
      </c>
      <c r="C456" s="62" t="s">
        <v>67</v>
      </c>
      <c r="D456" s="63" t="s">
        <v>59</v>
      </c>
      <c r="E456" s="64">
        <v>2.0</v>
      </c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ht="15.75" customHeight="1">
      <c r="A457" s="61" t="str">
        <f t="shared" si="1"/>
        <v>SalvadorCuiabáCaminhão</v>
      </c>
      <c r="B457" s="62" t="s">
        <v>25</v>
      </c>
      <c r="C457" s="62" t="s">
        <v>67</v>
      </c>
      <c r="D457" s="63" t="s">
        <v>29</v>
      </c>
      <c r="E457" s="64">
        <v>2.0</v>
      </c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ht="15.75" customHeight="1">
      <c r="A458" s="61" t="str">
        <f t="shared" si="1"/>
        <v>SalvadorCuritibaCaminhão</v>
      </c>
      <c r="B458" s="62" t="s">
        <v>25</v>
      </c>
      <c r="C458" s="62" t="s">
        <v>67</v>
      </c>
      <c r="D458" s="63" t="s">
        <v>76</v>
      </c>
      <c r="E458" s="64">
        <v>2.0</v>
      </c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ht="15.75" customHeight="1">
      <c r="A459" s="61" t="str">
        <f t="shared" si="1"/>
        <v>SalvadorFortalezaCaminhão</v>
      </c>
      <c r="B459" s="62" t="s">
        <v>25</v>
      </c>
      <c r="C459" s="62" t="s">
        <v>67</v>
      </c>
      <c r="D459" s="63" t="s">
        <v>60</v>
      </c>
      <c r="E459" s="64">
        <v>1.0</v>
      </c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ht="15.75" customHeight="1">
      <c r="A460" s="61" t="str">
        <f t="shared" si="1"/>
        <v>SalvadorGoiâniaCaminhão</v>
      </c>
      <c r="B460" s="62" t="s">
        <v>25</v>
      </c>
      <c r="C460" s="62" t="s">
        <v>67</v>
      </c>
      <c r="D460" s="63" t="s">
        <v>61</v>
      </c>
      <c r="E460" s="64">
        <v>1.0</v>
      </c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ht="15.75" customHeight="1">
      <c r="A461" s="61" t="str">
        <f t="shared" si="1"/>
        <v>SalvadorJoão PessoaCaminhão</v>
      </c>
      <c r="B461" s="62" t="s">
        <v>25</v>
      </c>
      <c r="C461" s="62" t="s">
        <v>67</v>
      </c>
      <c r="D461" s="63" t="s">
        <v>62</v>
      </c>
      <c r="E461" s="64">
        <v>1.0</v>
      </c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ht="15.75" customHeight="1">
      <c r="A462" s="61" t="str">
        <f t="shared" si="1"/>
        <v>SalvadorJoinvilleCaminhão</v>
      </c>
      <c r="B462" s="62" t="s">
        <v>25</v>
      </c>
      <c r="C462" s="62" t="s">
        <v>67</v>
      </c>
      <c r="D462" s="63" t="s">
        <v>28</v>
      </c>
      <c r="E462" s="64">
        <v>2.0</v>
      </c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ht="15.75" customHeight="1">
      <c r="A463" s="61" t="str">
        <f t="shared" si="1"/>
        <v>SalvadorMaceióCaminhão</v>
      </c>
      <c r="B463" s="62" t="s">
        <v>25</v>
      </c>
      <c r="C463" s="62" t="s">
        <v>67</v>
      </c>
      <c r="D463" s="63" t="s">
        <v>63</v>
      </c>
      <c r="E463" s="64">
        <v>1.0</v>
      </c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ht="15.75" customHeight="1">
      <c r="A464" s="61" t="str">
        <f t="shared" si="1"/>
        <v>SalvadorManausCaminhão</v>
      </c>
      <c r="B464" s="62" t="s">
        <v>25</v>
      </c>
      <c r="C464" s="62" t="s">
        <v>67</v>
      </c>
      <c r="D464" s="63" t="s">
        <v>23</v>
      </c>
      <c r="E464" s="64">
        <v>4.0</v>
      </c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ht="15.75" customHeight="1">
      <c r="A465" s="61" t="str">
        <f t="shared" si="1"/>
        <v>SalvadorNatalCaminhão</v>
      </c>
      <c r="B465" s="62" t="s">
        <v>25</v>
      </c>
      <c r="C465" s="62" t="s">
        <v>67</v>
      </c>
      <c r="D465" s="63" t="s">
        <v>64</v>
      </c>
      <c r="E465" s="64">
        <v>1.0</v>
      </c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ht="15.75" customHeight="1">
      <c r="A466" s="61" t="str">
        <f t="shared" si="1"/>
        <v>SalvadorPorto AlegreCaminhão</v>
      </c>
      <c r="B466" s="62" t="s">
        <v>25</v>
      </c>
      <c r="C466" s="62" t="s">
        <v>67</v>
      </c>
      <c r="D466" s="63" t="s">
        <v>31</v>
      </c>
      <c r="E466" s="64">
        <v>3.0</v>
      </c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ht="15.75" customHeight="1">
      <c r="A467" s="61" t="str">
        <f t="shared" si="1"/>
        <v>SalvadorRecifeCaminhão</v>
      </c>
      <c r="B467" s="62" t="s">
        <v>25</v>
      </c>
      <c r="C467" s="62" t="s">
        <v>67</v>
      </c>
      <c r="D467" s="63" t="s">
        <v>65</v>
      </c>
      <c r="E467" s="64">
        <v>1.0</v>
      </c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ht="15.75" customHeight="1">
      <c r="A468" s="61" t="str">
        <f t="shared" si="1"/>
        <v>SalvadorRibeirão PretoCaminhão</v>
      </c>
      <c r="B468" s="62" t="s">
        <v>25</v>
      </c>
      <c r="C468" s="62" t="s">
        <v>67</v>
      </c>
      <c r="D468" s="63" t="s">
        <v>78</v>
      </c>
      <c r="E468" s="64">
        <v>2.0</v>
      </c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ht="15.75" customHeight="1">
      <c r="A469" s="61" t="str">
        <f t="shared" si="1"/>
        <v>SalvadorRio de JaneiroCaminhão</v>
      </c>
      <c r="B469" s="62" t="s">
        <v>25</v>
      </c>
      <c r="C469" s="62" t="s">
        <v>67</v>
      </c>
      <c r="D469" s="63" t="s">
        <v>66</v>
      </c>
      <c r="E469" s="64">
        <v>1.0</v>
      </c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ht="15.75" customHeight="1">
      <c r="A470" s="61" t="str">
        <f t="shared" si="1"/>
        <v>SalvadorSalvadorCaminhão</v>
      </c>
      <c r="B470" s="62" t="s">
        <v>25</v>
      </c>
      <c r="C470" s="62" t="s">
        <v>67</v>
      </c>
      <c r="D470" s="63" t="s">
        <v>67</v>
      </c>
      <c r="E470" s="64">
        <v>0.0</v>
      </c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ht="15.75" customHeight="1">
      <c r="A471" s="61" t="str">
        <f t="shared" si="1"/>
        <v>SalvadorSantosCaminhão</v>
      </c>
      <c r="B471" s="62" t="s">
        <v>25</v>
      </c>
      <c r="C471" s="62" t="s">
        <v>67</v>
      </c>
      <c r="D471" s="63" t="s">
        <v>38</v>
      </c>
      <c r="E471" s="64">
        <v>2.0</v>
      </c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ht="15.75" customHeight="1">
      <c r="A472" s="61" t="str">
        <f t="shared" si="1"/>
        <v>SalvadorSão LuísCaminhão</v>
      </c>
      <c r="B472" s="62" t="s">
        <v>25</v>
      </c>
      <c r="C472" s="62" t="s">
        <v>67</v>
      </c>
      <c r="D472" s="63" t="s">
        <v>36</v>
      </c>
      <c r="E472" s="64">
        <v>1.0</v>
      </c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ht="15.75" customHeight="1">
      <c r="A473" s="61" t="str">
        <f t="shared" si="1"/>
        <v>SalvadorSão PauloCaminhão</v>
      </c>
      <c r="B473" s="62" t="s">
        <v>25</v>
      </c>
      <c r="C473" s="62" t="s">
        <v>67</v>
      </c>
      <c r="D473" s="63" t="s">
        <v>75</v>
      </c>
      <c r="E473" s="64">
        <v>2.0</v>
      </c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ht="15.75" customHeight="1">
      <c r="A474" s="61" t="str">
        <f t="shared" si="1"/>
        <v>SalvadorUberlândiaCaminhão</v>
      </c>
      <c r="B474" s="62" t="s">
        <v>25</v>
      </c>
      <c r="C474" s="62" t="s">
        <v>67</v>
      </c>
      <c r="D474" s="63" t="s">
        <v>68</v>
      </c>
      <c r="E474" s="64">
        <v>2.0</v>
      </c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ht="15.75" customHeight="1">
      <c r="A475" s="61" t="str">
        <f t="shared" si="1"/>
        <v>SalvadorVitóriaCaminhão</v>
      </c>
      <c r="B475" s="62" t="s">
        <v>25</v>
      </c>
      <c r="C475" s="62" t="s">
        <v>67</v>
      </c>
      <c r="D475" s="63" t="s">
        <v>69</v>
      </c>
      <c r="E475" s="64">
        <v>1.0</v>
      </c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ht="15.75" customHeight="1">
      <c r="A476" s="61" t="str">
        <f t="shared" si="1"/>
        <v>SalvadorVitória da ConquistaCaminhão</v>
      </c>
      <c r="B476" s="62" t="s">
        <v>25</v>
      </c>
      <c r="C476" s="62" t="s">
        <v>67</v>
      </c>
      <c r="D476" s="63" t="s">
        <v>52</v>
      </c>
      <c r="E476" s="64">
        <v>0.0</v>
      </c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ht="15.75" customHeight="1">
      <c r="A477" s="61" t="str">
        <f t="shared" si="1"/>
        <v>SantosBelémCaminhão</v>
      </c>
      <c r="B477" s="62" t="s">
        <v>25</v>
      </c>
      <c r="C477" s="62" t="s">
        <v>38</v>
      </c>
      <c r="D477" s="63" t="s">
        <v>51</v>
      </c>
      <c r="E477" s="64">
        <v>3.0</v>
      </c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ht="15.75" customHeight="1">
      <c r="A478" s="61" t="str">
        <f t="shared" si="1"/>
        <v>SantosBelo HorizonteCaminhão</v>
      </c>
      <c r="B478" s="62" t="s">
        <v>25</v>
      </c>
      <c r="C478" s="62" t="s">
        <v>38</v>
      </c>
      <c r="D478" s="63" t="s">
        <v>57</v>
      </c>
      <c r="E478" s="64">
        <v>1.0</v>
      </c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ht="15.75" customHeight="1">
      <c r="A479" s="61" t="str">
        <f t="shared" si="1"/>
        <v>SantosBrasíliaCaminhão</v>
      </c>
      <c r="B479" s="62" t="s">
        <v>25</v>
      </c>
      <c r="C479" s="62" t="s">
        <v>38</v>
      </c>
      <c r="D479" s="63" t="s">
        <v>58</v>
      </c>
      <c r="E479" s="64">
        <v>1.0</v>
      </c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ht="15.75" customHeight="1">
      <c r="A480" s="61" t="str">
        <f t="shared" si="1"/>
        <v>SantosCampinasCaminhão</v>
      </c>
      <c r="B480" s="62" t="s">
        <v>25</v>
      </c>
      <c r="C480" s="62" t="s">
        <v>38</v>
      </c>
      <c r="D480" s="63" t="s">
        <v>77</v>
      </c>
      <c r="E480" s="64">
        <v>0.0</v>
      </c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ht="15.75" customHeight="1">
      <c r="A481" s="61" t="str">
        <f t="shared" si="1"/>
        <v>SantosCampo GrandeCaminhão</v>
      </c>
      <c r="B481" s="62" t="s">
        <v>25</v>
      </c>
      <c r="C481" s="62" t="s">
        <v>38</v>
      </c>
      <c r="D481" s="63" t="s">
        <v>59</v>
      </c>
      <c r="E481" s="64">
        <v>1.0</v>
      </c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ht="15.75" customHeight="1">
      <c r="A482" s="61" t="str">
        <f t="shared" si="1"/>
        <v>SantosCuiabáCaminhão</v>
      </c>
      <c r="B482" s="62" t="s">
        <v>25</v>
      </c>
      <c r="C482" s="62" t="s">
        <v>38</v>
      </c>
      <c r="D482" s="63" t="s">
        <v>29</v>
      </c>
      <c r="E482" s="64">
        <v>1.0</v>
      </c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ht="15.75" customHeight="1">
      <c r="A483" s="61" t="str">
        <f t="shared" si="1"/>
        <v>SantosCuritibaCaminhão</v>
      </c>
      <c r="B483" s="62" t="s">
        <v>25</v>
      </c>
      <c r="C483" s="62" t="s">
        <v>38</v>
      </c>
      <c r="D483" s="63" t="s">
        <v>76</v>
      </c>
      <c r="E483" s="64">
        <v>0.0</v>
      </c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ht="15.75" customHeight="1">
      <c r="A484" s="61" t="str">
        <f t="shared" si="1"/>
        <v>SantosFortalezaCaminhão</v>
      </c>
      <c r="B484" s="62" t="s">
        <v>25</v>
      </c>
      <c r="C484" s="62" t="s">
        <v>38</v>
      </c>
      <c r="D484" s="63" t="s">
        <v>60</v>
      </c>
      <c r="E484" s="64">
        <v>3.0</v>
      </c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ht="15.75" customHeight="1">
      <c r="A485" s="61" t="str">
        <f t="shared" si="1"/>
        <v>SantosGoiâniaCaminhão</v>
      </c>
      <c r="B485" s="62" t="s">
        <v>25</v>
      </c>
      <c r="C485" s="62" t="s">
        <v>38</v>
      </c>
      <c r="D485" s="63" t="s">
        <v>61</v>
      </c>
      <c r="E485" s="64">
        <v>1.0</v>
      </c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ht="15.75" customHeight="1">
      <c r="A486" s="61" t="str">
        <f t="shared" si="1"/>
        <v>SantosJoão PessoaCaminhão</v>
      </c>
      <c r="B486" s="62" t="s">
        <v>25</v>
      </c>
      <c r="C486" s="62" t="s">
        <v>38</v>
      </c>
      <c r="D486" s="63" t="s">
        <v>62</v>
      </c>
      <c r="E486" s="64">
        <v>2.0</v>
      </c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ht="15.75" customHeight="1">
      <c r="A487" s="61" t="str">
        <f t="shared" si="1"/>
        <v>SantosJoinvilleCaminhão</v>
      </c>
      <c r="B487" s="62" t="s">
        <v>25</v>
      </c>
      <c r="C487" s="62" t="s">
        <v>38</v>
      </c>
      <c r="D487" s="63" t="s">
        <v>28</v>
      </c>
      <c r="E487" s="64">
        <v>1.0</v>
      </c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ht="15.75" customHeight="1">
      <c r="A488" s="61" t="str">
        <f t="shared" si="1"/>
        <v>SantosMaceióCaminhão</v>
      </c>
      <c r="B488" s="62" t="s">
        <v>25</v>
      </c>
      <c r="C488" s="62" t="s">
        <v>38</v>
      </c>
      <c r="D488" s="63" t="s">
        <v>63</v>
      </c>
      <c r="E488" s="64">
        <v>2.0</v>
      </c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ht="15.75" customHeight="1">
      <c r="A489" s="61" t="str">
        <f t="shared" si="1"/>
        <v>SantosManausCaminhão</v>
      </c>
      <c r="B489" s="62" t="s">
        <v>25</v>
      </c>
      <c r="C489" s="62" t="s">
        <v>38</v>
      </c>
      <c r="D489" s="63" t="s">
        <v>23</v>
      </c>
      <c r="E489" s="64">
        <v>3.0</v>
      </c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ht="15.75" customHeight="1">
      <c r="A490" s="61" t="str">
        <f t="shared" si="1"/>
        <v>SantosNatalCaminhão</v>
      </c>
      <c r="B490" s="62" t="s">
        <v>25</v>
      </c>
      <c r="C490" s="62" t="s">
        <v>38</v>
      </c>
      <c r="D490" s="63" t="s">
        <v>64</v>
      </c>
      <c r="E490" s="64">
        <v>3.0</v>
      </c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ht="15.75" customHeight="1">
      <c r="A491" s="61" t="str">
        <f t="shared" si="1"/>
        <v>SantosPorto AlegreCaminhão</v>
      </c>
      <c r="B491" s="62" t="s">
        <v>25</v>
      </c>
      <c r="C491" s="62" t="s">
        <v>38</v>
      </c>
      <c r="D491" s="63" t="s">
        <v>31</v>
      </c>
      <c r="E491" s="64">
        <v>1.0</v>
      </c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ht="15.75" customHeight="1">
      <c r="A492" s="61" t="str">
        <f t="shared" si="1"/>
        <v>SantosRecifeCaminhão</v>
      </c>
      <c r="B492" s="62" t="s">
        <v>25</v>
      </c>
      <c r="C492" s="62" t="s">
        <v>38</v>
      </c>
      <c r="D492" s="63" t="s">
        <v>65</v>
      </c>
      <c r="E492" s="64">
        <v>2.0</v>
      </c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ht="15.75" customHeight="1">
      <c r="A493" s="61" t="str">
        <f t="shared" si="1"/>
        <v>SantosRibeirão PretoCaminhão</v>
      </c>
      <c r="B493" s="62" t="s">
        <v>25</v>
      </c>
      <c r="C493" s="62" t="s">
        <v>38</v>
      </c>
      <c r="D493" s="63" t="s">
        <v>78</v>
      </c>
      <c r="E493" s="64">
        <v>0.0</v>
      </c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ht="15.75" customHeight="1">
      <c r="A494" s="61" t="str">
        <f t="shared" si="1"/>
        <v>SantosRio de JaneiroCaminhão</v>
      </c>
      <c r="B494" s="62" t="s">
        <v>25</v>
      </c>
      <c r="C494" s="62" t="s">
        <v>38</v>
      </c>
      <c r="D494" s="63" t="s">
        <v>66</v>
      </c>
      <c r="E494" s="64">
        <v>0.0</v>
      </c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ht="15.75" customHeight="1">
      <c r="A495" s="61" t="str">
        <f t="shared" si="1"/>
        <v>SantosSalvadorCaminhão</v>
      </c>
      <c r="B495" s="62" t="s">
        <v>25</v>
      </c>
      <c r="C495" s="62" t="s">
        <v>38</v>
      </c>
      <c r="D495" s="63" t="s">
        <v>67</v>
      </c>
      <c r="E495" s="64">
        <v>2.0</v>
      </c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ht="15.75" customHeight="1">
      <c r="A496" s="61" t="str">
        <f t="shared" si="1"/>
        <v>SantosSantosCaminhão</v>
      </c>
      <c r="B496" s="62" t="s">
        <v>25</v>
      </c>
      <c r="C496" s="62" t="s">
        <v>38</v>
      </c>
      <c r="D496" s="63" t="s">
        <v>38</v>
      </c>
      <c r="E496" s="64">
        <v>0.0</v>
      </c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ht="15.75" customHeight="1">
      <c r="A497" s="61" t="str">
        <f t="shared" si="1"/>
        <v>SantosSão LuísCaminhão</v>
      </c>
      <c r="B497" s="62" t="s">
        <v>25</v>
      </c>
      <c r="C497" s="62" t="s">
        <v>38</v>
      </c>
      <c r="D497" s="63" t="s">
        <v>36</v>
      </c>
      <c r="E497" s="64">
        <v>3.0</v>
      </c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ht="15.75" customHeight="1">
      <c r="A498" s="61" t="str">
        <f t="shared" si="1"/>
        <v>SantosSão PauloCaminhão</v>
      </c>
      <c r="B498" s="62" t="s">
        <v>25</v>
      </c>
      <c r="C498" s="62" t="s">
        <v>38</v>
      </c>
      <c r="D498" s="63" t="s">
        <v>75</v>
      </c>
      <c r="E498" s="64">
        <v>0.0</v>
      </c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ht="15.75" customHeight="1">
      <c r="A499" s="61" t="str">
        <f t="shared" si="1"/>
        <v>SantosUberlândiaCaminhão</v>
      </c>
      <c r="B499" s="62" t="s">
        <v>25</v>
      </c>
      <c r="C499" s="62" t="s">
        <v>38</v>
      </c>
      <c r="D499" s="63" t="s">
        <v>68</v>
      </c>
      <c r="E499" s="64">
        <v>1.0</v>
      </c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ht="15.75" customHeight="1">
      <c r="A500" s="61" t="str">
        <f t="shared" si="1"/>
        <v>SantosVitóriaCaminhão</v>
      </c>
      <c r="B500" s="62" t="s">
        <v>25</v>
      </c>
      <c r="C500" s="62" t="s">
        <v>38</v>
      </c>
      <c r="D500" s="63" t="s">
        <v>69</v>
      </c>
      <c r="E500" s="64">
        <v>1.0</v>
      </c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ht="15.75" customHeight="1">
      <c r="A501" s="61" t="str">
        <f t="shared" si="1"/>
        <v>SantosVitória da ConquistaCaminhão</v>
      </c>
      <c r="B501" s="62" t="s">
        <v>25</v>
      </c>
      <c r="C501" s="62" t="s">
        <v>38</v>
      </c>
      <c r="D501" s="63" t="s">
        <v>52</v>
      </c>
      <c r="E501" s="64">
        <v>1.0</v>
      </c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ht="15.75" customHeight="1">
      <c r="A502" s="61" t="str">
        <f t="shared" si="1"/>
        <v>São LuísBelémCaminhão</v>
      </c>
      <c r="B502" s="62" t="s">
        <v>25</v>
      </c>
      <c r="C502" s="63" t="s">
        <v>36</v>
      </c>
      <c r="D502" s="63" t="s">
        <v>51</v>
      </c>
      <c r="E502" s="64">
        <v>1.0</v>
      </c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ht="15.75" customHeight="1">
      <c r="A503" s="61" t="str">
        <f t="shared" si="1"/>
        <v>São LuísBelo HorizonteCaminhão</v>
      </c>
      <c r="B503" s="62" t="s">
        <v>25</v>
      </c>
      <c r="C503" s="63" t="s">
        <v>36</v>
      </c>
      <c r="D503" s="63" t="s">
        <v>57</v>
      </c>
      <c r="E503" s="64">
        <v>2.0</v>
      </c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ht="15.75" customHeight="1">
      <c r="A504" s="61" t="str">
        <f t="shared" si="1"/>
        <v>São LuísBrasíliaCaminhão</v>
      </c>
      <c r="B504" s="62" t="s">
        <v>25</v>
      </c>
      <c r="C504" s="63" t="s">
        <v>36</v>
      </c>
      <c r="D504" s="63" t="s">
        <v>58</v>
      </c>
      <c r="E504" s="64">
        <v>2.0</v>
      </c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ht="15.75" customHeight="1">
      <c r="A505" s="61" t="str">
        <f t="shared" si="1"/>
        <v>São LuísCampinasCaminhão</v>
      </c>
      <c r="B505" s="62" t="s">
        <v>25</v>
      </c>
      <c r="C505" s="63" t="s">
        <v>36</v>
      </c>
      <c r="D505" s="63" t="s">
        <v>77</v>
      </c>
      <c r="E505" s="64">
        <v>2.0</v>
      </c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ht="15.75" customHeight="1">
      <c r="A506" s="61" t="str">
        <f t="shared" si="1"/>
        <v>São LuísCampo GrandeCaminhão</v>
      </c>
      <c r="B506" s="62" t="s">
        <v>25</v>
      </c>
      <c r="C506" s="63" t="s">
        <v>36</v>
      </c>
      <c r="D506" s="63" t="s">
        <v>59</v>
      </c>
      <c r="E506" s="64">
        <v>2.0</v>
      </c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ht="15.75" customHeight="1">
      <c r="A507" s="61" t="str">
        <f t="shared" si="1"/>
        <v>São LuísCuiabáCaminhão</v>
      </c>
      <c r="B507" s="62" t="s">
        <v>25</v>
      </c>
      <c r="C507" s="63" t="s">
        <v>36</v>
      </c>
      <c r="D507" s="63" t="s">
        <v>29</v>
      </c>
      <c r="E507" s="64">
        <v>2.0</v>
      </c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ht="15.75" customHeight="1">
      <c r="A508" s="61" t="str">
        <f t="shared" si="1"/>
        <v>São LuísCuritibaCaminhão</v>
      </c>
      <c r="B508" s="62" t="s">
        <v>25</v>
      </c>
      <c r="C508" s="63" t="s">
        <v>36</v>
      </c>
      <c r="D508" s="63" t="s">
        <v>76</v>
      </c>
      <c r="E508" s="64">
        <v>3.0</v>
      </c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ht="15.75" customHeight="1">
      <c r="A509" s="61" t="str">
        <f t="shared" si="1"/>
        <v>São LuísFortalezaCaminhão</v>
      </c>
      <c r="B509" s="62" t="s">
        <v>25</v>
      </c>
      <c r="C509" s="63" t="s">
        <v>36</v>
      </c>
      <c r="D509" s="63" t="s">
        <v>60</v>
      </c>
      <c r="E509" s="64">
        <v>1.0</v>
      </c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ht="15.75" customHeight="1">
      <c r="A510" s="61" t="str">
        <f t="shared" si="1"/>
        <v>São LuísGoiâniaCaminhão</v>
      </c>
      <c r="B510" s="62" t="s">
        <v>25</v>
      </c>
      <c r="C510" s="63" t="s">
        <v>36</v>
      </c>
      <c r="D510" s="63" t="s">
        <v>61</v>
      </c>
      <c r="E510" s="64">
        <v>2.0</v>
      </c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ht="15.75" customHeight="1">
      <c r="A511" s="61" t="str">
        <f t="shared" si="1"/>
        <v>São LuísJoão PessoaCaminhão</v>
      </c>
      <c r="B511" s="62" t="s">
        <v>25</v>
      </c>
      <c r="C511" s="63" t="s">
        <v>36</v>
      </c>
      <c r="D511" s="63" t="s">
        <v>62</v>
      </c>
      <c r="E511" s="64">
        <v>1.0</v>
      </c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ht="15.75" customHeight="1">
      <c r="A512" s="61" t="str">
        <f t="shared" si="1"/>
        <v>São LuísJoinvilleCaminhão</v>
      </c>
      <c r="B512" s="62" t="s">
        <v>25</v>
      </c>
      <c r="C512" s="63" t="s">
        <v>36</v>
      </c>
      <c r="D512" s="63" t="s">
        <v>28</v>
      </c>
      <c r="E512" s="64">
        <v>3.0</v>
      </c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ht="15.75" customHeight="1">
      <c r="A513" s="61" t="str">
        <f t="shared" si="1"/>
        <v>São LuísMaceióCaminhão</v>
      </c>
      <c r="B513" s="62" t="s">
        <v>25</v>
      </c>
      <c r="C513" s="63" t="s">
        <v>36</v>
      </c>
      <c r="D513" s="63" t="s">
        <v>63</v>
      </c>
      <c r="E513" s="64">
        <v>1.0</v>
      </c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ht="15.75" customHeight="1">
      <c r="A514" s="61" t="str">
        <f t="shared" si="1"/>
        <v>São LuísManausCaminhão</v>
      </c>
      <c r="B514" s="62" t="s">
        <v>25</v>
      </c>
      <c r="C514" s="63" t="s">
        <v>36</v>
      </c>
      <c r="D514" s="63" t="s">
        <v>23</v>
      </c>
      <c r="E514" s="64">
        <v>4.0</v>
      </c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ht="15.75" customHeight="1">
      <c r="A515" s="61" t="str">
        <f t="shared" si="1"/>
        <v>São LuísNatalCaminhão</v>
      </c>
      <c r="B515" s="62" t="s">
        <v>25</v>
      </c>
      <c r="C515" s="63" t="s">
        <v>36</v>
      </c>
      <c r="D515" s="63" t="s">
        <v>64</v>
      </c>
      <c r="E515" s="64">
        <v>1.0</v>
      </c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ht="15.75" customHeight="1">
      <c r="A516" s="61" t="str">
        <f t="shared" si="1"/>
        <v>São LuísPorto AlegreCaminhão</v>
      </c>
      <c r="B516" s="62" t="s">
        <v>25</v>
      </c>
      <c r="C516" s="63" t="s">
        <v>36</v>
      </c>
      <c r="D516" s="63" t="s">
        <v>31</v>
      </c>
      <c r="E516" s="64">
        <v>3.0</v>
      </c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ht="15.75" customHeight="1">
      <c r="A517" s="61" t="str">
        <f t="shared" si="1"/>
        <v>São LuísRecifeCaminhão</v>
      </c>
      <c r="B517" s="62" t="s">
        <v>25</v>
      </c>
      <c r="C517" s="63" t="s">
        <v>36</v>
      </c>
      <c r="D517" s="63" t="s">
        <v>65</v>
      </c>
      <c r="E517" s="64">
        <v>1.0</v>
      </c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ht="15.75" customHeight="1">
      <c r="A518" s="61" t="str">
        <f t="shared" si="1"/>
        <v>São LuísRibeirão PretoCaminhão</v>
      </c>
      <c r="B518" s="62" t="s">
        <v>25</v>
      </c>
      <c r="C518" s="63" t="s">
        <v>36</v>
      </c>
      <c r="D518" s="63" t="s">
        <v>78</v>
      </c>
      <c r="E518" s="64">
        <v>2.0</v>
      </c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ht="15.75" customHeight="1">
      <c r="A519" s="61" t="str">
        <f t="shared" si="1"/>
        <v>São LuísRio de JaneiroCaminhão</v>
      </c>
      <c r="B519" s="62" t="s">
        <v>25</v>
      </c>
      <c r="C519" s="63" t="s">
        <v>36</v>
      </c>
      <c r="D519" s="63" t="s">
        <v>66</v>
      </c>
      <c r="E519" s="64">
        <v>3.0</v>
      </c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ht="15.75" customHeight="1">
      <c r="A520" s="61" t="str">
        <f t="shared" si="1"/>
        <v>São LuísSalvadorCaminhão</v>
      </c>
      <c r="B520" s="62" t="s">
        <v>25</v>
      </c>
      <c r="C520" s="63" t="s">
        <v>36</v>
      </c>
      <c r="D520" s="63" t="s">
        <v>67</v>
      </c>
      <c r="E520" s="64">
        <v>1.0</v>
      </c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ht="15.75" customHeight="1">
      <c r="A521" s="61" t="str">
        <f t="shared" si="1"/>
        <v>São LuísSantosCaminhão</v>
      </c>
      <c r="B521" s="62" t="s">
        <v>25</v>
      </c>
      <c r="C521" s="63" t="s">
        <v>36</v>
      </c>
      <c r="D521" s="63" t="s">
        <v>38</v>
      </c>
      <c r="E521" s="64">
        <v>3.0</v>
      </c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ht="15.75" customHeight="1">
      <c r="A522" s="61" t="str">
        <f t="shared" si="1"/>
        <v>São LuísSão LuísCaminhão</v>
      </c>
      <c r="B522" s="62" t="s">
        <v>25</v>
      </c>
      <c r="C522" s="63" t="s">
        <v>36</v>
      </c>
      <c r="D522" s="63" t="s">
        <v>36</v>
      </c>
      <c r="E522" s="64">
        <v>0.0</v>
      </c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ht="15.75" customHeight="1">
      <c r="A523" s="61" t="str">
        <f t="shared" si="1"/>
        <v>São LuísSão PauloCaminhão</v>
      </c>
      <c r="B523" s="62" t="s">
        <v>25</v>
      </c>
      <c r="C523" s="63" t="s">
        <v>36</v>
      </c>
      <c r="D523" s="63" t="s">
        <v>75</v>
      </c>
      <c r="E523" s="64">
        <v>2.0</v>
      </c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ht="15.75" customHeight="1">
      <c r="A524" s="61" t="str">
        <f t="shared" si="1"/>
        <v>São LuísUberlândiaCaminhão</v>
      </c>
      <c r="B524" s="62" t="s">
        <v>25</v>
      </c>
      <c r="C524" s="63" t="s">
        <v>36</v>
      </c>
      <c r="D524" s="63" t="s">
        <v>68</v>
      </c>
      <c r="E524" s="64">
        <v>2.0</v>
      </c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ht="15.75" customHeight="1">
      <c r="A525" s="61" t="str">
        <f t="shared" si="1"/>
        <v>São LuísVitóriaCaminhão</v>
      </c>
      <c r="B525" s="62" t="s">
        <v>25</v>
      </c>
      <c r="C525" s="63" t="s">
        <v>36</v>
      </c>
      <c r="D525" s="63" t="s">
        <v>69</v>
      </c>
      <c r="E525" s="64">
        <v>2.0</v>
      </c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ht="15.75" customHeight="1">
      <c r="A526" s="61" t="str">
        <f t="shared" si="1"/>
        <v>São LuísVitória da ConquistaCaminhão</v>
      </c>
      <c r="B526" s="62" t="s">
        <v>25</v>
      </c>
      <c r="C526" s="63" t="s">
        <v>36</v>
      </c>
      <c r="D526" s="63" t="s">
        <v>52</v>
      </c>
      <c r="E526" s="64">
        <v>2.0</v>
      </c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ht="15.75" customHeight="1">
      <c r="A527" s="61" t="str">
        <f t="shared" si="1"/>
        <v>São PauloBelémCaminhão</v>
      </c>
      <c r="B527" s="62" t="s">
        <v>25</v>
      </c>
      <c r="C527" s="62" t="s">
        <v>75</v>
      </c>
      <c r="D527" s="63" t="s">
        <v>51</v>
      </c>
      <c r="E527" s="64">
        <v>2.0</v>
      </c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ht="15.75" customHeight="1">
      <c r="A528" s="61" t="str">
        <f t="shared" si="1"/>
        <v>São PauloBelo HorizonteCaminhão</v>
      </c>
      <c r="B528" s="62" t="s">
        <v>25</v>
      </c>
      <c r="C528" s="62" t="s">
        <v>75</v>
      </c>
      <c r="D528" s="63" t="s">
        <v>57</v>
      </c>
      <c r="E528" s="64">
        <v>0.0</v>
      </c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ht="15.75" customHeight="1">
      <c r="A529" s="61" t="str">
        <f t="shared" si="1"/>
        <v>São PauloBrasíliaCaminhão</v>
      </c>
      <c r="B529" s="62" t="s">
        <v>25</v>
      </c>
      <c r="C529" s="62" t="s">
        <v>75</v>
      </c>
      <c r="D529" s="63" t="s">
        <v>58</v>
      </c>
      <c r="E529" s="64">
        <v>1.0</v>
      </c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ht="15.75" customHeight="1">
      <c r="A530" s="61" t="str">
        <f t="shared" si="1"/>
        <v>São PauloCampinasCaminhão</v>
      </c>
      <c r="B530" s="62" t="s">
        <v>25</v>
      </c>
      <c r="C530" s="62" t="s">
        <v>75</v>
      </c>
      <c r="D530" s="63" t="s">
        <v>77</v>
      </c>
      <c r="E530" s="64">
        <v>0.0</v>
      </c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ht="15.75" customHeight="1">
      <c r="A531" s="61" t="str">
        <f t="shared" si="1"/>
        <v>São PauloCampo GrandeCaminhão</v>
      </c>
      <c r="B531" s="62" t="s">
        <v>25</v>
      </c>
      <c r="C531" s="62" t="s">
        <v>75</v>
      </c>
      <c r="D531" s="63" t="s">
        <v>59</v>
      </c>
      <c r="E531" s="64">
        <v>1.0</v>
      </c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ht="15.75" customHeight="1">
      <c r="A532" s="61" t="str">
        <f t="shared" si="1"/>
        <v>São PauloCuiabáCaminhão</v>
      </c>
      <c r="B532" s="62" t="s">
        <v>25</v>
      </c>
      <c r="C532" s="62" t="s">
        <v>75</v>
      </c>
      <c r="D532" s="63" t="s">
        <v>29</v>
      </c>
      <c r="E532" s="64">
        <v>1.0</v>
      </c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ht="15.75" customHeight="1">
      <c r="A533" s="61" t="str">
        <f t="shared" si="1"/>
        <v>São PauloCuritibaCaminhão</v>
      </c>
      <c r="B533" s="62" t="s">
        <v>25</v>
      </c>
      <c r="C533" s="62" t="s">
        <v>75</v>
      </c>
      <c r="D533" s="63" t="s">
        <v>76</v>
      </c>
      <c r="E533" s="64">
        <v>0.0</v>
      </c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ht="15.75" customHeight="1">
      <c r="A534" s="61" t="str">
        <f t="shared" si="1"/>
        <v>São PauloFortalezaCaminhão</v>
      </c>
      <c r="B534" s="62" t="s">
        <v>25</v>
      </c>
      <c r="C534" s="62" t="s">
        <v>75</v>
      </c>
      <c r="D534" s="63" t="s">
        <v>60</v>
      </c>
      <c r="E534" s="64">
        <v>3.0</v>
      </c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ht="15.75" customHeight="1">
      <c r="A535" s="61" t="str">
        <f t="shared" si="1"/>
        <v>São PauloGoiâniaCaminhão</v>
      </c>
      <c r="B535" s="62" t="s">
        <v>25</v>
      </c>
      <c r="C535" s="62" t="s">
        <v>75</v>
      </c>
      <c r="D535" s="63" t="s">
        <v>61</v>
      </c>
      <c r="E535" s="64">
        <v>1.0</v>
      </c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ht="15.75" customHeight="1">
      <c r="A536" s="61" t="str">
        <f t="shared" si="1"/>
        <v>São PauloJoão PessoaCaminhão</v>
      </c>
      <c r="B536" s="62" t="s">
        <v>25</v>
      </c>
      <c r="C536" s="62" t="s">
        <v>75</v>
      </c>
      <c r="D536" s="63" t="s">
        <v>62</v>
      </c>
      <c r="E536" s="64">
        <v>2.0</v>
      </c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ht="15.75" customHeight="1">
      <c r="A537" s="61" t="str">
        <f t="shared" si="1"/>
        <v>São PauloJoinvilleCaminhão</v>
      </c>
      <c r="B537" s="62" t="s">
        <v>25</v>
      </c>
      <c r="C537" s="62" t="s">
        <v>75</v>
      </c>
      <c r="D537" s="63" t="s">
        <v>28</v>
      </c>
      <c r="E537" s="64">
        <v>0.0</v>
      </c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ht="15.75" customHeight="1">
      <c r="A538" s="61" t="str">
        <f t="shared" si="1"/>
        <v>São PauloMaceióCaminhão</v>
      </c>
      <c r="B538" s="62" t="s">
        <v>25</v>
      </c>
      <c r="C538" s="62" t="s">
        <v>75</v>
      </c>
      <c r="D538" s="63" t="s">
        <v>63</v>
      </c>
      <c r="E538" s="64">
        <v>2.0</v>
      </c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ht="15.75" customHeight="1">
      <c r="A539" s="61" t="str">
        <f t="shared" si="1"/>
        <v>São PauloManausCaminhão</v>
      </c>
      <c r="B539" s="62" t="s">
        <v>25</v>
      </c>
      <c r="C539" s="62" t="s">
        <v>75</v>
      </c>
      <c r="D539" s="63" t="s">
        <v>23</v>
      </c>
      <c r="E539" s="64">
        <v>3.0</v>
      </c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ht="15.75" customHeight="1">
      <c r="A540" s="61" t="str">
        <f t="shared" si="1"/>
        <v>São PauloNatalCaminhão</v>
      </c>
      <c r="B540" s="62" t="s">
        <v>25</v>
      </c>
      <c r="C540" s="62" t="s">
        <v>75</v>
      </c>
      <c r="D540" s="63" t="s">
        <v>64</v>
      </c>
      <c r="E540" s="64">
        <v>2.0</v>
      </c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ht="15.75" customHeight="1">
      <c r="A541" s="61" t="str">
        <f t="shared" si="1"/>
        <v>São PauloPorto AlegreCaminhão</v>
      </c>
      <c r="B541" s="62" t="s">
        <v>25</v>
      </c>
      <c r="C541" s="62" t="s">
        <v>75</v>
      </c>
      <c r="D541" s="63" t="s">
        <v>31</v>
      </c>
      <c r="E541" s="64">
        <v>1.0</v>
      </c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ht="15.75" customHeight="1">
      <c r="A542" s="61" t="str">
        <f t="shared" si="1"/>
        <v>São PauloRecifeCaminhão</v>
      </c>
      <c r="B542" s="62" t="s">
        <v>25</v>
      </c>
      <c r="C542" s="62" t="s">
        <v>75</v>
      </c>
      <c r="D542" s="63" t="s">
        <v>65</v>
      </c>
      <c r="E542" s="64">
        <v>2.0</v>
      </c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ht="15.75" customHeight="1">
      <c r="A543" s="61" t="str">
        <f t="shared" si="1"/>
        <v>São PauloRibeirão PretoCaminhão</v>
      </c>
      <c r="B543" s="62" t="s">
        <v>25</v>
      </c>
      <c r="C543" s="62" t="s">
        <v>75</v>
      </c>
      <c r="D543" s="63" t="s">
        <v>78</v>
      </c>
      <c r="E543" s="64">
        <v>0.0</v>
      </c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ht="15.75" customHeight="1">
      <c r="A544" s="61" t="str">
        <f t="shared" si="1"/>
        <v>São PauloRio de JaneiroCaminhão</v>
      </c>
      <c r="B544" s="62" t="s">
        <v>25</v>
      </c>
      <c r="C544" s="62" t="s">
        <v>75</v>
      </c>
      <c r="D544" s="63" t="s">
        <v>66</v>
      </c>
      <c r="E544" s="64">
        <v>0.0</v>
      </c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ht="15.75" customHeight="1">
      <c r="A545" s="61" t="str">
        <f t="shared" si="1"/>
        <v>São PauloSalvadorCaminhão</v>
      </c>
      <c r="B545" s="62" t="s">
        <v>25</v>
      </c>
      <c r="C545" s="62" t="s">
        <v>75</v>
      </c>
      <c r="D545" s="63" t="s">
        <v>67</v>
      </c>
      <c r="E545" s="64">
        <v>2.0</v>
      </c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ht="15.75" customHeight="1">
      <c r="A546" s="61" t="str">
        <f t="shared" si="1"/>
        <v>São PauloSantosCaminhão</v>
      </c>
      <c r="B546" s="62" t="s">
        <v>25</v>
      </c>
      <c r="C546" s="62" t="s">
        <v>75</v>
      </c>
      <c r="D546" s="63" t="s">
        <v>38</v>
      </c>
      <c r="E546" s="64">
        <v>0.0</v>
      </c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ht="15.75" customHeight="1">
      <c r="A547" s="61" t="str">
        <f t="shared" si="1"/>
        <v>São PauloSão LuísCaminhão</v>
      </c>
      <c r="B547" s="62" t="s">
        <v>25</v>
      </c>
      <c r="C547" s="62" t="s">
        <v>75</v>
      </c>
      <c r="D547" s="63" t="s">
        <v>36</v>
      </c>
      <c r="E547" s="64">
        <v>2.0</v>
      </c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ht="15.75" customHeight="1">
      <c r="A548" s="61" t="str">
        <f t="shared" si="1"/>
        <v>São PauloSão PauloCaminhão</v>
      </c>
      <c r="B548" s="62" t="s">
        <v>25</v>
      </c>
      <c r="C548" s="62" t="s">
        <v>75</v>
      </c>
      <c r="D548" s="63" t="s">
        <v>75</v>
      </c>
      <c r="E548" s="64">
        <v>0.0</v>
      </c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ht="15.75" customHeight="1">
      <c r="A549" s="61" t="str">
        <f t="shared" si="1"/>
        <v>São PauloUberlândiaCaminhão</v>
      </c>
      <c r="B549" s="62" t="s">
        <v>25</v>
      </c>
      <c r="C549" s="62" t="s">
        <v>75</v>
      </c>
      <c r="D549" s="63" t="s">
        <v>68</v>
      </c>
      <c r="E549" s="64">
        <v>0.0</v>
      </c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ht="15.75" customHeight="1">
      <c r="A550" s="61" t="str">
        <f t="shared" si="1"/>
        <v>São PauloVitóriaCaminhão</v>
      </c>
      <c r="B550" s="62" t="s">
        <v>25</v>
      </c>
      <c r="C550" s="62" t="s">
        <v>75</v>
      </c>
      <c r="D550" s="63" t="s">
        <v>69</v>
      </c>
      <c r="E550" s="64">
        <v>1.0</v>
      </c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ht="15.75" customHeight="1">
      <c r="A551" s="61" t="str">
        <f t="shared" si="1"/>
        <v>São PauloVitória da ConquistaCaminhão</v>
      </c>
      <c r="B551" s="62" t="s">
        <v>25</v>
      </c>
      <c r="C551" s="62" t="s">
        <v>75</v>
      </c>
      <c r="D551" s="63" t="s">
        <v>52</v>
      </c>
      <c r="E551" s="64">
        <v>1.0</v>
      </c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ht="15.75" customHeight="1">
      <c r="A552" s="61" t="str">
        <f t="shared" si="1"/>
        <v>UberlândiaBelémCaminhão</v>
      </c>
      <c r="B552" s="62" t="s">
        <v>25</v>
      </c>
      <c r="C552" s="62" t="s">
        <v>68</v>
      </c>
      <c r="D552" s="63" t="s">
        <v>51</v>
      </c>
      <c r="E552" s="64">
        <v>2.0</v>
      </c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ht="15.75" customHeight="1">
      <c r="A553" s="61" t="str">
        <f t="shared" si="1"/>
        <v>UberlândiaBelo HorizonteCaminhão</v>
      </c>
      <c r="B553" s="62" t="s">
        <v>25</v>
      </c>
      <c r="C553" s="62" t="s">
        <v>68</v>
      </c>
      <c r="D553" s="63" t="s">
        <v>57</v>
      </c>
      <c r="E553" s="64">
        <v>0.0</v>
      </c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ht="15.75" customHeight="1">
      <c r="A554" s="61" t="str">
        <f t="shared" si="1"/>
        <v>UberlândiaBrasíliaCaminhão</v>
      </c>
      <c r="B554" s="62" t="s">
        <v>25</v>
      </c>
      <c r="C554" s="62" t="s">
        <v>68</v>
      </c>
      <c r="D554" s="63" t="s">
        <v>58</v>
      </c>
      <c r="E554" s="64">
        <v>0.0</v>
      </c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ht="15.75" customHeight="1">
      <c r="A555" s="61" t="str">
        <f t="shared" si="1"/>
        <v>UberlândiaCampinasCaminhão</v>
      </c>
      <c r="B555" s="62" t="s">
        <v>25</v>
      </c>
      <c r="C555" s="62" t="s">
        <v>68</v>
      </c>
      <c r="D555" s="63" t="s">
        <v>77</v>
      </c>
      <c r="E555" s="64">
        <v>0.0</v>
      </c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ht="15.75" customHeight="1">
      <c r="A556" s="61" t="str">
        <f t="shared" si="1"/>
        <v>UberlândiaCampo GrandeCaminhão</v>
      </c>
      <c r="B556" s="62" t="s">
        <v>25</v>
      </c>
      <c r="C556" s="62" t="s">
        <v>68</v>
      </c>
      <c r="D556" s="63" t="s">
        <v>59</v>
      </c>
      <c r="E556" s="64">
        <v>1.0</v>
      </c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ht="15.75" customHeight="1">
      <c r="A557" s="61" t="str">
        <f t="shared" si="1"/>
        <v>UberlândiaCuiabáCaminhão</v>
      </c>
      <c r="B557" s="62" t="s">
        <v>25</v>
      </c>
      <c r="C557" s="62" t="s">
        <v>68</v>
      </c>
      <c r="D557" s="63" t="s">
        <v>29</v>
      </c>
      <c r="E557" s="64">
        <v>1.0</v>
      </c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ht="15.75" customHeight="1">
      <c r="A558" s="61" t="str">
        <f t="shared" si="1"/>
        <v>UberlândiaCuritibaCaminhão</v>
      </c>
      <c r="B558" s="62" t="s">
        <v>25</v>
      </c>
      <c r="C558" s="62" t="s">
        <v>68</v>
      </c>
      <c r="D558" s="63" t="s">
        <v>76</v>
      </c>
      <c r="E558" s="64">
        <v>1.0</v>
      </c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ht="15.75" customHeight="1">
      <c r="A559" s="61" t="str">
        <f t="shared" si="1"/>
        <v>UberlândiaFortalezaCaminhão</v>
      </c>
      <c r="B559" s="62" t="s">
        <v>25</v>
      </c>
      <c r="C559" s="62" t="s">
        <v>68</v>
      </c>
      <c r="D559" s="63" t="s">
        <v>60</v>
      </c>
      <c r="E559" s="64">
        <v>2.0</v>
      </c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ht="15.75" customHeight="1">
      <c r="A560" s="61" t="str">
        <f t="shared" si="1"/>
        <v>UberlândiaGoiâniaCaminhão</v>
      </c>
      <c r="B560" s="62" t="s">
        <v>25</v>
      </c>
      <c r="C560" s="62" t="s">
        <v>68</v>
      </c>
      <c r="D560" s="63" t="s">
        <v>61</v>
      </c>
      <c r="E560" s="64">
        <v>0.0</v>
      </c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ht="15.75" customHeight="1">
      <c r="A561" s="61" t="str">
        <f t="shared" si="1"/>
        <v>UberlândiaJoão PessoaCaminhão</v>
      </c>
      <c r="B561" s="62" t="s">
        <v>25</v>
      </c>
      <c r="C561" s="62" t="s">
        <v>68</v>
      </c>
      <c r="D561" s="63" t="s">
        <v>62</v>
      </c>
      <c r="E561" s="64">
        <v>2.0</v>
      </c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ht="15.75" customHeight="1">
      <c r="A562" s="61" t="str">
        <f t="shared" si="1"/>
        <v>UberlândiaJoinvilleCaminhão</v>
      </c>
      <c r="B562" s="62" t="s">
        <v>25</v>
      </c>
      <c r="C562" s="62" t="s">
        <v>68</v>
      </c>
      <c r="D562" s="63" t="s">
        <v>28</v>
      </c>
      <c r="E562" s="64">
        <v>1.0</v>
      </c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ht="15.75" customHeight="1">
      <c r="A563" s="61" t="str">
        <f t="shared" si="1"/>
        <v>UberlândiaMaceióCaminhão</v>
      </c>
      <c r="B563" s="62" t="s">
        <v>25</v>
      </c>
      <c r="C563" s="62" t="s">
        <v>68</v>
      </c>
      <c r="D563" s="63" t="s">
        <v>63</v>
      </c>
      <c r="E563" s="64">
        <v>2.0</v>
      </c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ht="15.75" customHeight="1">
      <c r="A564" s="61" t="str">
        <f t="shared" si="1"/>
        <v>UberlândiaManausCaminhão</v>
      </c>
      <c r="B564" s="62" t="s">
        <v>25</v>
      </c>
      <c r="C564" s="62" t="s">
        <v>68</v>
      </c>
      <c r="D564" s="63" t="s">
        <v>23</v>
      </c>
      <c r="E564" s="64">
        <v>3.0</v>
      </c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ht="15.75" customHeight="1">
      <c r="A565" s="61" t="str">
        <f t="shared" si="1"/>
        <v>UberlândiaNatalCaminhão</v>
      </c>
      <c r="B565" s="62" t="s">
        <v>25</v>
      </c>
      <c r="C565" s="62" t="s">
        <v>68</v>
      </c>
      <c r="D565" s="63" t="s">
        <v>64</v>
      </c>
      <c r="E565" s="64">
        <v>2.0</v>
      </c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ht="15.75" customHeight="1">
      <c r="A566" s="61" t="str">
        <f t="shared" si="1"/>
        <v>UberlândiaPorto AlegreCaminhão</v>
      </c>
      <c r="B566" s="62" t="s">
        <v>25</v>
      </c>
      <c r="C566" s="62" t="s">
        <v>68</v>
      </c>
      <c r="D566" s="63" t="s">
        <v>31</v>
      </c>
      <c r="E566" s="64">
        <v>1.0</v>
      </c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ht="15.75" customHeight="1">
      <c r="A567" s="61" t="str">
        <f t="shared" si="1"/>
        <v>UberlândiaRecifeCaminhão</v>
      </c>
      <c r="B567" s="62" t="s">
        <v>25</v>
      </c>
      <c r="C567" s="62" t="s">
        <v>68</v>
      </c>
      <c r="D567" s="63" t="s">
        <v>65</v>
      </c>
      <c r="E567" s="64">
        <v>2.0</v>
      </c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ht="15.75" customHeight="1">
      <c r="A568" s="61" t="str">
        <f t="shared" si="1"/>
        <v>UberlândiaRibeirão PretoCaminhão</v>
      </c>
      <c r="B568" s="62" t="s">
        <v>25</v>
      </c>
      <c r="C568" s="62" t="s">
        <v>68</v>
      </c>
      <c r="D568" s="63" t="s">
        <v>78</v>
      </c>
      <c r="E568" s="64">
        <v>0.0</v>
      </c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ht="15.75" customHeight="1">
      <c r="A569" s="61" t="str">
        <f t="shared" si="1"/>
        <v>UberlândiaRio de JaneiroCaminhão</v>
      </c>
      <c r="B569" s="62" t="s">
        <v>25</v>
      </c>
      <c r="C569" s="62" t="s">
        <v>68</v>
      </c>
      <c r="D569" s="63" t="s">
        <v>66</v>
      </c>
      <c r="E569" s="64">
        <v>1.0</v>
      </c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ht="15.75" customHeight="1">
      <c r="A570" s="61" t="str">
        <f t="shared" si="1"/>
        <v>UberlândiaSalvadorCaminhão</v>
      </c>
      <c r="B570" s="62" t="s">
        <v>25</v>
      </c>
      <c r="C570" s="62" t="s">
        <v>68</v>
      </c>
      <c r="D570" s="63" t="s">
        <v>67</v>
      </c>
      <c r="E570" s="64">
        <v>2.0</v>
      </c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ht="15.75" customHeight="1">
      <c r="A571" s="61" t="str">
        <f t="shared" si="1"/>
        <v>UberlândiaSantosCaminhão</v>
      </c>
      <c r="B571" s="62" t="s">
        <v>25</v>
      </c>
      <c r="C571" s="62" t="s">
        <v>68</v>
      </c>
      <c r="D571" s="63" t="s">
        <v>38</v>
      </c>
      <c r="E571" s="64">
        <v>1.0</v>
      </c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ht="15.75" customHeight="1">
      <c r="A572" s="61" t="str">
        <f t="shared" si="1"/>
        <v>UberlândiaSão LuísCaminhão</v>
      </c>
      <c r="B572" s="62" t="s">
        <v>25</v>
      </c>
      <c r="C572" s="62" t="s">
        <v>68</v>
      </c>
      <c r="D572" s="63" t="s">
        <v>36</v>
      </c>
      <c r="E572" s="64">
        <v>2.0</v>
      </c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ht="15.75" customHeight="1">
      <c r="A573" s="61" t="str">
        <f t="shared" si="1"/>
        <v>UberlândiaSão PauloCaminhão</v>
      </c>
      <c r="B573" s="62" t="s">
        <v>25</v>
      </c>
      <c r="C573" s="62" t="s">
        <v>68</v>
      </c>
      <c r="D573" s="63" t="s">
        <v>75</v>
      </c>
      <c r="E573" s="64">
        <v>0.0</v>
      </c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ht="15.75" customHeight="1">
      <c r="A574" s="61" t="str">
        <f t="shared" si="1"/>
        <v>UberlândiaUberlândiaCaminhão</v>
      </c>
      <c r="B574" s="62" t="s">
        <v>25</v>
      </c>
      <c r="C574" s="62" t="s">
        <v>68</v>
      </c>
      <c r="D574" s="63" t="s">
        <v>68</v>
      </c>
      <c r="E574" s="64">
        <v>0.0</v>
      </c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ht="15.75" customHeight="1">
      <c r="A575" s="61" t="str">
        <f t="shared" si="1"/>
        <v>UberlândiaVitóriaCaminhão</v>
      </c>
      <c r="B575" s="62" t="s">
        <v>25</v>
      </c>
      <c r="C575" s="62" t="s">
        <v>68</v>
      </c>
      <c r="D575" s="63" t="s">
        <v>69</v>
      </c>
      <c r="E575" s="64">
        <v>1.0</v>
      </c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ht="15.75" customHeight="1">
      <c r="A576" s="61" t="str">
        <f t="shared" si="1"/>
        <v>UberlândiaVitória da ConquistaCaminhão</v>
      </c>
      <c r="B576" s="62" t="s">
        <v>25</v>
      </c>
      <c r="C576" s="62" t="s">
        <v>68</v>
      </c>
      <c r="D576" s="63" t="s">
        <v>52</v>
      </c>
      <c r="E576" s="64">
        <v>1.0</v>
      </c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ht="15.75" customHeight="1">
      <c r="A577" s="61" t="str">
        <f t="shared" si="1"/>
        <v>VitóriaBelémCaminhão</v>
      </c>
      <c r="B577" s="62" t="s">
        <v>25</v>
      </c>
      <c r="C577" s="62" t="s">
        <v>69</v>
      </c>
      <c r="D577" s="63" t="s">
        <v>51</v>
      </c>
      <c r="E577" s="64">
        <v>3.0</v>
      </c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ht="15.75" customHeight="1">
      <c r="A578" s="61" t="str">
        <f t="shared" si="1"/>
        <v>VitóriaBelo HorizonteCaminhão</v>
      </c>
      <c r="B578" s="62" t="s">
        <v>25</v>
      </c>
      <c r="C578" s="62" t="s">
        <v>69</v>
      </c>
      <c r="D578" s="63" t="s">
        <v>57</v>
      </c>
      <c r="E578" s="64">
        <v>0.0</v>
      </c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ht="15.75" customHeight="1">
      <c r="A579" s="61" t="str">
        <f t="shared" si="1"/>
        <v>VitóriaBrasíliaCaminhão</v>
      </c>
      <c r="B579" s="62" t="s">
        <v>25</v>
      </c>
      <c r="C579" s="62" t="s">
        <v>69</v>
      </c>
      <c r="D579" s="63" t="s">
        <v>58</v>
      </c>
      <c r="E579" s="64">
        <v>1.0</v>
      </c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ht="15.75" customHeight="1">
      <c r="A580" s="61" t="str">
        <f t="shared" si="1"/>
        <v>VitóriaCampinasCaminhão</v>
      </c>
      <c r="B580" s="62" t="s">
        <v>25</v>
      </c>
      <c r="C580" s="62" t="s">
        <v>69</v>
      </c>
      <c r="D580" s="63" t="s">
        <v>77</v>
      </c>
      <c r="E580" s="64">
        <v>1.0</v>
      </c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ht="15.75" customHeight="1">
      <c r="A581" s="61" t="str">
        <f t="shared" si="1"/>
        <v>VitóriaCampo GrandeCaminhão</v>
      </c>
      <c r="B581" s="62" t="s">
        <v>25</v>
      </c>
      <c r="C581" s="62" t="s">
        <v>69</v>
      </c>
      <c r="D581" s="63" t="s">
        <v>59</v>
      </c>
      <c r="E581" s="64">
        <v>2.0</v>
      </c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ht="15.75" customHeight="1">
      <c r="A582" s="61" t="str">
        <f t="shared" si="1"/>
        <v>VitóriaCuiabáCaminhão</v>
      </c>
      <c r="B582" s="62" t="s">
        <v>25</v>
      </c>
      <c r="C582" s="62" t="s">
        <v>69</v>
      </c>
      <c r="D582" s="63" t="s">
        <v>29</v>
      </c>
      <c r="E582" s="64">
        <v>2.0</v>
      </c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ht="15.75" customHeight="1">
      <c r="A583" s="61" t="str">
        <f t="shared" si="1"/>
        <v>VitóriaCuritibaCaminhão</v>
      </c>
      <c r="B583" s="62" t="s">
        <v>25</v>
      </c>
      <c r="C583" s="62" t="s">
        <v>69</v>
      </c>
      <c r="D583" s="63" t="s">
        <v>76</v>
      </c>
      <c r="E583" s="64">
        <v>1.0</v>
      </c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ht="15.75" customHeight="1">
      <c r="A584" s="61" t="str">
        <f t="shared" si="1"/>
        <v>VitóriaFortalezaCaminhão</v>
      </c>
      <c r="B584" s="62" t="s">
        <v>25</v>
      </c>
      <c r="C584" s="62" t="s">
        <v>69</v>
      </c>
      <c r="D584" s="63" t="s">
        <v>60</v>
      </c>
      <c r="E584" s="64">
        <v>2.0</v>
      </c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ht="15.75" customHeight="1">
      <c r="A585" s="61" t="str">
        <f t="shared" si="1"/>
        <v>VitóriaGoiâniaCaminhão</v>
      </c>
      <c r="B585" s="62" t="s">
        <v>25</v>
      </c>
      <c r="C585" s="62" t="s">
        <v>69</v>
      </c>
      <c r="D585" s="63" t="s">
        <v>61</v>
      </c>
      <c r="E585" s="64">
        <v>1.0</v>
      </c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ht="15.75" customHeight="1">
      <c r="A586" s="61" t="str">
        <f t="shared" si="1"/>
        <v>VitóriaJoão PessoaCaminhão</v>
      </c>
      <c r="B586" s="62" t="s">
        <v>25</v>
      </c>
      <c r="C586" s="62" t="s">
        <v>69</v>
      </c>
      <c r="D586" s="63" t="s">
        <v>62</v>
      </c>
      <c r="E586" s="64">
        <v>2.0</v>
      </c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ht="15.75" customHeight="1">
      <c r="A587" s="61" t="str">
        <f t="shared" si="1"/>
        <v>VitóriaJoinvilleCaminhão</v>
      </c>
      <c r="B587" s="62" t="s">
        <v>25</v>
      </c>
      <c r="C587" s="62" t="s">
        <v>69</v>
      </c>
      <c r="D587" s="63" t="s">
        <v>28</v>
      </c>
      <c r="E587" s="64">
        <v>1.0</v>
      </c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ht="15.75" customHeight="1">
      <c r="A588" s="61" t="str">
        <f t="shared" si="1"/>
        <v>VitóriaMaceióCaminhão</v>
      </c>
      <c r="B588" s="62" t="s">
        <v>25</v>
      </c>
      <c r="C588" s="62" t="s">
        <v>69</v>
      </c>
      <c r="D588" s="63" t="s">
        <v>63</v>
      </c>
      <c r="E588" s="64">
        <v>1.0</v>
      </c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ht="15.75" customHeight="1">
      <c r="A589" s="61" t="str">
        <f t="shared" si="1"/>
        <v>VitóriaManausCaminhão</v>
      </c>
      <c r="B589" s="62" t="s">
        <v>25</v>
      </c>
      <c r="C589" s="62" t="s">
        <v>69</v>
      </c>
      <c r="D589" s="63" t="s">
        <v>23</v>
      </c>
      <c r="E589" s="64">
        <v>4.0</v>
      </c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ht="15.75" customHeight="1">
      <c r="A590" s="61" t="str">
        <f t="shared" si="1"/>
        <v>VitóriaNatalCaminhão</v>
      </c>
      <c r="B590" s="62" t="s">
        <v>25</v>
      </c>
      <c r="C590" s="62" t="s">
        <v>69</v>
      </c>
      <c r="D590" s="63" t="s">
        <v>64</v>
      </c>
      <c r="E590" s="64">
        <v>2.0</v>
      </c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ht="15.75" customHeight="1">
      <c r="A591" s="61" t="str">
        <f t="shared" si="1"/>
        <v>VitóriaPorto AlegreCaminhão</v>
      </c>
      <c r="B591" s="62" t="s">
        <v>25</v>
      </c>
      <c r="C591" s="62" t="s">
        <v>69</v>
      </c>
      <c r="D591" s="63" t="s">
        <v>31</v>
      </c>
      <c r="E591" s="64">
        <v>2.0</v>
      </c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ht="15.75" customHeight="1">
      <c r="A592" s="61" t="str">
        <f t="shared" si="1"/>
        <v>VitóriaRecifeCaminhão</v>
      </c>
      <c r="B592" s="62" t="s">
        <v>25</v>
      </c>
      <c r="C592" s="62" t="s">
        <v>69</v>
      </c>
      <c r="D592" s="63" t="s">
        <v>65</v>
      </c>
      <c r="E592" s="64">
        <v>2.0</v>
      </c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ht="15.75" customHeight="1">
      <c r="A593" s="61" t="str">
        <f t="shared" si="1"/>
        <v>VitóriaRibeirão PretoCaminhão</v>
      </c>
      <c r="B593" s="62" t="s">
        <v>25</v>
      </c>
      <c r="C593" s="62" t="s">
        <v>69</v>
      </c>
      <c r="D593" s="63" t="s">
        <v>78</v>
      </c>
      <c r="E593" s="64">
        <v>1.0</v>
      </c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ht="15.75" customHeight="1">
      <c r="A594" s="61" t="str">
        <f t="shared" si="1"/>
        <v>VitóriaRio de JaneiroCaminhão</v>
      </c>
      <c r="B594" s="62" t="s">
        <v>25</v>
      </c>
      <c r="C594" s="62" t="s">
        <v>69</v>
      </c>
      <c r="D594" s="63" t="s">
        <v>66</v>
      </c>
      <c r="E594" s="64">
        <v>0.0</v>
      </c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ht="15.75" customHeight="1">
      <c r="A595" s="61" t="str">
        <f t="shared" si="1"/>
        <v>VitóriaSalvadorCaminhão</v>
      </c>
      <c r="B595" s="62" t="s">
        <v>25</v>
      </c>
      <c r="C595" s="62" t="s">
        <v>69</v>
      </c>
      <c r="D595" s="63" t="s">
        <v>67</v>
      </c>
      <c r="E595" s="64">
        <v>1.0</v>
      </c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ht="15.75" customHeight="1">
      <c r="A596" s="61" t="str">
        <f t="shared" si="1"/>
        <v>VitóriaSantosCaminhão</v>
      </c>
      <c r="B596" s="62" t="s">
        <v>25</v>
      </c>
      <c r="C596" s="62" t="s">
        <v>69</v>
      </c>
      <c r="D596" s="63" t="s">
        <v>38</v>
      </c>
      <c r="E596" s="64">
        <v>1.0</v>
      </c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ht="15.75" customHeight="1">
      <c r="A597" s="61" t="str">
        <f t="shared" si="1"/>
        <v>VitóriaSão LuísCaminhão</v>
      </c>
      <c r="B597" s="62" t="s">
        <v>25</v>
      </c>
      <c r="C597" s="62" t="s">
        <v>69</v>
      </c>
      <c r="D597" s="63" t="s">
        <v>36</v>
      </c>
      <c r="E597" s="64">
        <v>2.0</v>
      </c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ht="15.75" customHeight="1">
      <c r="A598" s="61" t="str">
        <f t="shared" si="1"/>
        <v>VitóriaSão PauloCaminhão</v>
      </c>
      <c r="B598" s="62" t="s">
        <v>25</v>
      </c>
      <c r="C598" s="62" t="s">
        <v>69</v>
      </c>
      <c r="D598" s="63" t="s">
        <v>75</v>
      </c>
      <c r="E598" s="64">
        <v>1.0</v>
      </c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ht="15.75" customHeight="1">
      <c r="A599" s="61" t="str">
        <f t="shared" si="1"/>
        <v>VitóriaUberlândiaCaminhão</v>
      </c>
      <c r="B599" s="62" t="s">
        <v>25</v>
      </c>
      <c r="C599" s="62" t="s">
        <v>69</v>
      </c>
      <c r="D599" s="63" t="s">
        <v>68</v>
      </c>
      <c r="E599" s="64">
        <v>1.0</v>
      </c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ht="15.75" customHeight="1">
      <c r="A600" s="61" t="str">
        <f t="shared" si="1"/>
        <v>VitóriaVitóriaCaminhão</v>
      </c>
      <c r="B600" s="62" t="s">
        <v>25</v>
      </c>
      <c r="C600" s="62" t="s">
        <v>69</v>
      </c>
      <c r="D600" s="63" t="s">
        <v>69</v>
      </c>
      <c r="E600" s="64">
        <v>0.0</v>
      </c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ht="15.75" customHeight="1">
      <c r="A601" s="61" t="str">
        <f t="shared" si="1"/>
        <v>VitóriaVitória da ConquistaCaminhão</v>
      </c>
      <c r="B601" s="62" t="s">
        <v>25</v>
      </c>
      <c r="C601" s="62" t="s">
        <v>69</v>
      </c>
      <c r="D601" s="63" t="s">
        <v>52</v>
      </c>
      <c r="E601" s="64">
        <v>1.0</v>
      </c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ht="15.75" customHeight="1">
      <c r="A602" s="61" t="str">
        <f t="shared" si="1"/>
        <v>Vitória da ConquistaBelémCaminhão</v>
      </c>
      <c r="B602" s="62" t="s">
        <v>25</v>
      </c>
      <c r="C602" s="62" t="s">
        <v>52</v>
      </c>
      <c r="D602" s="63" t="s">
        <v>51</v>
      </c>
      <c r="E602" s="64">
        <v>2.0</v>
      </c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ht="15.75" customHeight="1">
      <c r="A603" s="61" t="str">
        <f t="shared" si="1"/>
        <v>Vitória da ConquistaBelo HorizonteCaminhão</v>
      </c>
      <c r="B603" s="62" t="s">
        <v>25</v>
      </c>
      <c r="C603" s="62" t="s">
        <v>52</v>
      </c>
      <c r="D603" s="63" t="s">
        <v>57</v>
      </c>
      <c r="E603" s="64">
        <v>1.0</v>
      </c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ht="15.75" customHeight="1">
      <c r="A604" s="61" t="str">
        <f t="shared" si="1"/>
        <v>Vitória da ConquistaBrasíliaCaminhão</v>
      </c>
      <c r="B604" s="62" t="s">
        <v>25</v>
      </c>
      <c r="C604" s="62" t="s">
        <v>52</v>
      </c>
      <c r="D604" s="63" t="s">
        <v>58</v>
      </c>
      <c r="E604" s="64">
        <v>1.0</v>
      </c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ht="15.75" customHeight="1">
      <c r="A605" s="61" t="str">
        <f t="shared" si="1"/>
        <v>Vitória da ConquistaCampinasCaminhão</v>
      </c>
      <c r="B605" s="62" t="s">
        <v>25</v>
      </c>
      <c r="C605" s="62" t="s">
        <v>52</v>
      </c>
      <c r="D605" s="63" t="s">
        <v>77</v>
      </c>
      <c r="E605" s="64">
        <v>1.0</v>
      </c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ht="15.75" customHeight="1">
      <c r="A606" s="61" t="str">
        <f t="shared" si="1"/>
        <v>Vitória da ConquistaCampo GrandeCaminhão</v>
      </c>
      <c r="B606" s="62" t="s">
        <v>25</v>
      </c>
      <c r="C606" s="62" t="s">
        <v>52</v>
      </c>
      <c r="D606" s="63" t="s">
        <v>59</v>
      </c>
      <c r="E606" s="64">
        <v>2.0</v>
      </c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ht="15.75" customHeight="1">
      <c r="A607" s="61" t="str">
        <f t="shared" si="1"/>
        <v>Vitória da ConquistaCuiabáCaminhão</v>
      </c>
      <c r="B607" s="62" t="s">
        <v>25</v>
      </c>
      <c r="C607" s="62" t="s">
        <v>52</v>
      </c>
      <c r="D607" s="63" t="s">
        <v>29</v>
      </c>
      <c r="E607" s="64">
        <v>2.0</v>
      </c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ht="15.75" customHeight="1">
      <c r="A608" s="61" t="str">
        <f t="shared" si="1"/>
        <v>Vitória da ConquistaCuritibaCaminhão</v>
      </c>
      <c r="B608" s="62" t="s">
        <v>25</v>
      </c>
      <c r="C608" s="62" t="s">
        <v>52</v>
      </c>
      <c r="D608" s="63" t="s">
        <v>76</v>
      </c>
      <c r="E608" s="64">
        <v>2.0</v>
      </c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ht="15.75" customHeight="1">
      <c r="A609" s="61" t="str">
        <f t="shared" si="1"/>
        <v>Vitória da ConquistaFortalezaCaminhão</v>
      </c>
      <c r="B609" s="62" t="s">
        <v>25</v>
      </c>
      <c r="C609" s="62" t="s">
        <v>52</v>
      </c>
      <c r="D609" s="63" t="s">
        <v>60</v>
      </c>
      <c r="E609" s="64">
        <v>1.0</v>
      </c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ht="15.75" customHeight="1">
      <c r="A610" s="61" t="str">
        <f t="shared" si="1"/>
        <v>Vitória da ConquistaGoiâniaCaminhão</v>
      </c>
      <c r="B610" s="62" t="s">
        <v>25</v>
      </c>
      <c r="C610" s="62" t="s">
        <v>52</v>
      </c>
      <c r="D610" s="63" t="s">
        <v>61</v>
      </c>
      <c r="E610" s="64">
        <v>1.0</v>
      </c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ht="15.75" customHeight="1">
      <c r="A611" s="61" t="str">
        <f t="shared" si="1"/>
        <v>Vitória da ConquistaJoão PessoaCaminhão</v>
      </c>
      <c r="B611" s="62" t="s">
        <v>25</v>
      </c>
      <c r="C611" s="62" t="s">
        <v>52</v>
      </c>
      <c r="D611" s="63" t="s">
        <v>62</v>
      </c>
      <c r="E611" s="64">
        <v>1.0</v>
      </c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ht="15.75" customHeight="1">
      <c r="A612" s="61" t="str">
        <f t="shared" si="1"/>
        <v>Vitória da ConquistaJoinvilleCaminhão</v>
      </c>
      <c r="B612" s="62" t="s">
        <v>25</v>
      </c>
      <c r="C612" s="62" t="s">
        <v>52</v>
      </c>
      <c r="D612" s="63" t="s">
        <v>28</v>
      </c>
      <c r="E612" s="64">
        <v>2.0</v>
      </c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ht="15.75" customHeight="1">
      <c r="A613" s="61" t="str">
        <f t="shared" si="1"/>
        <v>Vitória da ConquistaMaceióCaminhão</v>
      </c>
      <c r="B613" s="62" t="s">
        <v>25</v>
      </c>
      <c r="C613" s="62" t="s">
        <v>52</v>
      </c>
      <c r="D613" s="63" t="s">
        <v>63</v>
      </c>
      <c r="E613" s="64">
        <v>1.0</v>
      </c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ht="15.75" customHeight="1">
      <c r="A614" s="61" t="str">
        <f t="shared" si="1"/>
        <v>Vitória da ConquistaManausCaminhão</v>
      </c>
      <c r="B614" s="62" t="s">
        <v>25</v>
      </c>
      <c r="C614" s="62" t="s">
        <v>52</v>
      </c>
      <c r="D614" s="63" t="s">
        <v>23</v>
      </c>
      <c r="E614" s="64">
        <v>4.0</v>
      </c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5.75" customHeight="1">
      <c r="A615" s="61" t="str">
        <f t="shared" si="1"/>
        <v>Vitória da ConquistaNatalCaminhão</v>
      </c>
      <c r="B615" s="62" t="s">
        <v>25</v>
      </c>
      <c r="C615" s="62" t="s">
        <v>52</v>
      </c>
      <c r="D615" s="63" t="s">
        <v>64</v>
      </c>
      <c r="E615" s="64">
        <v>1.0</v>
      </c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5.75" customHeight="1">
      <c r="A616" s="61" t="str">
        <f t="shared" si="1"/>
        <v>Vitória da ConquistaPorto AlegreCaminhão</v>
      </c>
      <c r="B616" s="62" t="s">
        <v>25</v>
      </c>
      <c r="C616" s="62" t="s">
        <v>52</v>
      </c>
      <c r="D616" s="63" t="s">
        <v>31</v>
      </c>
      <c r="E616" s="64">
        <v>3.0</v>
      </c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5.75" customHeight="1">
      <c r="A617" s="61" t="str">
        <f t="shared" si="1"/>
        <v>Vitória da ConquistaRecifeCaminhão</v>
      </c>
      <c r="B617" s="62" t="s">
        <v>25</v>
      </c>
      <c r="C617" s="62" t="s">
        <v>52</v>
      </c>
      <c r="D617" s="63" t="s">
        <v>65</v>
      </c>
      <c r="E617" s="64">
        <v>1.0</v>
      </c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5.75" customHeight="1">
      <c r="A618" s="61" t="str">
        <f t="shared" si="1"/>
        <v>Vitória da ConquistaRibeirão PretoCaminhão</v>
      </c>
      <c r="B618" s="62" t="s">
        <v>25</v>
      </c>
      <c r="C618" s="62" t="s">
        <v>52</v>
      </c>
      <c r="D618" s="63" t="s">
        <v>78</v>
      </c>
      <c r="E618" s="64">
        <v>1.0</v>
      </c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5.75" customHeight="1">
      <c r="A619" s="61" t="str">
        <f t="shared" si="1"/>
        <v>Vitória da ConquistaRio de JaneiroCaminhão</v>
      </c>
      <c r="B619" s="62" t="s">
        <v>25</v>
      </c>
      <c r="C619" s="62" t="s">
        <v>52</v>
      </c>
      <c r="D619" s="63" t="s">
        <v>66</v>
      </c>
      <c r="E619" s="64">
        <v>1.0</v>
      </c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5.75" customHeight="1">
      <c r="A620" s="61" t="str">
        <f t="shared" si="1"/>
        <v>Vitória da ConquistaSalvadorCaminhão</v>
      </c>
      <c r="B620" s="62" t="s">
        <v>25</v>
      </c>
      <c r="C620" s="62" t="s">
        <v>52</v>
      </c>
      <c r="D620" s="63" t="s">
        <v>67</v>
      </c>
      <c r="E620" s="64">
        <v>0.0</v>
      </c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5.75" customHeight="1">
      <c r="A621" s="61" t="str">
        <f t="shared" si="1"/>
        <v>Vitória da ConquistaSantosCaminhão</v>
      </c>
      <c r="B621" s="62" t="s">
        <v>25</v>
      </c>
      <c r="C621" s="62" t="s">
        <v>52</v>
      </c>
      <c r="D621" s="63" t="s">
        <v>38</v>
      </c>
      <c r="E621" s="64">
        <v>1.0</v>
      </c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5.75" customHeight="1">
      <c r="A622" s="61" t="str">
        <f t="shared" si="1"/>
        <v>Vitória da ConquistaSão LuísCaminhão</v>
      </c>
      <c r="B622" s="62" t="s">
        <v>25</v>
      </c>
      <c r="C622" s="62" t="s">
        <v>52</v>
      </c>
      <c r="D622" s="63" t="s">
        <v>36</v>
      </c>
      <c r="E622" s="64">
        <v>2.0</v>
      </c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5.75" customHeight="1">
      <c r="A623" s="61" t="str">
        <f t="shared" si="1"/>
        <v>Vitória da ConquistaSão PauloCaminhão</v>
      </c>
      <c r="B623" s="62" t="s">
        <v>25</v>
      </c>
      <c r="C623" s="62" t="s">
        <v>52</v>
      </c>
      <c r="D623" s="63" t="s">
        <v>75</v>
      </c>
      <c r="E623" s="64">
        <v>1.0</v>
      </c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5.75" customHeight="1">
      <c r="A624" s="61" t="str">
        <f t="shared" si="1"/>
        <v>Vitória da ConquistaUberlândiaCaminhão</v>
      </c>
      <c r="B624" s="62" t="s">
        <v>25</v>
      </c>
      <c r="C624" s="62" t="s">
        <v>52</v>
      </c>
      <c r="D624" s="63" t="s">
        <v>68</v>
      </c>
      <c r="E624" s="64">
        <v>1.0</v>
      </c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5.75" customHeight="1">
      <c r="A625" s="61" t="str">
        <f t="shared" si="1"/>
        <v>Vitória da ConquistaVitóriaCaminhão</v>
      </c>
      <c r="B625" s="62" t="s">
        <v>25</v>
      </c>
      <c r="C625" s="62" t="s">
        <v>52</v>
      </c>
      <c r="D625" s="63" t="s">
        <v>69</v>
      </c>
      <c r="E625" s="64">
        <v>1.0</v>
      </c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5.75" customHeight="1">
      <c r="A626" s="61" t="str">
        <f t="shared" si="1"/>
        <v>Vitória da ConquistaVitória da ConquistaCaminhão</v>
      </c>
      <c r="B626" s="62" t="s">
        <v>25</v>
      </c>
      <c r="C626" s="62" t="s">
        <v>52</v>
      </c>
      <c r="D626" s="63" t="s">
        <v>52</v>
      </c>
      <c r="E626" s="64">
        <v>0.0</v>
      </c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5.75" customHeight="1">
      <c r="A627" s="61" t="str">
        <f t="shared" si="1"/>
        <v>BelémBelémNavio</v>
      </c>
      <c r="B627" s="62" t="s">
        <v>37</v>
      </c>
      <c r="C627" s="63" t="s">
        <v>51</v>
      </c>
      <c r="D627" s="63" t="s">
        <v>51</v>
      </c>
      <c r="E627" s="64">
        <v>0.0</v>
      </c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5.75" customHeight="1">
      <c r="A628" s="61" t="str">
        <f t="shared" si="1"/>
        <v>BelémBelo HorizonteNavio</v>
      </c>
      <c r="B628" s="62" t="s">
        <v>37</v>
      </c>
      <c r="C628" s="63" t="s">
        <v>51</v>
      </c>
      <c r="D628" s="63" t="s">
        <v>57</v>
      </c>
      <c r="E628" s="64" t="s">
        <v>112</v>
      </c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5.75" customHeight="1">
      <c r="A629" s="61" t="str">
        <f t="shared" si="1"/>
        <v>BelémBrasíliaNavio</v>
      </c>
      <c r="B629" s="62" t="s">
        <v>37</v>
      </c>
      <c r="C629" s="63" t="s">
        <v>51</v>
      </c>
      <c r="D629" s="63" t="s">
        <v>58</v>
      </c>
      <c r="E629" s="64" t="s">
        <v>112</v>
      </c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5.75" customHeight="1">
      <c r="A630" s="61" t="str">
        <f t="shared" si="1"/>
        <v>BelémCampinasNavio</v>
      </c>
      <c r="B630" s="62" t="s">
        <v>37</v>
      </c>
      <c r="C630" s="63" t="s">
        <v>51</v>
      </c>
      <c r="D630" s="63" t="s">
        <v>77</v>
      </c>
      <c r="E630" s="64" t="s">
        <v>112</v>
      </c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5.75" customHeight="1">
      <c r="A631" s="61" t="str">
        <f t="shared" si="1"/>
        <v>BelémCampo GrandeNavio</v>
      </c>
      <c r="B631" s="62" t="s">
        <v>37</v>
      </c>
      <c r="C631" s="63" t="s">
        <v>51</v>
      </c>
      <c r="D631" s="63" t="s">
        <v>59</v>
      </c>
      <c r="E631" s="64" t="s">
        <v>112</v>
      </c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5.75" customHeight="1">
      <c r="A632" s="61" t="str">
        <f t="shared" si="1"/>
        <v>BelémCuiabáNavio</v>
      </c>
      <c r="B632" s="62" t="s">
        <v>37</v>
      </c>
      <c r="C632" s="63" t="s">
        <v>51</v>
      </c>
      <c r="D632" s="63" t="s">
        <v>29</v>
      </c>
      <c r="E632" s="64" t="s">
        <v>112</v>
      </c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5.75" customHeight="1">
      <c r="A633" s="61" t="str">
        <f t="shared" si="1"/>
        <v>BelémCuritibaNavio</v>
      </c>
      <c r="B633" s="62" t="s">
        <v>37</v>
      </c>
      <c r="C633" s="63" t="s">
        <v>51</v>
      </c>
      <c r="D633" s="63" t="s">
        <v>76</v>
      </c>
      <c r="E633" s="64">
        <v>7.0</v>
      </c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5.75" customHeight="1">
      <c r="A634" s="61" t="str">
        <f t="shared" si="1"/>
        <v>BelémFortalezaNavio</v>
      </c>
      <c r="B634" s="62" t="s">
        <v>37</v>
      </c>
      <c r="C634" s="63" t="s">
        <v>51</v>
      </c>
      <c r="D634" s="63" t="s">
        <v>60</v>
      </c>
      <c r="E634" s="64">
        <v>1.0</v>
      </c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5.75" customHeight="1">
      <c r="A635" s="61" t="str">
        <f t="shared" si="1"/>
        <v>BelémGoiâniaNavio</v>
      </c>
      <c r="B635" s="62" t="s">
        <v>37</v>
      </c>
      <c r="C635" s="63" t="s">
        <v>51</v>
      </c>
      <c r="D635" s="63" t="s">
        <v>61</v>
      </c>
      <c r="E635" s="64" t="s">
        <v>112</v>
      </c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5.75" customHeight="1">
      <c r="A636" s="61" t="str">
        <f t="shared" si="1"/>
        <v>BelémJoão PessoaNavio</v>
      </c>
      <c r="B636" s="62" t="s">
        <v>37</v>
      </c>
      <c r="C636" s="63" t="s">
        <v>51</v>
      </c>
      <c r="D636" s="63" t="s">
        <v>62</v>
      </c>
      <c r="E636" s="64">
        <v>3.0</v>
      </c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5.75" customHeight="1">
      <c r="A637" s="61" t="str">
        <f t="shared" si="1"/>
        <v>BelémJoinvilleNavio</v>
      </c>
      <c r="B637" s="62" t="s">
        <v>37</v>
      </c>
      <c r="C637" s="63" t="s">
        <v>51</v>
      </c>
      <c r="D637" s="63" t="s">
        <v>28</v>
      </c>
      <c r="E637" s="64">
        <v>7.0</v>
      </c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5.75" customHeight="1">
      <c r="A638" s="61" t="str">
        <f t="shared" si="1"/>
        <v>BelémMaceióNavio</v>
      </c>
      <c r="B638" s="62" t="s">
        <v>37</v>
      </c>
      <c r="C638" s="63" t="s">
        <v>51</v>
      </c>
      <c r="D638" s="63" t="s">
        <v>63</v>
      </c>
      <c r="E638" s="64">
        <v>3.0</v>
      </c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5.75" customHeight="1">
      <c r="A639" s="61" t="str">
        <f t="shared" si="1"/>
        <v>BelémManausNavio</v>
      </c>
      <c r="B639" s="62" t="s">
        <v>37</v>
      </c>
      <c r="C639" s="63" t="s">
        <v>51</v>
      </c>
      <c r="D639" s="63" t="s">
        <v>23</v>
      </c>
      <c r="E639" s="64">
        <v>2.0</v>
      </c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5.75" customHeight="1">
      <c r="A640" s="61" t="str">
        <f t="shared" si="1"/>
        <v>BelémNatalNavio</v>
      </c>
      <c r="B640" s="62" t="s">
        <v>37</v>
      </c>
      <c r="C640" s="63" t="s">
        <v>51</v>
      </c>
      <c r="D640" s="63" t="s">
        <v>64</v>
      </c>
      <c r="E640" s="64">
        <v>3.0</v>
      </c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5.75" customHeight="1">
      <c r="A641" s="61" t="str">
        <f t="shared" si="1"/>
        <v>BelémPorto AlegreNavio</v>
      </c>
      <c r="B641" s="62" t="s">
        <v>37</v>
      </c>
      <c r="C641" s="63" t="s">
        <v>51</v>
      </c>
      <c r="D641" s="63" t="s">
        <v>31</v>
      </c>
      <c r="E641" s="64">
        <v>8.0</v>
      </c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5.75" customHeight="1">
      <c r="A642" s="61" t="str">
        <f t="shared" si="1"/>
        <v>BelémRecifeNavio</v>
      </c>
      <c r="B642" s="62" t="s">
        <v>37</v>
      </c>
      <c r="C642" s="63" t="s">
        <v>51</v>
      </c>
      <c r="D642" s="63" t="s">
        <v>65</v>
      </c>
      <c r="E642" s="64">
        <v>3.0</v>
      </c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5.75" customHeight="1">
      <c r="A643" s="61" t="str">
        <f t="shared" si="1"/>
        <v>BelémRibeirão PretoNavio</v>
      </c>
      <c r="B643" s="62" t="s">
        <v>37</v>
      </c>
      <c r="C643" s="63" t="s">
        <v>51</v>
      </c>
      <c r="D643" s="63" t="s">
        <v>78</v>
      </c>
      <c r="E643" s="64" t="s">
        <v>112</v>
      </c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5.75" customHeight="1">
      <c r="A644" s="61" t="str">
        <f t="shared" si="1"/>
        <v>BelémRio de JaneiroNavio</v>
      </c>
      <c r="B644" s="62" t="s">
        <v>37</v>
      </c>
      <c r="C644" s="63" t="s">
        <v>51</v>
      </c>
      <c r="D644" s="63" t="s">
        <v>66</v>
      </c>
      <c r="E644" s="64">
        <v>6.0</v>
      </c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5.75" customHeight="1">
      <c r="A645" s="61" t="str">
        <f t="shared" si="1"/>
        <v>BelémSalvadorNavio</v>
      </c>
      <c r="B645" s="62" t="s">
        <v>37</v>
      </c>
      <c r="C645" s="63" t="s">
        <v>51</v>
      </c>
      <c r="D645" s="63" t="s">
        <v>67</v>
      </c>
      <c r="E645" s="64">
        <v>4.0</v>
      </c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5.75" customHeight="1">
      <c r="A646" s="61" t="str">
        <f t="shared" si="1"/>
        <v>BelémSantosNavio</v>
      </c>
      <c r="B646" s="62" t="s">
        <v>37</v>
      </c>
      <c r="C646" s="63" t="s">
        <v>51</v>
      </c>
      <c r="D646" s="63" t="s">
        <v>38</v>
      </c>
      <c r="E646" s="64">
        <v>6.0</v>
      </c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5.75" customHeight="1">
      <c r="A647" s="61" t="str">
        <f t="shared" si="1"/>
        <v>BelémSão LuísNavio</v>
      </c>
      <c r="B647" s="62" t="s">
        <v>37</v>
      </c>
      <c r="C647" s="63" t="s">
        <v>51</v>
      </c>
      <c r="D647" s="63" t="s">
        <v>36</v>
      </c>
      <c r="E647" s="64">
        <v>1.0</v>
      </c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5.75" customHeight="1">
      <c r="A648" s="61" t="str">
        <f t="shared" si="1"/>
        <v>BelémSão PauloNavio</v>
      </c>
      <c r="B648" s="62" t="s">
        <v>37</v>
      </c>
      <c r="C648" s="63" t="s">
        <v>51</v>
      </c>
      <c r="D648" s="63" t="s">
        <v>75</v>
      </c>
      <c r="E648" s="64" t="s">
        <v>112</v>
      </c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5.75" customHeight="1">
      <c r="A649" s="61" t="str">
        <f t="shared" si="1"/>
        <v>BelémUberlândiaNavio</v>
      </c>
      <c r="B649" s="62" t="s">
        <v>37</v>
      </c>
      <c r="C649" s="63" t="s">
        <v>51</v>
      </c>
      <c r="D649" s="63" t="s">
        <v>68</v>
      </c>
      <c r="E649" s="64" t="s">
        <v>112</v>
      </c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5.75" customHeight="1">
      <c r="A650" s="61" t="str">
        <f t="shared" si="1"/>
        <v>BelémVitóriaNavio</v>
      </c>
      <c r="B650" s="62" t="s">
        <v>37</v>
      </c>
      <c r="C650" s="63" t="s">
        <v>51</v>
      </c>
      <c r="D650" s="63" t="s">
        <v>69</v>
      </c>
      <c r="E650" s="64">
        <v>5.0</v>
      </c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5.75" customHeight="1">
      <c r="A651" s="61" t="str">
        <f t="shared" si="1"/>
        <v>BelémVitória da ConquistaNavio</v>
      </c>
      <c r="B651" s="62" t="s">
        <v>37</v>
      </c>
      <c r="C651" s="63" t="s">
        <v>51</v>
      </c>
      <c r="D651" s="63" t="s">
        <v>52</v>
      </c>
      <c r="E651" s="64" t="s">
        <v>112</v>
      </c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5.75" customHeight="1">
      <c r="A652" s="61" t="str">
        <f t="shared" si="1"/>
        <v>Belo HorizonteBelémNavio</v>
      </c>
      <c r="B652" s="62" t="s">
        <v>37</v>
      </c>
      <c r="C652" s="62" t="s">
        <v>57</v>
      </c>
      <c r="D652" s="63" t="s">
        <v>51</v>
      </c>
      <c r="E652" s="64" t="s">
        <v>112</v>
      </c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5.75" customHeight="1">
      <c r="A653" s="61" t="str">
        <f t="shared" si="1"/>
        <v>Belo HorizonteBelo HorizonteNavio</v>
      </c>
      <c r="B653" s="62" t="s">
        <v>37</v>
      </c>
      <c r="C653" s="62" t="s">
        <v>57</v>
      </c>
      <c r="D653" s="63" t="s">
        <v>57</v>
      </c>
      <c r="E653" s="64" t="s">
        <v>112</v>
      </c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5.75" customHeight="1">
      <c r="A654" s="61" t="str">
        <f t="shared" si="1"/>
        <v>Belo HorizonteBrasíliaNavio</v>
      </c>
      <c r="B654" s="62" t="s">
        <v>37</v>
      </c>
      <c r="C654" s="62" t="s">
        <v>57</v>
      </c>
      <c r="D654" s="63" t="s">
        <v>58</v>
      </c>
      <c r="E654" s="64" t="s">
        <v>112</v>
      </c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5.75" customHeight="1">
      <c r="A655" s="61" t="str">
        <f t="shared" si="1"/>
        <v>Belo HorizonteCampinasNavio</v>
      </c>
      <c r="B655" s="62" t="s">
        <v>37</v>
      </c>
      <c r="C655" s="62" t="s">
        <v>57</v>
      </c>
      <c r="D655" s="63" t="s">
        <v>77</v>
      </c>
      <c r="E655" s="64" t="s">
        <v>112</v>
      </c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5.75" customHeight="1">
      <c r="A656" s="61" t="str">
        <f t="shared" si="1"/>
        <v>Belo HorizonteCampo GrandeNavio</v>
      </c>
      <c r="B656" s="62" t="s">
        <v>37</v>
      </c>
      <c r="C656" s="62" t="s">
        <v>57</v>
      </c>
      <c r="D656" s="63" t="s">
        <v>59</v>
      </c>
      <c r="E656" s="64" t="s">
        <v>112</v>
      </c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5.75" customHeight="1">
      <c r="A657" s="61" t="str">
        <f t="shared" si="1"/>
        <v>Belo HorizonteCuiabáNavio</v>
      </c>
      <c r="B657" s="62" t="s">
        <v>37</v>
      </c>
      <c r="C657" s="62" t="s">
        <v>57</v>
      </c>
      <c r="D657" s="63" t="s">
        <v>29</v>
      </c>
      <c r="E657" s="64" t="s">
        <v>112</v>
      </c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5.75" customHeight="1">
      <c r="A658" s="61" t="str">
        <f t="shared" si="1"/>
        <v>Belo HorizonteCuritibaNavio</v>
      </c>
      <c r="B658" s="62" t="s">
        <v>37</v>
      </c>
      <c r="C658" s="62" t="s">
        <v>57</v>
      </c>
      <c r="D658" s="63" t="s">
        <v>76</v>
      </c>
      <c r="E658" s="64" t="s">
        <v>112</v>
      </c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5.75" customHeight="1">
      <c r="A659" s="61" t="str">
        <f t="shared" si="1"/>
        <v>Belo HorizonteFortalezaNavio</v>
      </c>
      <c r="B659" s="62" t="s">
        <v>37</v>
      </c>
      <c r="C659" s="62" t="s">
        <v>57</v>
      </c>
      <c r="D659" s="63" t="s">
        <v>60</v>
      </c>
      <c r="E659" s="64" t="s">
        <v>112</v>
      </c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5.75" customHeight="1">
      <c r="A660" s="61" t="str">
        <f t="shared" si="1"/>
        <v>Belo HorizonteGoiâniaNavio</v>
      </c>
      <c r="B660" s="62" t="s">
        <v>37</v>
      </c>
      <c r="C660" s="62" t="s">
        <v>57</v>
      </c>
      <c r="D660" s="63" t="s">
        <v>61</v>
      </c>
      <c r="E660" s="64" t="s">
        <v>112</v>
      </c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5.75" customHeight="1">
      <c r="A661" s="61" t="str">
        <f t="shared" si="1"/>
        <v>Belo HorizonteJoão PessoaNavio</v>
      </c>
      <c r="B661" s="62" t="s">
        <v>37</v>
      </c>
      <c r="C661" s="62" t="s">
        <v>57</v>
      </c>
      <c r="D661" s="63" t="s">
        <v>62</v>
      </c>
      <c r="E661" s="64" t="s">
        <v>112</v>
      </c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5.75" customHeight="1">
      <c r="A662" s="61" t="str">
        <f t="shared" si="1"/>
        <v>Belo HorizonteJoinvilleNavio</v>
      </c>
      <c r="B662" s="62" t="s">
        <v>37</v>
      </c>
      <c r="C662" s="62" t="s">
        <v>57</v>
      </c>
      <c r="D662" s="63" t="s">
        <v>28</v>
      </c>
      <c r="E662" s="64" t="s">
        <v>112</v>
      </c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5.75" customHeight="1">
      <c r="A663" s="61" t="str">
        <f t="shared" si="1"/>
        <v>Belo HorizonteMaceióNavio</v>
      </c>
      <c r="B663" s="62" t="s">
        <v>37</v>
      </c>
      <c r="C663" s="62" t="s">
        <v>57</v>
      </c>
      <c r="D663" s="63" t="s">
        <v>63</v>
      </c>
      <c r="E663" s="64" t="s">
        <v>112</v>
      </c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5.75" customHeight="1">
      <c r="A664" s="61" t="str">
        <f t="shared" si="1"/>
        <v>Belo HorizonteManausNavio</v>
      </c>
      <c r="B664" s="62" t="s">
        <v>37</v>
      </c>
      <c r="C664" s="62" t="s">
        <v>57</v>
      </c>
      <c r="D664" s="63" t="s">
        <v>23</v>
      </c>
      <c r="E664" s="64" t="s">
        <v>112</v>
      </c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5.75" customHeight="1">
      <c r="A665" s="61" t="str">
        <f t="shared" si="1"/>
        <v>Belo HorizonteNatalNavio</v>
      </c>
      <c r="B665" s="62" t="s">
        <v>37</v>
      </c>
      <c r="C665" s="62" t="s">
        <v>57</v>
      </c>
      <c r="D665" s="63" t="s">
        <v>64</v>
      </c>
      <c r="E665" s="64" t="s">
        <v>112</v>
      </c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5.75" customHeight="1">
      <c r="A666" s="61" t="str">
        <f t="shared" si="1"/>
        <v>Belo HorizontePorto AlegreNavio</v>
      </c>
      <c r="B666" s="62" t="s">
        <v>37</v>
      </c>
      <c r="C666" s="62" t="s">
        <v>57</v>
      </c>
      <c r="D666" s="63" t="s">
        <v>31</v>
      </c>
      <c r="E666" s="64" t="s">
        <v>112</v>
      </c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5.75" customHeight="1">
      <c r="A667" s="61" t="str">
        <f t="shared" si="1"/>
        <v>Belo HorizonteRecifeNavio</v>
      </c>
      <c r="B667" s="62" t="s">
        <v>37</v>
      </c>
      <c r="C667" s="62" t="s">
        <v>57</v>
      </c>
      <c r="D667" s="63" t="s">
        <v>65</v>
      </c>
      <c r="E667" s="64" t="s">
        <v>112</v>
      </c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5.75" customHeight="1">
      <c r="A668" s="61" t="str">
        <f t="shared" si="1"/>
        <v>Belo HorizonteRibeirão PretoNavio</v>
      </c>
      <c r="B668" s="62" t="s">
        <v>37</v>
      </c>
      <c r="C668" s="62" t="s">
        <v>57</v>
      </c>
      <c r="D668" s="63" t="s">
        <v>78</v>
      </c>
      <c r="E668" s="64" t="s">
        <v>112</v>
      </c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5.75" customHeight="1">
      <c r="A669" s="61" t="str">
        <f t="shared" si="1"/>
        <v>Belo HorizonteRio de JaneiroNavio</v>
      </c>
      <c r="B669" s="62" t="s">
        <v>37</v>
      </c>
      <c r="C669" s="62" t="s">
        <v>57</v>
      </c>
      <c r="D669" s="63" t="s">
        <v>66</v>
      </c>
      <c r="E669" s="64" t="s">
        <v>112</v>
      </c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5.75" customHeight="1">
      <c r="A670" s="61" t="str">
        <f t="shared" si="1"/>
        <v>Belo HorizonteSalvadorNavio</v>
      </c>
      <c r="B670" s="62" t="s">
        <v>37</v>
      </c>
      <c r="C670" s="62" t="s">
        <v>57</v>
      </c>
      <c r="D670" s="63" t="s">
        <v>67</v>
      </c>
      <c r="E670" s="64" t="s">
        <v>112</v>
      </c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5.75" customHeight="1">
      <c r="A671" s="61" t="str">
        <f t="shared" si="1"/>
        <v>Belo HorizonteSantosNavio</v>
      </c>
      <c r="B671" s="62" t="s">
        <v>37</v>
      </c>
      <c r="C671" s="62" t="s">
        <v>57</v>
      </c>
      <c r="D671" s="63" t="s">
        <v>38</v>
      </c>
      <c r="E671" s="64" t="s">
        <v>112</v>
      </c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5.75" customHeight="1">
      <c r="A672" s="61" t="str">
        <f t="shared" si="1"/>
        <v>Belo HorizonteSão LuísNavio</v>
      </c>
      <c r="B672" s="62" t="s">
        <v>37</v>
      </c>
      <c r="C672" s="62" t="s">
        <v>57</v>
      </c>
      <c r="D672" s="63" t="s">
        <v>36</v>
      </c>
      <c r="E672" s="64" t="s">
        <v>112</v>
      </c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5.75" customHeight="1">
      <c r="A673" s="61" t="str">
        <f t="shared" si="1"/>
        <v>Belo HorizonteSão PauloNavio</v>
      </c>
      <c r="B673" s="62" t="s">
        <v>37</v>
      </c>
      <c r="C673" s="62" t="s">
        <v>57</v>
      </c>
      <c r="D673" s="63" t="s">
        <v>75</v>
      </c>
      <c r="E673" s="64" t="s">
        <v>112</v>
      </c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5.75" customHeight="1">
      <c r="A674" s="61" t="str">
        <f t="shared" si="1"/>
        <v>Belo HorizonteUberlândiaNavio</v>
      </c>
      <c r="B674" s="62" t="s">
        <v>37</v>
      </c>
      <c r="C674" s="62" t="s">
        <v>57</v>
      </c>
      <c r="D674" s="63" t="s">
        <v>68</v>
      </c>
      <c r="E674" s="64" t="s">
        <v>112</v>
      </c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5.75" customHeight="1">
      <c r="A675" s="61" t="str">
        <f t="shared" si="1"/>
        <v>Belo HorizonteVitóriaNavio</v>
      </c>
      <c r="B675" s="62" t="s">
        <v>37</v>
      </c>
      <c r="C675" s="62" t="s">
        <v>57</v>
      </c>
      <c r="D675" s="63" t="s">
        <v>69</v>
      </c>
      <c r="E675" s="64" t="s">
        <v>112</v>
      </c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5.75" customHeight="1">
      <c r="A676" s="61" t="str">
        <f t="shared" si="1"/>
        <v>Belo HorizonteVitória da ConquistaNavio</v>
      </c>
      <c r="B676" s="62" t="s">
        <v>37</v>
      </c>
      <c r="C676" s="62" t="s">
        <v>57</v>
      </c>
      <c r="D676" s="63" t="s">
        <v>52</v>
      </c>
      <c r="E676" s="64" t="s">
        <v>112</v>
      </c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5.75" customHeight="1">
      <c r="A677" s="61" t="str">
        <f t="shared" si="1"/>
        <v>BrasíliaBelémNavio</v>
      </c>
      <c r="B677" s="62" t="s">
        <v>37</v>
      </c>
      <c r="C677" s="63" t="s">
        <v>58</v>
      </c>
      <c r="D677" s="63" t="s">
        <v>51</v>
      </c>
      <c r="E677" s="64" t="s">
        <v>112</v>
      </c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5.75" customHeight="1">
      <c r="A678" s="61" t="str">
        <f t="shared" si="1"/>
        <v>BrasíliaBelo HorizonteNavio</v>
      </c>
      <c r="B678" s="62" t="s">
        <v>37</v>
      </c>
      <c r="C678" s="63" t="s">
        <v>58</v>
      </c>
      <c r="D678" s="63" t="s">
        <v>57</v>
      </c>
      <c r="E678" s="64" t="s">
        <v>112</v>
      </c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5.75" customHeight="1">
      <c r="A679" s="61" t="str">
        <f t="shared" si="1"/>
        <v>BrasíliaBrasíliaNavio</v>
      </c>
      <c r="B679" s="62" t="s">
        <v>37</v>
      </c>
      <c r="C679" s="63" t="s">
        <v>58</v>
      </c>
      <c r="D679" s="63" t="s">
        <v>58</v>
      </c>
      <c r="E679" s="64" t="s">
        <v>112</v>
      </c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5.75" customHeight="1">
      <c r="A680" s="61" t="str">
        <f t="shared" si="1"/>
        <v>BrasíliaCampinasNavio</v>
      </c>
      <c r="B680" s="62" t="s">
        <v>37</v>
      </c>
      <c r="C680" s="63" t="s">
        <v>58</v>
      </c>
      <c r="D680" s="63" t="s">
        <v>77</v>
      </c>
      <c r="E680" s="64" t="s">
        <v>112</v>
      </c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5.75" customHeight="1">
      <c r="A681" s="61" t="str">
        <f t="shared" si="1"/>
        <v>BrasíliaCampo GrandeNavio</v>
      </c>
      <c r="B681" s="62" t="s">
        <v>37</v>
      </c>
      <c r="C681" s="63" t="s">
        <v>58</v>
      </c>
      <c r="D681" s="63" t="s">
        <v>59</v>
      </c>
      <c r="E681" s="64" t="s">
        <v>112</v>
      </c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5.75" customHeight="1">
      <c r="A682" s="61" t="str">
        <f t="shared" si="1"/>
        <v>BrasíliaCuiabáNavio</v>
      </c>
      <c r="B682" s="62" t="s">
        <v>37</v>
      </c>
      <c r="C682" s="63" t="s">
        <v>58</v>
      </c>
      <c r="D682" s="63" t="s">
        <v>29</v>
      </c>
      <c r="E682" s="64" t="s">
        <v>112</v>
      </c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5.75" customHeight="1">
      <c r="A683" s="61" t="str">
        <f t="shared" si="1"/>
        <v>BrasíliaCuritibaNavio</v>
      </c>
      <c r="B683" s="62" t="s">
        <v>37</v>
      </c>
      <c r="C683" s="63" t="s">
        <v>58</v>
      </c>
      <c r="D683" s="63" t="s">
        <v>76</v>
      </c>
      <c r="E683" s="64" t="s">
        <v>112</v>
      </c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5.75" customHeight="1">
      <c r="A684" s="61" t="str">
        <f t="shared" si="1"/>
        <v>BrasíliaFortalezaNavio</v>
      </c>
      <c r="B684" s="62" t="s">
        <v>37</v>
      </c>
      <c r="C684" s="63" t="s">
        <v>58</v>
      </c>
      <c r="D684" s="63" t="s">
        <v>60</v>
      </c>
      <c r="E684" s="64" t="s">
        <v>112</v>
      </c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5.75" customHeight="1">
      <c r="A685" s="61" t="str">
        <f t="shared" si="1"/>
        <v>BrasíliaGoiâniaNavio</v>
      </c>
      <c r="B685" s="62" t="s">
        <v>37</v>
      </c>
      <c r="C685" s="63" t="s">
        <v>58</v>
      </c>
      <c r="D685" s="63" t="s">
        <v>61</v>
      </c>
      <c r="E685" s="64" t="s">
        <v>112</v>
      </c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5.75" customHeight="1">
      <c r="A686" s="61" t="str">
        <f t="shared" si="1"/>
        <v>BrasíliaJoão PessoaNavio</v>
      </c>
      <c r="B686" s="62" t="s">
        <v>37</v>
      </c>
      <c r="C686" s="63" t="s">
        <v>58</v>
      </c>
      <c r="D686" s="63" t="s">
        <v>62</v>
      </c>
      <c r="E686" s="64" t="s">
        <v>112</v>
      </c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5.75" customHeight="1">
      <c r="A687" s="61" t="str">
        <f t="shared" si="1"/>
        <v>BrasíliaJoinvilleNavio</v>
      </c>
      <c r="B687" s="62" t="s">
        <v>37</v>
      </c>
      <c r="C687" s="63" t="s">
        <v>58</v>
      </c>
      <c r="D687" s="63" t="s">
        <v>28</v>
      </c>
      <c r="E687" s="64" t="s">
        <v>112</v>
      </c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5.75" customHeight="1">
      <c r="A688" s="61" t="str">
        <f t="shared" si="1"/>
        <v>BrasíliaMaceióNavio</v>
      </c>
      <c r="B688" s="62" t="s">
        <v>37</v>
      </c>
      <c r="C688" s="63" t="s">
        <v>58</v>
      </c>
      <c r="D688" s="63" t="s">
        <v>63</v>
      </c>
      <c r="E688" s="64" t="s">
        <v>112</v>
      </c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5.75" customHeight="1">
      <c r="A689" s="61" t="str">
        <f t="shared" si="1"/>
        <v>BrasíliaManausNavio</v>
      </c>
      <c r="B689" s="62" t="s">
        <v>37</v>
      </c>
      <c r="C689" s="63" t="s">
        <v>58</v>
      </c>
      <c r="D689" s="63" t="s">
        <v>23</v>
      </c>
      <c r="E689" s="64" t="s">
        <v>112</v>
      </c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5.75" customHeight="1">
      <c r="A690" s="61" t="str">
        <f t="shared" si="1"/>
        <v>BrasíliaNatalNavio</v>
      </c>
      <c r="B690" s="62" t="s">
        <v>37</v>
      </c>
      <c r="C690" s="63" t="s">
        <v>58</v>
      </c>
      <c r="D690" s="63" t="s">
        <v>64</v>
      </c>
      <c r="E690" s="64" t="s">
        <v>112</v>
      </c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5.75" customHeight="1">
      <c r="A691" s="61" t="str">
        <f t="shared" si="1"/>
        <v>BrasíliaPorto AlegreNavio</v>
      </c>
      <c r="B691" s="62" t="s">
        <v>37</v>
      </c>
      <c r="C691" s="63" t="s">
        <v>58</v>
      </c>
      <c r="D691" s="63" t="s">
        <v>31</v>
      </c>
      <c r="E691" s="64" t="s">
        <v>112</v>
      </c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5.75" customHeight="1">
      <c r="A692" s="61" t="str">
        <f t="shared" si="1"/>
        <v>BrasíliaRecifeNavio</v>
      </c>
      <c r="B692" s="62" t="s">
        <v>37</v>
      </c>
      <c r="C692" s="63" t="s">
        <v>58</v>
      </c>
      <c r="D692" s="63" t="s">
        <v>65</v>
      </c>
      <c r="E692" s="64" t="s">
        <v>112</v>
      </c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5.75" customHeight="1">
      <c r="A693" s="61" t="str">
        <f t="shared" si="1"/>
        <v>BrasíliaRibeirão PretoNavio</v>
      </c>
      <c r="B693" s="62" t="s">
        <v>37</v>
      </c>
      <c r="C693" s="63" t="s">
        <v>58</v>
      </c>
      <c r="D693" s="63" t="s">
        <v>78</v>
      </c>
      <c r="E693" s="64" t="s">
        <v>112</v>
      </c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5.75" customHeight="1">
      <c r="A694" s="61" t="str">
        <f t="shared" si="1"/>
        <v>BrasíliaRio de JaneiroNavio</v>
      </c>
      <c r="B694" s="62" t="s">
        <v>37</v>
      </c>
      <c r="C694" s="63" t="s">
        <v>58</v>
      </c>
      <c r="D694" s="63" t="s">
        <v>66</v>
      </c>
      <c r="E694" s="64" t="s">
        <v>112</v>
      </c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5.75" customHeight="1">
      <c r="A695" s="61" t="str">
        <f t="shared" si="1"/>
        <v>BrasíliaSalvadorNavio</v>
      </c>
      <c r="B695" s="62" t="s">
        <v>37</v>
      </c>
      <c r="C695" s="63" t="s">
        <v>58</v>
      </c>
      <c r="D695" s="63" t="s">
        <v>67</v>
      </c>
      <c r="E695" s="64" t="s">
        <v>112</v>
      </c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5.75" customHeight="1">
      <c r="A696" s="61" t="str">
        <f t="shared" si="1"/>
        <v>BrasíliaSantosNavio</v>
      </c>
      <c r="B696" s="62" t="s">
        <v>37</v>
      </c>
      <c r="C696" s="63" t="s">
        <v>58</v>
      </c>
      <c r="D696" s="63" t="s">
        <v>38</v>
      </c>
      <c r="E696" s="64" t="s">
        <v>112</v>
      </c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5.75" customHeight="1">
      <c r="A697" s="61" t="str">
        <f t="shared" si="1"/>
        <v>BrasíliaSão LuísNavio</v>
      </c>
      <c r="B697" s="62" t="s">
        <v>37</v>
      </c>
      <c r="C697" s="63" t="s">
        <v>58</v>
      </c>
      <c r="D697" s="63" t="s">
        <v>36</v>
      </c>
      <c r="E697" s="64" t="s">
        <v>112</v>
      </c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5.75" customHeight="1">
      <c r="A698" s="61" t="str">
        <f t="shared" si="1"/>
        <v>BrasíliaSão PauloNavio</v>
      </c>
      <c r="B698" s="62" t="s">
        <v>37</v>
      </c>
      <c r="C698" s="63" t="s">
        <v>58</v>
      </c>
      <c r="D698" s="63" t="s">
        <v>75</v>
      </c>
      <c r="E698" s="64" t="s">
        <v>112</v>
      </c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5.75" customHeight="1">
      <c r="A699" s="61" t="str">
        <f t="shared" si="1"/>
        <v>BrasíliaUberlândiaNavio</v>
      </c>
      <c r="B699" s="62" t="s">
        <v>37</v>
      </c>
      <c r="C699" s="63" t="s">
        <v>58</v>
      </c>
      <c r="D699" s="63" t="s">
        <v>68</v>
      </c>
      <c r="E699" s="64" t="s">
        <v>112</v>
      </c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5.75" customHeight="1">
      <c r="A700" s="61" t="str">
        <f t="shared" si="1"/>
        <v>BrasíliaVitóriaNavio</v>
      </c>
      <c r="B700" s="62" t="s">
        <v>37</v>
      </c>
      <c r="C700" s="63" t="s">
        <v>58</v>
      </c>
      <c r="D700" s="63" t="s">
        <v>69</v>
      </c>
      <c r="E700" s="64" t="s">
        <v>112</v>
      </c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5.75" customHeight="1">
      <c r="A701" s="61" t="str">
        <f t="shared" si="1"/>
        <v>BrasíliaVitória da ConquistaNavio</v>
      </c>
      <c r="B701" s="62" t="s">
        <v>37</v>
      </c>
      <c r="C701" s="63" t="s">
        <v>58</v>
      </c>
      <c r="D701" s="63" t="s">
        <v>52</v>
      </c>
      <c r="E701" s="64" t="s">
        <v>112</v>
      </c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5.75" customHeight="1">
      <c r="A702" s="61" t="str">
        <f t="shared" si="1"/>
        <v>CampinasBelémNavio</v>
      </c>
      <c r="B702" s="62" t="s">
        <v>37</v>
      </c>
      <c r="C702" s="62" t="s">
        <v>77</v>
      </c>
      <c r="D702" s="63" t="s">
        <v>51</v>
      </c>
      <c r="E702" s="64" t="s">
        <v>112</v>
      </c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5.75" customHeight="1">
      <c r="A703" s="61" t="str">
        <f t="shared" si="1"/>
        <v>CampinasBelo HorizonteNavio</v>
      </c>
      <c r="B703" s="62" t="s">
        <v>37</v>
      </c>
      <c r="C703" s="62" t="s">
        <v>77</v>
      </c>
      <c r="D703" s="63" t="s">
        <v>57</v>
      </c>
      <c r="E703" s="64" t="s">
        <v>112</v>
      </c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5.75" customHeight="1">
      <c r="A704" s="61" t="str">
        <f t="shared" si="1"/>
        <v>CampinasBrasíliaNavio</v>
      </c>
      <c r="B704" s="62" t="s">
        <v>37</v>
      </c>
      <c r="C704" s="62" t="s">
        <v>77</v>
      </c>
      <c r="D704" s="63" t="s">
        <v>58</v>
      </c>
      <c r="E704" s="64" t="s">
        <v>112</v>
      </c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5.75" customHeight="1">
      <c r="A705" s="61" t="str">
        <f t="shared" si="1"/>
        <v>CampinasCampinasNavio</v>
      </c>
      <c r="B705" s="62" t="s">
        <v>37</v>
      </c>
      <c r="C705" s="62" t="s">
        <v>77</v>
      </c>
      <c r="D705" s="63" t="s">
        <v>77</v>
      </c>
      <c r="E705" s="64" t="s">
        <v>112</v>
      </c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5.75" customHeight="1">
      <c r="A706" s="61" t="str">
        <f t="shared" si="1"/>
        <v>CampinasCampo GrandeNavio</v>
      </c>
      <c r="B706" s="62" t="s">
        <v>37</v>
      </c>
      <c r="C706" s="62" t="s">
        <v>77</v>
      </c>
      <c r="D706" s="63" t="s">
        <v>59</v>
      </c>
      <c r="E706" s="64" t="s">
        <v>112</v>
      </c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5.75" customHeight="1">
      <c r="A707" s="61" t="str">
        <f t="shared" si="1"/>
        <v>CampinasCuiabáNavio</v>
      </c>
      <c r="B707" s="62" t="s">
        <v>37</v>
      </c>
      <c r="C707" s="62" t="s">
        <v>77</v>
      </c>
      <c r="D707" s="63" t="s">
        <v>29</v>
      </c>
      <c r="E707" s="64" t="s">
        <v>112</v>
      </c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5.75" customHeight="1">
      <c r="A708" s="61" t="str">
        <f t="shared" si="1"/>
        <v>CampinasCuritibaNavio</v>
      </c>
      <c r="B708" s="62" t="s">
        <v>37</v>
      </c>
      <c r="C708" s="62" t="s">
        <v>77</v>
      </c>
      <c r="D708" s="63" t="s">
        <v>76</v>
      </c>
      <c r="E708" s="64" t="s">
        <v>112</v>
      </c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5.75" customHeight="1">
      <c r="A709" s="61" t="str">
        <f t="shared" si="1"/>
        <v>CampinasFortalezaNavio</v>
      </c>
      <c r="B709" s="62" t="s">
        <v>37</v>
      </c>
      <c r="C709" s="62" t="s">
        <v>77</v>
      </c>
      <c r="D709" s="63" t="s">
        <v>60</v>
      </c>
      <c r="E709" s="64" t="s">
        <v>112</v>
      </c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5.75" customHeight="1">
      <c r="A710" s="61" t="str">
        <f t="shared" si="1"/>
        <v>CampinasGoiâniaNavio</v>
      </c>
      <c r="B710" s="62" t="s">
        <v>37</v>
      </c>
      <c r="C710" s="62" t="s">
        <v>77</v>
      </c>
      <c r="D710" s="63" t="s">
        <v>61</v>
      </c>
      <c r="E710" s="64" t="s">
        <v>112</v>
      </c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5.75" customHeight="1">
      <c r="A711" s="61" t="str">
        <f t="shared" si="1"/>
        <v>CampinasJoão PessoaNavio</v>
      </c>
      <c r="B711" s="62" t="s">
        <v>37</v>
      </c>
      <c r="C711" s="62" t="s">
        <v>77</v>
      </c>
      <c r="D711" s="63" t="s">
        <v>62</v>
      </c>
      <c r="E711" s="64" t="s">
        <v>112</v>
      </c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5.75" customHeight="1">
      <c r="A712" s="61" t="str">
        <f t="shared" si="1"/>
        <v>CampinasJoinvilleNavio</v>
      </c>
      <c r="B712" s="62" t="s">
        <v>37</v>
      </c>
      <c r="C712" s="62" t="s">
        <v>77</v>
      </c>
      <c r="D712" s="63" t="s">
        <v>28</v>
      </c>
      <c r="E712" s="64" t="s">
        <v>112</v>
      </c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5.75" customHeight="1">
      <c r="A713" s="61" t="str">
        <f t="shared" si="1"/>
        <v>CampinasMaceióNavio</v>
      </c>
      <c r="B713" s="62" t="s">
        <v>37</v>
      </c>
      <c r="C713" s="62" t="s">
        <v>77</v>
      </c>
      <c r="D713" s="63" t="s">
        <v>63</v>
      </c>
      <c r="E713" s="64" t="s">
        <v>112</v>
      </c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5.75" customHeight="1">
      <c r="A714" s="61" t="str">
        <f t="shared" si="1"/>
        <v>CampinasManausNavio</v>
      </c>
      <c r="B714" s="62" t="s">
        <v>37</v>
      </c>
      <c r="C714" s="62" t="s">
        <v>77</v>
      </c>
      <c r="D714" s="63" t="s">
        <v>23</v>
      </c>
      <c r="E714" s="64" t="s">
        <v>112</v>
      </c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5.75" customHeight="1">
      <c r="A715" s="61" t="str">
        <f t="shared" si="1"/>
        <v>CampinasNatalNavio</v>
      </c>
      <c r="B715" s="62" t="s">
        <v>37</v>
      </c>
      <c r="C715" s="62" t="s">
        <v>77</v>
      </c>
      <c r="D715" s="63" t="s">
        <v>64</v>
      </c>
      <c r="E715" s="64" t="s">
        <v>112</v>
      </c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5.75" customHeight="1">
      <c r="A716" s="61" t="str">
        <f t="shared" si="1"/>
        <v>CampinasPorto AlegreNavio</v>
      </c>
      <c r="B716" s="62" t="s">
        <v>37</v>
      </c>
      <c r="C716" s="62" t="s">
        <v>77</v>
      </c>
      <c r="D716" s="63" t="s">
        <v>31</v>
      </c>
      <c r="E716" s="64" t="s">
        <v>112</v>
      </c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5.75" customHeight="1">
      <c r="A717" s="61" t="str">
        <f t="shared" si="1"/>
        <v>CampinasRecifeNavio</v>
      </c>
      <c r="B717" s="62" t="s">
        <v>37</v>
      </c>
      <c r="C717" s="62" t="s">
        <v>77</v>
      </c>
      <c r="D717" s="63" t="s">
        <v>65</v>
      </c>
      <c r="E717" s="64" t="s">
        <v>112</v>
      </c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5.75" customHeight="1">
      <c r="A718" s="61" t="str">
        <f t="shared" si="1"/>
        <v>CampinasRibeirão PretoNavio</v>
      </c>
      <c r="B718" s="62" t="s">
        <v>37</v>
      </c>
      <c r="C718" s="62" t="s">
        <v>77</v>
      </c>
      <c r="D718" s="63" t="s">
        <v>78</v>
      </c>
      <c r="E718" s="64" t="s">
        <v>112</v>
      </c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5.75" customHeight="1">
      <c r="A719" s="61" t="str">
        <f t="shared" si="1"/>
        <v>CampinasRio de JaneiroNavio</v>
      </c>
      <c r="B719" s="62" t="s">
        <v>37</v>
      </c>
      <c r="C719" s="62" t="s">
        <v>77</v>
      </c>
      <c r="D719" s="63" t="s">
        <v>66</v>
      </c>
      <c r="E719" s="64" t="s">
        <v>112</v>
      </c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5.75" customHeight="1">
      <c r="A720" s="61" t="str">
        <f t="shared" si="1"/>
        <v>CampinasSalvadorNavio</v>
      </c>
      <c r="B720" s="62" t="s">
        <v>37</v>
      </c>
      <c r="C720" s="62" t="s">
        <v>77</v>
      </c>
      <c r="D720" s="63" t="s">
        <v>67</v>
      </c>
      <c r="E720" s="64" t="s">
        <v>112</v>
      </c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5.75" customHeight="1">
      <c r="A721" s="61" t="str">
        <f t="shared" si="1"/>
        <v>CampinasSantosNavio</v>
      </c>
      <c r="B721" s="62" t="s">
        <v>37</v>
      </c>
      <c r="C721" s="62" t="s">
        <v>77</v>
      </c>
      <c r="D721" s="63" t="s">
        <v>38</v>
      </c>
      <c r="E721" s="64" t="s">
        <v>112</v>
      </c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5.75" customHeight="1">
      <c r="A722" s="61" t="str">
        <f t="shared" si="1"/>
        <v>CampinasSão LuísNavio</v>
      </c>
      <c r="B722" s="62" t="s">
        <v>37</v>
      </c>
      <c r="C722" s="62" t="s">
        <v>77</v>
      </c>
      <c r="D722" s="63" t="s">
        <v>36</v>
      </c>
      <c r="E722" s="64" t="s">
        <v>112</v>
      </c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5.75" customHeight="1">
      <c r="A723" s="61" t="str">
        <f t="shared" si="1"/>
        <v>CampinasSão PauloNavio</v>
      </c>
      <c r="B723" s="62" t="s">
        <v>37</v>
      </c>
      <c r="C723" s="62" t="s">
        <v>77</v>
      </c>
      <c r="D723" s="63" t="s">
        <v>75</v>
      </c>
      <c r="E723" s="64" t="s">
        <v>112</v>
      </c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5.75" customHeight="1">
      <c r="A724" s="61" t="str">
        <f t="shared" si="1"/>
        <v>CampinasUberlândiaNavio</v>
      </c>
      <c r="B724" s="62" t="s">
        <v>37</v>
      </c>
      <c r="C724" s="62" t="s">
        <v>77</v>
      </c>
      <c r="D724" s="63" t="s">
        <v>68</v>
      </c>
      <c r="E724" s="64" t="s">
        <v>112</v>
      </c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5.75" customHeight="1">
      <c r="A725" s="61" t="str">
        <f t="shared" si="1"/>
        <v>CampinasVitóriaNavio</v>
      </c>
      <c r="B725" s="62" t="s">
        <v>37</v>
      </c>
      <c r="C725" s="62" t="s">
        <v>77</v>
      </c>
      <c r="D725" s="63" t="s">
        <v>69</v>
      </c>
      <c r="E725" s="64" t="s">
        <v>112</v>
      </c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5.75" customHeight="1">
      <c r="A726" s="61" t="str">
        <f t="shared" si="1"/>
        <v>CampinasVitória da ConquistaNavio</v>
      </c>
      <c r="B726" s="62" t="s">
        <v>37</v>
      </c>
      <c r="C726" s="62" t="s">
        <v>77</v>
      </c>
      <c r="D726" s="63" t="s">
        <v>52</v>
      </c>
      <c r="E726" s="64" t="s">
        <v>112</v>
      </c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5.75" customHeight="1">
      <c r="A727" s="61" t="str">
        <f t="shared" si="1"/>
        <v>Campo GrandeBelémNavio</v>
      </c>
      <c r="B727" s="62" t="s">
        <v>37</v>
      </c>
      <c r="C727" s="62" t="s">
        <v>59</v>
      </c>
      <c r="D727" s="63" t="s">
        <v>51</v>
      </c>
      <c r="E727" s="64" t="s">
        <v>112</v>
      </c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5.75" customHeight="1">
      <c r="A728" s="61" t="str">
        <f t="shared" si="1"/>
        <v>Campo GrandeBelo HorizonteNavio</v>
      </c>
      <c r="B728" s="62" t="s">
        <v>37</v>
      </c>
      <c r="C728" s="62" t="s">
        <v>59</v>
      </c>
      <c r="D728" s="63" t="s">
        <v>57</v>
      </c>
      <c r="E728" s="64" t="s">
        <v>112</v>
      </c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5.75" customHeight="1">
      <c r="A729" s="61" t="str">
        <f t="shared" si="1"/>
        <v>Campo GrandeBrasíliaNavio</v>
      </c>
      <c r="B729" s="62" t="s">
        <v>37</v>
      </c>
      <c r="C729" s="62" t="s">
        <v>59</v>
      </c>
      <c r="D729" s="63" t="s">
        <v>58</v>
      </c>
      <c r="E729" s="64" t="s">
        <v>112</v>
      </c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5.75" customHeight="1">
      <c r="A730" s="61" t="str">
        <f t="shared" si="1"/>
        <v>Campo GrandeCampinasNavio</v>
      </c>
      <c r="B730" s="62" t="s">
        <v>37</v>
      </c>
      <c r="C730" s="62" t="s">
        <v>59</v>
      </c>
      <c r="D730" s="63" t="s">
        <v>77</v>
      </c>
      <c r="E730" s="64" t="s">
        <v>112</v>
      </c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5.75" customHeight="1">
      <c r="A731" s="61" t="str">
        <f t="shared" si="1"/>
        <v>Campo GrandeCampo GrandeNavio</v>
      </c>
      <c r="B731" s="62" t="s">
        <v>37</v>
      </c>
      <c r="C731" s="62" t="s">
        <v>59</v>
      </c>
      <c r="D731" s="63" t="s">
        <v>59</v>
      </c>
      <c r="E731" s="64" t="s">
        <v>112</v>
      </c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5.75" customHeight="1">
      <c r="A732" s="61" t="str">
        <f t="shared" si="1"/>
        <v>Campo GrandeCuiabáNavio</v>
      </c>
      <c r="B732" s="62" t="s">
        <v>37</v>
      </c>
      <c r="C732" s="62" t="s">
        <v>59</v>
      </c>
      <c r="D732" s="63" t="s">
        <v>29</v>
      </c>
      <c r="E732" s="64" t="s">
        <v>112</v>
      </c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5.75" customHeight="1">
      <c r="A733" s="61" t="str">
        <f t="shared" si="1"/>
        <v>Campo GrandeCuritibaNavio</v>
      </c>
      <c r="B733" s="62" t="s">
        <v>37</v>
      </c>
      <c r="C733" s="62" t="s">
        <v>59</v>
      </c>
      <c r="D733" s="63" t="s">
        <v>76</v>
      </c>
      <c r="E733" s="64" t="s">
        <v>112</v>
      </c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5.75" customHeight="1">
      <c r="A734" s="61" t="str">
        <f t="shared" si="1"/>
        <v>Campo GrandeFortalezaNavio</v>
      </c>
      <c r="B734" s="62" t="s">
        <v>37</v>
      </c>
      <c r="C734" s="62" t="s">
        <v>59</v>
      </c>
      <c r="D734" s="63" t="s">
        <v>60</v>
      </c>
      <c r="E734" s="64" t="s">
        <v>112</v>
      </c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5.75" customHeight="1">
      <c r="A735" s="61" t="str">
        <f t="shared" si="1"/>
        <v>Campo GrandeGoiâniaNavio</v>
      </c>
      <c r="B735" s="62" t="s">
        <v>37</v>
      </c>
      <c r="C735" s="62" t="s">
        <v>59</v>
      </c>
      <c r="D735" s="63" t="s">
        <v>61</v>
      </c>
      <c r="E735" s="64" t="s">
        <v>112</v>
      </c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5.75" customHeight="1">
      <c r="A736" s="61" t="str">
        <f t="shared" si="1"/>
        <v>Campo GrandeJoão PessoaNavio</v>
      </c>
      <c r="B736" s="62" t="s">
        <v>37</v>
      </c>
      <c r="C736" s="62" t="s">
        <v>59</v>
      </c>
      <c r="D736" s="63" t="s">
        <v>62</v>
      </c>
      <c r="E736" s="64" t="s">
        <v>112</v>
      </c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5.75" customHeight="1">
      <c r="A737" s="61" t="str">
        <f t="shared" si="1"/>
        <v>Campo GrandeJoinvilleNavio</v>
      </c>
      <c r="B737" s="62" t="s">
        <v>37</v>
      </c>
      <c r="C737" s="62" t="s">
        <v>59</v>
      </c>
      <c r="D737" s="63" t="s">
        <v>28</v>
      </c>
      <c r="E737" s="64" t="s">
        <v>112</v>
      </c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5.75" customHeight="1">
      <c r="A738" s="61" t="str">
        <f t="shared" si="1"/>
        <v>Campo GrandeMaceióNavio</v>
      </c>
      <c r="B738" s="62" t="s">
        <v>37</v>
      </c>
      <c r="C738" s="62" t="s">
        <v>59</v>
      </c>
      <c r="D738" s="63" t="s">
        <v>63</v>
      </c>
      <c r="E738" s="64" t="s">
        <v>112</v>
      </c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5.75" customHeight="1">
      <c r="A739" s="61" t="str">
        <f t="shared" si="1"/>
        <v>Campo GrandeManausNavio</v>
      </c>
      <c r="B739" s="62" t="s">
        <v>37</v>
      </c>
      <c r="C739" s="62" t="s">
        <v>59</v>
      </c>
      <c r="D739" s="63" t="s">
        <v>23</v>
      </c>
      <c r="E739" s="64" t="s">
        <v>112</v>
      </c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5.75" customHeight="1">
      <c r="A740" s="61" t="str">
        <f t="shared" si="1"/>
        <v>Campo GrandeNatalNavio</v>
      </c>
      <c r="B740" s="62" t="s">
        <v>37</v>
      </c>
      <c r="C740" s="62" t="s">
        <v>59</v>
      </c>
      <c r="D740" s="63" t="s">
        <v>64</v>
      </c>
      <c r="E740" s="64" t="s">
        <v>112</v>
      </c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5.75" customHeight="1">
      <c r="A741" s="61" t="str">
        <f t="shared" si="1"/>
        <v>Campo GrandePorto AlegreNavio</v>
      </c>
      <c r="B741" s="62" t="s">
        <v>37</v>
      </c>
      <c r="C741" s="62" t="s">
        <v>59</v>
      </c>
      <c r="D741" s="63" t="s">
        <v>31</v>
      </c>
      <c r="E741" s="64" t="s">
        <v>112</v>
      </c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5.75" customHeight="1">
      <c r="A742" s="61" t="str">
        <f t="shared" si="1"/>
        <v>Campo GrandeRecifeNavio</v>
      </c>
      <c r="B742" s="62" t="s">
        <v>37</v>
      </c>
      <c r="C742" s="62" t="s">
        <v>59</v>
      </c>
      <c r="D742" s="63" t="s">
        <v>65</v>
      </c>
      <c r="E742" s="64" t="s">
        <v>112</v>
      </c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5.75" customHeight="1">
      <c r="A743" s="61" t="str">
        <f t="shared" si="1"/>
        <v>Campo GrandeRibeirão PretoNavio</v>
      </c>
      <c r="B743" s="62" t="s">
        <v>37</v>
      </c>
      <c r="C743" s="62" t="s">
        <v>59</v>
      </c>
      <c r="D743" s="63" t="s">
        <v>78</v>
      </c>
      <c r="E743" s="64" t="s">
        <v>112</v>
      </c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5.75" customHeight="1">
      <c r="A744" s="61" t="str">
        <f t="shared" si="1"/>
        <v>Campo GrandeRio de JaneiroNavio</v>
      </c>
      <c r="B744" s="62" t="s">
        <v>37</v>
      </c>
      <c r="C744" s="62" t="s">
        <v>59</v>
      </c>
      <c r="D744" s="63" t="s">
        <v>66</v>
      </c>
      <c r="E744" s="64" t="s">
        <v>112</v>
      </c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5.75" customHeight="1">
      <c r="A745" s="61" t="str">
        <f t="shared" si="1"/>
        <v>Campo GrandeSalvadorNavio</v>
      </c>
      <c r="B745" s="62" t="s">
        <v>37</v>
      </c>
      <c r="C745" s="62" t="s">
        <v>59</v>
      </c>
      <c r="D745" s="63" t="s">
        <v>67</v>
      </c>
      <c r="E745" s="64" t="s">
        <v>112</v>
      </c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5.75" customHeight="1">
      <c r="A746" s="61" t="str">
        <f t="shared" si="1"/>
        <v>Campo GrandeSantosNavio</v>
      </c>
      <c r="B746" s="62" t="s">
        <v>37</v>
      </c>
      <c r="C746" s="62" t="s">
        <v>59</v>
      </c>
      <c r="D746" s="63" t="s">
        <v>38</v>
      </c>
      <c r="E746" s="64" t="s">
        <v>112</v>
      </c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5.75" customHeight="1">
      <c r="A747" s="61" t="str">
        <f t="shared" si="1"/>
        <v>Campo GrandeSão LuísNavio</v>
      </c>
      <c r="B747" s="62" t="s">
        <v>37</v>
      </c>
      <c r="C747" s="62" t="s">
        <v>59</v>
      </c>
      <c r="D747" s="63" t="s">
        <v>36</v>
      </c>
      <c r="E747" s="64" t="s">
        <v>112</v>
      </c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5.75" customHeight="1">
      <c r="A748" s="61" t="str">
        <f t="shared" si="1"/>
        <v>Campo GrandeSão PauloNavio</v>
      </c>
      <c r="B748" s="62" t="s">
        <v>37</v>
      </c>
      <c r="C748" s="62" t="s">
        <v>59</v>
      </c>
      <c r="D748" s="63" t="s">
        <v>75</v>
      </c>
      <c r="E748" s="64" t="s">
        <v>112</v>
      </c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5.75" customHeight="1">
      <c r="A749" s="61" t="str">
        <f t="shared" si="1"/>
        <v>Campo GrandeUberlândiaNavio</v>
      </c>
      <c r="B749" s="62" t="s">
        <v>37</v>
      </c>
      <c r="C749" s="62" t="s">
        <v>59</v>
      </c>
      <c r="D749" s="63" t="s">
        <v>68</v>
      </c>
      <c r="E749" s="64" t="s">
        <v>112</v>
      </c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5.75" customHeight="1">
      <c r="A750" s="61" t="str">
        <f t="shared" si="1"/>
        <v>Campo GrandeVitóriaNavio</v>
      </c>
      <c r="B750" s="62" t="s">
        <v>37</v>
      </c>
      <c r="C750" s="62" t="s">
        <v>59</v>
      </c>
      <c r="D750" s="63" t="s">
        <v>69</v>
      </c>
      <c r="E750" s="64" t="s">
        <v>112</v>
      </c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5.75" customHeight="1">
      <c r="A751" s="61" t="str">
        <f t="shared" si="1"/>
        <v>Campo GrandeVitória da ConquistaNavio</v>
      </c>
      <c r="B751" s="62" t="s">
        <v>37</v>
      </c>
      <c r="C751" s="62" t="s">
        <v>59</v>
      </c>
      <c r="D751" s="63" t="s">
        <v>52</v>
      </c>
      <c r="E751" s="64" t="s">
        <v>112</v>
      </c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5.75" customHeight="1">
      <c r="A752" s="61" t="str">
        <f t="shared" si="1"/>
        <v>CuiabáBelémNavio</v>
      </c>
      <c r="B752" s="62" t="s">
        <v>37</v>
      </c>
      <c r="C752" s="63" t="s">
        <v>29</v>
      </c>
      <c r="D752" s="63" t="s">
        <v>51</v>
      </c>
      <c r="E752" s="64" t="s">
        <v>112</v>
      </c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5.75" customHeight="1">
      <c r="A753" s="61" t="str">
        <f t="shared" si="1"/>
        <v>CuiabáBelo HorizonteNavio</v>
      </c>
      <c r="B753" s="62" t="s">
        <v>37</v>
      </c>
      <c r="C753" s="63" t="s">
        <v>29</v>
      </c>
      <c r="D753" s="63" t="s">
        <v>57</v>
      </c>
      <c r="E753" s="64" t="s">
        <v>112</v>
      </c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5.75" customHeight="1">
      <c r="A754" s="61" t="str">
        <f t="shared" si="1"/>
        <v>CuiabáBrasíliaNavio</v>
      </c>
      <c r="B754" s="62" t="s">
        <v>37</v>
      </c>
      <c r="C754" s="63" t="s">
        <v>29</v>
      </c>
      <c r="D754" s="63" t="s">
        <v>58</v>
      </c>
      <c r="E754" s="64" t="s">
        <v>112</v>
      </c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5.75" customHeight="1">
      <c r="A755" s="61" t="str">
        <f t="shared" si="1"/>
        <v>CuiabáCampinasNavio</v>
      </c>
      <c r="B755" s="62" t="s">
        <v>37</v>
      </c>
      <c r="C755" s="63" t="s">
        <v>29</v>
      </c>
      <c r="D755" s="63" t="s">
        <v>77</v>
      </c>
      <c r="E755" s="64" t="s">
        <v>112</v>
      </c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5.75" customHeight="1">
      <c r="A756" s="61" t="str">
        <f t="shared" si="1"/>
        <v>CuiabáCampo GrandeNavio</v>
      </c>
      <c r="B756" s="62" t="s">
        <v>37</v>
      </c>
      <c r="C756" s="63" t="s">
        <v>29</v>
      </c>
      <c r="D756" s="63" t="s">
        <v>59</v>
      </c>
      <c r="E756" s="64" t="s">
        <v>112</v>
      </c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5.75" customHeight="1">
      <c r="A757" s="61" t="str">
        <f t="shared" si="1"/>
        <v>CuiabáCuiabáNavio</v>
      </c>
      <c r="B757" s="62" t="s">
        <v>37</v>
      </c>
      <c r="C757" s="63" t="s">
        <v>29</v>
      </c>
      <c r="D757" s="63" t="s">
        <v>29</v>
      </c>
      <c r="E757" s="64" t="s">
        <v>112</v>
      </c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5.75" customHeight="1">
      <c r="A758" s="61" t="str">
        <f t="shared" si="1"/>
        <v>CuiabáCuritibaNavio</v>
      </c>
      <c r="B758" s="62" t="s">
        <v>37</v>
      </c>
      <c r="C758" s="63" t="s">
        <v>29</v>
      </c>
      <c r="D758" s="63" t="s">
        <v>76</v>
      </c>
      <c r="E758" s="64" t="s">
        <v>112</v>
      </c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5.75" customHeight="1">
      <c r="A759" s="61" t="str">
        <f t="shared" si="1"/>
        <v>CuiabáFortalezaNavio</v>
      </c>
      <c r="B759" s="62" t="s">
        <v>37</v>
      </c>
      <c r="C759" s="63" t="s">
        <v>29</v>
      </c>
      <c r="D759" s="63" t="s">
        <v>60</v>
      </c>
      <c r="E759" s="64" t="s">
        <v>112</v>
      </c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5.75" customHeight="1">
      <c r="A760" s="61" t="str">
        <f t="shared" si="1"/>
        <v>CuiabáGoiâniaNavio</v>
      </c>
      <c r="B760" s="62" t="s">
        <v>37</v>
      </c>
      <c r="C760" s="63" t="s">
        <v>29</v>
      </c>
      <c r="D760" s="63" t="s">
        <v>61</v>
      </c>
      <c r="E760" s="64" t="s">
        <v>112</v>
      </c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5.75" customHeight="1">
      <c r="A761" s="61" t="str">
        <f t="shared" si="1"/>
        <v>CuiabáJoão PessoaNavio</v>
      </c>
      <c r="B761" s="62" t="s">
        <v>37</v>
      </c>
      <c r="C761" s="63" t="s">
        <v>29</v>
      </c>
      <c r="D761" s="63" t="s">
        <v>62</v>
      </c>
      <c r="E761" s="64" t="s">
        <v>112</v>
      </c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5.75" customHeight="1">
      <c r="A762" s="61" t="str">
        <f t="shared" si="1"/>
        <v>CuiabáJoinvilleNavio</v>
      </c>
      <c r="B762" s="62" t="s">
        <v>37</v>
      </c>
      <c r="C762" s="63" t="s">
        <v>29</v>
      </c>
      <c r="D762" s="63" t="s">
        <v>28</v>
      </c>
      <c r="E762" s="64" t="s">
        <v>112</v>
      </c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5.75" customHeight="1">
      <c r="A763" s="61" t="str">
        <f t="shared" si="1"/>
        <v>CuiabáMaceióNavio</v>
      </c>
      <c r="B763" s="62" t="s">
        <v>37</v>
      </c>
      <c r="C763" s="63" t="s">
        <v>29</v>
      </c>
      <c r="D763" s="63" t="s">
        <v>63</v>
      </c>
      <c r="E763" s="64" t="s">
        <v>112</v>
      </c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5.75" customHeight="1">
      <c r="A764" s="61" t="str">
        <f t="shared" si="1"/>
        <v>CuiabáManausNavio</v>
      </c>
      <c r="B764" s="62" t="s">
        <v>37</v>
      </c>
      <c r="C764" s="63" t="s">
        <v>29</v>
      </c>
      <c r="D764" s="63" t="s">
        <v>23</v>
      </c>
      <c r="E764" s="64" t="s">
        <v>112</v>
      </c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5.75" customHeight="1">
      <c r="A765" s="61" t="str">
        <f t="shared" si="1"/>
        <v>CuiabáNatalNavio</v>
      </c>
      <c r="B765" s="62" t="s">
        <v>37</v>
      </c>
      <c r="C765" s="63" t="s">
        <v>29</v>
      </c>
      <c r="D765" s="63" t="s">
        <v>64</v>
      </c>
      <c r="E765" s="64" t="s">
        <v>112</v>
      </c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5.75" customHeight="1">
      <c r="A766" s="61" t="str">
        <f t="shared" si="1"/>
        <v>CuiabáPorto AlegreNavio</v>
      </c>
      <c r="B766" s="62" t="s">
        <v>37</v>
      </c>
      <c r="C766" s="63" t="s">
        <v>29</v>
      </c>
      <c r="D766" s="63" t="s">
        <v>31</v>
      </c>
      <c r="E766" s="64" t="s">
        <v>112</v>
      </c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5.75" customHeight="1">
      <c r="A767" s="61" t="str">
        <f t="shared" si="1"/>
        <v>CuiabáRecifeNavio</v>
      </c>
      <c r="B767" s="62" t="s">
        <v>37</v>
      </c>
      <c r="C767" s="63" t="s">
        <v>29</v>
      </c>
      <c r="D767" s="63" t="s">
        <v>65</v>
      </c>
      <c r="E767" s="64" t="s">
        <v>112</v>
      </c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5.75" customHeight="1">
      <c r="A768" s="61" t="str">
        <f t="shared" si="1"/>
        <v>CuiabáRibeirão PretoNavio</v>
      </c>
      <c r="B768" s="62" t="s">
        <v>37</v>
      </c>
      <c r="C768" s="63" t="s">
        <v>29</v>
      </c>
      <c r="D768" s="63" t="s">
        <v>78</v>
      </c>
      <c r="E768" s="64" t="s">
        <v>112</v>
      </c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5.75" customHeight="1">
      <c r="A769" s="61" t="str">
        <f t="shared" si="1"/>
        <v>CuiabáRio de JaneiroNavio</v>
      </c>
      <c r="B769" s="62" t="s">
        <v>37</v>
      </c>
      <c r="C769" s="63" t="s">
        <v>29</v>
      </c>
      <c r="D769" s="63" t="s">
        <v>66</v>
      </c>
      <c r="E769" s="64" t="s">
        <v>112</v>
      </c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5.75" customHeight="1">
      <c r="A770" s="61" t="str">
        <f t="shared" si="1"/>
        <v>CuiabáSalvadorNavio</v>
      </c>
      <c r="B770" s="62" t="s">
        <v>37</v>
      </c>
      <c r="C770" s="63" t="s">
        <v>29</v>
      </c>
      <c r="D770" s="63" t="s">
        <v>67</v>
      </c>
      <c r="E770" s="64" t="s">
        <v>112</v>
      </c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5.75" customHeight="1">
      <c r="A771" s="61" t="str">
        <f t="shared" si="1"/>
        <v>CuiabáSantosNavio</v>
      </c>
      <c r="B771" s="62" t="s">
        <v>37</v>
      </c>
      <c r="C771" s="63" t="s">
        <v>29</v>
      </c>
      <c r="D771" s="63" t="s">
        <v>38</v>
      </c>
      <c r="E771" s="64" t="s">
        <v>112</v>
      </c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5.75" customHeight="1">
      <c r="A772" s="61" t="str">
        <f t="shared" si="1"/>
        <v>CuiabáSão LuísNavio</v>
      </c>
      <c r="B772" s="62" t="s">
        <v>37</v>
      </c>
      <c r="C772" s="63" t="s">
        <v>29</v>
      </c>
      <c r="D772" s="63" t="s">
        <v>36</v>
      </c>
      <c r="E772" s="64" t="s">
        <v>112</v>
      </c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5.75" customHeight="1">
      <c r="A773" s="61" t="str">
        <f t="shared" si="1"/>
        <v>CuiabáSão PauloNavio</v>
      </c>
      <c r="B773" s="62" t="s">
        <v>37</v>
      </c>
      <c r="C773" s="63" t="s">
        <v>29</v>
      </c>
      <c r="D773" s="63" t="s">
        <v>75</v>
      </c>
      <c r="E773" s="64" t="s">
        <v>112</v>
      </c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5.75" customHeight="1">
      <c r="A774" s="61" t="str">
        <f t="shared" si="1"/>
        <v>CuiabáUberlândiaNavio</v>
      </c>
      <c r="B774" s="62" t="s">
        <v>37</v>
      </c>
      <c r="C774" s="63" t="s">
        <v>29</v>
      </c>
      <c r="D774" s="63" t="s">
        <v>68</v>
      </c>
      <c r="E774" s="64" t="s">
        <v>112</v>
      </c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5.75" customHeight="1">
      <c r="A775" s="61" t="str">
        <f t="shared" si="1"/>
        <v>CuiabáVitóriaNavio</v>
      </c>
      <c r="B775" s="62" t="s">
        <v>37</v>
      </c>
      <c r="C775" s="63" t="s">
        <v>29</v>
      </c>
      <c r="D775" s="63" t="s">
        <v>69</v>
      </c>
      <c r="E775" s="64" t="s">
        <v>112</v>
      </c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5.75" customHeight="1">
      <c r="A776" s="61" t="str">
        <f t="shared" si="1"/>
        <v>CuiabáVitória da ConquistaNavio</v>
      </c>
      <c r="B776" s="62" t="s">
        <v>37</v>
      </c>
      <c r="C776" s="63" t="s">
        <v>29</v>
      </c>
      <c r="D776" s="63" t="s">
        <v>52</v>
      </c>
      <c r="E776" s="64" t="s">
        <v>112</v>
      </c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5.75" customHeight="1">
      <c r="A777" s="61" t="str">
        <f t="shared" si="1"/>
        <v>CuritibaBelémNavio</v>
      </c>
      <c r="B777" s="62" t="s">
        <v>37</v>
      </c>
      <c r="C777" s="62" t="s">
        <v>76</v>
      </c>
      <c r="D777" s="63" t="s">
        <v>51</v>
      </c>
      <c r="E777" s="64">
        <v>7.0</v>
      </c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5.75" customHeight="1">
      <c r="A778" s="61" t="str">
        <f t="shared" si="1"/>
        <v>CuritibaBelo HorizonteNavio</v>
      </c>
      <c r="B778" s="62" t="s">
        <v>37</v>
      </c>
      <c r="C778" s="62" t="s">
        <v>76</v>
      </c>
      <c r="D778" s="63" t="s">
        <v>57</v>
      </c>
      <c r="E778" s="64" t="s">
        <v>112</v>
      </c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5.75" customHeight="1">
      <c r="A779" s="61" t="str">
        <f t="shared" si="1"/>
        <v>CuritibaBrasíliaNavio</v>
      </c>
      <c r="B779" s="62" t="s">
        <v>37</v>
      </c>
      <c r="C779" s="62" t="s">
        <v>76</v>
      </c>
      <c r="D779" s="63" t="s">
        <v>58</v>
      </c>
      <c r="E779" s="64" t="s">
        <v>112</v>
      </c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5.75" customHeight="1">
      <c r="A780" s="61" t="str">
        <f t="shared" si="1"/>
        <v>CuritibaCampinasNavio</v>
      </c>
      <c r="B780" s="62" t="s">
        <v>37</v>
      </c>
      <c r="C780" s="62" t="s">
        <v>76</v>
      </c>
      <c r="D780" s="63" t="s">
        <v>77</v>
      </c>
      <c r="E780" s="64" t="s">
        <v>112</v>
      </c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5.75" customHeight="1">
      <c r="A781" s="61" t="str">
        <f t="shared" si="1"/>
        <v>CuritibaCampo GrandeNavio</v>
      </c>
      <c r="B781" s="62" t="s">
        <v>37</v>
      </c>
      <c r="C781" s="62" t="s">
        <v>76</v>
      </c>
      <c r="D781" s="63" t="s">
        <v>59</v>
      </c>
      <c r="E781" s="64" t="s">
        <v>112</v>
      </c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5.75" customHeight="1">
      <c r="A782" s="61" t="str">
        <f t="shared" si="1"/>
        <v>CuritibaCuiabáNavio</v>
      </c>
      <c r="B782" s="62" t="s">
        <v>37</v>
      </c>
      <c r="C782" s="62" t="s">
        <v>76</v>
      </c>
      <c r="D782" s="63" t="s">
        <v>29</v>
      </c>
      <c r="E782" s="64" t="s">
        <v>112</v>
      </c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5.75" customHeight="1">
      <c r="A783" s="61" t="str">
        <f t="shared" si="1"/>
        <v>CuritibaCuritibaNavio</v>
      </c>
      <c r="B783" s="62" t="s">
        <v>37</v>
      </c>
      <c r="C783" s="62" t="s">
        <v>76</v>
      </c>
      <c r="D783" s="63" t="s">
        <v>76</v>
      </c>
      <c r="E783" s="64">
        <v>0.0</v>
      </c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5.75" customHeight="1">
      <c r="A784" s="61" t="str">
        <f t="shared" si="1"/>
        <v>CuritibaFortalezaNavio</v>
      </c>
      <c r="B784" s="62" t="s">
        <v>37</v>
      </c>
      <c r="C784" s="62" t="s">
        <v>76</v>
      </c>
      <c r="D784" s="63" t="s">
        <v>60</v>
      </c>
      <c r="E784" s="64">
        <v>5.0</v>
      </c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5.75" customHeight="1">
      <c r="A785" s="61" t="str">
        <f t="shared" si="1"/>
        <v>CuritibaGoiâniaNavio</v>
      </c>
      <c r="B785" s="62" t="s">
        <v>37</v>
      </c>
      <c r="C785" s="62" t="s">
        <v>76</v>
      </c>
      <c r="D785" s="63" t="s">
        <v>61</v>
      </c>
      <c r="E785" s="64" t="s">
        <v>112</v>
      </c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5.75" customHeight="1">
      <c r="A786" s="61" t="str">
        <f t="shared" si="1"/>
        <v>CuritibaJoão PessoaNavio</v>
      </c>
      <c r="B786" s="62" t="s">
        <v>37</v>
      </c>
      <c r="C786" s="62" t="s">
        <v>76</v>
      </c>
      <c r="D786" s="63" t="s">
        <v>62</v>
      </c>
      <c r="E786" s="64" t="s">
        <v>112</v>
      </c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5.75" customHeight="1">
      <c r="A787" s="61" t="str">
        <f t="shared" si="1"/>
        <v>CuritibaJoinvilleNavio</v>
      </c>
      <c r="B787" s="62" t="s">
        <v>37</v>
      </c>
      <c r="C787" s="62" t="s">
        <v>76</v>
      </c>
      <c r="D787" s="63" t="s">
        <v>28</v>
      </c>
      <c r="E787" s="64" t="s">
        <v>112</v>
      </c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5.75" customHeight="1">
      <c r="A788" s="61" t="str">
        <f t="shared" si="1"/>
        <v>CuritibaMaceióNavio</v>
      </c>
      <c r="B788" s="62" t="s">
        <v>37</v>
      </c>
      <c r="C788" s="62" t="s">
        <v>76</v>
      </c>
      <c r="D788" s="63" t="s">
        <v>63</v>
      </c>
      <c r="E788" s="64">
        <v>3.0</v>
      </c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5.75" customHeight="1">
      <c r="A789" s="61" t="str">
        <f t="shared" si="1"/>
        <v>CuritibaManausNavio</v>
      </c>
      <c r="B789" s="62" t="s">
        <v>37</v>
      </c>
      <c r="C789" s="62" t="s">
        <v>76</v>
      </c>
      <c r="D789" s="63" t="s">
        <v>23</v>
      </c>
      <c r="E789" s="64">
        <v>9.0</v>
      </c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5.75" customHeight="1">
      <c r="A790" s="61" t="str">
        <f t="shared" si="1"/>
        <v>CuritibaNatalNavio</v>
      </c>
      <c r="B790" s="62" t="s">
        <v>37</v>
      </c>
      <c r="C790" s="62" t="s">
        <v>76</v>
      </c>
      <c r="D790" s="63" t="s">
        <v>64</v>
      </c>
      <c r="E790" s="64">
        <v>4.0</v>
      </c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5.75" customHeight="1">
      <c r="A791" s="61" t="str">
        <f t="shared" si="1"/>
        <v>CuritibaPorto AlegreNavio</v>
      </c>
      <c r="B791" s="62" t="s">
        <v>37</v>
      </c>
      <c r="C791" s="62" t="s">
        <v>76</v>
      </c>
      <c r="D791" s="63" t="s">
        <v>31</v>
      </c>
      <c r="E791" s="64">
        <v>2.0</v>
      </c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5.75" customHeight="1">
      <c r="A792" s="61" t="str">
        <f t="shared" si="1"/>
        <v>CuritibaRecifeNavio</v>
      </c>
      <c r="B792" s="62" t="s">
        <v>37</v>
      </c>
      <c r="C792" s="62" t="s">
        <v>76</v>
      </c>
      <c r="D792" s="63" t="s">
        <v>65</v>
      </c>
      <c r="E792" s="64">
        <v>4.0</v>
      </c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5.75" customHeight="1">
      <c r="A793" s="61" t="str">
        <f t="shared" si="1"/>
        <v>CuritibaRibeirão PretoNavio</v>
      </c>
      <c r="B793" s="62" t="s">
        <v>37</v>
      </c>
      <c r="C793" s="62" t="s">
        <v>76</v>
      </c>
      <c r="D793" s="63" t="s">
        <v>78</v>
      </c>
      <c r="E793" s="64" t="s">
        <v>112</v>
      </c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5.75" customHeight="1">
      <c r="A794" s="61" t="str">
        <f t="shared" si="1"/>
        <v>CuritibaRio de JaneiroNavio</v>
      </c>
      <c r="B794" s="62" t="s">
        <v>37</v>
      </c>
      <c r="C794" s="62" t="s">
        <v>76</v>
      </c>
      <c r="D794" s="63" t="s">
        <v>66</v>
      </c>
      <c r="E794" s="64">
        <v>1.0</v>
      </c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5.75" customHeight="1">
      <c r="A795" s="61" t="str">
        <f t="shared" si="1"/>
        <v>CuritibaSalvadorNavio</v>
      </c>
      <c r="B795" s="62" t="s">
        <v>37</v>
      </c>
      <c r="C795" s="62" t="s">
        <v>76</v>
      </c>
      <c r="D795" s="63" t="s">
        <v>67</v>
      </c>
      <c r="E795" s="64">
        <v>3.0</v>
      </c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5.75" customHeight="1">
      <c r="A796" s="61" t="str">
        <f t="shared" si="1"/>
        <v>CuritibaSantosNavio</v>
      </c>
      <c r="B796" s="62" t="s">
        <v>37</v>
      </c>
      <c r="C796" s="62" t="s">
        <v>76</v>
      </c>
      <c r="D796" s="63" t="s">
        <v>38</v>
      </c>
      <c r="E796" s="64">
        <v>0.0</v>
      </c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5.75" customHeight="1">
      <c r="A797" s="61" t="str">
        <f t="shared" si="1"/>
        <v>CuritibaSão LuísNavio</v>
      </c>
      <c r="B797" s="62" t="s">
        <v>37</v>
      </c>
      <c r="C797" s="62" t="s">
        <v>76</v>
      </c>
      <c r="D797" s="63" t="s">
        <v>36</v>
      </c>
      <c r="E797" s="64">
        <v>6.0</v>
      </c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5.75" customHeight="1">
      <c r="A798" s="61" t="str">
        <f t="shared" si="1"/>
        <v>CuritibaSão PauloNavio</v>
      </c>
      <c r="B798" s="62" t="s">
        <v>37</v>
      </c>
      <c r="C798" s="62" t="s">
        <v>76</v>
      </c>
      <c r="D798" s="63" t="s">
        <v>75</v>
      </c>
      <c r="E798" s="64" t="s">
        <v>112</v>
      </c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5.75" customHeight="1">
      <c r="A799" s="61" t="str">
        <f t="shared" si="1"/>
        <v>CuritibaUberlândiaNavio</v>
      </c>
      <c r="B799" s="62" t="s">
        <v>37</v>
      </c>
      <c r="C799" s="62" t="s">
        <v>76</v>
      </c>
      <c r="D799" s="63" t="s">
        <v>68</v>
      </c>
      <c r="E799" s="64" t="s">
        <v>112</v>
      </c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5.75" customHeight="1">
      <c r="A800" s="61" t="str">
        <f t="shared" si="1"/>
        <v>CuritibaVitóriaNavio</v>
      </c>
      <c r="B800" s="62" t="s">
        <v>37</v>
      </c>
      <c r="C800" s="62" t="s">
        <v>76</v>
      </c>
      <c r="D800" s="63" t="s">
        <v>69</v>
      </c>
      <c r="E800" s="64">
        <v>2.0</v>
      </c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5.75" customHeight="1">
      <c r="A801" s="61" t="str">
        <f t="shared" si="1"/>
        <v>CuritibaVitória da ConquistaNavio</v>
      </c>
      <c r="B801" s="62" t="s">
        <v>37</v>
      </c>
      <c r="C801" s="62" t="s">
        <v>76</v>
      </c>
      <c r="D801" s="63" t="s">
        <v>52</v>
      </c>
      <c r="E801" s="64" t="s">
        <v>112</v>
      </c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5.75" customHeight="1">
      <c r="A802" s="61" t="str">
        <f t="shared" si="1"/>
        <v>FortalezaBelémNavio</v>
      </c>
      <c r="B802" s="62" t="s">
        <v>37</v>
      </c>
      <c r="C802" s="62" t="s">
        <v>60</v>
      </c>
      <c r="D802" s="63" t="s">
        <v>51</v>
      </c>
      <c r="E802" s="64">
        <v>1.0</v>
      </c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5.75" customHeight="1">
      <c r="A803" s="61" t="str">
        <f t="shared" si="1"/>
        <v>FortalezaBelo HorizonteNavio</v>
      </c>
      <c r="B803" s="62" t="s">
        <v>37</v>
      </c>
      <c r="C803" s="62" t="s">
        <v>60</v>
      </c>
      <c r="D803" s="63" t="s">
        <v>57</v>
      </c>
      <c r="E803" s="64" t="s">
        <v>112</v>
      </c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5.75" customHeight="1">
      <c r="A804" s="61" t="str">
        <f t="shared" si="1"/>
        <v>FortalezaBrasíliaNavio</v>
      </c>
      <c r="B804" s="62" t="s">
        <v>37</v>
      </c>
      <c r="C804" s="62" t="s">
        <v>60</v>
      </c>
      <c r="D804" s="63" t="s">
        <v>58</v>
      </c>
      <c r="E804" s="64" t="s">
        <v>112</v>
      </c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5.75" customHeight="1">
      <c r="A805" s="61" t="str">
        <f t="shared" si="1"/>
        <v>FortalezaCampinasNavio</v>
      </c>
      <c r="B805" s="62" t="s">
        <v>37</v>
      </c>
      <c r="C805" s="62" t="s">
        <v>60</v>
      </c>
      <c r="D805" s="63" t="s">
        <v>77</v>
      </c>
      <c r="E805" s="64" t="s">
        <v>112</v>
      </c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5.75" customHeight="1">
      <c r="A806" s="61" t="str">
        <f t="shared" si="1"/>
        <v>FortalezaCampo GrandeNavio</v>
      </c>
      <c r="B806" s="62" t="s">
        <v>37</v>
      </c>
      <c r="C806" s="62" t="s">
        <v>60</v>
      </c>
      <c r="D806" s="63" t="s">
        <v>59</v>
      </c>
      <c r="E806" s="64" t="s">
        <v>112</v>
      </c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5.75" customHeight="1">
      <c r="A807" s="61" t="str">
        <f t="shared" si="1"/>
        <v>FortalezaCuiabáNavio</v>
      </c>
      <c r="B807" s="62" t="s">
        <v>37</v>
      </c>
      <c r="C807" s="62" t="s">
        <v>60</v>
      </c>
      <c r="D807" s="63" t="s">
        <v>29</v>
      </c>
      <c r="E807" s="64" t="s">
        <v>112</v>
      </c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5.75" customHeight="1">
      <c r="A808" s="61" t="str">
        <f t="shared" si="1"/>
        <v>FortalezaCuritibaNavio</v>
      </c>
      <c r="B808" s="62" t="s">
        <v>37</v>
      </c>
      <c r="C808" s="62" t="s">
        <v>60</v>
      </c>
      <c r="D808" s="63" t="s">
        <v>76</v>
      </c>
      <c r="E808" s="64">
        <v>5.0</v>
      </c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5.75" customHeight="1">
      <c r="A809" s="61" t="str">
        <f t="shared" si="1"/>
        <v>FortalezaFortalezaNavio</v>
      </c>
      <c r="B809" s="62" t="s">
        <v>37</v>
      </c>
      <c r="C809" s="62" t="s">
        <v>60</v>
      </c>
      <c r="D809" s="63" t="s">
        <v>60</v>
      </c>
      <c r="E809" s="64">
        <v>0.0</v>
      </c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5.75" customHeight="1">
      <c r="A810" s="61" t="str">
        <f t="shared" si="1"/>
        <v>FortalezaGoiâniaNavio</v>
      </c>
      <c r="B810" s="62" t="s">
        <v>37</v>
      </c>
      <c r="C810" s="62" t="s">
        <v>60</v>
      </c>
      <c r="D810" s="63" t="s">
        <v>61</v>
      </c>
      <c r="E810" s="64" t="s">
        <v>112</v>
      </c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5.75" customHeight="1">
      <c r="A811" s="61" t="str">
        <f t="shared" si="1"/>
        <v>FortalezaJoão PessoaNavio</v>
      </c>
      <c r="B811" s="62" t="s">
        <v>37</v>
      </c>
      <c r="C811" s="62" t="s">
        <v>60</v>
      </c>
      <c r="D811" s="63" t="s">
        <v>62</v>
      </c>
      <c r="E811" s="64">
        <v>1.0</v>
      </c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5.75" customHeight="1">
      <c r="A812" s="61" t="str">
        <f t="shared" si="1"/>
        <v>FortalezaJoinvilleNavio</v>
      </c>
      <c r="B812" s="62" t="s">
        <v>37</v>
      </c>
      <c r="C812" s="62" t="s">
        <v>60</v>
      </c>
      <c r="D812" s="63" t="s">
        <v>28</v>
      </c>
      <c r="E812" s="64">
        <v>5.0</v>
      </c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5.75" customHeight="1">
      <c r="A813" s="61" t="str">
        <f t="shared" si="1"/>
        <v>FortalezaMaceióNavio</v>
      </c>
      <c r="B813" s="62" t="s">
        <v>37</v>
      </c>
      <c r="C813" s="62" t="s">
        <v>60</v>
      </c>
      <c r="D813" s="63" t="s">
        <v>63</v>
      </c>
      <c r="E813" s="64">
        <v>1.0</v>
      </c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5.75" customHeight="1">
      <c r="A814" s="61" t="str">
        <f t="shared" si="1"/>
        <v>FortalezaManausNavio</v>
      </c>
      <c r="B814" s="62" t="s">
        <v>37</v>
      </c>
      <c r="C814" s="62" t="s">
        <v>60</v>
      </c>
      <c r="D814" s="63" t="s">
        <v>23</v>
      </c>
      <c r="E814" s="64">
        <v>4.0</v>
      </c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5.75" customHeight="1">
      <c r="A815" s="61" t="str">
        <f t="shared" si="1"/>
        <v>FortalezaNatalNavio</v>
      </c>
      <c r="B815" s="62" t="s">
        <v>37</v>
      </c>
      <c r="C815" s="62" t="s">
        <v>60</v>
      </c>
      <c r="D815" s="63" t="s">
        <v>64</v>
      </c>
      <c r="E815" s="64">
        <v>1.0</v>
      </c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5.75" customHeight="1">
      <c r="A816" s="61" t="str">
        <f t="shared" si="1"/>
        <v>FortalezaPorto AlegreNavio</v>
      </c>
      <c r="B816" s="62" t="s">
        <v>37</v>
      </c>
      <c r="C816" s="62" t="s">
        <v>60</v>
      </c>
      <c r="D816" s="63" t="s">
        <v>31</v>
      </c>
      <c r="E816" s="64">
        <v>6.0</v>
      </c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5.75" customHeight="1">
      <c r="A817" s="61" t="str">
        <f t="shared" si="1"/>
        <v>FortalezaRecifeNavio</v>
      </c>
      <c r="B817" s="62" t="s">
        <v>37</v>
      </c>
      <c r="C817" s="62" t="s">
        <v>60</v>
      </c>
      <c r="D817" s="63" t="s">
        <v>65</v>
      </c>
      <c r="E817" s="64">
        <v>1.0</v>
      </c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5.75" customHeight="1">
      <c r="A818" s="61" t="str">
        <f t="shared" si="1"/>
        <v>FortalezaRibeirão PretoNavio</v>
      </c>
      <c r="B818" s="62" t="s">
        <v>37</v>
      </c>
      <c r="C818" s="62" t="s">
        <v>60</v>
      </c>
      <c r="D818" s="63" t="s">
        <v>78</v>
      </c>
      <c r="E818" s="64" t="s">
        <v>112</v>
      </c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5.75" customHeight="1">
      <c r="A819" s="61" t="str">
        <f t="shared" si="1"/>
        <v>FortalezaRio de JaneiroNavio</v>
      </c>
      <c r="B819" s="62" t="s">
        <v>37</v>
      </c>
      <c r="C819" s="62" t="s">
        <v>60</v>
      </c>
      <c r="D819" s="63" t="s">
        <v>66</v>
      </c>
      <c r="E819" s="64">
        <v>4.0</v>
      </c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5.75" customHeight="1">
      <c r="A820" s="61" t="str">
        <f t="shared" si="1"/>
        <v>FortalezaSalvadorNavio</v>
      </c>
      <c r="B820" s="62" t="s">
        <v>37</v>
      </c>
      <c r="C820" s="62" t="s">
        <v>60</v>
      </c>
      <c r="D820" s="63" t="s">
        <v>67</v>
      </c>
      <c r="E820" s="64" t="s">
        <v>112</v>
      </c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5.75" customHeight="1">
      <c r="A821" s="61" t="str">
        <f t="shared" si="1"/>
        <v>FortalezaSantosNavio</v>
      </c>
      <c r="B821" s="62" t="s">
        <v>37</v>
      </c>
      <c r="C821" s="62" t="s">
        <v>60</v>
      </c>
      <c r="D821" s="63" t="s">
        <v>38</v>
      </c>
      <c r="E821" s="64">
        <v>4.0</v>
      </c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5.75" customHeight="1">
      <c r="A822" s="61" t="str">
        <f t="shared" si="1"/>
        <v>FortalezaSão LuísNavio</v>
      </c>
      <c r="B822" s="62" t="s">
        <v>37</v>
      </c>
      <c r="C822" s="62" t="s">
        <v>60</v>
      </c>
      <c r="D822" s="63" t="s">
        <v>36</v>
      </c>
      <c r="E822" s="64">
        <v>1.0</v>
      </c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5.75" customHeight="1">
      <c r="A823" s="61" t="str">
        <f t="shared" si="1"/>
        <v>FortalezaSão PauloNavio</v>
      </c>
      <c r="B823" s="62" t="s">
        <v>37</v>
      </c>
      <c r="C823" s="62" t="s">
        <v>60</v>
      </c>
      <c r="D823" s="63" t="s">
        <v>75</v>
      </c>
      <c r="E823" s="64" t="s">
        <v>112</v>
      </c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5.75" customHeight="1">
      <c r="A824" s="61" t="str">
        <f t="shared" si="1"/>
        <v>FortalezaUberlândiaNavio</v>
      </c>
      <c r="B824" s="62" t="s">
        <v>37</v>
      </c>
      <c r="C824" s="62" t="s">
        <v>60</v>
      </c>
      <c r="D824" s="63" t="s">
        <v>68</v>
      </c>
      <c r="E824" s="64" t="s">
        <v>112</v>
      </c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5.75" customHeight="1">
      <c r="A825" s="61" t="str">
        <f t="shared" si="1"/>
        <v>FortalezaVitóriaNavio</v>
      </c>
      <c r="B825" s="62" t="s">
        <v>37</v>
      </c>
      <c r="C825" s="62" t="s">
        <v>60</v>
      </c>
      <c r="D825" s="63" t="s">
        <v>69</v>
      </c>
      <c r="E825" s="64">
        <v>3.0</v>
      </c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5.75" customHeight="1">
      <c r="A826" s="61" t="str">
        <f t="shared" si="1"/>
        <v>FortalezaVitória da ConquistaNavio</v>
      </c>
      <c r="B826" s="62" t="s">
        <v>37</v>
      </c>
      <c r="C826" s="62" t="s">
        <v>60</v>
      </c>
      <c r="D826" s="63" t="s">
        <v>52</v>
      </c>
      <c r="E826" s="64" t="s">
        <v>112</v>
      </c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5.75" customHeight="1">
      <c r="A827" s="61" t="str">
        <f t="shared" si="1"/>
        <v>GoiâniaBelémNavio</v>
      </c>
      <c r="B827" s="62" t="s">
        <v>37</v>
      </c>
      <c r="C827" s="63" t="s">
        <v>61</v>
      </c>
      <c r="D827" s="63" t="s">
        <v>51</v>
      </c>
      <c r="E827" s="64" t="s">
        <v>112</v>
      </c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5.75" customHeight="1">
      <c r="A828" s="61" t="str">
        <f t="shared" si="1"/>
        <v>GoiâniaBelo HorizonteNavio</v>
      </c>
      <c r="B828" s="62" t="s">
        <v>37</v>
      </c>
      <c r="C828" s="63" t="s">
        <v>61</v>
      </c>
      <c r="D828" s="63" t="s">
        <v>57</v>
      </c>
      <c r="E828" s="64" t="s">
        <v>112</v>
      </c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5.75" customHeight="1">
      <c r="A829" s="61" t="str">
        <f t="shared" si="1"/>
        <v>GoiâniaBrasíliaNavio</v>
      </c>
      <c r="B829" s="62" t="s">
        <v>37</v>
      </c>
      <c r="C829" s="63" t="s">
        <v>61</v>
      </c>
      <c r="D829" s="63" t="s">
        <v>58</v>
      </c>
      <c r="E829" s="64" t="s">
        <v>112</v>
      </c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5.75" customHeight="1">
      <c r="A830" s="61" t="str">
        <f t="shared" si="1"/>
        <v>GoiâniaCampinasNavio</v>
      </c>
      <c r="B830" s="62" t="s">
        <v>37</v>
      </c>
      <c r="C830" s="63" t="s">
        <v>61</v>
      </c>
      <c r="D830" s="63" t="s">
        <v>77</v>
      </c>
      <c r="E830" s="64" t="s">
        <v>112</v>
      </c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5.75" customHeight="1">
      <c r="A831" s="61" t="str">
        <f t="shared" si="1"/>
        <v>GoiâniaCampo GrandeNavio</v>
      </c>
      <c r="B831" s="62" t="s">
        <v>37</v>
      </c>
      <c r="C831" s="63" t="s">
        <v>61</v>
      </c>
      <c r="D831" s="63" t="s">
        <v>59</v>
      </c>
      <c r="E831" s="64" t="s">
        <v>112</v>
      </c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5.75" customHeight="1">
      <c r="A832" s="61" t="str">
        <f t="shared" si="1"/>
        <v>GoiâniaCuiabáNavio</v>
      </c>
      <c r="B832" s="62" t="s">
        <v>37</v>
      </c>
      <c r="C832" s="63" t="s">
        <v>61</v>
      </c>
      <c r="D832" s="63" t="s">
        <v>29</v>
      </c>
      <c r="E832" s="64" t="s">
        <v>112</v>
      </c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5.75" customHeight="1">
      <c r="A833" s="61" t="str">
        <f t="shared" si="1"/>
        <v>GoiâniaCuritibaNavio</v>
      </c>
      <c r="B833" s="62" t="s">
        <v>37</v>
      </c>
      <c r="C833" s="63" t="s">
        <v>61</v>
      </c>
      <c r="D833" s="63" t="s">
        <v>76</v>
      </c>
      <c r="E833" s="64" t="s">
        <v>112</v>
      </c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5.75" customHeight="1">
      <c r="A834" s="61" t="str">
        <f t="shared" si="1"/>
        <v>GoiâniaFortalezaNavio</v>
      </c>
      <c r="B834" s="62" t="s">
        <v>37</v>
      </c>
      <c r="C834" s="63" t="s">
        <v>61</v>
      </c>
      <c r="D834" s="63" t="s">
        <v>60</v>
      </c>
      <c r="E834" s="64" t="s">
        <v>112</v>
      </c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5.75" customHeight="1">
      <c r="A835" s="61" t="str">
        <f t="shared" si="1"/>
        <v>GoiâniaGoiâniaNavio</v>
      </c>
      <c r="B835" s="62" t="s">
        <v>37</v>
      </c>
      <c r="C835" s="63" t="s">
        <v>61</v>
      </c>
      <c r="D835" s="63" t="s">
        <v>61</v>
      </c>
      <c r="E835" s="64" t="s">
        <v>112</v>
      </c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5.75" customHeight="1">
      <c r="A836" s="61" t="str">
        <f t="shared" si="1"/>
        <v>GoiâniaJoão PessoaNavio</v>
      </c>
      <c r="B836" s="62" t="s">
        <v>37</v>
      </c>
      <c r="C836" s="63" t="s">
        <v>61</v>
      </c>
      <c r="D836" s="63" t="s">
        <v>62</v>
      </c>
      <c r="E836" s="64" t="s">
        <v>112</v>
      </c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5.75" customHeight="1">
      <c r="A837" s="61" t="str">
        <f t="shared" si="1"/>
        <v>GoiâniaJoinvilleNavio</v>
      </c>
      <c r="B837" s="62" t="s">
        <v>37</v>
      </c>
      <c r="C837" s="63" t="s">
        <v>61</v>
      </c>
      <c r="D837" s="63" t="s">
        <v>28</v>
      </c>
      <c r="E837" s="64" t="s">
        <v>112</v>
      </c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5.75" customHeight="1">
      <c r="A838" s="61" t="str">
        <f t="shared" si="1"/>
        <v>GoiâniaMaceióNavio</v>
      </c>
      <c r="B838" s="62" t="s">
        <v>37</v>
      </c>
      <c r="C838" s="63" t="s">
        <v>61</v>
      </c>
      <c r="D838" s="63" t="s">
        <v>63</v>
      </c>
      <c r="E838" s="64" t="s">
        <v>112</v>
      </c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5.75" customHeight="1">
      <c r="A839" s="61" t="str">
        <f t="shared" si="1"/>
        <v>GoiâniaManausNavio</v>
      </c>
      <c r="B839" s="62" t="s">
        <v>37</v>
      </c>
      <c r="C839" s="63" t="s">
        <v>61</v>
      </c>
      <c r="D839" s="63" t="s">
        <v>23</v>
      </c>
      <c r="E839" s="64" t="s">
        <v>112</v>
      </c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5.75" customHeight="1">
      <c r="A840" s="61" t="str">
        <f t="shared" si="1"/>
        <v>GoiâniaNatalNavio</v>
      </c>
      <c r="B840" s="62" t="s">
        <v>37</v>
      </c>
      <c r="C840" s="63" t="s">
        <v>61</v>
      </c>
      <c r="D840" s="63" t="s">
        <v>64</v>
      </c>
      <c r="E840" s="64" t="s">
        <v>112</v>
      </c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5.75" customHeight="1">
      <c r="A841" s="61" t="str">
        <f t="shared" si="1"/>
        <v>GoiâniaPorto AlegreNavio</v>
      </c>
      <c r="B841" s="62" t="s">
        <v>37</v>
      </c>
      <c r="C841" s="63" t="s">
        <v>61</v>
      </c>
      <c r="D841" s="63" t="s">
        <v>31</v>
      </c>
      <c r="E841" s="64" t="s">
        <v>112</v>
      </c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5.75" customHeight="1">
      <c r="A842" s="61" t="str">
        <f t="shared" si="1"/>
        <v>GoiâniaRecifeNavio</v>
      </c>
      <c r="B842" s="62" t="s">
        <v>37</v>
      </c>
      <c r="C842" s="63" t="s">
        <v>61</v>
      </c>
      <c r="D842" s="63" t="s">
        <v>65</v>
      </c>
      <c r="E842" s="64" t="s">
        <v>112</v>
      </c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5.75" customHeight="1">
      <c r="A843" s="61" t="str">
        <f t="shared" si="1"/>
        <v>GoiâniaRibeirão PretoNavio</v>
      </c>
      <c r="B843" s="62" t="s">
        <v>37</v>
      </c>
      <c r="C843" s="63" t="s">
        <v>61</v>
      </c>
      <c r="D843" s="63" t="s">
        <v>78</v>
      </c>
      <c r="E843" s="64" t="s">
        <v>112</v>
      </c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5.75" customHeight="1">
      <c r="A844" s="61" t="str">
        <f t="shared" si="1"/>
        <v>GoiâniaRio de JaneiroNavio</v>
      </c>
      <c r="B844" s="62" t="s">
        <v>37</v>
      </c>
      <c r="C844" s="63" t="s">
        <v>61</v>
      </c>
      <c r="D844" s="63" t="s">
        <v>66</v>
      </c>
      <c r="E844" s="64" t="s">
        <v>112</v>
      </c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5.75" customHeight="1">
      <c r="A845" s="61" t="str">
        <f t="shared" si="1"/>
        <v>GoiâniaSalvadorNavio</v>
      </c>
      <c r="B845" s="62" t="s">
        <v>37</v>
      </c>
      <c r="C845" s="63" t="s">
        <v>61</v>
      </c>
      <c r="D845" s="63" t="s">
        <v>67</v>
      </c>
      <c r="E845" s="64" t="s">
        <v>112</v>
      </c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5.75" customHeight="1">
      <c r="A846" s="61" t="str">
        <f t="shared" si="1"/>
        <v>GoiâniaSantosNavio</v>
      </c>
      <c r="B846" s="62" t="s">
        <v>37</v>
      </c>
      <c r="C846" s="63" t="s">
        <v>61</v>
      </c>
      <c r="D846" s="63" t="s">
        <v>38</v>
      </c>
      <c r="E846" s="64" t="s">
        <v>112</v>
      </c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5.75" customHeight="1">
      <c r="A847" s="61" t="str">
        <f t="shared" si="1"/>
        <v>GoiâniaSão LuísNavio</v>
      </c>
      <c r="B847" s="62" t="s">
        <v>37</v>
      </c>
      <c r="C847" s="63" t="s">
        <v>61</v>
      </c>
      <c r="D847" s="63" t="s">
        <v>36</v>
      </c>
      <c r="E847" s="64" t="s">
        <v>112</v>
      </c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5.75" customHeight="1">
      <c r="A848" s="61" t="str">
        <f t="shared" si="1"/>
        <v>GoiâniaSão PauloNavio</v>
      </c>
      <c r="B848" s="62" t="s">
        <v>37</v>
      </c>
      <c r="C848" s="63" t="s">
        <v>61</v>
      </c>
      <c r="D848" s="63" t="s">
        <v>75</v>
      </c>
      <c r="E848" s="64" t="s">
        <v>112</v>
      </c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5.75" customHeight="1">
      <c r="A849" s="61" t="str">
        <f t="shared" si="1"/>
        <v>GoiâniaUberlândiaNavio</v>
      </c>
      <c r="B849" s="62" t="s">
        <v>37</v>
      </c>
      <c r="C849" s="63" t="s">
        <v>61</v>
      </c>
      <c r="D849" s="63" t="s">
        <v>68</v>
      </c>
      <c r="E849" s="64" t="s">
        <v>112</v>
      </c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5.75" customHeight="1">
      <c r="A850" s="61" t="str">
        <f t="shared" si="1"/>
        <v>GoiâniaVitóriaNavio</v>
      </c>
      <c r="B850" s="62" t="s">
        <v>37</v>
      </c>
      <c r="C850" s="63" t="s">
        <v>61</v>
      </c>
      <c r="D850" s="63" t="s">
        <v>69</v>
      </c>
      <c r="E850" s="64" t="s">
        <v>112</v>
      </c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5.75" customHeight="1">
      <c r="A851" s="61" t="str">
        <f t="shared" si="1"/>
        <v>GoiâniaVitória da ConquistaNavio</v>
      </c>
      <c r="B851" s="62" t="s">
        <v>37</v>
      </c>
      <c r="C851" s="63" t="s">
        <v>61</v>
      </c>
      <c r="D851" s="63" t="s">
        <v>52</v>
      </c>
      <c r="E851" s="64" t="s">
        <v>112</v>
      </c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5.75" customHeight="1">
      <c r="A852" s="61" t="str">
        <f t="shared" si="1"/>
        <v>João PessoaBelémNavio</v>
      </c>
      <c r="B852" s="62" t="s">
        <v>37</v>
      </c>
      <c r="C852" s="63" t="s">
        <v>62</v>
      </c>
      <c r="D852" s="63" t="s">
        <v>51</v>
      </c>
      <c r="E852" s="64">
        <v>3.0</v>
      </c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5.75" customHeight="1">
      <c r="A853" s="61" t="str">
        <f t="shared" si="1"/>
        <v>João PessoaBelo HorizonteNavio</v>
      </c>
      <c r="B853" s="62" t="s">
        <v>37</v>
      </c>
      <c r="C853" s="63" t="s">
        <v>62</v>
      </c>
      <c r="D853" s="63" t="s">
        <v>57</v>
      </c>
      <c r="E853" s="64" t="s">
        <v>112</v>
      </c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5.75" customHeight="1">
      <c r="A854" s="61" t="str">
        <f t="shared" si="1"/>
        <v>João PessoaBrasíliaNavio</v>
      </c>
      <c r="B854" s="62" t="s">
        <v>37</v>
      </c>
      <c r="C854" s="63" t="s">
        <v>62</v>
      </c>
      <c r="D854" s="63" t="s">
        <v>58</v>
      </c>
      <c r="E854" s="64" t="s">
        <v>112</v>
      </c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5.75" customHeight="1">
      <c r="A855" s="61" t="str">
        <f t="shared" si="1"/>
        <v>João PessoaCampinasNavio</v>
      </c>
      <c r="B855" s="62" t="s">
        <v>37</v>
      </c>
      <c r="C855" s="63" t="s">
        <v>62</v>
      </c>
      <c r="D855" s="63" t="s">
        <v>77</v>
      </c>
      <c r="E855" s="64" t="s">
        <v>112</v>
      </c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5.75" customHeight="1">
      <c r="A856" s="61" t="str">
        <f t="shared" si="1"/>
        <v>João PessoaCampo GrandeNavio</v>
      </c>
      <c r="B856" s="62" t="s">
        <v>37</v>
      </c>
      <c r="C856" s="63" t="s">
        <v>62</v>
      </c>
      <c r="D856" s="63" t="s">
        <v>59</v>
      </c>
      <c r="E856" s="64" t="s">
        <v>112</v>
      </c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5.75" customHeight="1">
      <c r="A857" s="61" t="str">
        <f t="shared" si="1"/>
        <v>João PessoaCuiabáNavio</v>
      </c>
      <c r="B857" s="62" t="s">
        <v>37</v>
      </c>
      <c r="C857" s="63" t="s">
        <v>62</v>
      </c>
      <c r="D857" s="63" t="s">
        <v>29</v>
      </c>
      <c r="E857" s="64" t="s">
        <v>112</v>
      </c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5.75" customHeight="1">
      <c r="A858" s="61" t="str">
        <f t="shared" si="1"/>
        <v>João PessoaCuritibaNavio</v>
      </c>
      <c r="B858" s="62" t="s">
        <v>37</v>
      </c>
      <c r="C858" s="63" t="s">
        <v>62</v>
      </c>
      <c r="D858" s="63" t="s">
        <v>76</v>
      </c>
      <c r="E858" s="64" t="s">
        <v>112</v>
      </c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5.75" customHeight="1">
      <c r="A859" s="61" t="str">
        <f t="shared" si="1"/>
        <v>João PessoaFortalezaNavio</v>
      </c>
      <c r="B859" s="62" t="s">
        <v>37</v>
      </c>
      <c r="C859" s="63" t="s">
        <v>62</v>
      </c>
      <c r="D859" s="63" t="s">
        <v>60</v>
      </c>
      <c r="E859" s="64">
        <v>1.0</v>
      </c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5.75" customHeight="1">
      <c r="A860" s="61" t="str">
        <f t="shared" si="1"/>
        <v>João PessoaGoiâniaNavio</v>
      </c>
      <c r="B860" s="62" t="s">
        <v>37</v>
      </c>
      <c r="C860" s="63" t="s">
        <v>62</v>
      </c>
      <c r="D860" s="63" t="s">
        <v>61</v>
      </c>
      <c r="E860" s="64" t="s">
        <v>112</v>
      </c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5.75" customHeight="1">
      <c r="A861" s="61" t="str">
        <f t="shared" si="1"/>
        <v>João PessoaJoão PessoaNavio</v>
      </c>
      <c r="B861" s="62" t="s">
        <v>37</v>
      </c>
      <c r="C861" s="63" t="s">
        <v>62</v>
      </c>
      <c r="D861" s="63" t="s">
        <v>62</v>
      </c>
      <c r="E861" s="64">
        <v>0.0</v>
      </c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5.75" customHeight="1">
      <c r="A862" s="61" t="str">
        <f t="shared" si="1"/>
        <v>João PessoaJoinvilleNavio</v>
      </c>
      <c r="B862" s="62" t="s">
        <v>37</v>
      </c>
      <c r="C862" s="63" t="s">
        <v>62</v>
      </c>
      <c r="D862" s="63" t="s">
        <v>28</v>
      </c>
      <c r="E862" s="64" t="s">
        <v>112</v>
      </c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5.75" customHeight="1">
      <c r="A863" s="61" t="str">
        <f t="shared" si="1"/>
        <v>João PessoaMaceióNavio</v>
      </c>
      <c r="B863" s="62" t="s">
        <v>37</v>
      </c>
      <c r="C863" s="63" t="s">
        <v>62</v>
      </c>
      <c r="D863" s="63" t="s">
        <v>63</v>
      </c>
      <c r="E863" s="64" t="s">
        <v>112</v>
      </c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5.75" customHeight="1">
      <c r="A864" s="61" t="str">
        <f t="shared" si="1"/>
        <v>João PessoaManausNavio</v>
      </c>
      <c r="B864" s="62" t="s">
        <v>37</v>
      </c>
      <c r="C864" s="63" t="s">
        <v>62</v>
      </c>
      <c r="D864" s="63" t="s">
        <v>23</v>
      </c>
      <c r="E864" s="64">
        <v>5.0</v>
      </c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5.75" customHeight="1">
      <c r="A865" s="61" t="str">
        <f t="shared" si="1"/>
        <v>João PessoaNatalNavio</v>
      </c>
      <c r="B865" s="62" t="s">
        <v>37</v>
      </c>
      <c r="C865" s="63" t="s">
        <v>62</v>
      </c>
      <c r="D865" s="63" t="s">
        <v>64</v>
      </c>
      <c r="E865" s="64">
        <v>0.0</v>
      </c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5.75" customHeight="1">
      <c r="A866" s="61" t="str">
        <f t="shared" si="1"/>
        <v>João PessoaPorto AlegreNavio</v>
      </c>
      <c r="B866" s="62" t="s">
        <v>37</v>
      </c>
      <c r="C866" s="63" t="s">
        <v>62</v>
      </c>
      <c r="D866" s="63" t="s">
        <v>31</v>
      </c>
      <c r="E866" s="64" t="s">
        <v>112</v>
      </c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5.75" customHeight="1">
      <c r="A867" s="61" t="str">
        <f t="shared" si="1"/>
        <v>João PessoaRecifeNavio</v>
      </c>
      <c r="B867" s="62" t="s">
        <v>37</v>
      </c>
      <c r="C867" s="63" t="s">
        <v>62</v>
      </c>
      <c r="D867" s="63" t="s">
        <v>65</v>
      </c>
      <c r="E867" s="64" t="s">
        <v>112</v>
      </c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5.75" customHeight="1">
      <c r="A868" s="61" t="str">
        <f t="shared" si="1"/>
        <v>João PessoaRibeirão PretoNavio</v>
      </c>
      <c r="B868" s="62" t="s">
        <v>37</v>
      </c>
      <c r="C868" s="63" t="s">
        <v>62</v>
      </c>
      <c r="D868" s="63" t="s">
        <v>78</v>
      </c>
      <c r="E868" s="64" t="s">
        <v>112</v>
      </c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5.75" customHeight="1">
      <c r="A869" s="61" t="str">
        <f t="shared" si="1"/>
        <v>João PessoaRio de JaneiroNavio</v>
      </c>
      <c r="B869" s="62" t="s">
        <v>37</v>
      </c>
      <c r="C869" s="63" t="s">
        <v>62</v>
      </c>
      <c r="D869" s="63" t="s">
        <v>66</v>
      </c>
      <c r="E869" s="64">
        <v>3.0</v>
      </c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5.75" customHeight="1">
      <c r="A870" s="61" t="str">
        <f t="shared" si="1"/>
        <v>João PessoaSalvadorNavio</v>
      </c>
      <c r="B870" s="62" t="s">
        <v>37</v>
      </c>
      <c r="C870" s="63" t="s">
        <v>62</v>
      </c>
      <c r="D870" s="63" t="s">
        <v>67</v>
      </c>
      <c r="E870" s="64" t="s">
        <v>112</v>
      </c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5.75" customHeight="1">
      <c r="A871" s="61" t="str">
        <f t="shared" si="1"/>
        <v>João PessoaSantosNavio</v>
      </c>
      <c r="B871" s="62" t="s">
        <v>37</v>
      </c>
      <c r="C871" s="63" t="s">
        <v>62</v>
      </c>
      <c r="D871" s="63" t="s">
        <v>38</v>
      </c>
      <c r="E871" s="64" t="s">
        <v>112</v>
      </c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5.75" customHeight="1">
      <c r="A872" s="61" t="str">
        <f t="shared" si="1"/>
        <v>João PessoaSão LuísNavio</v>
      </c>
      <c r="B872" s="62" t="s">
        <v>37</v>
      </c>
      <c r="C872" s="63" t="s">
        <v>62</v>
      </c>
      <c r="D872" s="63" t="s">
        <v>36</v>
      </c>
      <c r="E872" s="64">
        <v>2.0</v>
      </c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5.75" customHeight="1">
      <c r="A873" s="61" t="str">
        <f t="shared" si="1"/>
        <v>João PessoaSão PauloNavio</v>
      </c>
      <c r="B873" s="62" t="s">
        <v>37</v>
      </c>
      <c r="C873" s="63" t="s">
        <v>62</v>
      </c>
      <c r="D873" s="63" t="s">
        <v>75</v>
      </c>
      <c r="E873" s="64" t="s">
        <v>112</v>
      </c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5.75" customHeight="1">
      <c r="A874" s="61" t="str">
        <f t="shared" si="1"/>
        <v>João PessoaUberlândiaNavio</v>
      </c>
      <c r="B874" s="62" t="s">
        <v>37</v>
      </c>
      <c r="C874" s="63" t="s">
        <v>62</v>
      </c>
      <c r="D874" s="63" t="s">
        <v>68</v>
      </c>
      <c r="E874" s="64" t="s">
        <v>112</v>
      </c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5.75" customHeight="1">
      <c r="A875" s="61" t="str">
        <f t="shared" si="1"/>
        <v>João PessoaVitóriaNavio</v>
      </c>
      <c r="B875" s="62" t="s">
        <v>37</v>
      </c>
      <c r="C875" s="63" t="s">
        <v>62</v>
      </c>
      <c r="D875" s="63" t="s">
        <v>69</v>
      </c>
      <c r="E875" s="64" t="s">
        <v>112</v>
      </c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5.75" customHeight="1">
      <c r="A876" s="61" t="str">
        <f t="shared" si="1"/>
        <v>João PessoaVitória da ConquistaNavio</v>
      </c>
      <c r="B876" s="62" t="s">
        <v>37</v>
      </c>
      <c r="C876" s="63" t="s">
        <v>62</v>
      </c>
      <c r="D876" s="63" t="s">
        <v>52</v>
      </c>
      <c r="E876" s="64" t="s">
        <v>112</v>
      </c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5.75" customHeight="1">
      <c r="A877" s="61" t="str">
        <f t="shared" si="1"/>
        <v>JoinvilleBelémNavio</v>
      </c>
      <c r="B877" s="62" t="s">
        <v>37</v>
      </c>
      <c r="C877" s="62" t="s">
        <v>28</v>
      </c>
      <c r="D877" s="63" t="s">
        <v>51</v>
      </c>
      <c r="E877" s="64">
        <v>7.0</v>
      </c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5.75" customHeight="1">
      <c r="A878" s="61" t="str">
        <f t="shared" si="1"/>
        <v>JoinvilleBelo HorizonteNavio</v>
      </c>
      <c r="B878" s="62" t="s">
        <v>37</v>
      </c>
      <c r="C878" s="62" t="s">
        <v>28</v>
      </c>
      <c r="D878" s="63" t="s">
        <v>57</v>
      </c>
      <c r="E878" s="64" t="s">
        <v>112</v>
      </c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5.75" customHeight="1">
      <c r="A879" s="61" t="str">
        <f t="shared" si="1"/>
        <v>JoinvilleBrasíliaNavio</v>
      </c>
      <c r="B879" s="62" t="s">
        <v>37</v>
      </c>
      <c r="C879" s="62" t="s">
        <v>28</v>
      </c>
      <c r="D879" s="63" t="s">
        <v>58</v>
      </c>
      <c r="E879" s="64" t="s">
        <v>112</v>
      </c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5.75" customHeight="1">
      <c r="A880" s="61" t="str">
        <f t="shared" si="1"/>
        <v>JoinvilleCampinasNavio</v>
      </c>
      <c r="B880" s="62" t="s">
        <v>37</v>
      </c>
      <c r="C880" s="62" t="s">
        <v>28</v>
      </c>
      <c r="D880" s="63" t="s">
        <v>77</v>
      </c>
      <c r="E880" s="64" t="s">
        <v>112</v>
      </c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5.75" customHeight="1">
      <c r="A881" s="61" t="str">
        <f t="shared" si="1"/>
        <v>JoinvilleCampo GrandeNavio</v>
      </c>
      <c r="B881" s="62" t="s">
        <v>37</v>
      </c>
      <c r="C881" s="62" t="s">
        <v>28</v>
      </c>
      <c r="D881" s="63" t="s">
        <v>59</v>
      </c>
      <c r="E881" s="64" t="s">
        <v>112</v>
      </c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5.75" customHeight="1">
      <c r="A882" s="61" t="str">
        <f t="shared" si="1"/>
        <v>JoinvilleCuiabáNavio</v>
      </c>
      <c r="B882" s="62" t="s">
        <v>37</v>
      </c>
      <c r="C882" s="62" t="s">
        <v>28</v>
      </c>
      <c r="D882" s="63" t="s">
        <v>29</v>
      </c>
      <c r="E882" s="64" t="s">
        <v>112</v>
      </c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5.75" customHeight="1">
      <c r="A883" s="61" t="str">
        <f t="shared" si="1"/>
        <v>JoinvilleCuritibaNavio</v>
      </c>
      <c r="B883" s="62" t="s">
        <v>37</v>
      </c>
      <c r="C883" s="62" t="s">
        <v>28</v>
      </c>
      <c r="D883" s="63" t="s">
        <v>76</v>
      </c>
      <c r="E883" s="64" t="s">
        <v>112</v>
      </c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5.75" customHeight="1">
      <c r="A884" s="61" t="str">
        <f t="shared" si="1"/>
        <v>JoinvilleFortalezaNavio</v>
      </c>
      <c r="B884" s="62" t="s">
        <v>37</v>
      </c>
      <c r="C884" s="62" t="s">
        <v>28</v>
      </c>
      <c r="D884" s="63" t="s">
        <v>60</v>
      </c>
      <c r="E884" s="64">
        <v>5.0</v>
      </c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5.75" customHeight="1">
      <c r="A885" s="61" t="str">
        <f t="shared" si="1"/>
        <v>JoinvilleGoiâniaNavio</v>
      </c>
      <c r="B885" s="62" t="s">
        <v>37</v>
      </c>
      <c r="C885" s="62" t="s">
        <v>28</v>
      </c>
      <c r="D885" s="63" t="s">
        <v>61</v>
      </c>
      <c r="E885" s="64" t="s">
        <v>112</v>
      </c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5.75" customHeight="1">
      <c r="A886" s="61" t="str">
        <f t="shared" si="1"/>
        <v>JoinvilleJoão PessoaNavio</v>
      </c>
      <c r="B886" s="62" t="s">
        <v>37</v>
      </c>
      <c r="C886" s="62" t="s">
        <v>28</v>
      </c>
      <c r="D886" s="63" t="s">
        <v>62</v>
      </c>
      <c r="E886" s="64" t="s">
        <v>112</v>
      </c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5.75" customHeight="1">
      <c r="A887" s="61" t="str">
        <f t="shared" si="1"/>
        <v>JoinvilleJoinvilleNavio</v>
      </c>
      <c r="B887" s="62" t="s">
        <v>37</v>
      </c>
      <c r="C887" s="62" t="s">
        <v>28</v>
      </c>
      <c r="D887" s="63" t="s">
        <v>28</v>
      </c>
      <c r="E887" s="64">
        <v>0.0</v>
      </c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5.75" customHeight="1">
      <c r="A888" s="61" t="str">
        <f t="shared" si="1"/>
        <v>JoinvilleMaceióNavio</v>
      </c>
      <c r="B888" s="62" t="s">
        <v>37</v>
      </c>
      <c r="C888" s="62" t="s">
        <v>28</v>
      </c>
      <c r="D888" s="63" t="s">
        <v>63</v>
      </c>
      <c r="E888" s="64">
        <v>3.0</v>
      </c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5.75" customHeight="1">
      <c r="A889" s="61" t="str">
        <f t="shared" si="1"/>
        <v>JoinvilleManausNavio</v>
      </c>
      <c r="B889" s="62" t="s">
        <v>37</v>
      </c>
      <c r="C889" s="62" t="s">
        <v>28</v>
      </c>
      <c r="D889" s="63" t="s">
        <v>23</v>
      </c>
      <c r="E889" s="64">
        <v>9.0</v>
      </c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5.75" customHeight="1">
      <c r="A890" s="61" t="str">
        <f t="shared" si="1"/>
        <v>JoinvilleNatalNavio</v>
      </c>
      <c r="B890" s="62" t="s">
        <v>37</v>
      </c>
      <c r="C890" s="62" t="s">
        <v>28</v>
      </c>
      <c r="D890" s="63" t="s">
        <v>64</v>
      </c>
      <c r="E890" s="64">
        <v>4.0</v>
      </c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5.75" customHeight="1">
      <c r="A891" s="61" t="str">
        <f t="shared" si="1"/>
        <v>JoinvillePorto AlegreNavio</v>
      </c>
      <c r="B891" s="62" t="s">
        <v>37</v>
      </c>
      <c r="C891" s="62" t="s">
        <v>28</v>
      </c>
      <c r="D891" s="63" t="s">
        <v>31</v>
      </c>
      <c r="E891" s="64">
        <v>1.0</v>
      </c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5.75" customHeight="1">
      <c r="A892" s="61" t="str">
        <f t="shared" si="1"/>
        <v>JoinvilleRecifeNavio</v>
      </c>
      <c r="B892" s="62" t="s">
        <v>37</v>
      </c>
      <c r="C892" s="62" t="s">
        <v>28</v>
      </c>
      <c r="D892" s="63" t="s">
        <v>65</v>
      </c>
      <c r="E892" s="64">
        <v>4.0</v>
      </c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5.75" customHeight="1">
      <c r="A893" s="61" t="str">
        <f t="shared" si="1"/>
        <v>JoinvilleRibeirão PretoNavio</v>
      </c>
      <c r="B893" s="62" t="s">
        <v>37</v>
      </c>
      <c r="C893" s="62" t="s">
        <v>28</v>
      </c>
      <c r="D893" s="63" t="s">
        <v>78</v>
      </c>
      <c r="E893" s="64" t="s">
        <v>112</v>
      </c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5.75" customHeight="1">
      <c r="A894" s="61" t="str">
        <f t="shared" si="1"/>
        <v>JoinvilleRio de JaneiroNavio</v>
      </c>
      <c r="B894" s="62" t="s">
        <v>37</v>
      </c>
      <c r="C894" s="62" t="s">
        <v>28</v>
      </c>
      <c r="D894" s="63" t="s">
        <v>66</v>
      </c>
      <c r="E894" s="64">
        <v>1.0</v>
      </c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5.75" customHeight="1">
      <c r="A895" s="61" t="str">
        <f t="shared" si="1"/>
        <v>JoinvilleSalvadorNavio</v>
      </c>
      <c r="B895" s="62" t="s">
        <v>37</v>
      </c>
      <c r="C895" s="62" t="s">
        <v>28</v>
      </c>
      <c r="D895" s="63" t="s">
        <v>67</v>
      </c>
      <c r="E895" s="64">
        <v>3.0</v>
      </c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5.75" customHeight="1">
      <c r="A896" s="61" t="str">
        <f t="shared" si="1"/>
        <v>JoinvilleSantosNavio</v>
      </c>
      <c r="B896" s="62" t="s">
        <v>37</v>
      </c>
      <c r="C896" s="62" t="s">
        <v>28</v>
      </c>
      <c r="D896" s="63" t="s">
        <v>38</v>
      </c>
      <c r="E896" s="64">
        <v>1.0</v>
      </c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5.75" customHeight="1">
      <c r="A897" s="61" t="str">
        <f t="shared" si="1"/>
        <v>JoinvilleSão LuísNavio</v>
      </c>
      <c r="B897" s="62" t="s">
        <v>37</v>
      </c>
      <c r="C897" s="62" t="s">
        <v>28</v>
      </c>
      <c r="D897" s="63" t="s">
        <v>36</v>
      </c>
      <c r="E897" s="64">
        <v>6.0</v>
      </c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5.75" customHeight="1">
      <c r="A898" s="61" t="str">
        <f t="shared" si="1"/>
        <v>JoinvilleSão PauloNavio</v>
      </c>
      <c r="B898" s="62" t="s">
        <v>37</v>
      </c>
      <c r="C898" s="62" t="s">
        <v>28</v>
      </c>
      <c r="D898" s="63" t="s">
        <v>75</v>
      </c>
      <c r="E898" s="64" t="s">
        <v>112</v>
      </c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5.75" customHeight="1">
      <c r="A899" s="61" t="str">
        <f t="shared" si="1"/>
        <v>JoinvilleUberlândiaNavio</v>
      </c>
      <c r="B899" s="62" t="s">
        <v>37</v>
      </c>
      <c r="C899" s="62" t="s">
        <v>28</v>
      </c>
      <c r="D899" s="63" t="s">
        <v>68</v>
      </c>
      <c r="E899" s="64" t="s">
        <v>112</v>
      </c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5.75" customHeight="1">
      <c r="A900" s="61" t="str">
        <f t="shared" si="1"/>
        <v>JoinvilleVitóriaNavio</v>
      </c>
      <c r="B900" s="62" t="s">
        <v>37</v>
      </c>
      <c r="C900" s="62" t="s">
        <v>28</v>
      </c>
      <c r="D900" s="63" t="s">
        <v>69</v>
      </c>
      <c r="E900" s="64" t="s">
        <v>112</v>
      </c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5.75" customHeight="1">
      <c r="A901" s="61" t="str">
        <f t="shared" si="1"/>
        <v>JoinvilleVitória da ConquistaNavio</v>
      </c>
      <c r="B901" s="62" t="s">
        <v>37</v>
      </c>
      <c r="C901" s="62" t="s">
        <v>28</v>
      </c>
      <c r="D901" s="63" t="s">
        <v>52</v>
      </c>
      <c r="E901" s="64" t="s">
        <v>112</v>
      </c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5.75" customHeight="1">
      <c r="A902" s="61" t="str">
        <f t="shared" si="1"/>
        <v>MaceióBelémNavio</v>
      </c>
      <c r="B902" s="62" t="s">
        <v>37</v>
      </c>
      <c r="C902" s="63" t="s">
        <v>63</v>
      </c>
      <c r="D902" s="63" t="s">
        <v>51</v>
      </c>
      <c r="E902" s="64">
        <v>3.0</v>
      </c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5.75" customHeight="1">
      <c r="A903" s="61" t="str">
        <f t="shared" si="1"/>
        <v>MaceióBelo HorizonteNavio</v>
      </c>
      <c r="B903" s="62" t="s">
        <v>37</v>
      </c>
      <c r="C903" s="63" t="s">
        <v>63</v>
      </c>
      <c r="D903" s="63" t="s">
        <v>57</v>
      </c>
      <c r="E903" s="64" t="s">
        <v>112</v>
      </c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5.75" customHeight="1">
      <c r="A904" s="61" t="str">
        <f t="shared" si="1"/>
        <v>MaceióBrasíliaNavio</v>
      </c>
      <c r="B904" s="62" t="s">
        <v>37</v>
      </c>
      <c r="C904" s="63" t="s">
        <v>63</v>
      </c>
      <c r="D904" s="63" t="s">
        <v>58</v>
      </c>
      <c r="E904" s="64" t="s">
        <v>112</v>
      </c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5.75" customHeight="1">
      <c r="A905" s="61" t="str">
        <f t="shared" si="1"/>
        <v>MaceióCampinasNavio</v>
      </c>
      <c r="B905" s="62" t="s">
        <v>37</v>
      </c>
      <c r="C905" s="63" t="s">
        <v>63</v>
      </c>
      <c r="D905" s="63" t="s">
        <v>77</v>
      </c>
      <c r="E905" s="64" t="s">
        <v>112</v>
      </c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5.75" customHeight="1">
      <c r="A906" s="61" t="str">
        <f t="shared" si="1"/>
        <v>MaceióCampo GrandeNavio</v>
      </c>
      <c r="B906" s="62" t="s">
        <v>37</v>
      </c>
      <c r="C906" s="63" t="s">
        <v>63</v>
      </c>
      <c r="D906" s="63" t="s">
        <v>59</v>
      </c>
      <c r="E906" s="64" t="s">
        <v>112</v>
      </c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5.75" customHeight="1">
      <c r="A907" s="61" t="str">
        <f t="shared" si="1"/>
        <v>MaceióCuiabáNavio</v>
      </c>
      <c r="B907" s="62" t="s">
        <v>37</v>
      </c>
      <c r="C907" s="63" t="s">
        <v>63</v>
      </c>
      <c r="D907" s="63" t="s">
        <v>29</v>
      </c>
      <c r="E907" s="64" t="s">
        <v>112</v>
      </c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5.75" customHeight="1">
      <c r="A908" s="61" t="str">
        <f t="shared" si="1"/>
        <v>MaceióCuritibaNavio</v>
      </c>
      <c r="B908" s="62" t="s">
        <v>37</v>
      </c>
      <c r="C908" s="63" t="s">
        <v>63</v>
      </c>
      <c r="D908" s="63" t="s">
        <v>76</v>
      </c>
      <c r="E908" s="64">
        <v>3.0</v>
      </c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5.75" customHeight="1">
      <c r="A909" s="61" t="str">
        <f t="shared" si="1"/>
        <v>MaceióFortalezaNavio</v>
      </c>
      <c r="B909" s="62" t="s">
        <v>37</v>
      </c>
      <c r="C909" s="63" t="s">
        <v>63</v>
      </c>
      <c r="D909" s="63" t="s">
        <v>60</v>
      </c>
      <c r="E909" s="64">
        <v>1.0</v>
      </c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5.75" customHeight="1">
      <c r="A910" s="61" t="str">
        <f t="shared" si="1"/>
        <v>MaceióGoiâniaNavio</v>
      </c>
      <c r="B910" s="62" t="s">
        <v>37</v>
      </c>
      <c r="C910" s="63" t="s">
        <v>63</v>
      </c>
      <c r="D910" s="63" t="s">
        <v>61</v>
      </c>
      <c r="E910" s="64" t="s">
        <v>112</v>
      </c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5.75" customHeight="1">
      <c r="A911" s="61" t="str">
        <f t="shared" si="1"/>
        <v>MaceióJoão PessoaNavio</v>
      </c>
      <c r="B911" s="62" t="s">
        <v>37</v>
      </c>
      <c r="C911" s="63" t="s">
        <v>63</v>
      </c>
      <c r="D911" s="63" t="s">
        <v>62</v>
      </c>
      <c r="E911" s="64" t="s">
        <v>112</v>
      </c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5.75" customHeight="1">
      <c r="A912" s="61" t="str">
        <f t="shared" si="1"/>
        <v>MaceióJoinvilleNavio</v>
      </c>
      <c r="B912" s="62" t="s">
        <v>37</v>
      </c>
      <c r="C912" s="63" t="s">
        <v>63</v>
      </c>
      <c r="D912" s="63" t="s">
        <v>28</v>
      </c>
      <c r="E912" s="64">
        <v>3.0</v>
      </c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5.75" customHeight="1">
      <c r="A913" s="61" t="str">
        <f t="shared" si="1"/>
        <v>MaceióMaceióNavio</v>
      </c>
      <c r="B913" s="62" t="s">
        <v>37</v>
      </c>
      <c r="C913" s="63" t="s">
        <v>63</v>
      </c>
      <c r="D913" s="63" t="s">
        <v>63</v>
      </c>
      <c r="E913" s="64">
        <v>0.0</v>
      </c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5.75" customHeight="1">
      <c r="A914" s="61" t="str">
        <f t="shared" si="1"/>
        <v>MaceióManausNavio</v>
      </c>
      <c r="B914" s="62" t="s">
        <v>37</v>
      </c>
      <c r="C914" s="63" t="s">
        <v>63</v>
      </c>
      <c r="D914" s="63" t="s">
        <v>23</v>
      </c>
      <c r="E914" s="64">
        <v>5.0</v>
      </c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5.75" customHeight="1">
      <c r="A915" s="61" t="str">
        <f t="shared" si="1"/>
        <v>MaceióNatalNavio</v>
      </c>
      <c r="B915" s="62" t="s">
        <v>37</v>
      </c>
      <c r="C915" s="63" t="s">
        <v>63</v>
      </c>
      <c r="D915" s="63" t="s">
        <v>64</v>
      </c>
      <c r="E915" s="64">
        <v>1.0</v>
      </c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5.75" customHeight="1">
      <c r="A916" s="61" t="str">
        <f t="shared" si="1"/>
        <v>MaceióPorto AlegreNavio</v>
      </c>
      <c r="B916" s="62" t="s">
        <v>37</v>
      </c>
      <c r="C916" s="63" t="s">
        <v>63</v>
      </c>
      <c r="D916" s="63" t="s">
        <v>31</v>
      </c>
      <c r="E916" s="64">
        <v>5.0</v>
      </c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5.75" customHeight="1">
      <c r="A917" s="61" t="str">
        <f t="shared" si="1"/>
        <v>MaceióRecifeNavio</v>
      </c>
      <c r="B917" s="62" t="s">
        <v>37</v>
      </c>
      <c r="C917" s="63" t="s">
        <v>63</v>
      </c>
      <c r="D917" s="63" t="s">
        <v>65</v>
      </c>
      <c r="E917" s="64">
        <v>0.0</v>
      </c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5.75" customHeight="1">
      <c r="A918" s="61" t="str">
        <f t="shared" si="1"/>
        <v>MaceióRibeirão PretoNavio</v>
      </c>
      <c r="B918" s="62" t="s">
        <v>37</v>
      </c>
      <c r="C918" s="63" t="s">
        <v>63</v>
      </c>
      <c r="D918" s="63" t="s">
        <v>78</v>
      </c>
      <c r="E918" s="64" t="s">
        <v>112</v>
      </c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5.75" customHeight="1">
      <c r="A919" s="61" t="str">
        <f t="shared" si="1"/>
        <v>MaceióRio de JaneiroNavio</v>
      </c>
      <c r="B919" s="62" t="s">
        <v>37</v>
      </c>
      <c r="C919" s="63" t="s">
        <v>63</v>
      </c>
      <c r="D919" s="63" t="s">
        <v>66</v>
      </c>
      <c r="E919" s="64">
        <v>3.0</v>
      </c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5.75" customHeight="1">
      <c r="A920" s="61" t="str">
        <f t="shared" si="1"/>
        <v>MaceióSalvadorNavio</v>
      </c>
      <c r="B920" s="62" t="s">
        <v>37</v>
      </c>
      <c r="C920" s="63" t="s">
        <v>63</v>
      </c>
      <c r="D920" s="63" t="s">
        <v>67</v>
      </c>
      <c r="E920" s="64">
        <v>1.0</v>
      </c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5.75" customHeight="1">
      <c r="A921" s="61" t="str">
        <f t="shared" si="1"/>
        <v>MaceióSantosNavio</v>
      </c>
      <c r="B921" s="62" t="s">
        <v>37</v>
      </c>
      <c r="C921" s="63" t="s">
        <v>63</v>
      </c>
      <c r="D921" s="63" t="s">
        <v>38</v>
      </c>
      <c r="E921" s="64">
        <v>3.0</v>
      </c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5.75" customHeight="1">
      <c r="A922" s="61" t="str">
        <f t="shared" si="1"/>
        <v>MaceióSão LuísNavio</v>
      </c>
      <c r="B922" s="62" t="s">
        <v>37</v>
      </c>
      <c r="C922" s="63" t="s">
        <v>63</v>
      </c>
      <c r="D922" s="63" t="s">
        <v>36</v>
      </c>
      <c r="E922" s="64">
        <v>2.0</v>
      </c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5.75" customHeight="1">
      <c r="A923" s="61" t="str">
        <f t="shared" si="1"/>
        <v>MaceióSão PauloNavio</v>
      </c>
      <c r="B923" s="62" t="s">
        <v>37</v>
      </c>
      <c r="C923" s="63" t="s">
        <v>63</v>
      </c>
      <c r="D923" s="63" t="s">
        <v>75</v>
      </c>
      <c r="E923" s="64" t="s">
        <v>112</v>
      </c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5.75" customHeight="1">
      <c r="A924" s="61" t="str">
        <f t="shared" si="1"/>
        <v>MaceióUberlândiaNavio</v>
      </c>
      <c r="B924" s="62" t="s">
        <v>37</v>
      </c>
      <c r="C924" s="63" t="s">
        <v>63</v>
      </c>
      <c r="D924" s="63" t="s">
        <v>68</v>
      </c>
      <c r="E924" s="64" t="s">
        <v>112</v>
      </c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5.75" customHeight="1">
      <c r="A925" s="61" t="str">
        <f t="shared" si="1"/>
        <v>MaceióVitóriaNavio</v>
      </c>
      <c r="B925" s="62" t="s">
        <v>37</v>
      </c>
      <c r="C925" s="63" t="s">
        <v>63</v>
      </c>
      <c r="D925" s="63" t="s">
        <v>69</v>
      </c>
      <c r="E925" s="64">
        <v>2.0</v>
      </c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5.75" customHeight="1">
      <c r="A926" s="61" t="str">
        <f t="shared" si="1"/>
        <v>MaceióVitória da ConquistaNavio</v>
      </c>
      <c r="B926" s="62" t="s">
        <v>37</v>
      </c>
      <c r="C926" s="63" t="s">
        <v>63</v>
      </c>
      <c r="D926" s="63" t="s">
        <v>52</v>
      </c>
      <c r="E926" s="64" t="s">
        <v>112</v>
      </c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5.75" customHeight="1">
      <c r="A927" s="61" t="str">
        <f t="shared" si="1"/>
        <v>ManausBelémNavio</v>
      </c>
      <c r="B927" s="62" t="s">
        <v>37</v>
      </c>
      <c r="C927" s="62" t="s">
        <v>23</v>
      </c>
      <c r="D927" s="63" t="s">
        <v>51</v>
      </c>
      <c r="E927" s="64">
        <v>2.0</v>
      </c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5.75" customHeight="1">
      <c r="A928" s="61" t="str">
        <f t="shared" si="1"/>
        <v>ManausBelo HorizonteNavio</v>
      </c>
      <c r="B928" s="62" t="s">
        <v>37</v>
      </c>
      <c r="C928" s="62" t="s">
        <v>23</v>
      </c>
      <c r="D928" s="63" t="s">
        <v>57</v>
      </c>
      <c r="E928" s="64" t="s">
        <v>112</v>
      </c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5.75" customHeight="1">
      <c r="A929" s="61" t="str">
        <f t="shared" si="1"/>
        <v>ManausBrasíliaNavio</v>
      </c>
      <c r="B929" s="62" t="s">
        <v>37</v>
      </c>
      <c r="C929" s="62" t="s">
        <v>23</v>
      </c>
      <c r="D929" s="63" t="s">
        <v>58</v>
      </c>
      <c r="E929" s="64" t="s">
        <v>112</v>
      </c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5.75" customHeight="1">
      <c r="A930" s="61" t="str">
        <f t="shared" si="1"/>
        <v>ManausCampinasNavio</v>
      </c>
      <c r="B930" s="62" t="s">
        <v>37</v>
      </c>
      <c r="C930" s="62" t="s">
        <v>23</v>
      </c>
      <c r="D930" s="63" t="s">
        <v>77</v>
      </c>
      <c r="E930" s="64" t="s">
        <v>112</v>
      </c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5.75" customHeight="1">
      <c r="A931" s="61" t="str">
        <f t="shared" si="1"/>
        <v>ManausCampo GrandeNavio</v>
      </c>
      <c r="B931" s="62" t="s">
        <v>37</v>
      </c>
      <c r="C931" s="62" t="s">
        <v>23</v>
      </c>
      <c r="D931" s="63" t="s">
        <v>59</v>
      </c>
      <c r="E931" s="64" t="s">
        <v>112</v>
      </c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5.75" customHeight="1">
      <c r="A932" s="61" t="str">
        <f t="shared" si="1"/>
        <v>ManausCuiabáNavio</v>
      </c>
      <c r="B932" s="62" t="s">
        <v>37</v>
      </c>
      <c r="C932" s="62" t="s">
        <v>23</v>
      </c>
      <c r="D932" s="63" t="s">
        <v>29</v>
      </c>
      <c r="E932" s="64" t="s">
        <v>112</v>
      </c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5.75" customHeight="1">
      <c r="A933" s="61" t="str">
        <f t="shared" si="1"/>
        <v>ManausCuritibaNavio</v>
      </c>
      <c r="B933" s="62" t="s">
        <v>37</v>
      </c>
      <c r="C933" s="62" t="s">
        <v>23</v>
      </c>
      <c r="D933" s="63" t="s">
        <v>76</v>
      </c>
      <c r="E933" s="64">
        <v>9.0</v>
      </c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5.75" customHeight="1">
      <c r="A934" s="61" t="str">
        <f t="shared" si="1"/>
        <v>ManausFortalezaNavio</v>
      </c>
      <c r="B934" s="62" t="s">
        <v>37</v>
      </c>
      <c r="C934" s="62" t="s">
        <v>23</v>
      </c>
      <c r="D934" s="63" t="s">
        <v>60</v>
      </c>
      <c r="E934" s="64">
        <v>4.0</v>
      </c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5.75" customHeight="1">
      <c r="A935" s="61" t="str">
        <f t="shared" si="1"/>
        <v>ManausGoiâniaNavio</v>
      </c>
      <c r="B935" s="62" t="s">
        <v>37</v>
      </c>
      <c r="C935" s="62" t="s">
        <v>23</v>
      </c>
      <c r="D935" s="63" t="s">
        <v>61</v>
      </c>
      <c r="E935" s="64" t="s">
        <v>112</v>
      </c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5.75" customHeight="1">
      <c r="A936" s="61" t="str">
        <f t="shared" si="1"/>
        <v>ManausJoão PessoaNavio</v>
      </c>
      <c r="B936" s="62" t="s">
        <v>37</v>
      </c>
      <c r="C936" s="62" t="s">
        <v>23</v>
      </c>
      <c r="D936" s="63" t="s">
        <v>62</v>
      </c>
      <c r="E936" s="64">
        <v>5.0</v>
      </c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5.75" customHeight="1">
      <c r="A937" s="61" t="str">
        <f t="shared" si="1"/>
        <v>ManausJoinvilleNavio</v>
      </c>
      <c r="B937" s="62" t="s">
        <v>37</v>
      </c>
      <c r="C937" s="62" t="s">
        <v>23</v>
      </c>
      <c r="D937" s="63" t="s">
        <v>28</v>
      </c>
      <c r="E937" s="64">
        <v>9.0</v>
      </c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5.75" customHeight="1">
      <c r="A938" s="61" t="str">
        <f t="shared" si="1"/>
        <v>ManausMaceióNavio</v>
      </c>
      <c r="B938" s="62" t="s">
        <v>37</v>
      </c>
      <c r="C938" s="62" t="s">
        <v>23</v>
      </c>
      <c r="D938" s="63" t="s">
        <v>63</v>
      </c>
      <c r="E938" s="64">
        <v>5.0</v>
      </c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5.75" customHeight="1">
      <c r="A939" s="61" t="str">
        <f t="shared" si="1"/>
        <v>ManausManausNavio</v>
      </c>
      <c r="B939" s="62" t="s">
        <v>37</v>
      </c>
      <c r="C939" s="62" t="s">
        <v>23</v>
      </c>
      <c r="D939" s="63" t="s">
        <v>23</v>
      </c>
      <c r="E939" s="64">
        <v>0.0</v>
      </c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5.75" customHeight="1">
      <c r="A940" s="61" t="str">
        <f t="shared" si="1"/>
        <v>ManausNatalNavio</v>
      </c>
      <c r="B940" s="62" t="s">
        <v>37</v>
      </c>
      <c r="C940" s="62" t="s">
        <v>23</v>
      </c>
      <c r="D940" s="63" t="s">
        <v>64</v>
      </c>
      <c r="E940" s="64">
        <v>5.0</v>
      </c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5.75" customHeight="1">
      <c r="A941" s="61" t="str">
        <f t="shared" si="1"/>
        <v>ManausPorto AlegreNavio</v>
      </c>
      <c r="B941" s="62" t="s">
        <v>37</v>
      </c>
      <c r="C941" s="62" t="s">
        <v>23</v>
      </c>
      <c r="D941" s="63" t="s">
        <v>31</v>
      </c>
      <c r="E941" s="64">
        <v>10.0</v>
      </c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5.75" customHeight="1">
      <c r="A942" s="61" t="str">
        <f t="shared" si="1"/>
        <v>ManausRecifeNavio</v>
      </c>
      <c r="B942" s="62" t="s">
        <v>37</v>
      </c>
      <c r="C942" s="62" t="s">
        <v>23</v>
      </c>
      <c r="D942" s="63" t="s">
        <v>65</v>
      </c>
      <c r="E942" s="64">
        <v>5.0</v>
      </c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5.75" customHeight="1">
      <c r="A943" s="61" t="str">
        <f t="shared" si="1"/>
        <v>ManausRibeirão PretoNavio</v>
      </c>
      <c r="B943" s="62" t="s">
        <v>37</v>
      </c>
      <c r="C943" s="62" t="s">
        <v>23</v>
      </c>
      <c r="D943" s="63" t="s">
        <v>78</v>
      </c>
      <c r="E943" s="64" t="s">
        <v>112</v>
      </c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5.75" customHeight="1">
      <c r="A944" s="61" t="str">
        <f t="shared" si="1"/>
        <v>ManausRio de JaneiroNavio</v>
      </c>
      <c r="B944" s="62" t="s">
        <v>37</v>
      </c>
      <c r="C944" s="62" t="s">
        <v>23</v>
      </c>
      <c r="D944" s="63" t="s">
        <v>66</v>
      </c>
      <c r="E944" s="64">
        <v>8.0</v>
      </c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5.75" customHeight="1">
      <c r="A945" s="61" t="str">
        <f t="shared" si="1"/>
        <v>ManausSalvadorNavio</v>
      </c>
      <c r="B945" s="62" t="s">
        <v>37</v>
      </c>
      <c r="C945" s="62" t="s">
        <v>23</v>
      </c>
      <c r="D945" s="63" t="s">
        <v>67</v>
      </c>
      <c r="E945" s="64">
        <v>6.0</v>
      </c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5.75" customHeight="1">
      <c r="A946" s="61" t="str">
        <f t="shared" si="1"/>
        <v>ManausSantosNavio</v>
      </c>
      <c r="B946" s="62" t="s">
        <v>37</v>
      </c>
      <c r="C946" s="62" t="s">
        <v>23</v>
      </c>
      <c r="D946" s="63" t="s">
        <v>38</v>
      </c>
      <c r="E946" s="64">
        <v>8.0</v>
      </c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5.75" customHeight="1">
      <c r="A947" s="61" t="str">
        <f t="shared" si="1"/>
        <v>ManausSão LuísNavio</v>
      </c>
      <c r="B947" s="62" t="s">
        <v>37</v>
      </c>
      <c r="C947" s="62" t="s">
        <v>23</v>
      </c>
      <c r="D947" s="63" t="s">
        <v>36</v>
      </c>
      <c r="E947" s="64">
        <v>3.0</v>
      </c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5.75" customHeight="1">
      <c r="A948" s="61" t="str">
        <f t="shared" si="1"/>
        <v>ManausSão PauloNavio</v>
      </c>
      <c r="B948" s="62" t="s">
        <v>37</v>
      </c>
      <c r="C948" s="62" t="s">
        <v>23</v>
      </c>
      <c r="D948" s="63" t="s">
        <v>75</v>
      </c>
      <c r="E948" s="64" t="s">
        <v>112</v>
      </c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5.75" customHeight="1">
      <c r="A949" s="61" t="str">
        <f t="shared" si="1"/>
        <v>ManausUberlândiaNavio</v>
      </c>
      <c r="B949" s="62" t="s">
        <v>37</v>
      </c>
      <c r="C949" s="62" t="s">
        <v>23</v>
      </c>
      <c r="D949" s="63" t="s">
        <v>68</v>
      </c>
      <c r="E949" s="64" t="s">
        <v>112</v>
      </c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5.75" customHeight="1">
      <c r="A950" s="61" t="str">
        <f t="shared" si="1"/>
        <v>ManausVitóriaNavio</v>
      </c>
      <c r="B950" s="62" t="s">
        <v>37</v>
      </c>
      <c r="C950" s="62" t="s">
        <v>23</v>
      </c>
      <c r="D950" s="63" t="s">
        <v>69</v>
      </c>
      <c r="E950" s="64">
        <v>7.0</v>
      </c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5.75" customHeight="1">
      <c r="A951" s="61" t="str">
        <f t="shared" si="1"/>
        <v>ManausVitória da ConquistaNavio</v>
      </c>
      <c r="B951" s="62" t="s">
        <v>37</v>
      </c>
      <c r="C951" s="62" t="s">
        <v>23</v>
      </c>
      <c r="D951" s="63" t="s">
        <v>52</v>
      </c>
      <c r="E951" s="64" t="s">
        <v>112</v>
      </c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5.75" customHeight="1">
      <c r="A952" s="61" t="str">
        <f t="shared" si="1"/>
        <v>NatalBelémNavio</v>
      </c>
      <c r="B952" s="62" t="s">
        <v>37</v>
      </c>
      <c r="C952" s="62" t="s">
        <v>64</v>
      </c>
      <c r="D952" s="63" t="s">
        <v>51</v>
      </c>
      <c r="E952" s="64">
        <v>3.0</v>
      </c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5.75" customHeight="1">
      <c r="A953" s="61" t="str">
        <f t="shared" si="1"/>
        <v>NatalBelo HorizonteNavio</v>
      </c>
      <c r="B953" s="62" t="s">
        <v>37</v>
      </c>
      <c r="C953" s="62" t="s">
        <v>64</v>
      </c>
      <c r="D953" s="63" t="s">
        <v>57</v>
      </c>
      <c r="E953" s="64" t="s">
        <v>112</v>
      </c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5.75" customHeight="1">
      <c r="A954" s="61" t="str">
        <f t="shared" si="1"/>
        <v>NatalBrasíliaNavio</v>
      </c>
      <c r="B954" s="62" t="s">
        <v>37</v>
      </c>
      <c r="C954" s="62" t="s">
        <v>64</v>
      </c>
      <c r="D954" s="63" t="s">
        <v>58</v>
      </c>
      <c r="E954" s="64" t="s">
        <v>112</v>
      </c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5.75" customHeight="1">
      <c r="A955" s="61" t="str">
        <f t="shared" si="1"/>
        <v>NatalCampinasNavio</v>
      </c>
      <c r="B955" s="62" t="s">
        <v>37</v>
      </c>
      <c r="C955" s="62" t="s">
        <v>64</v>
      </c>
      <c r="D955" s="63" t="s">
        <v>77</v>
      </c>
      <c r="E955" s="64" t="s">
        <v>112</v>
      </c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5.75" customHeight="1">
      <c r="A956" s="61" t="str">
        <f t="shared" si="1"/>
        <v>NatalCampo GrandeNavio</v>
      </c>
      <c r="B956" s="62" t="s">
        <v>37</v>
      </c>
      <c r="C956" s="62" t="s">
        <v>64</v>
      </c>
      <c r="D956" s="63" t="s">
        <v>59</v>
      </c>
      <c r="E956" s="64" t="s">
        <v>112</v>
      </c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5.75" customHeight="1">
      <c r="A957" s="61" t="str">
        <f t="shared" si="1"/>
        <v>NatalCuiabáNavio</v>
      </c>
      <c r="B957" s="62" t="s">
        <v>37</v>
      </c>
      <c r="C957" s="62" t="s">
        <v>64</v>
      </c>
      <c r="D957" s="63" t="s">
        <v>29</v>
      </c>
      <c r="E957" s="64" t="s">
        <v>112</v>
      </c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5.75" customHeight="1">
      <c r="A958" s="61" t="str">
        <f t="shared" si="1"/>
        <v>NatalCuritibaNavio</v>
      </c>
      <c r="B958" s="62" t="s">
        <v>37</v>
      </c>
      <c r="C958" s="62" t="s">
        <v>64</v>
      </c>
      <c r="D958" s="63" t="s">
        <v>76</v>
      </c>
      <c r="E958" s="64">
        <v>4.0</v>
      </c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5.75" customHeight="1">
      <c r="A959" s="61" t="str">
        <f t="shared" si="1"/>
        <v>NatalFortalezaNavio</v>
      </c>
      <c r="B959" s="62" t="s">
        <v>37</v>
      </c>
      <c r="C959" s="62" t="s">
        <v>64</v>
      </c>
      <c r="D959" s="63" t="s">
        <v>60</v>
      </c>
      <c r="E959" s="64">
        <v>1.0</v>
      </c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5.75" customHeight="1">
      <c r="A960" s="61" t="str">
        <f t="shared" si="1"/>
        <v>NatalGoiâniaNavio</v>
      </c>
      <c r="B960" s="62" t="s">
        <v>37</v>
      </c>
      <c r="C960" s="62" t="s">
        <v>64</v>
      </c>
      <c r="D960" s="63" t="s">
        <v>61</v>
      </c>
      <c r="E960" s="64" t="s">
        <v>112</v>
      </c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5.75" customHeight="1">
      <c r="A961" s="61" t="str">
        <f t="shared" si="1"/>
        <v>NatalJoão PessoaNavio</v>
      </c>
      <c r="B961" s="62" t="s">
        <v>37</v>
      </c>
      <c r="C961" s="62" t="s">
        <v>64</v>
      </c>
      <c r="D961" s="63" t="s">
        <v>62</v>
      </c>
      <c r="E961" s="64">
        <v>0.0</v>
      </c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5.75" customHeight="1">
      <c r="A962" s="61" t="str">
        <f t="shared" si="1"/>
        <v>NatalJoinvilleNavio</v>
      </c>
      <c r="B962" s="62" t="s">
        <v>37</v>
      </c>
      <c r="C962" s="62" t="s">
        <v>64</v>
      </c>
      <c r="D962" s="63" t="s">
        <v>28</v>
      </c>
      <c r="E962" s="64">
        <v>4.0</v>
      </c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5.75" customHeight="1">
      <c r="A963" s="61" t="str">
        <f t="shared" si="1"/>
        <v>NatalMaceióNavio</v>
      </c>
      <c r="B963" s="62" t="s">
        <v>37</v>
      </c>
      <c r="C963" s="62" t="s">
        <v>64</v>
      </c>
      <c r="D963" s="63" t="s">
        <v>63</v>
      </c>
      <c r="E963" s="64">
        <v>1.0</v>
      </c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5.75" customHeight="1">
      <c r="A964" s="61" t="str">
        <f t="shared" si="1"/>
        <v>NatalManausNavio</v>
      </c>
      <c r="B964" s="62" t="s">
        <v>37</v>
      </c>
      <c r="C964" s="62" t="s">
        <v>64</v>
      </c>
      <c r="D964" s="63" t="s">
        <v>23</v>
      </c>
      <c r="E964" s="64">
        <v>5.0</v>
      </c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5.75" customHeight="1">
      <c r="A965" s="61" t="str">
        <f t="shared" si="1"/>
        <v>NatalNatalNavio</v>
      </c>
      <c r="B965" s="62" t="s">
        <v>37</v>
      </c>
      <c r="C965" s="62" t="s">
        <v>64</v>
      </c>
      <c r="D965" s="63" t="s">
        <v>64</v>
      </c>
      <c r="E965" s="64">
        <v>0.0</v>
      </c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5.75" customHeight="1">
      <c r="A966" s="61" t="str">
        <f t="shared" si="1"/>
        <v>NatalPorto AlegreNavio</v>
      </c>
      <c r="B966" s="62" t="s">
        <v>37</v>
      </c>
      <c r="C966" s="62" t="s">
        <v>64</v>
      </c>
      <c r="D966" s="63" t="s">
        <v>31</v>
      </c>
      <c r="E966" s="64">
        <v>5.0</v>
      </c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5.75" customHeight="1">
      <c r="A967" s="61" t="str">
        <f t="shared" si="1"/>
        <v>NatalRecifeNavio</v>
      </c>
      <c r="B967" s="62" t="s">
        <v>37</v>
      </c>
      <c r="C967" s="62" t="s">
        <v>64</v>
      </c>
      <c r="D967" s="63" t="s">
        <v>65</v>
      </c>
      <c r="E967" s="64">
        <v>0.0</v>
      </c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5.75" customHeight="1">
      <c r="A968" s="61" t="str">
        <f t="shared" si="1"/>
        <v>NatalRibeirão PretoNavio</v>
      </c>
      <c r="B968" s="62" t="s">
        <v>37</v>
      </c>
      <c r="C968" s="62" t="s">
        <v>64</v>
      </c>
      <c r="D968" s="63" t="s">
        <v>78</v>
      </c>
      <c r="E968" s="64" t="s">
        <v>112</v>
      </c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5.75" customHeight="1">
      <c r="A969" s="61" t="str">
        <f t="shared" si="1"/>
        <v>NatalRio de JaneiroNavio</v>
      </c>
      <c r="B969" s="62" t="s">
        <v>37</v>
      </c>
      <c r="C969" s="62" t="s">
        <v>64</v>
      </c>
      <c r="D969" s="63" t="s">
        <v>66</v>
      </c>
      <c r="E969" s="64">
        <v>3.0</v>
      </c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5.75" customHeight="1">
      <c r="A970" s="61" t="str">
        <f t="shared" si="1"/>
        <v>NatalSalvadorNavio</v>
      </c>
      <c r="B970" s="62" t="s">
        <v>37</v>
      </c>
      <c r="C970" s="62" t="s">
        <v>64</v>
      </c>
      <c r="D970" s="63" t="s">
        <v>67</v>
      </c>
      <c r="E970" s="64" t="s">
        <v>112</v>
      </c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5.75" customHeight="1">
      <c r="A971" s="61" t="str">
        <f t="shared" si="1"/>
        <v>NatalSantosNavio</v>
      </c>
      <c r="B971" s="62" t="s">
        <v>37</v>
      </c>
      <c r="C971" s="62" t="s">
        <v>64</v>
      </c>
      <c r="D971" s="63" t="s">
        <v>38</v>
      </c>
      <c r="E971" s="64">
        <v>4.0</v>
      </c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5.75" customHeight="1">
      <c r="A972" s="61" t="str">
        <f t="shared" si="1"/>
        <v>NatalSão LuísNavio</v>
      </c>
      <c r="B972" s="62" t="s">
        <v>37</v>
      </c>
      <c r="C972" s="62" t="s">
        <v>64</v>
      </c>
      <c r="D972" s="63" t="s">
        <v>36</v>
      </c>
      <c r="E972" s="64">
        <v>2.0</v>
      </c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5.75" customHeight="1">
      <c r="A973" s="61" t="str">
        <f t="shared" si="1"/>
        <v>NatalSão PauloNavio</v>
      </c>
      <c r="B973" s="62" t="s">
        <v>37</v>
      </c>
      <c r="C973" s="62" t="s">
        <v>64</v>
      </c>
      <c r="D973" s="63" t="s">
        <v>75</v>
      </c>
      <c r="E973" s="64" t="s">
        <v>112</v>
      </c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5.75" customHeight="1">
      <c r="A974" s="61" t="str">
        <f t="shared" si="1"/>
        <v>NatalUberlândiaNavio</v>
      </c>
      <c r="B974" s="62" t="s">
        <v>37</v>
      </c>
      <c r="C974" s="62" t="s">
        <v>64</v>
      </c>
      <c r="D974" s="63" t="s">
        <v>68</v>
      </c>
      <c r="E974" s="64" t="s">
        <v>112</v>
      </c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5.75" customHeight="1">
      <c r="A975" s="61" t="str">
        <f t="shared" si="1"/>
        <v>NatalVitóriaNavio</v>
      </c>
      <c r="B975" s="62" t="s">
        <v>37</v>
      </c>
      <c r="C975" s="62" t="s">
        <v>64</v>
      </c>
      <c r="D975" s="63" t="s">
        <v>69</v>
      </c>
      <c r="E975" s="64">
        <v>2.0</v>
      </c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5.75" customHeight="1">
      <c r="A976" s="61" t="str">
        <f t="shared" si="1"/>
        <v>NatalVitória da ConquistaNavio</v>
      </c>
      <c r="B976" s="62" t="s">
        <v>37</v>
      </c>
      <c r="C976" s="62" t="s">
        <v>64</v>
      </c>
      <c r="D976" s="63" t="s">
        <v>52</v>
      </c>
      <c r="E976" s="64" t="s">
        <v>112</v>
      </c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5.75" customHeight="1">
      <c r="A977" s="61" t="str">
        <f t="shared" si="1"/>
        <v>Porto AlegreBelémNavio</v>
      </c>
      <c r="B977" s="62" t="s">
        <v>37</v>
      </c>
      <c r="C977" s="62" t="s">
        <v>31</v>
      </c>
      <c r="D977" s="63" t="s">
        <v>51</v>
      </c>
      <c r="E977" s="64">
        <v>8.0</v>
      </c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5.75" customHeight="1">
      <c r="A978" s="61" t="str">
        <f t="shared" si="1"/>
        <v>Porto AlegreBelo HorizonteNavio</v>
      </c>
      <c r="B978" s="62" t="s">
        <v>37</v>
      </c>
      <c r="C978" s="62" t="s">
        <v>31</v>
      </c>
      <c r="D978" s="63" t="s">
        <v>57</v>
      </c>
      <c r="E978" s="64" t="s">
        <v>112</v>
      </c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5.75" customHeight="1">
      <c r="A979" s="61" t="str">
        <f t="shared" si="1"/>
        <v>Porto AlegreBrasíliaNavio</v>
      </c>
      <c r="B979" s="62" t="s">
        <v>37</v>
      </c>
      <c r="C979" s="62" t="s">
        <v>31</v>
      </c>
      <c r="D979" s="63" t="s">
        <v>58</v>
      </c>
      <c r="E979" s="64" t="s">
        <v>112</v>
      </c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5.75" customHeight="1">
      <c r="A980" s="61" t="str">
        <f t="shared" si="1"/>
        <v>Porto AlegreCampinasNavio</v>
      </c>
      <c r="B980" s="62" t="s">
        <v>37</v>
      </c>
      <c r="C980" s="62" t="s">
        <v>31</v>
      </c>
      <c r="D980" s="63" t="s">
        <v>77</v>
      </c>
      <c r="E980" s="64" t="s">
        <v>112</v>
      </c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5.75" customHeight="1">
      <c r="A981" s="61" t="str">
        <f t="shared" si="1"/>
        <v>Porto AlegreCampo GrandeNavio</v>
      </c>
      <c r="B981" s="62" t="s">
        <v>37</v>
      </c>
      <c r="C981" s="62" t="s">
        <v>31</v>
      </c>
      <c r="D981" s="63" t="s">
        <v>59</v>
      </c>
      <c r="E981" s="64" t="s">
        <v>112</v>
      </c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5.75" customHeight="1">
      <c r="A982" s="61" t="str">
        <f t="shared" si="1"/>
        <v>Porto AlegreCuiabáNavio</v>
      </c>
      <c r="B982" s="62" t="s">
        <v>37</v>
      </c>
      <c r="C982" s="62" t="s">
        <v>31</v>
      </c>
      <c r="D982" s="63" t="s">
        <v>29</v>
      </c>
      <c r="E982" s="64" t="s">
        <v>112</v>
      </c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5.75" customHeight="1">
      <c r="A983" s="61" t="str">
        <f t="shared" si="1"/>
        <v>Porto AlegreCuritibaNavio</v>
      </c>
      <c r="B983" s="62" t="s">
        <v>37</v>
      </c>
      <c r="C983" s="62" t="s">
        <v>31</v>
      </c>
      <c r="D983" s="63" t="s">
        <v>76</v>
      </c>
      <c r="E983" s="64">
        <v>2.0</v>
      </c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5.75" customHeight="1">
      <c r="A984" s="61" t="str">
        <f t="shared" si="1"/>
        <v>Porto AlegreFortalezaNavio</v>
      </c>
      <c r="B984" s="62" t="s">
        <v>37</v>
      </c>
      <c r="C984" s="62" t="s">
        <v>31</v>
      </c>
      <c r="D984" s="63" t="s">
        <v>60</v>
      </c>
      <c r="E984" s="64">
        <v>6.0</v>
      </c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5.75" customHeight="1">
      <c r="A985" s="61" t="str">
        <f t="shared" si="1"/>
        <v>Porto AlegreGoiâniaNavio</v>
      </c>
      <c r="B985" s="62" t="s">
        <v>37</v>
      </c>
      <c r="C985" s="62" t="s">
        <v>31</v>
      </c>
      <c r="D985" s="63" t="s">
        <v>61</v>
      </c>
      <c r="E985" s="64" t="s">
        <v>112</v>
      </c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5.75" customHeight="1">
      <c r="A986" s="61" t="str">
        <f t="shared" si="1"/>
        <v>Porto AlegreJoão PessoaNavio</v>
      </c>
      <c r="B986" s="62" t="s">
        <v>37</v>
      </c>
      <c r="C986" s="62" t="s">
        <v>31</v>
      </c>
      <c r="D986" s="63" t="s">
        <v>62</v>
      </c>
      <c r="E986" s="64" t="s">
        <v>112</v>
      </c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5.75" customHeight="1">
      <c r="A987" s="61" t="str">
        <f t="shared" si="1"/>
        <v>Porto AlegreJoinvilleNavio</v>
      </c>
      <c r="B987" s="62" t="s">
        <v>37</v>
      </c>
      <c r="C987" s="62" t="s">
        <v>31</v>
      </c>
      <c r="D987" s="63" t="s">
        <v>28</v>
      </c>
      <c r="E987" s="64">
        <v>1.0</v>
      </c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5.75" customHeight="1">
      <c r="A988" s="61" t="str">
        <f t="shared" si="1"/>
        <v>Porto AlegreMaceióNavio</v>
      </c>
      <c r="B988" s="62" t="s">
        <v>37</v>
      </c>
      <c r="C988" s="62" t="s">
        <v>31</v>
      </c>
      <c r="D988" s="63" t="s">
        <v>63</v>
      </c>
      <c r="E988" s="64">
        <v>5.0</v>
      </c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5.75" customHeight="1">
      <c r="A989" s="61" t="str">
        <f t="shared" si="1"/>
        <v>Porto AlegreManausNavio</v>
      </c>
      <c r="B989" s="62" t="s">
        <v>37</v>
      </c>
      <c r="C989" s="62" t="s">
        <v>31</v>
      </c>
      <c r="D989" s="63" t="s">
        <v>23</v>
      </c>
      <c r="E989" s="64">
        <v>10.0</v>
      </c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5.75" customHeight="1">
      <c r="A990" s="61" t="str">
        <f t="shared" si="1"/>
        <v>Porto AlegreNatalNavio</v>
      </c>
      <c r="B990" s="62" t="s">
        <v>37</v>
      </c>
      <c r="C990" s="62" t="s">
        <v>31</v>
      </c>
      <c r="D990" s="63" t="s">
        <v>64</v>
      </c>
      <c r="E990" s="64">
        <v>5.0</v>
      </c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5.75" customHeight="1">
      <c r="A991" s="61" t="str">
        <f t="shared" si="1"/>
        <v>Porto AlegrePorto AlegreNavio</v>
      </c>
      <c r="B991" s="62" t="s">
        <v>37</v>
      </c>
      <c r="C991" s="62" t="s">
        <v>31</v>
      </c>
      <c r="D991" s="63" t="s">
        <v>31</v>
      </c>
      <c r="E991" s="64">
        <v>0.0</v>
      </c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5.75" customHeight="1">
      <c r="A992" s="61" t="str">
        <f t="shared" si="1"/>
        <v>Porto AlegreRecifeNavio</v>
      </c>
      <c r="B992" s="62" t="s">
        <v>37</v>
      </c>
      <c r="C992" s="62" t="s">
        <v>31</v>
      </c>
      <c r="D992" s="63" t="s">
        <v>65</v>
      </c>
      <c r="E992" s="64">
        <v>5.0</v>
      </c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5.75" customHeight="1">
      <c r="A993" s="61" t="str">
        <f t="shared" si="1"/>
        <v>Porto AlegreRibeirão PretoNavio</v>
      </c>
      <c r="B993" s="62" t="s">
        <v>37</v>
      </c>
      <c r="C993" s="62" t="s">
        <v>31</v>
      </c>
      <c r="D993" s="63" t="s">
        <v>78</v>
      </c>
      <c r="E993" s="64" t="s">
        <v>112</v>
      </c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5.75" customHeight="1">
      <c r="A994" s="61" t="str">
        <f t="shared" si="1"/>
        <v>Porto AlegreRio de JaneiroNavio</v>
      </c>
      <c r="B994" s="62" t="s">
        <v>37</v>
      </c>
      <c r="C994" s="62" t="s">
        <v>31</v>
      </c>
      <c r="D994" s="63" t="s">
        <v>66</v>
      </c>
      <c r="E994" s="64">
        <v>2.0</v>
      </c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5.75" customHeight="1">
      <c r="A995" s="61" t="str">
        <f t="shared" si="1"/>
        <v>Porto AlegreSalvadorNavio</v>
      </c>
      <c r="B995" s="62" t="s">
        <v>37</v>
      </c>
      <c r="C995" s="62" t="s">
        <v>31</v>
      </c>
      <c r="D995" s="63" t="s">
        <v>67</v>
      </c>
      <c r="E995" s="64">
        <v>4.0</v>
      </c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5.75" customHeight="1">
      <c r="A996" s="61" t="str">
        <f t="shared" si="1"/>
        <v>Porto AlegreSantosNavio</v>
      </c>
      <c r="B996" s="62" t="s">
        <v>37</v>
      </c>
      <c r="C996" s="62" t="s">
        <v>31</v>
      </c>
      <c r="D996" s="63" t="s">
        <v>38</v>
      </c>
      <c r="E996" s="64">
        <v>2.0</v>
      </c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5.75" customHeight="1">
      <c r="A997" s="61" t="str">
        <f t="shared" si="1"/>
        <v>Porto AlegreSão LuísNavio</v>
      </c>
      <c r="B997" s="62" t="s">
        <v>37</v>
      </c>
      <c r="C997" s="62" t="s">
        <v>31</v>
      </c>
      <c r="D997" s="63" t="s">
        <v>36</v>
      </c>
      <c r="E997" s="64">
        <v>7.0</v>
      </c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5.75" customHeight="1">
      <c r="A998" s="61" t="str">
        <f t="shared" si="1"/>
        <v>Porto AlegreSão PauloNavio</v>
      </c>
      <c r="B998" s="62" t="s">
        <v>37</v>
      </c>
      <c r="C998" s="62" t="s">
        <v>31</v>
      </c>
      <c r="D998" s="63" t="s">
        <v>75</v>
      </c>
      <c r="E998" s="64" t="s">
        <v>112</v>
      </c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5.75" customHeight="1">
      <c r="A999" s="61" t="str">
        <f t="shared" si="1"/>
        <v>Porto AlegreUberlândiaNavio</v>
      </c>
      <c r="B999" s="62" t="s">
        <v>37</v>
      </c>
      <c r="C999" s="62" t="s">
        <v>31</v>
      </c>
      <c r="D999" s="63" t="s">
        <v>68</v>
      </c>
      <c r="E999" s="64" t="s">
        <v>112</v>
      </c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5.75" customHeight="1">
      <c r="A1000" s="61" t="str">
        <f t="shared" si="1"/>
        <v>Porto AlegreVitóriaNavio</v>
      </c>
      <c r="B1000" s="62" t="s">
        <v>37</v>
      </c>
      <c r="C1000" s="62" t="s">
        <v>31</v>
      </c>
      <c r="D1000" s="63" t="s">
        <v>69</v>
      </c>
      <c r="E1000" s="64">
        <v>3.0</v>
      </c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  <row r="1001" ht="15.75" customHeight="1">
      <c r="A1001" s="61" t="str">
        <f t="shared" si="1"/>
        <v>Porto AlegreVitória da ConquistaNavio</v>
      </c>
      <c r="B1001" s="62" t="s">
        <v>37</v>
      </c>
      <c r="C1001" s="62" t="s">
        <v>31</v>
      </c>
      <c r="D1001" s="63" t="s">
        <v>52</v>
      </c>
      <c r="E1001" s="64" t="s">
        <v>112</v>
      </c>
      <c r="F1001" s="31"/>
      <c r="G1001" s="31"/>
      <c r="H1001" s="31"/>
      <c r="I1001" s="31"/>
      <c r="J1001" s="31"/>
      <c r="K1001" s="31"/>
      <c r="L1001" s="31"/>
      <c r="M1001" s="31"/>
      <c r="N1001" s="31"/>
      <c r="O1001" s="31"/>
      <c r="P1001" s="3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</row>
    <row r="1002" ht="15.75" customHeight="1">
      <c r="A1002" s="61" t="str">
        <f t="shared" si="1"/>
        <v>RecifeBelémNavio</v>
      </c>
      <c r="B1002" s="62" t="s">
        <v>37</v>
      </c>
      <c r="C1002" s="62" t="s">
        <v>65</v>
      </c>
      <c r="D1002" s="63" t="s">
        <v>51</v>
      </c>
      <c r="E1002" s="64">
        <v>3.0</v>
      </c>
      <c r="F1002" s="31"/>
      <c r="G1002" s="31"/>
      <c r="H1002" s="31"/>
      <c r="I1002" s="31"/>
      <c r="J1002" s="31"/>
      <c r="K1002" s="31"/>
      <c r="L1002" s="31"/>
      <c r="M1002" s="31"/>
      <c r="N1002" s="31"/>
      <c r="O1002" s="31"/>
      <c r="P1002" s="3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</row>
    <row r="1003" ht="15.75" customHeight="1">
      <c r="A1003" s="61" t="str">
        <f t="shared" si="1"/>
        <v>RecifeBelo HorizonteNavio</v>
      </c>
      <c r="B1003" s="62" t="s">
        <v>37</v>
      </c>
      <c r="C1003" s="62" t="s">
        <v>65</v>
      </c>
      <c r="D1003" s="63" t="s">
        <v>57</v>
      </c>
      <c r="E1003" s="64" t="s">
        <v>112</v>
      </c>
      <c r="F1003" s="31"/>
      <c r="G1003" s="31"/>
      <c r="H1003" s="31"/>
      <c r="I1003" s="31"/>
      <c r="J1003" s="31"/>
      <c r="K1003" s="31"/>
      <c r="L1003" s="31"/>
      <c r="M1003" s="31"/>
      <c r="N1003" s="31"/>
      <c r="O1003" s="31"/>
      <c r="P1003" s="3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</row>
    <row r="1004" ht="15.75" customHeight="1">
      <c r="A1004" s="61" t="str">
        <f t="shared" si="1"/>
        <v>RecifeBrasíliaNavio</v>
      </c>
      <c r="B1004" s="62" t="s">
        <v>37</v>
      </c>
      <c r="C1004" s="62" t="s">
        <v>65</v>
      </c>
      <c r="D1004" s="63" t="s">
        <v>58</v>
      </c>
      <c r="E1004" s="64" t="s">
        <v>112</v>
      </c>
      <c r="F1004" s="31"/>
      <c r="G1004" s="31"/>
      <c r="H1004" s="31"/>
      <c r="I1004" s="31"/>
      <c r="J1004" s="31"/>
      <c r="K1004" s="31"/>
      <c r="L1004" s="31"/>
      <c r="M1004" s="31"/>
      <c r="N1004" s="31"/>
      <c r="O1004" s="31"/>
      <c r="P1004" s="3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</row>
    <row r="1005" ht="15.75" customHeight="1">
      <c r="A1005" s="61" t="str">
        <f t="shared" si="1"/>
        <v>RecifeCampinasNavio</v>
      </c>
      <c r="B1005" s="62" t="s">
        <v>37</v>
      </c>
      <c r="C1005" s="62" t="s">
        <v>65</v>
      </c>
      <c r="D1005" s="63" t="s">
        <v>77</v>
      </c>
      <c r="E1005" s="64" t="s">
        <v>112</v>
      </c>
      <c r="F1005" s="31"/>
      <c r="G1005" s="31"/>
      <c r="H1005" s="31"/>
      <c r="I1005" s="31"/>
      <c r="J1005" s="31"/>
      <c r="K1005" s="31"/>
      <c r="L1005" s="31"/>
      <c r="M1005" s="31"/>
      <c r="N1005" s="31"/>
      <c r="O1005" s="31"/>
      <c r="P1005" s="3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</row>
    <row r="1006" ht="15.75" customHeight="1">
      <c r="A1006" s="61" t="str">
        <f t="shared" si="1"/>
        <v>RecifeCampo GrandeNavio</v>
      </c>
      <c r="B1006" s="62" t="s">
        <v>37</v>
      </c>
      <c r="C1006" s="62" t="s">
        <v>65</v>
      </c>
      <c r="D1006" s="63" t="s">
        <v>59</v>
      </c>
      <c r="E1006" s="64" t="s">
        <v>112</v>
      </c>
      <c r="F1006" s="31"/>
      <c r="G1006" s="31"/>
      <c r="H1006" s="31"/>
      <c r="I1006" s="31"/>
      <c r="J1006" s="31"/>
      <c r="K1006" s="31"/>
      <c r="L1006" s="31"/>
      <c r="M1006" s="31"/>
      <c r="N1006" s="31"/>
      <c r="O1006" s="31"/>
      <c r="P1006" s="3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</row>
    <row r="1007" ht="15.75" customHeight="1">
      <c r="A1007" s="61" t="str">
        <f t="shared" si="1"/>
        <v>RecifeCuiabáNavio</v>
      </c>
      <c r="B1007" s="62" t="s">
        <v>37</v>
      </c>
      <c r="C1007" s="62" t="s">
        <v>65</v>
      </c>
      <c r="D1007" s="63" t="s">
        <v>29</v>
      </c>
      <c r="E1007" s="64" t="s">
        <v>112</v>
      </c>
      <c r="F1007" s="31"/>
      <c r="G1007" s="31"/>
      <c r="H1007" s="31"/>
      <c r="I1007" s="31"/>
      <c r="J1007" s="31"/>
      <c r="K1007" s="31"/>
      <c r="L1007" s="31"/>
      <c r="M1007" s="31"/>
      <c r="N1007" s="31"/>
      <c r="O1007" s="31"/>
      <c r="P1007" s="3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</row>
    <row r="1008" ht="15.75" customHeight="1">
      <c r="A1008" s="61" t="str">
        <f t="shared" si="1"/>
        <v>RecifeCuritibaNavio</v>
      </c>
      <c r="B1008" s="62" t="s">
        <v>37</v>
      </c>
      <c r="C1008" s="62" t="s">
        <v>65</v>
      </c>
      <c r="D1008" s="63" t="s">
        <v>76</v>
      </c>
      <c r="E1008" s="64">
        <v>4.0</v>
      </c>
      <c r="F1008" s="31"/>
      <c r="G1008" s="31"/>
      <c r="H1008" s="31"/>
      <c r="I1008" s="31"/>
      <c r="J1008" s="31"/>
      <c r="K1008" s="31"/>
      <c r="L1008" s="31"/>
      <c r="M1008" s="31"/>
      <c r="N1008" s="31"/>
      <c r="O1008" s="31"/>
      <c r="P1008" s="3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</row>
    <row r="1009" ht="15.75" customHeight="1">
      <c r="A1009" s="61" t="str">
        <f t="shared" si="1"/>
        <v>RecifeFortalezaNavio</v>
      </c>
      <c r="B1009" s="62" t="s">
        <v>37</v>
      </c>
      <c r="C1009" s="62" t="s">
        <v>65</v>
      </c>
      <c r="D1009" s="63" t="s">
        <v>60</v>
      </c>
      <c r="E1009" s="64">
        <v>1.0</v>
      </c>
      <c r="F1009" s="31"/>
      <c r="G1009" s="31"/>
      <c r="H1009" s="31"/>
      <c r="I1009" s="31"/>
      <c r="J1009" s="31"/>
      <c r="K1009" s="31"/>
      <c r="L1009" s="31"/>
      <c r="M1009" s="31"/>
      <c r="N1009" s="31"/>
      <c r="O1009" s="31"/>
      <c r="P1009" s="3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</row>
    <row r="1010" ht="15.75" customHeight="1">
      <c r="A1010" s="61" t="str">
        <f t="shared" si="1"/>
        <v>RecifeGoiâniaNavio</v>
      </c>
      <c r="B1010" s="62" t="s">
        <v>37</v>
      </c>
      <c r="C1010" s="62" t="s">
        <v>65</v>
      </c>
      <c r="D1010" s="63" t="s">
        <v>61</v>
      </c>
      <c r="E1010" s="64" t="s">
        <v>112</v>
      </c>
      <c r="F1010" s="31"/>
      <c r="G1010" s="31"/>
      <c r="H1010" s="31"/>
      <c r="I1010" s="31"/>
      <c r="J1010" s="31"/>
      <c r="K1010" s="31"/>
      <c r="L1010" s="31"/>
      <c r="M1010" s="31"/>
      <c r="N1010" s="31"/>
      <c r="O1010" s="31"/>
      <c r="P1010" s="3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</row>
    <row r="1011" ht="15.75" customHeight="1">
      <c r="A1011" s="61" t="str">
        <f t="shared" si="1"/>
        <v>RecifeJoão PessoaNavio</v>
      </c>
      <c r="B1011" s="62" t="s">
        <v>37</v>
      </c>
      <c r="C1011" s="62" t="s">
        <v>65</v>
      </c>
      <c r="D1011" s="63" t="s">
        <v>62</v>
      </c>
      <c r="E1011" s="64" t="s">
        <v>112</v>
      </c>
      <c r="F1011" s="31"/>
      <c r="G1011" s="31"/>
      <c r="H1011" s="31"/>
      <c r="I1011" s="31"/>
      <c r="J1011" s="31"/>
      <c r="K1011" s="31"/>
      <c r="L1011" s="31"/>
      <c r="M1011" s="31"/>
      <c r="N1011" s="31"/>
      <c r="O1011" s="31"/>
      <c r="P1011" s="3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</row>
    <row r="1012" ht="15.75" customHeight="1">
      <c r="A1012" s="61" t="str">
        <f t="shared" si="1"/>
        <v>RecifeJoinvilleNavio</v>
      </c>
      <c r="B1012" s="62" t="s">
        <v>37</v>
      </c>
      <c r="C1012" s="62" t="s">
        <v>65</v>
      </c>
      <c r="D1012" s="63" t="s">
        <v>28</v>
      </c>
      <c r="E1012" s="64">
        <v>4.0</v>
      </c>
      <c r="F1012" s="31"/>
      <c r="G1012" s="31"/>
      <c r="H1012" s="31"/>
      <c r="I1012" s="31"/>
      <c r="J1012" s="31"/>
      <c r="K1012" s="31"/>
      <c r="L1012" s="31"/>
      <c r="M1012" s="31"/>
      <c r="N1012" s="31"/>
      <c r="O1012" s="31"/>
      <c r="P1012" s="3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</row>
    <row r="1013" ht="15.75" customHeight="1">
      <c r="A1013" s="61" t="str">
        <f t="shared" si="1"/>
        <v>RecifeMaceióNavio</v>
      </c>
      <c r="B1013" s="62" t="s">
        <v>37</v>
      </c>
      <c r="C1013" s="62" t="s">
        <v>65</v>
      </c>
      <c r="D1013" s="63" t="s">
        <v>63</v>
      </c>
      <c r="E1013" s="64">
        <v>0.0</v>
      </c>
      <c r="F1013" s="31"/>
      <c r="G1013" s="31"/>
      <c r="H1013" s="31"/>
      <c r="I1013" s="31"/>
      <c r="J1013" s="31"/>
      <c r="K1013" s="31"/>
      <c r="L1013" s="31"/>
      <c r="M1013" s="31"/>
      <c r="N1013" s="31"/>
      <c r="O1013" s="31"/>
      <c r="P1013" s="3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</row>
    <row r="1014" ht="15.75" customHeight="1">
      <c r="A1014" s="61" t="str">
        <f t="shared" si="1"/>
        <v>RecifeManausNavio</v>
      </c>
      <c r="B1014" s="62" t="s">
        <v>37</v>
      </c>
      <c r="C1014" s="62" t="s">
        <v>65</v>
      </c>
      <c r="D1014" s="63" t="s">
        <v>23</v>
      </c>
      <c r="E1014" s="64">
        <v>5.0</v>
      </c>
      <c r="F1014" s="31"/>
      <c r="G1014" s="31"/>
      <c r="H1014" s="31"/>
      <c r="I1014" s="31"/>
      <c r="J1014" s="31"/>
      <c r="K1014" s="31"/>
      <c r="L1014" s="31"/>
      <c r="M1014" s="31"/>
      <c r="N1014" s="31"/>
      <c r="O1014" s="31"/>
      <c r="P1014" s="3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</row>
    <row r="1015" ht="15.75" customHeight="1">
      <c r="A1015" s="61" t="str">
        <f t="shared" si="1"/>
        <v>RecifeNatalNavio</v>
      </c>
      <c r="B1015" s="62" t="s">
        <v>37</v>
      </c>
      <c r="C1015" s="62" t="s">
        <v>65</v>
      </c>
      <c r="D1015" s="63" t="s">
        <v>64</v>
      </c>
      <c r="E1015" s="64">
        <v>0.0</v>
      </c>
      <c r="F1015" s="31"/>
      <c r="G1015" s="31"/>
      <c r="H1015" s="31"/>
      <c r="I1015" s="31"/>
      <c r="J1015" s="31"/>
      <c r="K1015" s="31"/>
      <c r="L1015" s="31"/>
      <c r="M1015" s="31"/>
      <c r="N1015" s="31"/>
      <c r="O1015" s="31"/>
      <c r="P1015" s="3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</row>
    <row r="1016" ht="15.75" customHeight="1">
      <c r="A1016" s="61" t="str">
        <f t="shared" si="1"/>
        <v>RecifePorto AlegreNavio</v>
      </c>
      <c r="B1016" s="62" t="s">
        <v>37</v>
      </c>
      <c r="C1016" s="62" t="s">
        <v>65</v>
      </c>
      <c r="D1016" s="63" t="s">
        <v>31</v>
      </c>
      <c r="E1016" s="64">
        <v>5.0</v>
      </c>
      <c r="F1016" s="31"/>
      <c r="G1016" s="31"/>
      <c r="H1016" s="31"/>
      <c r="I1016" s="31"/>
      <c r="J1016" s="31"/>
      <c r="K1016" s="31"/>
      <c r="L1016" s="31"/>
      <c r="M1016" s="31"/>
      <c r="N1016" s="31"/>
      <c r="O1016" s="31"/>
      <c r="P1016" s="3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</row>
    <row r="1017" ht="15.75" customHeight="1">
      <c r="A1017" s="61" t="str">
        <f t="shared" si="1"/>
        <v>RecifeRecifeNavio</v>
      </c>
      <c r="B1017" s="62" t="s">
        <v>37</v>
      </c>
      <c r="C1017" s="62" t="s">
        <v>65</v>
      </c>
      <c r="D1017" s="63" t="s">
        <v>65</v>
      </c>
      <c r="E1017" s="64">
        <v>0.0</v>
      </c>
      <c r="F1017" s="31"/>
      <c r="G1017" s="31"/>
      <c r="H1017" s="31"/>
      <c r="I1017" s="31"/>
      <c r="J1017" s="31"/>
      <c r="K1017" s="31"/>
      <c r="L1017" s="31"/>
      <c r="M1017" s="31"/>
      <c r="N1017" s="31"/>
      <c r="O1017" s="31"/>
      <c r="P1017" s="3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</row>
    <row r="1018" ht="15.75" customHeight="1">
      <c r="A1018" s="61" t="str">
        <f t="shared" si="1"/>
        <v>RecifeRibeirão PretoNavio</v>
      </c>
      <c r="B1018" s="62" t="s">
        <v>37</v>
      </c>
      <c r="C1018" s="62" t="s">
        <v>65</v>
      </c>
      <c r="D1018" s="63" t="s">
        <v>78</v>
      </c>
      <c r="E1018" s="64" t="s">
        <v>112</v>
      </c>
      <c r="F1018" s="31"/>
      <c r="G1018" s="31"/>
      <c r="H1018" s="31"/>
      <c r="I1018" s="31"/>
      <c r="J1018" s="31"/>
      <c r="K1018" s="31"/>
      <c r="L1018" s="31"/>
      <c r="M1018" s="31"/>
      <c r="N1018" s="31"/>
      <c r="O1018" s="31"/>
      <c r="P1018" s="3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</row>
    <row r="1019" ht="15.75" customHeight="1">
      <c r="A1019" s="61" t="str">
        <f t="shared" si="1"/>
        <v>RecifeRio de JaneiroNavio</v>
      </c>
      <c r="B1019" s="62" t="s">
        <v>37</v>
      </c>
      <c r="C1019" s="62" t="s">
        <v>65</v>
      </c>
      <c r="D1019" s="63" t="s">
        <v>66</v>
      </c>
      <c r="E1019" s="64">
        <v>3.0</v>
      </c>
      <c r="F1019" s="31"/>
      <c r="G1019" s="31"/>
      <c r="H1019" s="31"/>
      <c r="I1019" s="31"/>
      <c r="J1019" s="31"/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</row>
    <row r="1020" ht="15.75" customHeight="1">
      <c r="A1020" s="61" t="str">
        <f t="shared" si="1"/>
        <v>RecifeSalvadorNavio</v>
      </c>
      <c r="B1020" s="62" t="s">
        <v>37</v>
      </c>
      <c r="C1020" s="62" t="s">
        <v>65</v>
      </c>
      <c r="D1020" s="63" t="s">
        <v>67</v>
      </c>
      <c r="E1020" s="64">
        <v>1.0</v>
      </c>
      <c r="F1020" s="31"/>
      <c r="G1020" s="31"/>
      <c r="H1020" s="31"/>
      <c r="I1020" s="31"/>
      <c r="J1020" s="31"/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</row>
    <row r="1021" ht="15.75" customHeight="1">
      <c r="A1021" s="61" t="str">
        <f t="shared" si="1"/>
        <v>RecifeSantosNavio</v>
      </c>
      <c r="B1021" s="62" t="s">
        <v>37</v>
      </c>
      <c r="C1021" s="62" t="s">
        <v>65</v>
      </c>
      <c r="D1021" s="63" t="s">
        <v>38</v>
      </c>
      <c r="E1021" s="64">
        <v>3.0</v>
      </c>
      <c r="F1021" s="31"/>
      <c r="G1021" s="31"/>
      <c r="H1021" s="31"/>
      <c r="I1021" s="31"/>
      <c r="J1021" s="31"/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</row>
    <row r="1022" ht="15.75" customHeight="1">
      <c r="A1022" s="61" t="str">
        <f t="shared" si="1"/>
        <v>RecifeSão LuísNavio</v>
      </c>
      <c r="B1022" s="62" t="s">
        <v>37</v>
      </c>
      <c r="C1022" s="62" t="s">
        <v>65</v>
      </c>
      <c r="D1022" s="63" t="s">
        <v>36</v>
      </c>
      <c r="E1022" s="64">
        <v>2.0</v>
      </c>
      <c r="F1022" s="31"/>
      <c r="G1022" s="31"/>
      <c r="H1022" s="31"/>
      <c r="I1022" s="31"/>
      <c r="J1022" s="31"/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</row>
    <row r="1023" ht="15.75" customHeight="1">
      <c r="A1023" s="61" t="str">
        <f t="shared" si="1"/>
        <v>RecifeSão PauloNavio</v>
      </c>
      <c r="B1023" s="62" t="s">
        <v>37</v>
      </c>
      <c r="C1023" s="62" t="s">
        <v>65</v>
      </c>
      <c r="D1023" s="63" t="s">
        <v>75</v>
      </c>
      <c r="E1023" s="64" t="s">
        <v>112</v>
      </c>
      <c r="F1023" s="31"/>
      <c r="G1023" s="31"/>
      <c r="H1023" s="31"/>
      <c r="I1023" s="31"/>
      <c r="J1023" s="31"/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</row>
    <row r="1024" ht="15.75" customHeight="1">
      <c r="A1024" s="61" t="str">
        <f t="shared" si="1"/>
        <v>RecifeUberlândiaNavio</v>
      </c>
      <c r="B1024" s="62" t="s">
        <v>37</v>
      </c>
      <c r="C1024" s="62" t="s">
        <v>65</v>
      </c>
      <c r="D1024" s="63" t="s">
        <v>68</v>
      </c>
      <c r="E1024" s="64" t="s">
        <v>112</v>
      </c>
      <c r="F1024" s="31"/>
      <c r="G1024" s="31"/>
      <c r="H1024" s="31"/>
      <c r="I1024" s="31"/>
      <c r="J1024" s="31"/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</row>
    <row r="1025" ht="15.75" customHeight="1">
      <c r="A1025" s="61" t="str">
        <f t="shared" si="1"/>
        <v>RecifeVitóriaNavio</v>
      </c>
      <c r="B1025" s="62" t="s">
        <v>37</v>
      </c>
      <c r="C1025" s="62" t="s">
        <v>65</v>
      </c>
      <c r="D1025" s="63" t="s">
        <v>69</v>
      </c>
      <c r="E1025" s="64">
        <v>2.0</v>
      </c>
      <c r="F1025" s="31"/>
      <c r="G1025" s="31"/>
      <c r="H1025" s="31"/>
      <c r="I1025" s="31"/>
      <c r="J1025" s="31"/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</row>
    <row r="1026" ht="15.75" customHeight="1">
      <c r="A1026" s="61" t="str">
        <f t="shared" si="1"/>
        <v>RecifeVitória da ConquistaNavio</v>
      </c>
      <c r="B1026" s="62" t="s">
        <v>37</v>
      </c>
      <c r="C1026" s="62" t="s">
        <v>65</v>
      </c>
      <c r="D1026" s="63" t="s">
        <v>52</v>
      </c>
      <c r="E1026" s="64" t="s">
        <v>112</v>
      </c>
      <c r="F1026" s="31"/>
      <c r="G1026" s="31"/>
      <c r="H1026" s="31"/>
      <c r="I1026" s="31"/>
      <c r="J1026" s="31"/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</row>
    <row r="1027" ht="15.75" customHeight="1">
      <c r="A1027" s="61" t="str">
        <f t="shared" si="1"/>
        <v>Ribeirão PretoBelémNavio</v>
      </c>
      <c r="B1027" s="62" t="s">
        <v>37</v>
      </c>
      <c r="C1027" s="63" t="s">
        <v>78</v>
      </c>
      <c r="D1027" s="63" t="s">
        <v>51</v>
      </c>
      <c r="E1027" s="64" t="s">
        <v>112</v>
      </c>
      <c r="F1027" s="31"/>
      <c r="G1027" s="31"/>
      <c r="H1027" s="31"/>
      <c r="I1027" s="31"/>
      <c r="J1027" s="31"/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</row>
    <row r="1028" ht="15.75" customHeight="1">
      <c r="A1028" s="61" t="str">
        <f t="shared" si="1"/>
        <v>Ribeirão PretoBelo HorizonteNavio</v>
      </c>
      <c r="B1028" s="62" t="s">
        <v>37</v>
      </c>
      <c r="C1028" s="63" t="s">
        <v>78</v>
      </c>
      <c r="D1028" s="63" t="s">
        <v>57</v>
      </c>
      <c r="E1028" s="64" t="s">
        <v>112</v>
      </c>
      <c r="F1028" s="31"/>
      <c r="G1028" s="31"/>
      <c r="H1028" s="31"/>
      <c r="I1028" s="31"/>
      <c r="J1028" s="31"/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</row>
    <row r="1029" ht="15.75" customHeight="1">
      <c r="A1029" s="61" t="str">
        <f t="shared" si="1"/>
        <v>Ribeirão PretoBrasíliaNavio</v>
      </c>
      <c r="B1029" s="62" t="s">
        <v>37</v>
      </c>
      <c r="C1029" s="63" t="s">
        <v>78</v>
      </c>
      <c r="D1029" s="63" t="s">
        <v>58</v>
      </c>
      <c r="E1029" s="64" t="s">
        <v>112</v>
      </c>
      <c r="F1029" s="31"/>
      <c r="G1029" s="31"/>
      <c r="H1029" s="31"/>
      <c r="I1029" s="31"/>
      <c r="J1029" s="31"/>
      <c r="K1029" s="31"/>
      <c r="L1029" s="31"/>
      <c r="M1029" s="31"/>
      <c r="N1029" s="31"/>
      <c r="O1029" s="31"/>
      <c r="P1029" s="3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</row>
    <row r="1030" ht="15.75" customHeight="1">
      <c r="A1030" s="61" t="str">
        <f t="shared" si="1"/>
        <v>Ribeirão PretoCampinasNavio</v>
      </c>
      <c r="B1030" s="62" t="s">
        <v>37</v>
      </c>
      <c r="C1030" s="63" t="s">
        <v>78</v>
      </c>
      <c r="D1030" s="63" t="s">
        <v>77</v>
      </c>
      <c r="E1030" s="64" t="s">
        <v>112</v>
      </c>
      <c r="F1030" s="31"/>
      <c r="G1030" s="31"/>
      <c r="H1030" s="31"/>
      <c r="I1030" s="31"/>
      <c r="J1030" s="31"/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</row>
    <row r="1031" ht="15.75" customHeight="1">
      <c r="A1031" s="61" t="str">
        <f t="shared" si="1"/>
        <v>Ribeirão PretoCampo GrandeNavio</v>
      </c>
      <c r="B1031" s="62" t="s">
        <v>37</v>
      </c>
      <c r="C1031" s="63" t="s">
        <v>78</v>
      </c>
      <c r="D1031" s="63" t="s">
        <v>59</v>
      </c>
      <c r="E1031" s="64" t="s">
        <v>112</v>
      </c>
      <c r="F1031" s="31"/>
      <c r="G1031" s="31"/>
      <c r="H1031" s="31"/>
      <c r="I1031" s="31"/>
      <c r="J1031" s="31"/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</row>
    <row r="1032" ht="15.75" customHeight="1">
      <c r="A1032" s="61" t="str">
        <f t="shared" si="1"/>
        <v>Ribeirão PretoCuiabáNavio</v>
      </c>
      <c r="B1032" s="62" t="s">
        <v>37</v>
      </c>
      <c r="C1032" s="63" t="s">
        <v>78</v>
      </c>
      <c r="D1032" s="63" t="s">
        <v>29</v>
      </c>
      <c r="E1032" s="64" t="s">
        <v>112</v>
      </c>
      <c r="F1032" s="31"/>
      <c r="G1032" s="31"/>
      <c r="H1032" s="31"/>
      <c r="I1032" s="31"/>
      <c r="J1032" s="31"/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</row>
    <row r="1033" ht="15.75" customHeight="1">
      <c r="A1033" s="61" t="str">
        <f t="shared" si="1"/>
        <v>Ribeirão PretoCuritibaNavio</v>
      </c>
      <c r="B1033" s="62" t="s">
        <v>37</v>
      </c>
      <c r="C1033" s="63" t="s">
        <v>78</v>
      </c>
      <c r="D1033" s="63" t="s">
        <v>76</v>
      </c>
      <c r="E1033" s="64" t="s">
        <v>112</v>
      </c>
      <c r="F1033" s="31"/>
      <c r="G1033" s="31"/>
      <c r="H1033" s="31"/>
      <c r="I1033" s="31"/>
      <c r="J1033" s="31"/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</row>
    <row r="1034" ht="15.75" customHeight="1">
      <c r="A1034" s="61" t="str">
        <f t="shared" si="1"/>
        <v>Ribeirão PretoFortalezaNavio</v>
      </c>
      <c r="B1034" s="62" t="s">
        <v>37</v>
      </c>
      <c r="C1034" s="63" t="s">
        <v>78</v>
      </c>
      <c r="D1034" s="63" t="s">
        <v>60</v>
      </c>
      <c r="E1034" s="64" t="s">
        <v>112</v>
      </c>
      <c r="F1034" s="31"/>
      <c r="G1034" s="31"/>
      <c r="H1034" s="31"/>
      <c r="I1034" s="31"/>
      <c r="J1034" s="31"/>
      <c r="K1034" s="31"/>
      <c r="L1034" s="31"/>
      <c r="M1034" s="31"/>
      <c r="N1034" s="31"/>
      <c r="O1034" s="31"/>
      <c r="P1034" s="3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</row>
    <row r="1035" ht="15.75" customHeight="1">
      <c r="A1035" s="61" t="str">
        <f t="shared" si="1"/>
        <v>Ribeirão PretoGoiâniaNavio</v>
      </c>
      <c r="B1035" s="62" t="s">
        <v>37</v>
      </c>
      <c r="C1035" s="63" t="s">
        <v>78</v>
      </c>
      <c r="D1035" s="63" t="s">
        <v>61</v>
      </c>
      <c r="E1035" s="64" t="s">
        <v>112</v>
      </c>
      <c r="F1035" s="31"/>
      <c r="G1035" s="31"/>
      <c r="H1035" s="31"/>
      <c r="I1035" s="31"/>
      <c r="J1035" s="31"/>
      <c r="K1035" s="31"/>
      <c r="L1035" s="31"/>
      <c r="M1035" s="31"/>
      <c r="N1035" s="31"/>
      <c r="O1035" s="31"/>
      <c r="P1035" s="3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</row>
    <row r="1036" ht="15.75" customHeight="1">
      <c r="A1036" s="61" t="str">
        <f t="shared" si="1"/>
        <v>Ribeirão PretoJoão PessoaNavio</v>
      </c>
      <c r="B1036" s="62" t="s">
        <v>37</v>
      </c>
      <c r="C1036" s="63" t="s">
        <v>78</v>
      </c>
      <c r="D1036" s="63" t="s">
        <v>62</v>
      </c>
      <c r="E1036" s="64" t="s">
        <v>112</v>
      </c>
      <c r="F1036" s="31"/>
      <c r="G1036" s="31"/>
      <c r="H1036" s="31"/>
      <c r="I1036" s="31"/>
      <c r="J1036" s="31"/>
      <c r="K1036" s="31"/>
      <c r="L1036" s="31"/>
      <c r="M1036" s="31"/>
      <c r="N1036" s="31"/>
      <c r="O1036" s="31"/>
      <c r="P1036" s="3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</row>
    <row r="1037" ht="15.75" customHeight="1">
      <c r="A1037" s="61" t="str">
        <f t="shared" si="1"/>
        <v>Ribeirão PretoJoinvilleNavio</v>
      </c>
      <c r="B1037" s="62" t="s">
        <v>37</v>
      </c>
      <c r="C1037" s="63" t="s">
        <v>78</v>
      </c>
      <c r="D1037" s="63" t="s">
        <v>28</v>
      </c>
      <c r="E1037" s="64" t="s">
        <v>112</v>
      </c>
      <c r="F1037" s="31"/>
      <c r="G1037" s="31"/>
      <c r="H1037" s="31"/>
      <c r="I1037" s="31"/>
      <c r="J1037" s="31"/>
      <c r="K1037" s="31"/>
      <c r="L1037" s="31"/>
      <c r="M1037" s="31"/>
      <c r="N1037" s="31"/>
      <c r="O1037" s="31"/>
      <c r="P1037" s="3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</row>
    <row r="1038" ht="15.75" customHeight="1">
      <c r="A1038" s="61" t="str">
        <f t="shared" si="1"/>
        <v>Ribeirão PretoMaceióNavio</v>
      </c>
      <c r="B1038" s="62" t="s">
        <v>37</v>
      </c>
      <c r="C1038" s="63" t="s">
        <v>78</v>
      </c>
      <c r="D1038" s="63" t="s">
        <v>63</v>
      </c>
      <c r="E1038" s="64" t="s">
        <v>112</v>
      </c>
      <c r="F1038" s="31"/>
      <c r="G1038" s="31"/>
      <c r="H1038" s="31"/>
      <c r="I1038" s="31"/>
      <c r="J1038" s="31"/>
      <c r="K1038" s="31"/>
      <c r="L1038" s="31"/>
      <c r="M1038" s="31"/>
      <c r="N1038" s="31"/>
      <c r="O1038" s="31"/>
      <c r="P1038" s="3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</row>
    <row r="1039" ht="15.75" customHeight="1">
      <c r="A1039" s="61" t="str">
        <f t="shared" si="1"/>
        <v>Ribeirão PretoManausNavio</v>
      </c>
      <c r="B1039" s="62" t="s">
        <v>37</v>
      </c>
      <c r="C1039" s="63" t="s">
        <v>78</v>
      </c>
      <c r="D1039" s="63" t="s">
        <v>23</v>
      </c>
      <c r="E1039" s="64" t="s">
        <v>112</v>
      </c>
      <c r="F1039" s="31"/>
      <c r="G1039" s="31"/>
      <c r="H1039" s="31"/>
      <c r="I1039" s="31"/>
      <c r="J1039" s="31"/>
      <c r="K1039" s="31"/>
      <c r="L1039" s="31"/>
      <c r="M1039" s="31"/>
      <c r="N1039" s="31"/>
      <c r="O1039" s="31"/>
      <c r="P1039" s="3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</row>
    <row r="1040" ht="15.75" customHeight="1">
      <c r="A1040" s="61" t="str">
        <f t="shared" si="1"/>
        <v>Ribeirão PretoNatalNavio</v>
      </c>
      <c r="B1040" s="62" t="s">
        <v>37</v>
      </c>
      <c r="C1040" s="63" t="s">
        <v>78</v>
      </c>
      <c r="D1040" s="63" t="s">
        <v>64</v>
      </c>
      <c r="E1040" s="64" t="s">
        <v>112</v>
      </c>
      <c r="F1040" s="31"/>
      <c r="G1040" s="31"/>
      <c r="H1040" s="31"/>
      <c r="I1040" s="31"/>
      <c r="J1040" s="31"/>
      <c r="K1040" s="31"/>
      <c r="L1040" s="31"/>
      <c r="M1040" s="31"/>
      <c r="N1040" s="31"/>
      <c r="O1040" s="31"/>
      <c r="P1040" s="3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</row>
    <row r="1041" ht="15.75" customHeight="1">
      <c r="A1041" s="61" t="str">
        <f t="shared" si="1"/>
        <v>Ribeirão PretoPorto AlegreNavio</v>
      </c>
      <c r="B1041" s="62" t="s">
        <v>37</v>
      </c>
      <c r="C1041" s="63" t="s">
        <v>78</v>
      </c>
      <c r="D1041" s="63" t="s">
        <v>31</v>
      </c>
      <c r="E1041" s="64" t="s">
        <v>112</v>
      </c>
      <c r="F1041" s="31"/>
      <c r="G1041" s="31"/>
      <c r="H1041" s="31"/>
      <c r="I1041" s="31"/>
      <c r="J1041" s="31"/>
      <c r="K1041" s="31"/>
      <c r="L1041" s="31"/>
      <c r="M1041" s="31"/>
      <c r="N1041" s="31"/>
      <c r="O1041" s="31"/>
      <c r="P1041" s="3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</row>
    <row r="1042" ht="15.75" customHeight="1">
      <c r="A1042" s="61" t="str">
        <f t="shared" si="1"/>
        <v>Ribeirão PretoRecifeNavio</v>
      </c>
      <c r="B1042" s="62" t="s">
        <v>37</v>
      </c>
      <c r="C1042" s="63" t="s">
        <v>78</v>
      </c>
      <c r="D1042" s="63" t="s">
        <v>65</v>
      </c>
      <c r="E1042" s="64" t="s">
        <v>112</v>
      </c>
      <c r="F1042" s="31"/>
      <c r="G1042" s="31"/>
      <c r="H1042" s="31"/>
      <c r="I1042" s="31"/>
      <c r="J1042" s="31"/>
      <c r="K1042" s="31"/>
      <c r="L1042" s="31"/>
      <c r="M1042" s="31"/>
      <c r="N1042" s="31"/>
      <c r="O1042" s="31"/>
      <c r="P1042" s="3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</row>
    <row r="1043" ht="15.75" customHeight="1">
      <c r="A1043" s="61" t="str">
        <f t="shared" si="1"/>
        <v>Ribeirão PretoRibeirão PretoNavio</v>
      </c>
      <c r="B1043" s="62" t="s">
        <v>37</v>
      </c>
      <c r="C1043" s="63" t="s">
        <v>78</v>
      </c>
      <c r="D1043" s="63" t="s">
        <v>78</v>
      </c>
      <c r="E1043" s="64" t="s">
        <v>112</v>
      </c>
      <c r="F1043" s="31"/>
      <c r="G1043" s="31"/>
      <c r="H1043" s="31"/>
      <c r="I1043" s="31"/>
      <c r="J1043" s="31"/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</row>
    <row r="1044" ht="15.75" customHeight="1">
      <c r="A1044" s="61" t="str">
        <f t="shared" si="1"/>
        <v>Ribeirão PretoRio de JaneiroNavio</v>
      </c>
      <c r="B1044" s="62" t="s">
        <v>37</v>
      </c>
      <c r="C1044" s="63" t="s">
        <v>78</v>
      </c>
      <c r="D1044" s="63" t="s">
        <v>66</v>
      </c>
      <c r="E1044" s="64" t="s">
        <v>112</v>
      </c>
      <c r="F1044" s="31"/>
      <c r="G1044" s="31"/>
      <c r="H1044" s="31"/>
      <c r="I1044" s="31"/>
      <c r="J1044" s="31"/>
      <c r="K1044" s="31"/>
      <c r="L1044" s="31"/>
      <c r="M1044" s="31"/>
      <c r="N1044" s="31"/>
      <c r="O1044" s="31"/>
      <c r="P1044" s="3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</row>
    <row r="1045" ht="15.75" customHeight="1">
      <c r="A1045" s="61" t="str">
        <f t="shared" si="1"/>
        <v>Ribeirão PretoSalvadorNavio</v>
      </c>
      <c r="B1045" s="62" t="s">
        <v>37</v>
      </c>
      <c r="C1045" s="63" t="s">
        <v>78</v>
      </c>
      <c r="D1045" s="63" t="s">
        <v>67</v>
      </c>
      <c r="E1045" s="64" t="s">
        <v>112</v>
      </c>
      <c r="F1045" s="31"/>
      <c r="G1045" s="31"/>
      <c r="H1045" s="31"/>
      <c r="I1045" s="31"/>
      <c r="J1045" s="31"/>
      <c r="K1045" s="31"/>
      <c r="L1045" s="31"/>
      <c r="M1045" s="31"/>
      <c r="N1045" s="31"/>
      <c r="O1045" s="31"/>
      <c r="P1045" s="3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</row>
    <row r="1046" ht="15.75" customHeight="1">
      <c r="A1046" s="61" t="str">
        <f t="shared" si="1"/>
        <v>Ribeirão PretoSantosNavio</v>
      </c>
      <c r="B1046" s="62" t="s">
        <v>37</v>
      </c>
      <c r="C1046" s="63" t="s">
        <v>78</v>
      </c>
      <c r="D1046" s="63" t="s">
        <v>38</v>
      </c>
      <c r="E1046" s="64" t="s">
        <v>112</v>
      </c>
      <c r="F1046" s="31"/>
      <c r="G1046" s="31"/>
      <c r="H1046" s="31"/>
      <c r="I1046" s="31"/>
      <c r="J1046" s="31"/>
      <c r="K1046" s="31"/>
      <c r="L1046" s="31"/>
      <c r="M1046" s="31"/>
      <c r="N1046" s="31"/>
      <c r="O1046" s="31"/>
      <c r="P1046" s="3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</row>
    <row r="1047" ht="15.75" customHeight="1">
      <c r="A1047" s="61" t="str">
        <f t="shared" si="1"/>
        <v>Ribeirão PretoSão LuísNavio</v>
      </c>
      <c r="B1047" s="62" t="s">
        <v>37</v>
      </c>
      <c r="C1047" s="63" t="s">
        <v>78</v>
      </c>
      <c r="D1047" s="63" t="s">
        <v>36</v>
      </c>
      <c r="E1047" s="64" t="s">
        <v>112</v>
      </c>
      <c r="F1047" s="31"/>
      <c r="G1047" s="31"/>
      <c r="H1047" s="31"/>
      <c r="I1047" s="31"/>
      <c r="J1047" s="31"/>
      <c r="K1047" s="31"/>
      <c r="L1047" s="31"/>
      <c r="M1047" s="31"/>
      <c r="N1047" s="31"/>
      <c r="O1047" s="31"/>
      <c r="P1047" s="3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</row>
    <row r="1048" ht="15.75" customHeight="1">
      <c r="A1048" s="61" t="str">
        <f t="shared" si="1"/>
        <v>Ribeirão PretoSão PauloNavio</v>
      </c>
      <c r="B1048" s="62" t="s">
        <v>37</v>
      </c>
      <c r="C1048" s="63" t="s">
        <v>78</v>
      </c>
      <c r="D1048" s="63" t="s">
        <v>75</v>
      </c>
      <c r="E1048" s="64" t="s">
        <v>112</v>
      </c>
      <c r="F1048" s="31"/>
      <c r="G1048" s="31"/>
      <c r="H1048" s="31"/>
      <c r="I1048" s="31"/>
      <c r="J1048" s="31"/>
      <c r="K1048" s="31"/>
      <c r="L1048" s="31"/>
      <c r="M1048" s="31"/>
      <c r="N1048" s="31"/>
      <c r="O1048" s="31"/>
      <c r="P1048" s="3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</row>
    <row r="1049" ht="15.75" customHeight="1">
      <c r="A1049" s="61" t="str">
        <f t="shared" si="1"/>
        <v>Ribeirão PretoUberlândiaNavio</v>
      </c>
      <c r="B1049" s="62" t="s">
        <v>37</v>
      </c>
      <c r="C1049" s="63" t="s">
        <v>78</v>
      </c>
      <c r="D1049" s="63" t="s">
        <v>68</v>
      </c>
      <c r="E1049" s="64" t="s">
        <v>112</v>
      </c>
      <c r="F1049" s="31"/>
      <c r="G1049" s="31"/>
      <c r="H1049" s="31"/>
      <c r="I1049" s="31"/>
      <c r="J1049" s="31"/>
      <c r="K1049" s="31"/>
      <c r="L1049" s="31"/>
      <c r="M1049" s="31"/>
      <c r="N1049" s="31"/>
      <c r="O1049" s="31"/>
      <c r="P1049" s="3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</row>
    <row r="1050" ht="15.75" customHeight="1">
      <c r="A1050" s="61" t="str">
        <f t="shared" si="1"/>
        <v>Ribeirão PretoVitóriaNavio</v>
      </c>
      <c r="B1050" s="62" t="s">
        <v>37</v>
      </c>
      <c r="C1050" s="63" t="s">
        <v>78</v>
      </c>
      <c r="D1050" s="63" t="s">
        <v>69</v>
      </c>
      <c r="E1050" s="64" t="s">
        <v>112</v>
      </c>
      <c r="F1050" s="31"/>
      <c r="G1050" s="31"/>
      <c r="H1050" s="31"/>
      <c r="I1050" s="31"/>
      <c r="J1050" s="31"/>
      <c r="K1050" s="31"/>
      <c r="L1050" s="31"/>
      <c r="M1050" s="31"/>
      <c r="N1050" s="31"/>
      <c r="O1050" s="31"/>
      <c r="P1050" s="3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</row>
    <row r="1051" ht="15.75" customHeight="1">
      <c r="A1051" s="61" t="str">
        <f t="shared" si="1"/>
        <v>Ribeirão PretoVitória da ConquistaNavio</v>
      </c>
      <c r="B1051" s="62" t="s">
        <v>37</v>
      </c>
      <c r="C1051" s="63" t="s">
        <v>78</v>
      </c>
      <c r="D1051" s="63" t="s">
        <v>52</v>
      </c>
      <c r="E1051" s="64" t="s">
        <v>112</v>
      </c>
      <c r="F1051" s="31"/>
      <c r="G1051" s="31"/>
      <c r="H1051" s="31"/>
      <c r="I1051" s="31"/>
      <c r="J1051" s="31"/>
      <c r="K1051" s="31"/>
      <c r="L1051" s="31"/>
      <c r="M1051" s="31"/>
      <c r="N1051" s="31"/>
      <c r="O1051" s="31"/>
      <c r="P1051" s="3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</row>
    <row r="1052" ht="15.75" customHeight="1">
      <c r="A1052" s="61" t="str">
        <f t="shared" si="1"/>
        <v>Rio de JaneiroBelémNavio</v>
      </c>
      <c r="B1052" s="62" t="s">
        <v>37</v>
      </c>
      <c r="C1052" s="62" t="s">
        <v>66</v>
      </c>
      <c r="D1052" s="63" t="s">
        <v>51</v>
      </c>
      <c r="E1052" s="64">
        <v>6.0</v>
      </c>
      <c r="F1052" s="31"/>
      <c r="G1052" s="31"/>
      <c r="H1052" s="31"/>
      <c r="I1052" s="31"/>
      <c r="J1052" s="31"/>
      <c r="K1052" s="31"/>
      <c r="L1052" s="31"/>
      <c r="M1052" s="31"/>
      <c r="N1052" s="31"/>
      <c r="O1052" s="31"/>
      <c r="P1052" s="3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</row>
    <row r="1053" ht="15.75" customHeight="1">
      <c r="A1053" s="61" t="str">
        <f t="shared" si="1"/>
        <v>Rio de JaneiroBelo HorizonteNavio</v>
      </c>
      <c r="B1053" s="62" t="s">
        <v>37</v>
      </c>
      <c r="C1053" s="62" t="s">
        <v>66</v>
      </c>
      <c r="D1053" s="63" t="s">
        <v>57</v>
      </c>
      <c r="E1053" s="64" t="s">
        <v>112</v>
      </c>
      <c r="F1053" s="31"/>
      <c r="G1053" s="31"/>
      <c r="H1053" s="31"/>
      <c r="I1053" s="31"/>
      <c r="J1053" s="31"/>
      <c r="K1053" s="31"/>
      <c r="L1053" s="31"/>
      <c r="M1053" s="31"/>
      <c r="N1053" s="31"/>
      <c r="O1053" s="31"/>
      <c r="P1053" s="3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</row>
    <row r="1054" ht="15.75" customHeight="1">
      <c r="A1054" s="61" t="str">
        <f t="shared" si="1"/>
        <v>Rio de JaneiroBrasíliaNavio</v>
      </c>
      <c r="B1054" s="62" t="s">
        <v>37</v>
      </c>
      <c r="C1054" s="62" t="s">
        <v>66</v>
      </c>
      <c r="D1054" s="63" t="s">
        <v>58</v>
      </c>
      <c r="E1054" s="64" t="s">
        <v>112</v>
      </c>
      <c r="F1054" s="31"/>
      <c r="G1054" s="31"/>
      <c r="H1054" s="31"/>
      <c r="I1054" s="31"/>
      <c r="J1054" s="31"/>
      <c r="K1054" s="31"/>
      <c r="L1054" s="31"/>
      <c r="M1054" s="31"/>
      <c r="N1054" s="31"/>
      <c r="O1054" s="31"/>
      <c r="P1054" s="3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</row>
    <row r="1055" ht="15.75" customHeight="1">
      <c r="A1055" s="61" t="str">
        <f t="shared" si="1"/>
        <v>Rio de JaneiroCampinasNavio</v>
      </c>
      <c r="B1055" s="62" t="s">
        <v>37</v>
      </c>
      <c r="C1055" s="62" t="s">
        <v>66</v>
      </c>
      <c r="D1055" s="63" t="s">
        <v>77</v>
      </c>
      <c r="E1055" s="64" t="s">
        <v>112</v>
      </c>
      <c r="F1055" s="31"/>
      <c r="G1055" s="31"/>
      <c r="H1055" s="31"/>
      <c r="I1055" s="31"/>
      <c r="J1055" s="31"/>
      <c r="K1055" s="31"/>
      <c r="L1055" s="31"/>
      <c r="M1055" s="31"/>
      <c r="N1055" s="31"/>
      <c r="O1055" s="31"/>
      <c r="P1055" s="3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</row>
    <row r="1056" ht="15.75" customHeight="1">
      <c r="A1056" s="61" t="str">
        <f t="shared" si="1"/>
        <v>Rio de JaneiroCampo GrandeNavio</v>
      </c>
      <c r="B1056" s="62" t="s">
        <v>37</v>
      </c>
      <c r="C1056" s="62" t="s">
        <v>66</v>
      </c>
      <c r="D1056" s="63" t="s">
        <v>59</v>
      </c>
      <c r="E1056" s="64" t="s">
        <v>112</v>
      </c>
      <c r="F1056" s="31"/>
      <c r="G1056" s="31"/>
      <c r="H1056" s="31"/>
      <c r="I1056" s="31"/>
      <c r="J1056" s="31"/>
      <c r="K1056" s="31"/>
      <c r="L1056" s="31"/>
      <c r="M1056" s="31"/>
      <c r="N1056" s="31"/>
      <c r="O1056" s="31"/>
      <c r="P1056" s="3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</row>
    <row r="1057" ht="15.75" customHeight="1">
      <c r="A1057" s="61" t="str">
        <f t="shared" si="1"/>
        <v>Rio de JaneiroCuiabáNavio</v>
      </c>
      <c r="B1057" s="62" t="s">
        <v>37</v>
      </c>
      <c r="C1057" s="62" t="s">
        <v>66</v>
      </c>
      <c r="D1057" s="63" t="s">
        <v>29</v>
      </c>
      <c r="E1057" s="64" t="s">
        <v>112</v>
      </c>
      <c r="F1057" s="31"/>
      <c r="G1057" s="31"/>
      <c r="H1057" s="31"/>
      <c r="I1057" s="31"/>
      <c r="J1057" s="31"/>
      <c r="K1057" s="31"/>
      <c r="L1057" s="31"/>
      <c r="M1057" s="31"/>
      <c r="N1057" s="31"/>
      <c r="O1057" s="31"/>
      <c r="P1057" s="3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</row>
    <row r="1058" ht="15.75" customHeight="1">
      <c r="A1058" s="61" t="str">
        <f t="shared" si="1"/>
        <v>Rio de JaneiroCuritibaNavio</v>
      </c>
      <c r="B1058" s="62" t="s">
        <v>37</v>
      </c>
      <c r="C1058" s="62" t="s">
        <v>66</v>
      </c>
      <c r="D1058" s="63" t="s">
        <v>76</v>
      </c>
      <c r="E1058" s="64">
        <v>1.0</v>
      </c>
      <c r="F1058" s="31"/>
      <c r="G1058" s="31"/>
      <c r="H1058" s="31"/>
      <c r="I1058" s="31"/>
      <c r="J1058" s="31"/>
      <c r="K1058" s="31"/>
      <c r="L1058" s="31"/>
      <c r="M1058" s="31"/>
      <c r="N1058" s="31"/>
      <c r="O1058" s="31"/>
      <c r="P1058" s="3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</row>
    <row r="1059" ht="15.75" customHeight="1">
      <c r="A1059" s="61" t="str">
        <f t="shared" si="1"/>
        <v>Rio de JaneiroFortalezaNavio</v>
      </c>
      <c r="B1059" s="62" t="s">
        <v>37</v>
      </c>
      <c r="C1059" s="62" t="s">
        <v>66</v>
      </c>
      <c r="D1059" s="63" t="s">
        <v>60</v>
      </c>
      <c r="E1059" s="64">
        <v>4.0</v>
      </c>
      <c r="F1059" s="31"/>
      <c r="G1059" s="31"/>
      <c r="H1059" s="31"/>
      <c r="I1059" s="31"/>
      <c r="J1059" s="31"/>
      <c r="K1059" s="31"/>
      <c r="L1059" s="31"/>
      <c r="M1059" s="31"/>
      <c r="N1059" s="31"/>
      <c r="O1059" s="31"/>
      <c r="P1059" s="3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</row>
    <row r="1060" ht="15.75" customHeight="1">
      <c r="A1060" s="61" t="str">
        <f t="shared" si="1"/>
        <v>Rio de JaneiroGoiâniaNavio</v>
      </c>
      <c r="B1060" s="62" t="s">
        <v>37</v>
      </c>
      <c r="C1060" s="62" t="s">
        <v>66</v>
      </c>
      <c r="D1060" s="63" t="s">
        <v>61</v>
      </c>
      <c r="E1060" s="64" t="s">
        <v>112</v>
      </c>
      <c r="F1060" s="31"/>
      <c r="G1060" s="31"/>
      <c r="H1060" s="31"/>
      <c r="I1060" s="31"/>
      <c r="J1060" s="31"/>
      <c r="K1060" s="31"/>
      <c r="L1060" s="31"/>
      <c r="M1060" s="31"/>
      <c r="N1060" s="31"/>
      <c r="O1060" s="31"/>
      <c r="P1060" s="3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</row>
    <row r="1061" ht="15.75" customHeight="1">
      <c r="A1061" s="61" t="str">
        <f t="shared" si="1"/>
        <v>Rio de JaneiroJoão PessoaNavio</v>
      </c>
      <c r="B1061" s="62" t="s">
        <v>37</v>
      </c>
      <c r="C1061" s="62" t="s">
        <v>66</v>
      </c>
      <c r="D1061" s="63" t="s">
        <v>62</v>
      </c>
      <c r="E1061" s="64">
        <v>3.0</v>
      </c>
      <c r="F1061" s="31"/>
      <c r="G1061" s="31"/>
      <c r="H1061" s="31"/>
      <c r="I1061" s="31"/>
      <c r="J1061" s="31"/>
      <c r="K1061" s="31"/>
      <c r="L1061" s="31"/>
      <c r="M1061" s="31"/>
      <c r="N1061" s="31"/>
      <c r="O1061" s="31"/>
      <c r="P1061" s="3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</row>
    <row r="1062" ht="15.75" customHeight="1">
      <c r="A1062" s="61" t="str">
        <f t="shared" si="1"/>
        <v>Rio de JaneiroJoinvilleNavio</v>
      </c>
      <c r="B1062" s="62" t="s">
        <v>37</v>
      </c>
      <c r="C1062" s="62" t="s">
        <v>66</v>
      </c>
      <c r="D1062" s="63" t="s">
        <v>28</v>
      </c>
      <c r="E1062" s="64">
        <v>1.0</v>
      </c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</row>
    <row r="1063" ht="15.75" customHeight="1">
      <c r="A1063" s="61" t="str">
        <f t="shared" si="1"/>
        <v>Rio de JaneiroMaceióNavio</v>
      </c>
      <c r="B1063" s="62" t="s">
        <v>37</v>
      </c>
      <c r="C1063" s="62" t="s">
        <v>66</v>
      </c>
      <c r="D1063" s="63" t="s">
        <v>63</v>
      </c>
      <c r="E1063" s="64">
        <v>3.0</v>
      </c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</row>
    <row r="1064" ht="15.75" customHeight="1">
      <c r="A1064" s="61" t="str">
        <f t="shared" si="1"/>
        <v>Rio de JaneiroManausNavio</v>
      </c>
      <c r="B1064" s="62" t="s">
        <v>37</v>
      </c>
      <c r="C1064" s="62" t="s">
        <v>66</v>
      </c>
      <c r="D1064" s="63" t="s">
        <v>23</v>
      </c>
      <c r="E1064" s="64">
        <v>8.0</v>
      </c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</row>
    <row r="1065" ht="15.75" customHeight="1">
      <c r="A1065" s="61" t="str">
        <f t="shared" si="1"/>
        <v>Rio de JaneiroNatalNavio</v>
      </c>
      <c r="B1065" s="62" t="s">
        <v>37</v>
      </c>
      <c r="C1065" s="62" t="s">
        <v>66</v>
      </c>
      <c r="D1065" s="63" t="s">
        <v>64</v>
      </c>
      <c r="E1065" s="64">
        <v>3.0</v>
      </c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</row>
    <row r="1066" ht="15.75" customHeight="1">
      <c r="A1066" s="61" t="str">
        <f t="shared" si="1"/>
        <v>Rio de JaneiroPorto AlegreNavio</v>
      </c>
      <c r="B1066" s="62" t="s">
        <v>37</v>
      </c>
      <c r="C1066" s="62" t="s">
        <v>66</v>
      </c>
      <c r="D1066" s="63" t="s">
        <v>31</v>
      </c>
      <c r="E1066" s="64">
        <v>2.0</v>
      </c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</row>
    <row r="1067" ht="15.75" customHeight="1">
      <c r="A1067" s="61" t="str">
        <f t="shared" si="1"/>
        <v>Rio de JaneiroRecifeNavio</v>
      </c>
      <c r="B1067" s="62" t="s">
        <v>37</v>
      </c>
      <c r="C1067" s="62" t="s">
        <v>66</v>
      </c>
      <c r="D1067" s="63" t="s">
        <v>65</v>
      </c>
      <c r="E1067" s="64">
        <v>3.0</v>
      </c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</row>
    <row r="1068" ht="15.75" customHeight="1">
      <c r="A1068" s="61" t="str">
        <f t="shared" si="1"/>
        <v>Rio de JaneiroRibeirão PretoNavio</v>
      </c>
      <c r="B1068" s="62" t="s">
        <v>37</v>
      </c>
      <c r="C1068" s="62" t="s">
        <v>66</v>
      </c>
      <c r="D1068" s="63" t="s">
        <v>78</v>
      </c>
      <c r="E1068" s="64" t="s">
        <v>112</v>
      </c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</row>
    <row r="1069" ht="15.75" customHeight="1">
      <c r="A1069" s="61" t="str">
        <f t="shared" si="1"/>
        <v>Rio de JaneiroRio de JaneiroNavio</v>
      </c>
      <c r="B1069" s="62" t="s">
        <v>37</v>
      </c>
      <c r="C1069" s="62" t="s">
        <v>66</v>
      </c>
      <c r="D1069" s="63" t="s">
        <v>66</v>
      </c>
      <c r="E1069" s="64">
        <v>0.0</v>
      </c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</row>
    <row r="1070" ht="15.75" customHeight="1">
      <c r="A1070" s="61" t="str">
        <f t="shared" si="1"/>
        <v>Rio de JaneiroSalvadorNavio</v>
      </c>
      <c r="B1070" s="62" t="s">
        <v>37</v>
      </c>
      <c r="C1070" s="62" t="s">
        <v>66</v>
      </c>
      <c r="D1070" s="63" t="s">
        <v>67</v>
      </c>
      <c r="E1070" s="64">
        <v>2.0</v>
      </c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</row>
    <row r="1071" ht="15.75" customHeight="1">
      <c r="A1071" s="61" t="str">
        <f t="shared" si="1"/>
        <v>Rio de JaneiroSantosNavio</v>
      </c>
      <c r="B1071" s="62" t="s">
        <v>37</v>
      </c>
      <c r="C1071" s="62" t="s">
        <v>66</v>
      </c>
      <c r="D1071" s="63" t="s">
        <v>38</v>
      </c>
      <c r="E1071" s="64">
        <v>1.0</v>
      </c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</row>
    <row r="1072" ht="15.75" customHeight="1">
      <c r="A1072" s="61" t="str">
        <f t="shared" si="1"/>
        <v>Rio de JaneiroSão LuísNavio</v>
      </c>
      <c r="B1072" s="62" t="s">
        <v>37</v>
      </c>
      <c r="C1072" s="62" t="s">
        <v>66</v>
      </c>
      <c r="D1072" s="63" t="s">
        <v>36</v>
      </c>
      <c r="E1072" s="64">
        <v>5.0</v>
      </c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</row>
    <row r="1073" ht="15.75" customHeight="1">
      <c r="A1073" s="61" t="str">
        <f t="shared" si="1"/>
        <v>Rio de JaneiroSão PauloNavio</v>
      </c>
      <c r="B1073" s="62" t="s">
        <v>37</v>
      </c>
      <c r="C1073" s="62" t="s">
        <v>66</v>
      </c>
      <c r="D1073" s="63" t="s">
        <v>75</v>
      </c>
      <c r="E1073" s="64" t="s">
        <v>112</v>
      </c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</row>
    <row r="1074" ht="15.75" customHeight="1">
      <c r="A1074" s="61" t="str">
        <f t="shared" si="1"/>
        <v>Rio de JaneiroUberlândiaNavio</v>
      </c>
      <c r="B1074" s="62" t="s">
        <v>37</v>
      </c>
      <c r="C1074" s="62" t="s">
        <v>66</v>
      </c>
      <c r="D1074" s="63" t="s">
        <v>68</v>
      </c>
      <c r="E1074" s="64" t="s">
        <v>112</v>
      </c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</row>
    <row r="1075" ht="15.75" customHeight="1">
      <c r="A1075" s="61" t="str">
        <f t="shared" si="1"/>
        <v>Rio de JaneiroVitóriaNavio</v>
      </c>
      <c r="B1075" s="62" t="s">
        <v>37</v>
      </c>
      <c r="C1075" s="62" t="s">
        <v>66</v>
      </c>
      <c r="D1075" s="63" t="s">
        <v>69</v>
      </c>
      <c r="E1075" s="64">
        <v>1.0</v>
      </c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</row>
    <row r="1076" ht="15.75" customHeight="1">
      <c r="A1076" s="61" t="str">
        <f t="shared" si="1"/>
        <v>Rio de JaneiroVitória da ConquistaNavio</v>
      </c>
      <c r="B1076" s="62" t="s">
        <v>37</v>
      </c>
      <c r="C1076" s="62" t="s">
        <v>66</v>
      </c>
      <c r="D1076" s="63" t="s">
        <v>52</v>
      </c>
      <c r="E1076" s="64" t="s">
        <v>112</v>
      </c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</row>
    <row r="1077" ht="15.75" customHeight="1">
      <c r="A1077" s="61" t="str">
        <f t="shared" si="1"/>
        <v>SalvadorBelémNavio</v>
      </c>
      <c r="B1077" s="62" t="s">
        <v>37</v>
      </c>
      <c r="C1077" s="62" t="s">
        <v>67</v>
      </c>
      <c r="D1077" s="63" t="s">
        <v>51</v>
      </c>
      <c r="E1077" s="64">
        <v>4.0</v>
      </c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</row>
    <row r="1078" ht="15.75" customHeight="1">
      <c r="A1078" s="61" t="str">
        <f t="shared" si="1"/>
        <v>SalvadorBelo HorizonteNavio</v>
      </c>
      <c r="B1078" s="62" t="s">
        <v>37</v>
      </c>
      <c r="C1078" s="62" t="s">
        <v>67</v>
      </c>
      <c r="D1078" s="63" t="s">
        <v>57</v>
      </c>
      <c r="E1078" s="64" t="s">
        <v>112</v>
      </c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</row>
    <row r="1079" ht="15.75" customHeight="1">
      <c r="A1079" s="61" t="str">
        <f t="shared" si="1"/>
        <v>SalvadorBrasíliaNavio</v>
      </c>
      <c r="B1079" s="62" t="s">
        <v>37</v>
      </c>
      <c r="C1079" s="62" t="s">
        <v>67</v>
      </c>
      <c r="D1079" s="63" t="s">
        <v>58</v>
      </c>
      <c r="E1079" s="64" t="s">
        <v>112</v>
      </c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</row>
    <row r="1080" ht="15.75" customHeight="1">
      <c r="A1080" s="61" t="str">
        <f t="shared" si="1"/>
        <v>SalvadorCampinasNavio</v>
      </c>
      <c r="B1080" s="62" t="s">
        <v>37</v>
      </c>
      <c r="C1080" s="62" t="s">
        <v>67</v>
      </c>
      <c r="D1080" s="63" t="s">
        <v>77</v>
      </c>
      <c r="E1080" s="64" t="s">
        <v>112</v>
      </c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</row>
    <row r="1081" ht="15.75" customHeight="1">
      <c r="A1081" s="61" t="str">
        <f t="shared" si="1"/>
        <v>SalvadorCampo GrandeNavio</v>
      </c>
      <c r="B1081" s="62" t="s">
        <v>37</v>
      </c>
      <c r="C1081" s="62" t="s">
        <v>67</v>
      </c>
      <c r="D1081" s="63" t="s">
        <v>59</v>
      </c>
      <c r="E1081" s="64" t="s">
        <v>112</v>
      </c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</row>
    <row r="1082" ht="15.75" customHeight="1">
      <c r="A1082" s="61" t="str">
        <f t="shared" si="1"/>
        <v>SalvadorCuiabáNavio</v>
      </c>
      <c r="B1082" s="62" t="s">
        <v>37</v>
      </c>
      <c r="C1082" s="62" t="s">
        <v>67</v>
      </c>
      <c r="D1082" s="63" t="s">
        <v>29</v>
      </c>
      <c r="E1082" s="64" t="s">
        <v>112</v>
      </c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</row>
    <row r="1083" ht="15.75" customHeight="1">
      <c r="A1083" s="61" t="str">
        <f t="shared" si="1"/>
        <v>SalvadorCuritibaNavio</v>
      </c>
      <c r="B1083" s="62" t="s">
        <v>37</v>
      </c>
      <c r="C1083" s="62" t="s">
        <v>67</v>
      </c>
      <c r="D1083" s="63" t="s">
        <v>76</v>
      </c>
      <c r="E1083" s="64">
        <v>3.0</v>
      </c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</row>
    <row r="1084" ht="15.75" customHeight="1">
      <c r="A1084" s="61" t="str">
        <f t="shared" si="1"/>
        <v>SalvadorFortalezaNavio</v>
      </c>
      <c r="B1084" s="62" t="s">
        <v>37</v>
      </c>
      <c r="C1084" s="62" t="s">
        <v>67</v>
      </c>
      <c r="D1084" s="63" t="s">
        <v>60</v>
      </c>
      <c r="E1084" s="64" t="s">
        <v>112</v>
      </c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</row>
    <row r="1085" ht="15.75" customHeight="1">
      <c r="A1085" s="61" t="str">
        <f t="shared" si="1"/>
        <v>SalvadorGoiâniaNavio</v>
      </c>
      <c r="B1085" s="62" t="s">
        <v>37</v>
      </c>
      <c r="C1085" s="62" t="s">
        <v>67</v>
      </c>
      <c r="D1085" s="63" t="s">
        <v>61</v>
      </c>
      <c r="E1085" s="64" t="s">
        <v>112</v>
      </c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</row>
    <row r="1086" ht="15.75" customHeight="1">
      <c r="A1086" s="61" t="str">
        <f t="shared" si="1"/>
        <v>SalvadorJoão PessoaNavio</v>
      </c>
      <c r="B1086" s="62" t="s">
        <v>37</v>
      </c>
      <c r="C1086" s="62" t="s">
        <v>67</v>
      </c>
      <c r="D1086" s="63" t="s">
        <v>62</v>
      </c>
      <c r="E1086" s="64" t="s">
        <v>112</v>
      </c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</row>
    <row r="1087" ht="15.75" customHeight="1">
      <c r="A1087" s="61" t="str">
        <f t="shared" si="1"/>
        <v>SalvadorJoinvilleNavio</v>
      </c>
      <c r="B1087" s="62" t="s">
        <v>37</v>
      </c>
      <c r="C1087" s="62" t="s">
        <v>67</v>
      </c>
      <c r="D1087" s="63" t="s">
        <v>28</v>
      </c>
      <c r="E1087" s="64">
        <v>3.0</v>
      </c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</row>
    <row r="1088" ht="15.75" customHeight="1">
      <c r="A1088" s="61" t="str">
        <f t="shared" si="1"/>
        <v>SalvadorMaceióNavio</v>
      </c>
      <c r="B1088" s="62" t="s">
        <v>37</v>
      </c>
      <c r="C1088" s="62" t="s">
        <v>67</v>
      </c>
      <c r="D1088" s="63" t="s">
        <v>63</v>
      </c>
      <c r="E1088" s="64">
        <v>1.0</v>
      </c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</row>
    <row r="1089" ht="15.75" customHeight="1">
      <c r="A1089" s="61" t="str">
        <f t="shared" si="1"/>
        <v>SalvadorManausNavio</v>
      </c>
      <c r="B1089" s="62" t="s">
        <v>37</v>
      </c>
      <c r="C1089" s="62" t="s">
        <v>67</v>
      </c>
      <c r="D1089" s="63" t="s">
        <v>23</v>
      </c>
      <c r="E1089" s="64">
        <v>6.0</v>
      </c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</row>
    <row r="1090" ht="15.75" customHeight="1">
      <c r="A1090" s="61" t="str">
        <f t="shared" si="1"/>
        <v>SalvadorNatalNavio</v>
      </c>
      <c r="B1090" s="62" t="s">
        <v>37</v>
      </c>
      <c r="C1090" s="62" t="s">
        <v>67</v>
      </c>
      <c r="D1090" s="63" t="s">
        <v>64</v>
      </c>
      <c r="E1090" s="64" t="s">
        <v>112</v>
      </c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</row>
    <row r="1091" ht="15.75" customHeight="1">
      <c r="A1091" s="61" t="str">
        <f t="shared" si="1"/>
        <v>SalvadorPorto AlegreNavio</v>
      </c>
      <c r="B1091" s="62" t="s">
        <v>37</v>
      </c>
      <c r="C1091" s="62" t="s">
        <v>67</v>
      </c>
      <c r="D1091" s="63" t="s">
        <v>31</v>
      </c>
      <c r="E1091" s="64">
        <v>4.0</v>
      </c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</row>
    <row r="1092" ht="15.75" customHeight="1">
      <c r="A1092" s="61" t="str">
        <f t="shared" si="1"/>
        <v>SalvadorRecifeNavio</v>
      </c>
      <c r="B1092" s="62" t="s">
        <v>37</v>
      </c>
      <c r="C1092" s="62" t="s">
        <v>67</v>
      </c>
      <c r="D1092" s="63" t="s">
        <v>65</v>
      </c>
      <c r="E1092" s="64">
        <v>1.0</v>
      </c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</row>
    <row r="1093" ht="15.75" customHeight="1">
      <c r="A1093" s="61" t="str">
        <f t="shared" si="1"/>
        <v>SalvadorRibeirão PretoNavio</v>
      </c>
      <c r="B1093" s="62" t="s">
        <v>37</v>
      </c>
      <c r="C1093" s="62" t="s">
        <v>67</v>
      </c>
      <c r="D1093" s="63" t="s">
        <v>78</v>
      </c>
      <c r="E1093" s="64" t="s">
        <v>112</v>
      </c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</row>
    <row r="1094" ht="15.75" customHeight="1">
      <c r="A1094" s="61" t="str">
        <f t="shared" si="1"/>
        <v>SalvadorRio de JaneiroNavio</v>
      </c>
      <c r="B1094" s="62" t="s">
        <v>37</v>
      </c>
      <c r="C1094" s="62" t="s">
        <v>67</v>
      </c>
      <c r="D1094" s="63" t="s">
        <v>66</v>
      </c>
      <c r="E1094" s="64">
        <v>2.0</v>
      </c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</row>
    <row r="1095" ht="15.75" customHeight="1">
      <c r="A1095" s="61" t="str">
        <f t="shared" si="1"/>
        <v>SalvadorSalvadorNavio</v>
      </c>
      <c r="B1095" s="62" t="s">
        <v>37</v>
      </c>
      <c r="C1095" s="62" t="s">
        <v>67</v>
      </c>
      <c r="D1095" s="63" t="s">
        <v>67</v>
      </c>
      <c r="E1095" s="64">
        <v>0.0</v>
      </c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</row>
    <row r="1096" ht="15.75" customHeight="1">
      <c r="A1096" s="61" t="str">
        <f t="shared" si="1"/>
        <v>SalvadorSantosNavio</v>
      </c>
      <c r="B1096" s="62" t="s">
        <v>37</v>
      </c>
      <c r="C1096" s="62" t="s">
        <v>67</v>
      </c>
      <c r="D1096" s="63" t="s">
        <v>38</v>
      </c>
      <c r="E1096" s="64">
        <v>2.0</v>
      </c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</row>
    <row r="1097" ht="15.75" customHeight="1">
      <c r="A1097" s="61" t="str">
        <f t="shared" si="1"/>
        <v>SalvadorSão LuísNavio</v>
      </c>
      <c r="B1097" s="62" t="s">
        <v>37</v>
      </c>
      <c r="C1097" s="62" t="s">
        <v>67</v>
      </c>
      <c r="D1097" s="63" t="s">
        <v>36</v>
      </c>
      <c r="E1097" s="64">
        <v>3.0</v>
      </c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</row>
    <row r="1098" ht="15.75" customHeight="1">
      <c r="A1098" s="61" t="str">
        <f t="shared" si="1"/>
        <v>SalvadorSão PauloNavio</v>
      </c>
      <c r="B1098" s="62" t="s">
        <v>37</v>
      </c>
      <c r="C1098" s="62" t="s">
        <v>67</v>
      </c>
      <c r="D1098" s="63" t="s">
        <v>75</v>
      </c>
      <c r="E1098" s="64" t="s">
        <v>112</v>
      </c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</row>
    <row r="1099" ht="15.75" customHeight="1">
      <c r="A1099" s="61" t="str">
        <f t="shared" si="1"/>
        <v>SalvadorUberlândiaNavio</v>
      </c>
      <c r="B1099" s="62" t="s">
        <v>37</v>
      </c>
      <c r="C1099" s="62" t="s">
        <v>67</v>
      </c>
      <c r="D1099" s="63" t="s">
        <v>68</v>
      </c>
      <c r="E1099" s="64" t="s">
        <v>112</v>
      </c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</row>
    <row r="1100" ht="15.75" customHeight="1">
      <c r="A1100" s="61" t="str">
        <f t="shared" si="1"/>
        <v>SalvadorVitóriaNavio</v>
      </c>
      <c r="B1100" s="62" t="s">
        <v>37</v>
      </c>
      <c r="C1100" s="62" t="s">
        <v>67</v>
      </c>
      <c r="D1100" s="63" t="s">
        <v>69</v>
      </c>
      <c r="E1100" s="64">
        <v>1.0</v>
      </c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</row>
    <row r="1101" ht="15.75" customHeight="1">
      <c r="A1101" s="61" t="str">
        <f t="shared" si="1"/>
        <v>SalvadorVitória da ConquistaNavio</v>
      </c>
      <c r="B1101" s="62" t="s">
        <v>37</v>
      </c>
      <c r="C1101" s="62" t="s">
        <v>67</v>
      </c>
      <c r="D1101" s="63" t="s">
        <v>52</v>
      </c>
      <c r="E1101" s="64" t="s">
        <v>112</v>
      </c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</row>
    <row r="1102" ht="15.75" customHeight="1">
      <c r="A1102" s="61" t="str">
        <f t="shared" si="1"/>
        <v>SantosBelémNavio</v>
      </c>
      <c r="B1102" s="62" t="s">
        <v>37</v>
      </c>
      <c r="C1102" s="62" t="s">
        <v>38</v>
      </c>
      <c r="D1102" s="63" t="s">
        <v>51</v>
      </c>
      <c r="E1102" s="64">
        <v>6.0</v>
      </c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</row>
    <row r="1103" ht="15.75" customHeight="1">
      <c r="A1103" s="61" t="str">
        <f t="shared" si="1"/>
        <v>SantosBelo HorizonteNavio</v>
      </c>
      <c r="B1103" s="62" t="s">
        <v>37</v>
      </c>
      <c r="C1103" s="62" t="s">
        <v>38</v>
      </c>
      <c r="D1103" s="63" t="s">
        <v>57</v>
      </c>
      <c r="E1103" s="64" t="s">
        <v>112</v>
      </c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</row>
    <row r="1104" ht="15.75" customHeight="1">
      <c r="A1104" s="61" t="str">
        <f t="shared" si="1"/>
        <v>SantosBrasíliaNavio</v>
      </c>
      <c r="B1104" s="62" t="s">
        <v>37</v>
      </c>
      <c r="C1104" s="62" t="s">
        <v>38</v>
      </c>
      <c r="D1104" s="63" t="s">
        <v>58</v>
      </c>
      <c r="E1104" s="64" t="s">
        <v>112</v>
      </c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</row>
    <row r="1105" ht="15.75" customHeight="1">
      <c r="A1105" s="61" t="str">
        <f t="shared" si="1"/>
        <v>SantosCampinasNavio</v>
      </c>
      <c r="B1105" s="62" t="s">
        <v>37</v>
      </c>
      <c r="C1105" s="62" t="s">
        <v>38</v>
      </c>
      <c r="D1105" s="63" t="s">
        <v>77</v>
      </c>
      <c r="E1105" s="64" t="s">
        <v>112</v>
      </c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</row>
    <row r="1106" ht="15.75" customHeight="1">
      <c r="A1106" s="61" t="str">
        <f t="shared" si="1"/>
        <v>SantosCampo GrandeNavio</v>
      </c>
      <c r="B1106" s="62" t="s">
        <v>37</v>
      </c>
      <c r="C1106" s="62" t="s">
        <v>38</v>
      </c>
      <c r="D1106" s="63" t="s">
        <v>59</v>
      </c>
      <c r="E1106" s="64" t="s">
        <v>112</v>
      </c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</row>
    <row r="1107" ht="15.75" customHeight="1">
      <c r="A1107" s="61" t="str">
        <f t="shared" si="1"/>
        <v>SantosCuiabáNavio</v>
      </c>
      <c r="B1107" s="62" t="s">
        <v>37</v>
      </c>
      <c r="C1107" s="62" t="s">
        <v>38</v>
      </c>
      <c r="D1107" s="63" t="s">
        <v>29</v>
      </c>
      <c r="E1107" s="64" t="s">
        <v>112</v>
      </c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</row>
    <row r="1108" ht="15.75" customHeight="1">
      <c r="A1108" s="61" t="str">
        <f t="shared" si="1"/>
        <v>SantosCuritibaNavio</v>
      </c>
      <c r="B1108" s="62" t="s">
        <v>37</v>
      </c>
      <c r="C1108" s="62" t="s">
        <v>38</v>
      </c>
      <c r="D1108" s="63" t="s">
        <v>76</v>
      </c>
      <c r="E1108" s="64">
        <v>0.0</v>
      </c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</row>
    <row r="1109" ht="15.75" customHeight="1">
      <c r="A1109" s="61" t="str">
        <f t="shared" si="1"/>
        <v>SantosFortalezaNavio</v>
      </c>
      <c r="B1109" s="62" t="s">
        <v>37</v>
      </c>
      <c r="C1109" s="62" t="s">
        <v>38</v>
      </c>
      <c r="D1109" s="63" t="s">
        <v>60</v>
      </c>
      <c r="E1109" s="64">
        <v>4.0</v>
      </c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</row>
    <row r="1110" ht="15.75" customHeight="1">
      <c r="A1110" s="61" t="str">
        <f t="shared" si="1"/>
        <v>SantosGoiâniaNavio</v>
      </c>
      <c r="B1110" s="62" t="s">
        <v>37</v>
      </c>
      <c r="C1110" s="62" t="s">
        <v>38</v>
      </c>
      <c r="D1110" s="63" t="s">
        <v>61</v>
      </c>
      <c r="E1110" s="64" t="s">
        <v>112</v>
      </c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</row>
    <row r="1111" ht="15.75" customHeight="1">
      <c r="A1111" s="61" t="str">
        <f t="shared" si="1"/>
        <v>SantosJoão PessoaNavio</v>
      </c>
      <c r="B1111" s="62" t="s">
        <v>37</v>
      </c>
      <c r="C1111" s="62" t="s">
        <v>38</v>
      </c>
      <c r="D1111" s="63" t="s">
        <v>62</v>
      </c>
      <c r="E1111" s="64" t="s">
        <v>112</v>
      </c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</row>
    <row r="1112" ht="15.75" customHeight="1">
      <c r="A1112" s="61" t="str">
        <f t="shared" si="1"/>
        <v>SantosJoinvilleNavio</v>
      </c>
      <c r="B1112" s="62" t="s">
        <v>37</v>
      </c>
      <c r="C1112" s="62" t="s">
        <v>38</v>
      </c>
      <c r="D1112" s="63" t="s">
        <v>28</v>
      </c>
      <c r="E1112" s="64">
        <v>1.0</v>
      </c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</row>
    <row r="1113" ht="15.75" customHeight="1">
      <c r="A1113" s="61" t="str">
        <f t="shared" si="1"/>
        <v>SantosMaceióNavio</v>
      </c>
      <c r="B1113" s="62" t="s">
        <v>37</v>
      </c>
      <c r="C1113" s="62" t="s">
        <v>38</v>
      </c>
      <c r="D1113" s="63" t="s">
        <v>63</v>
      </c>
      <c r="E1113" s="64">
        <v>3.0</v>
      </c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</row>
    <row r="1114" ht="15.75" customHeight="1">
      <c r="A1114" s="61" t="str">
        <f t="shared" si="1"/>
        <v>SantosManausNavio</v>
      </c>
      <c r="B1114" s="62" t="s">
        <v>37</v>
      </c>
      <c r="C1114" s="62" t="s">
        <v>38</v>
      </c>
      <c r="D1114" s="63" t="s">
        <v>23</v>
      </c>
      <c r="E1114" s="64">
        <v>8.0</v>
      </c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</row>
    <row r="1115" ht="15.75" customHeight="1">
      <c r="A1115" s="61" t="str">
        <f t="shared" si="1"/>
        <v>SantosNatalNavio</v>
      </c>
      <c r="B1115" s="62" t="s">
        <v>37</v>
      </c>
      <c r="C1115" s="62" t="s">
        <v>38</v>
      </c>
      <c r="D1115" s="63" t="s">
        <v>64</v>
      </c>
      <c r="E1115" s="64">
        <v>4.0</v>
      </c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</row>
    <row r="1116" ht="15.75" customHeight="1">
      <c r="A1116" s="61" t="str">
        <f t="shared" si="1"/>
        <v>SantosPorto AlegreNavio</v>
      </c>
      <c r="B1116" s="62" t="s">
        <v>37</v>
      </c>
      <c r="C1116" s="62" t="s">
        <v>38</v>
      </c>
      <c r="D1116" s="63" t="s">
        <v>31</v>
      </c>
      <c r="E1116" s="64">
        <v>2.0</v>
      </c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</row>
    <row r="1117" ht="15.75" customHeight="1">
      <c r="A1117" s="61" t="str">
        <f t="shared" si="1"/>
        <v>SantosRecifeNavio</v>
      </c>
      <c r="B1117" s="62" t="s">
        <v>37</v>
      </c>
      <c r="C1117" s="62" t="s">
        <v>38</v>
      </c>
      <c r="D1117" s="63" t="s">
        <v>65</v>
      </c>
      <c r="E1117" s="64">
        <v>3.0</v>
      </c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</row>
    <row r="1118" ht="15.75" customHeight="1">
      <c r="A1118" s="61" t="str">
        <f t="shared" si="1"/>
        <v>SantosRibeirão PretoNavio</v>
      </c>
      <c r="B1118" s="62" t="s">
        <v>37</v>
      </c>
      <c r="C1118" s="62" t="s">
        <v>38</v>
      </c>
      <c r="D1118" s="63" t="s">
        <v>78</v>
      </c>
      <c r="E1118" s="64" t="s">
        <v>112</v>
      </c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</row>
    <row r="1119" ht="15.75" customHeight="1">
      <c r="A1119" s="61" t="str">
        <f t="shared" si="1"/>
        <v>SantosRio de JaneiroNavio</v>
      </c>
      <c r="B1119" s="62" t="s">
        <v>37</v>
      </c>
      <c r="C1119" s="62" t="s">
        <v>38</v>
      </c>
      <c r="D1119" s="63" t="s">
        <v>66</v>
      </c>
      <c r="E1119" s="64">
        <v>1.0</v>
      </c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</row>
    <row r="1120" ht="15.75" customHeight="1">
      <c r="A1120" s="61" t="str">
        <f t="shared" si="1"/>
        <v>SantosSalvadorNavio</v>
      </c>
      <c r="B1120" s="62" t="s">
        <v>37</v>
      </c>
      <c r="C1120" s="62" t="s">
        <v>38</v>
      </c>
      <c r="D1120" s="63" t="s">
        <v>67</v>
      </c>
      <c r="E1120" s="64">
        <v>2.0</v>
      </c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</row>
    <row r="1121" ht="15.75" customHeight="1">
      <c r="A1121" s="61" t="str">
        <f t="shared" si="1"/>
        <v>SantosSantosNavio</v>
      </c>
      <c r="B1121" s="62" t="s">
        <v>37</v>
      </c>
      <c r="C1121" s="62" t="s">
        <v>38</v>
      </c>
      <c r="D1121" s="63" t="s">
        <v>38</v>
      </c>
      <c r="E1121" s="64">
        <v>0.0</v>
      </c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</row>
    <row r="1122" ht="15.75" customHeight="1">
      <c r="A1122" s="61" t="str">
        <f t="shared" si="1"/>
        <v>SantosSão LuísNavio</v>
      </c>
      <c r="B1122" s="62" t="s">
        <v>37</v>
      </c>
      <c r="C1122" s="62" t="s">
        <v>38</v>
      </c>
      <c r="D1122" s="63" t="s">
        <v>36</v>
      </c>
      <c r="E1122" s="64">
        <v>5.0</v>
      </c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</row>
    <row r="1123" ht="15.75" customHeight="1">
      <c r="A1123" s="61" t="str">
        <f t="shared" si="1"/>
        <v>SantosSão PauloNavio</v>
      </c>
      <c r="B1123" s="62" t="s">
        <v>37</v>
      </c>
      <c r="C1123" s="62" t="s">
        <v>38</v>
      </c>
      <c r="D1123" s="63" t="s">
        <v>75</v>
      </c>
      <c r="E1123" s="64" t="s">
        <v>112</v>
      </c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</row>
    <row r="1124" ht="15.75" customHeight="1">
      <c r="A1124" s="61" t="str">
        <f t="shared" si="1"/>
        <v>SantosUberlândiaNavio</v>
      </c>
      <c r="B1124" s="62" t="s">
        <v>37</v>
      </c>
      <c r="C1124" s="62" t="s">
        <v>38</v>
      </c>
      <c r="D1124" s="63" t="s">
        <v>68</v>
      </c>
      <c r="E1124" s="64" t="s">
        <v>112</v>
      </c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</row>
    <row r="1125" ht="15.75" customHeight="1">
      <c r="A1125" s="61" t="str">
        <f t="shared" si="1"/>
        <v>SantosVitóriaNavio</v>
      </c>
      <c r="B1125" s="62" t="s">
        <v>37</v>
      </c>
      <c r="C1125" s="62" t="s">
        <v>38</v>
      </c>
      <c r="D1125" s="63" t="s">
        <v>69</v>
      </c>
      <c r="E1125" s="64">
        <v>1.0</v>
      </c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</row>
    <row r="1126" ht="15.75" customHeight="1">
      <c r="A1126" s="61" t="str">
        <f t="shared" si="1"/>
        <v>SantosVitória da ConquistaNavio</v>
      </c>
      <c r="B1126" s="62" t="s">
        <v>37</v>
      </c>
      <c r="C1126" s="62" t="s">
        <v>38</v>
      </c>
      <c r="D1126" s="63" t="s">
        <v>52</v>
      </c>
      <c r="E1126" s="64" t="s">
        <v>112</v>
      </c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</row>
    <row r="1127" ht="15.75" customHeight="1">
      <c r="A1127" s="61" t="str">
        <f t="shared" si="1"/>
        <v>São LuísBelémNavio</v>
      </c>
      <c r="B1127" s="62" t="s">
        <v>37</v>
      </c>
      <c r="C1127" s="63" t="s">
        <v>36</v>
      </c>
      <c r="D1127" s="63" t="s">
        <v>51</v>
      </c>
      <c r="E1127" s="64">
        <v>1.0</v>
      </c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</row>
    <row r="1128" ht="15.75" customHeight="1">
      <c r="A1128" s="61" t="str">
        <f t="shared" si="1"/>
        <v>São LuísBelo HorizonteNavio</v>
      </c>
      <c r="B1128" s="62" t="s">
        <v>37</v>
      </c>
      <c r="C1128" s="63" t="s">
        <v>36</v>
      </c>
      <c r="D1128" s="63" t="s">
        <v>57</v>
      </c>
      <c r="E1128" s="64" t="s">
        <v>112</v>
      </c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</row>
    <row r="1129" ht="15.75" customHeight="1">
      <c r="A1129" s="61" t="str">
        <f t="shared" si="1"/>
        <v>São LuísBrasíliaNavio</v>
      </c>
      <c r="B1129" s="62" t="s">
        <v>37</v>
      </c>
      <c r="C1129" s="63" t="s">
        <v>36</v>
      </c>
      <c r="D1129" s="63" t="s">
        <v>58</v>
      </c>
      <c r="E1129" s="64" t="s">
        <v>112</v>
      </c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</row>
    <row r="1130" ht="15.75" customHeight="1">
      <c r="A1130" s="61" t="str">
        <f t="shared" si="1"/>
        <v>São LuísCampinasNavio</v>
      </c>
      <c r="B1130" s="62" t="s">
        <v>37</v>
      </c>
      <c r="C1130" s="63" t="s">
        <v>36</v>
      </c>
      <c r="D1130" s="63" t="s">
        <v>77</v>
      </c>
      <c r="E1130" s="64" t="s">
        <v>112</v>
      </c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</row>
    <row r="1131" ht="15.75" customHeight="1">
      <c r="A1131" s="61" t="str">
        <f t="shared" si="1"/>
        <v>São LuísCampo GrandeNavio</v>
      </c>
      <c r="B1131" s="62" t="s">
        <v>37</v>
      </c>
      <c r="C1131" s="63" t="s">
        <v>36</v>
      </c>
      <c r="D1131" s="63" t="s">
        <v>59</v>
      </c>
      <c r="E1131" s="64" t="s">
        <v>112</v>
      </c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</row>
    <row r="1132" ht="15.75" customHeight="1">
      <c r="A1132" s="61" t="str">
        <f t="shared" si="1"/>
        <v>São LuísCuiabáNavio</v>
      </c>
      <c r="B1132" s="62" t="s">
        <v>37</v>
      </c>
      <c r="C1132" s="63" t="s">
        <v>36</v>
      </c>
      <c r="D1132" s="63" t="s">
        <v>29</v>
      </c>
      <c r="E1132" s="64" t="s">
        <v>112</v>
      </c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</row>
    <row r="1133" ht="15.75" customHeight="1">
      <c r="A1133" s="61" t="str">
        <f t="shared" si="1"/>
        <v>São LuísCuritibaNavio</v>
      </c>
      <c r="B1133" s="62" t="s">
        <v>37</v>
      </c>
      <c r="C1133" s="63" t="s">
        <v>36</v>
      </c>
      <c r="D1133" s="63" t="s">
        <v>76</v>
      </c>
      <c r="E1133" s="64">
        <v>6.0</v>
      </c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</row>
    <row r="1134" ht="15.75" customHeight="1">
      <c r="A1134" s="61" t="str">
        <f t="shared" si="1"/>
        <v>São LuísFortalezaNavio</v>
      </c>
      <c r="B1134" s="62" t="s">
        <v>37</v>
      </c>
      <c r="C1134" s="63" t="s">
        <v>36</v>
      </c>
      <c r="D1134" s="63" t="s">
        <v>60</v>
      </c>
      <c r="E1134" s="64">
        <v>1.0</v>
      </c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</row>
    <row r="1135" ht="15.75" customHeight="1">
      <c r="A1135" s="61" t="str">
        <f t="shared" si="1"/>
        <v>São LuísGoiâniaNavio</v>
      </c>
      <c r="B1135" s="62" t="s">
        <v>37</v>
      </c>
      <c r="C1135" s="63" t="s">
        <v>36</v>
      </c>
      <c r="D1135" s="63" t="s">
        <v>61</v>
      </c>
      <c r="E1135" s="64" t="s">
        <v>112</v>
      </c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</row>
    <row r="1136" ht="15.75" customHeight="1">
      <c r="A1136" s="61" t="str">
        <f t="shared" si="1"/>
        <v>São LuísJoão PessoaNavio</v>
      </c>
      <c r="B1136" s="62" t="s">
        <v>37</v>
      </c>
      <c r="C1136" s="63" t="s">
        <v>36</v>
      </c>
      <c r="D1136" s="63" t="s">
        <v>62</v>
      </c>
      <c r="E1136" s="64">
        <v>2.0</v>
      </c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</row>
    <row r="1137" ht="15.75" customHeight="1">
      <c r="A1137" s="61" t="str">
        <f t="shared" si="1"/>
        <v>São LuísJoinvilleNavio</v>
      </c>
      <c r="B1137" s="62" t="s">
        <v>37</v>
      </c>
      <c r="C1137" s="63" t="s">
        <v>36</v>
      </c>
      <c r="D1137" s="63" t="s">
        <v>28</v>
      </c>
      <c r="E1137" s="64">
        <v>6.0</v>
      </c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</row>
    <row r="1138" ht="15.75" customHeight="1">
      <c r="A1138" s="61" t="str">
        <f t="shared" si="1"/>
        <v>São LuísMaceióNavio</v>
      </c>
      <c r="B1138" s="62" t="s">
        <v>37</v>
      </c>
      <c r="C1138" s="63" t="s">
        <v>36</v>
      </c>
      <c r="D1138" s="63" t="s">
        <v>63</v>
      </c>
      <c r="E1138" s="64">
        <v>2.0</v>
      </c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</row>
    <row r="1139" ht="15.75" customHeight="1">
      <c r="A1139" s="61" t="str">
        <f t="shared" si="1"/>
        <v>São LuísManausNavio</v>
      </c>
      <c r="B1139" s="62" t="s">
        <v>37</v>
      </c>
      <c r="C1139" s="63" t="s">
        <v>36</v>
      </c>
      <c r="D1139" s="63" t="s">
        <v>23</v>
      </c>
      <c r="E1139" s="64">
        <v>3.0</v>
      </c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</row>
    <row r="1140" ht="15.75" customHeight="1">
      <c r="A1140" s="61" t="str">
        <f t="shared" si="1"/>
        <v>São LuísNatalNavio</v>
      </c>
      <c r="B1140" s="62" t="s">
        <v>37</v>
      </c>
      <c r="C1140" s="63" t="s">
        <v>36</v>
      </c>
      <c r="D1140" s="63" t="s">
        <v>64</v>
      </c>
      <c r="E1140" s="64">
        <v>2.0</v>
      </c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</row>
    <row r="1141" ht="15.75" customHeight="1">
      <c r="A1141" s="61" t="str">
        <f t="shared" si="1"/>
        <v>São LuísPorto AlegreNavio</v>
      </c>
      <c r="B1141" s="62" t="s">
        <v>37</v>
      </c>
      <c r="C1141" s="63" t="s">
        <v>36</v>
      </c>
      <c r="D1141" s="63" t="s">
        <v>31</v>
      </c>
      <c r="E1141" s="64">
        <v>7.0</v>
      </c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</row>
    <row r="1142" ht="15.75" customHeight="1">
      <c r="A1142" s="61" t="str">
        <f t="shared" si="1"/>
        <v>São LuísRecifeNavio</v>
      </c>
      <c r="B1142" s="62" t="s">
        <v>37</v>
      </c>
      <c r="C1142" s="63" t="s">
        <v>36</v>
      </c>
      <c r="D1142" s="63" t="s">
        <v>65</v>
      </c>
      <c r="E1142" s="64">
        <v>2.0</v>
      </c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</row>
    <row r="1143" ht="15.75" customHeight="1">
      <c r="A1143" s="61" t="str">
        <f t="shared" si="1"/>
        <v>São LuísRibeirão PretoNavio</v>
      </c>
      <c r="B1143" s="62" t="s">
        <v>37</v>
      </c>
      <c r="C1143" s="63" t="s">
        <v>36</v>
      </c>
      <c r="D1143" s="63" t="s">
        <v>78</v>
      </c>
      <c r="E1143" s="64" t="s">
        <v>112</v>
      </c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</row>
    <row r="1144" ht="15.75" customHeight="1">
      <c r="A1144" s="61" t="str">
        <f t="shared" si="1"/>
        <v>São LuísRio de JaneiroNavio</v>
      </c>
      <c r="B1144" s="62" t="s">
        <v>37</v>
      </c>
      <c r="C1144" s="63" t="s">
        <v>36</v>
      </c>
      <c r="D1144" s="63" t="s">
        <v>66</v>
      </c>
      <c r="E1144" s="64">
        <v>5.0</v>
      </c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</row>
    <row r="1145" ht="15.75" customHeight="1">
      <c r="A1145" s="61" t="str">
        <f t="shared" si="1"/>
        <v>São LuísSalvadorNavio</v>
      </c>
      <c r="B1145" s="62" t="s">
        <v>37</v>
      </c>
      <c r="C1145" s="63" t="s">
        <v>36</v>
      </c>
      <c r="D1145" s="63" t="s">
        <v>67</v>
      </c>
      <c r="E1145" s="64">
        <v>3.0</v>
      </c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</row>
    <row r="1146" ht="15.75" customHeight="1">
      <c r="A1146" s="61" t="str">
        <f t="shared" si="1"/>
        <v>São LuísSantosNavio</v>
      </c>
      <c r="B1146" s="62" t="s">
        <v>37</v>
      </c>
      <c r="C1146" s="63" t="s">
        <v>36</v>
      </c>
      <c r="D1146" s="63" t="s">
        <v>38</v>
      </c>
      <c r="E1146" s="64">
        <v>5.0</v>
      </c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</row>
    <row r="1147" ht="15.75" customHeight="1">
      <c r="A1147" s="61" t="str">
        <f t="shared" si="1"/>
        <v>São LuísSão LuísNavio</v>
      </c>
      <c r="B1147" s="62" t="s">
        <v>37</v>
      </c>
      <c r="C1147" s="63" t="s">
        <v>36</v>
      </c>
      <c r="D1147" s="63" t="s">
        <v>36</v>
      </c>
      <c r="E1147" s="64">
        <v>0.0</v>
      </c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</row>
    <row r="1148" ht="15.75" customHeight="1">
      <c r="A1148" s="61" t="str">
        <f t="shared" si="1"/>
        <v>São LuísSão PauloNavio</v>
      </c>
      <c r="B1148" s="62" t="s">
        <v>37</v>
      </c>
      <c r="C1148" s="63" t="s">
        <v>36</v>
      </c>
      <c r="D1148" s="63" t="s">
        <v>75</v>
      </c>
      <c r="E1148" s="64" t="s">
        <v>112</v>
      </c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</row>
    <row r="1149" ht="15.75" customHeight="1">
      <c r="A1149" s="61" t="str">
        <f t="shared" si="1"/>
        <v>São LuísUberlândiaNavio</v>
      </c>
      <c r="B1149" s="62" t="s">
        <v>37</v>
      </c>
      <c r="C1149" s="63" t="s">
        <v>36</v>
      </c>
      <c r="D1149" s="63" t="s">
        <v>68</v>
      </c>
      <c r="E1149" s="64" t="s">
        <v>112</v>
      </c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</row>
    <row r="1150" ht="15.75" customHeight="1">
      <c r="A1150" s="61" t="str">
        <f t="shared" si="1"/>
        <v>São LuísVitóriaNavio</v>
      </c>
      <c r="B1150" s="62" t="s">
        <v>37</v>
      </c>
      <c r="C1150" s="63" t="s">
        <v>36</v>
      </c>
      <c r="D1150" s="63" t="s">
        <v>69</v>
      </c>
      <c r="E1150" s="64">
        <v>4.0</v>
      </c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</row>
    <row r="1151" ht="15.75" customHeight="1">
      <c r="A1151" s="61" t="str">
        <f t="shared" si="1"/>
        <v>São LuísVitória da ConquistaNavio</v>
      </c>
      <c r="B1151" s="62" t="s">
        <v>37</v>
      </c>
      <c r="C1151" s="63" t="s">
        <v>36</v>
      </c>
      <c r="D1151" s="63" t="s">
        <v>52</v>
      </c>
      <c r="E1151" s="64" t="s">
        <v>112</v>
      </c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</row>
    <row r="1152" ht="15.75" customHeight="1">
      <c r="A1152" s="61" t="str">
        <f t="shared" si="1"/>
        <v>São PauloBelémNavio</v>
      </c>
      <c r="B1152" s="62" t="s">
        <v>37</v>
      </c>
      <c r="C1152" s="62" t="s">
        <v>75</v>
      </c>
      <c r="D1152" s="63" t="s">
        <v>51</v>
      </c>
      <c r="E1152" s="64" t="s">
        <v>112</v>
      </c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</row>
    <row r="1153" ht="15.75" customHeight="1">
      <c r="A1153" s="61" t="str">
        <f t="shared" si="1"/>
        <v>São PauloBelo HorizonteNavio</v>
      </c>
      <c r="B1153" s="62" t="s">
        <v>37</v>
      </c>
      <c r="C1153" s="62" t="s">
        <v>75</v>
      </c>
      <c r="D1153" s="63" t="s">
        <v>57</v>
      </c>
      <c r="E1153" s="64" t="s">
        <v>112</v>
      </c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</row>
    <row r="1154" ht="15.75" customHeight="1">
      <c r="A1154" s="61" t="str">
        <f t="shared" si="1"/>
        <v>São PauloBrasíliaNavio</v>
      </c>
      <c r="B1154" s="62" t="s">
        <v>37</v>
      </c>
      <c r="C1154" s="62" t="s">
        <v>75</v>
      </c>
      <c r="D1154" s="63" t="s">
        <v>58</v>
      </c>
      <c r="E1154" s="64" t="s">
        <v>112</v>
      </c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</row>
    <row r="1155" ht="15.75" customHeight="1">
      <c r="A1155" s="61" t="str">
        <f t="shared" si="1"/>
        <v>São PauloCampinasNavio</v>
      </c>
      <c r="B1155" s="62" t="s">
        <v>37</v>
      </c>
      <c r="C1155" s="62" t="s">
        <v>75</v>
      </c>
      <c r="D1155" s="63" t="s">
        <v>77</v>
      </c>
      <c r="E1155" s="64" t="s">
        <v>112</v>
      </c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</row>
    <row r="1156" ht="15.75" customHeight="1">
      <c r="A1156" s="61" t="str">
        <f t="shared" si="1"/>
        <v>São PauloCampo GrandeNavio</v>
      </c>
      <c r="B1156" s="62" t="s">
        <v>37</v>
      </c>
      <c r="C1156" s="62" t="s">
        <v>75</v>
      </c>
      <c r="D1156" s="63" t="s">
        <v>59</v>
      </c>
      <c r="E1156" s="64" t="s">
        <v>112</v>
      </c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</row>
    <row r="1157" ht="15.75" customHeight="1">
      <c r="A1157" s="61" t="str">
        <f t="shared" si="1"/>
        <v>São PauloCuiabáNavio</v>
      </c>
      <c r="B1157" s="62" t="s">
        <v>37</v>
      </c>
      <c r="C1157" s="62" t="s">
        <v>75</v>
      </c>
      <c r="D1157" s="63" t="s">
        <v>29</v>
      </c>
      <c r="E1157" s="64" t="s">
        <v>112</v>
      </c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</row>
    <row r="1158" ht="15.75" customHeight="1">
      <c r="A1158" s="61" t="str">
        <f t="shared" si="1"/>
        <v>São PauloCuritibaNavio</v>
      </c>
      <c r="B1158" s="62" t="s">
        <v>37</v>
      </c>
      <c r="C1158" s="62" t="s">
        <v>75</v>
      </c>
      <c r="D1158" s="63" t="s">
        <v>76</v>
      </c>
      <c r="E1158" s="64" t="s">
        <v>112</v>
      </c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</row>
    <row r="1159" ht="15.75" customHeight="1">
      <c r="A1159" s="61" t="str">
        <f t="shared" si="1"/>
        <v>São PauloFortalezaNavio</v>
      </c>
      <c r="B1159" s="62" t="s">
        <v>37</v>
      </c>
      <c r="C1159" s="62" t="s">
        <v>75</v>
      </c>
      <c r="D1159" s="63" t="s">
        <v>60</v>
      </c>
      <c r="E1159" s="64" t="s">
        <v>112</v>
      </c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</row>
    <row r="1160" ht="15.75" customHeight="1">
      <c r="A1160" s="61" t="str">
        <f t="shared" si="1"/>
        <v>São PauloGoiâniaNavio</v>
      </c>
      <c r="B1160" s="62" t="s">
        <v>37</v>
      </c>
      <c r="C1160" s="62" t="s">
        <v>75</v>
      </c>
      <c r="D1160" s="63" t="s">
        <v>61</v>
      </c>
      <c r="E1160" s="64" t="s">
        <v>112</v>
      </c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</row>
    <row r="1161" ht="15.75" customHeight="1">
      <c r="A1161" s="61" t="str">
        <f t="shared" si="1"/>
        <v>São PauloJoão PessoaNavio</v>
      </c>
      <c r="B1161" s="62" t="s">
        <v>37</v>
      </c>
      <c r="C1161" s="62" t="s">
        <v>75</v>
      </c>
      <c r="D1161" s="63" t="s">
        <v>62</v>
      </c>
      <c r="E1161" s="64" t="s">
        <v>112</v>
      </c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</row>
    <row r="1162" ht="15.75" customHeight="1">
      <c r="A1162" s="61" t="str">
        <f t="shared" si="1"/>
        <v>São PauloJoinvilleNavio</v>
      </c>
      <c r="B1162" s="62" t="s">
        <v>37</v>
      </c>
      <c r="C1162" s="62" t="s">
        <v>75</v>
      </c>
      <c r="D1162" s="63" t="s">
        <v>28</v>
      </c>
      <c r="E1162" s="64" t="s">
        <v>112</v>
      </c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</row>
    <row r="1163" ht="15.75" customHeight="1">
      <c r="A1163" s="61" t="str">
        <f t="shared" si="1"/>
        <v>São PauloMaceióNavio</v>
      </c>
      <c r="B1163" s="62" t="s">
        <v>37</v>
      </c>
      <c r="C1163" s="62" t="s">
        <v>75</v>
      </c>
      <c r="D1163" s="63" t="s">
        <v>63</v>
      </c>
      <c r="E1163" s="64" t="s">
        <v>112</v>
      </c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</row>
    <row r="1164" ht="15.75" customHeight="1">
      <c r="A1164" s="61" t="str">
        <f t="shared" si="1"/>
        <v>São PauloManausNavio</v>
      </c>
      <c r="B1164" s="62" t="s">
        <v>37</v>
      </c>
      <c r="C1164" s="62" t="s">
        <v>75</v>
      </c>
      <c r="D1164" s="63" t="s">
        <v>23</v>
      </c>
      <c r="E1164" s="64" t="s">
        <v>112</v>
      </c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</row>
    <row r="1165" ht="15.75" customHeight="1">
      <c r="A1165" s="61" t="str">
        <f t="shared" si="1"/>
        <v>São PauloNatalNavio</v>
      </c>
      <c r="B1165" s="62" t="s">
        <v>37</v>
      </c>
      <c r="C1165" s="62" t="s">
        <v>75</v>
      </c>
      <c r="D1165" s="63" t="s">
        <v>64</v>
      </c>
      <c r="E1165" s="64" t="s">
        <v>112</v>
      </c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</row>
    <row r="1166" ht="15.75" customHeight="1">
      <c r="A1166" s="61" t="str">
        <f t="shared" si="1"/>
        <v>São PauloPorto AlegreNavio</v>
      </c>
      <c r="B1166" s="62" t="s">
        <v>37</v>
      </c>
      <c r="C1166" s="62" t="s">
        <v>75</v>
      </c>
      <c r="D1166" s="63" t="s">
        <v>31</v>
      </c>
      <c r="E1166" s="64" t="s">
        <v>112</v>
      </c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</row>
    <row r="1167" ht="15.75" customHeight="1">
      <c r="A1167" s="61" t="str">
        <f t="shared" si="1"/>
        <v>São PauloRecifeNavio</v>
      </c>
      <c r="B1167" s="62" t="s">
        <v>37</v>
      </c>
      <c r="C1167" s="62" t="s">
        <v>75</v>
      </c>
      <c r="D1167" s="63" t="s">
        <v>65</v>
      </c>
      <c r="E1167" s="64" t="s">
        <v>112</v>
      </c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</row>
    <row r="1168" ht="15.75" customHeight="1">
      <c r="A1168" s="61" t="str">
        <f t="shared" si="1"/>
        <v>São PauloRibeirão PretoNavio</v>
      </c>
      <c r="B1168" s="62" t="s">
        <v>37</v>
      </c>
      <c r="C1168" s="62" t="s">
        <v>75</v>
      </c>
      <c r="D1168" s="63" t="s">
        <v>78</v>
      </c>
      <c r="E1168" s="64" t="s">
        <v>112</v>
      </c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</row>
    <row r="1169" ht="15.75" customHeight="1">
      <c r="A1169" s="61" t="str">
        <f t="shared" si="1"/>
        <v>São PauloRio de JaneiroNavio</v>
      </c>
      <c r="B1169" s="62" t="s">
        <v>37</v>
      </c>
      <c r="C1169" s="62" t="s">
        <v>75</v>
      </c>
      <c r="D1169" s="63" t="s">
        <v>66</v>
      </c>
      <c r="E1169" s="64" t="s">
        <v>112</v>
      </c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</row>
    <row r="1170" ht="15.75" customHeight="1">
      <c r="A1170" s="61" t="str">
        <f t="shared" si="1"/>
        <v>São PauloSalvadorNavio</v>
      </c>
      <c r="B1170" s="62" t="s">
        <v>37</v>
      </c>
      <c r="C1170" s="62" t="s">
        <v>75</v>
      </c>
      <c r="D1170" s="63" t="s">
        <v>67</v>
      </c>
      <c r="E1170" s="64" t="s">
        <v>112</v>
      </c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</row>
    <row r="1171" ht="15.75" customHeight="1">
      <c r="A1171" s="61" t="str">
        <f t="shared" si="1"/>
        <v>São PauloSantosNavio</v>
      </c>
      <c r="B1171" s="62" t="s">
        <v>37</v>
      </c>
      <c r="C1171" s="62" t="s">
        <v>75</v>
      </c>
      <c r="D1171" s="63" t="s">
        <v>38</v>
      </c>
      <c r="E1171" s="64" t="s">
        <v>112</v>
      </c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</row>
    <row r="1172" ht="15.75" customHeight="1">
      <c r="A1172" s="61" t="str">
        <f t="shared" si="1"/>
        <v>São PauloSão LuísNavio</v>
      </c>
      <c r="B1172" s="62" t="s">
        <v>37</v>
      </c>
      <c r="C1172" s="62" t="s">
        <v>75</v>
      </c>
      <c r="D1172" s="63" t="s">
        <v>36</v>
      </c>
      <c r="E1172" s="64" t="s">
        <v>112</v>
      </c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</row>
    <row r="1173" ht="15.75" customHeight="1">
      <c r="A1173" s="61" t="str">
        <f t="shared" si="1"/>
        <v>São PauloSão PauloNavio</v>
      </c>
      <c r="B1173" s="62" t="s">
        <v>37</v>
      </c>
      <c r="C1173" s="62" t="s">
        <v>75</v>
      </c>
      <c r="D1173" s="63" t="s">
        <v>75</v>
      </c>
      <c r="E1173" s="64" t="s">
        <v>112</v>
      </c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</row>
    <row r="1174" ht="15.75" customHeight="1">
      <c r="A1174" s="61" t="str">
        <f t="shared" si="1"/>
        <v>São PauloUberlândiaNavio</v>
      </c>
      <c r="B1174" s="62" t="s">
        <v>37</v>
      </c>
      <c r="C1174" s="62" t="s">
        <v>75</v>
      </c>
      <c r="D1174" s="63" t="s">
        <v>68</v>
      </c>
      <c r="E1174" s="64" t="s">
        <v>112</v>
      </c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</row>
    <row r="1175" ht="15.75" customHeight="1">
      <c r="A1175" s="61" t="str">
        <f t="shared" si="1"/>
        <v>São PauloVitóriaNavio</v>
      </c>
      <c r="B1175" s="62" t="s">
        <v>37</v>
      </c>
      <c r="C1175" s="62" t="s">
        <v>75</v>
      </c>
      <c r="D1175" s="63" t="s">
        <v>69</v>
      </c>
      <c r="E1175" s="64" t="s">
        <v>112</v>
      </c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</row>
    <row r="1176" ht="15.75" customHeight="1">
      <c r="A1176" s="61" t="str">
        <f t="shared" si="1"/>
        <v>São PauloVitória da ConquistaNavio</v>
      </c>
      <c r="B1176" s="62" t="s">
        <v>37</v>
      </c>
      <c r="C1176" s="62" t="s">
        <v>75</v>
      </c>
      <c r="D1176" s="63" t="s">
        <v>52</v>
      </c>
      <c r="E1176" s="64" t="s">
        <v>112</v>
      </c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</row>
    <row r="1177" ht="15.75" customHeight="1">
      <c r="A1177" s="61" t="str">
        <f t="shared" si="1"/>
        <v>UberlândiaBelémNavio</v>
      </c>
      <c r="B1177" s="62" t="s">
        <v>37</v>
      </c>
      <c r="C1177" s="62" t="s">
        <v>68</v>
      </c>
      <c r="D1177" s="63" t="s">
        <v>51</v>
      </c>
      <c r="E1177" s="64" t="s">
        <v>112</v>
      </c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</row>
    <row r="1178" ht="15.75" customHeight="1">
      <c r="A1178" s="61" t="str">
        <f t="shared" si="1"/>
        <v>UberlândiaBelo HorizonteNavio</v>
      </c>
      <c r="B1178" s="62" t="s">
        <v>37</v>
      </c>
      <c r="C1178" s="62" t="s">
        <v>68</v>
      </c>
      <c r="D1178" s="63" t="s">
        <v>57</v>
      </c>
      <c r="E1178" s="64" t="s">
        <v>112</v>
      </c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</row>
    <row r="1179" ht="15.75" customHeight="1">
      <c r="A1179" s="61" t="str">
        <f t="shared" si="1"/>
        <v>UberlândiaBrasíliaNavio</v>
      </c>
      <c r="B1179" s="62" t="s">
        <v>37</v>
      </c>
      <c r="C1179" s="62" t="s">
        <v>68</v>
      </c>
      <c r="D1179" s="63" t="s">
        <v>58</v>
      </c>
      <c r="E1179" s="64" t="s">
        <v>112</v>
      </c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</row>
    <row r="1180" ht="15.75" customHeight="1">
      <c r="A1180" s="61" t="str">
        <f t="shared" si="1"/>
        <v>UberlândiaCampinasNavio</v>
      </c>
      <c r="B1180" s="62" t="s">
        <v>37</v>
      </c>
      <c r="C1180" s="62" t="s">
        <v>68</v>
      </c>
      <c r="D1180" s="63" t="s">
        <v>77</v>
      </c>
      <c r="E1180" s="64" t="s">
        <v>112</v>
      </c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</row>
    <row r="1181" ht="15.75" customHeight="1">
      <c r="A1181" s="61" t="str">
        <f t="shared" si="1"/>
        <v>UberlândiaCampo GrandeNavio</v>
      </c>
      <c r="B1181" s="62" t="s">
        <v>37</v>
      </c>
      <c r="C1181" s="62" t="s">
        <v>68</v>
      </c>
      <c r="D1181" s="63" t="s">
        <v>59</v>
      </c>
      <c r="E1181" s="64" t="s">
        <v>112</v>
      </c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</row>
    <row r="1182" ht="15.75" customHeight="1">
      <c r="A1182" s="61" t="str">
        <f t="shared" si="1"/>
        <v>UberlândiaCuiabáNavio</v>
      </c>
      <c r="B1182" s="62" t="s">
        <v>37</v>
      </c>
      <c r="C1182" s="62" t="s">
        <v>68</v>
      </c>
      <c r="D1182" s="63" t="s">
        <v>29</v>
      </c>
      <c r="E1182" s="64" t="s">
        <v>112</v>
      </c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</row>
    <row r="1183" ht="15.75" customHeight="1">
      <c r="A1183" s="61" t="str">
        <f t="shared" si="1"/>
        <v>UberlândiaCuritibaNavio</v>
      </c>
      <c r="B1183" s="62" t="s">
        <v>37</v>
      </c>
      <c r="C1183" s="62" t="s">
        <v>68</v>
      </c>
      <c r="D1183" s="63" t="s">
        <v>76</v>
      </c>
      <c r="E1183" s="64" t="s">
        <v>112</v>
      </c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</row>
    <row r="1184" ht="15.75" customHeight="1">
      <c r="A1184" s="61" t="str">
        <f t="shared" si="1"/>
        <v>UberlândiaFortalezaNavio</v>
      </c>
      <c r="B1184" s="62" t="s">
        <v>37</v>
      </c>
      <c r="C1184" s="62" t="s">
        <v>68</v>
      </c>
      <c r="D1184" s="63" t="s">
        <v>60</v>
      </c>
      <c r="E1184" s="64" t="s">
        <v>112</v>
      </c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</row>
    <row r="1185" ht="15.75" customHeight="1">
      <c r="A1185" s="61" t="str">
        <f t="shared" si="1"/>
        <v>UberlândiaGoiâniaNavio</v>
      </c>
      <c r="B1185" s="62" t="s">
        <v>37</v>
      </c>
      <c r="C1185" s="62" t="s">
        <v>68</v>
      </c>
      <c r="D1185" s="63" t="s">
        <v>61</v>
      </c>
      <c r="E1185" s="64" t="s">
        <v>112</v>
      </c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</row>
    <row r="1186" ht="15.75" customHeight="1">
      <c r="A1186" s="61" t="str">
        <f t="shared" si="1"/>
        <v>UberlândiaJoão PessoaNavio</v>
      </c>
      <c r="B1186" s="62" t="s">
        <v>37</v>
      </c>
      <c r="C1186" s="62" t="s">
        <v>68</v>
      </c>
      <c r="D1186" s="63" t="s">
        <v>62</v>
      </c>
      <c r="E1186" s="64" t="s">
        <v>112</v>
      </c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</row>
    <row r="1187" ht="15.75" customHeight="1">
      <c r="A1187" s="61" t="str">
        <f t="shared" si="1"/>
        <v>UberlândiaJoinvilleNavio</v>
      </c>
      <c r="B1187" s="62" t="s">
        <v>37</v>
      </c>
      <c r="C1187" s="62" t="s">
        <v>68</v>
      </c>
      <c r="D1187" s="63" t="s">
        <v>28</v>
      </c>
      <c r="E1187" s="64" t="s">
        <v>112</v>
      </c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</row>
    <row r="1188" ht="15.75" customHeight="1">
      <c r="A1188" s="61" t="str">
        <f t="shared" si="1"/>
        <v>UberlândiaMaceióNavio</v>
      </c>
      <c r="B1188" s="62" t="s">
        <v>37</v>
      </c>
      <c r="C1188" s="62" t="s">
        <v>68</v>
      </c>
      <c r="D1188" s="63" t="s">
        <v>63</v>
      </c>
      <c r="E1188" s="64" t="s">
        <v>112</v>
      </c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</row>
    <row r="1189" ht="15.75" customHeight="1">
      <c r="A1189" s="61" t="str">
        <f t="shared" si="1"/>
        <v>UberlândiaManausNavio</v>
      </c>
      <c r="B1189" s="62" t="s">
        <v>37</v>
      </c>
      <c r="C1189" s="62" t="s">
        <v>68</v>
      </c>
      <c r="D1189" s="63" t="s">
        <v>23</v>
      </c>
      <c r="E1189" s="64" t="s">
        <v>112</v>
      </c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</row>
    <row r="1190" ht="15.75" customHeight="1">
      <c r="A1190" s="61" t="str">
        <f t="shared" si="1"/>
        <v>UberlândiaNatalNavio</v>
      </c>
      <c r="B1190" s="62" t="s">
        <v>37</v>
      </c>
      <c r="C1190" s="62" t="s">
        <v>68</v>
      </c>
      <c r="D1190" s="63" t="s">
        <v>64</v>
      </c>
      <c r="E1190" s="64" t="s">
        <v>112</v>
      </c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</row>
    <row r="1191" ht="15.75" customHeight="1">
      <c r="A1191" s="61" t="str">
        <f t="shared" si="1"/>
        <v>UberlândiaPorto AlegreNavio</v>
      </c>
      <c r="B1191" s="62" t="s">
        <v>37</v>
      </c>
      <c r="C1191" s="62" t="s">
        <v>68</v>
      </c>
      <c r="D1191" s="63" t="s">
        <v>31</v>
      </c>
      <c r="E1191" s="64" t="s">
        <v>112</v>
      </c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</row>
    <row r="1192" ht="15.75" customHeight="1">
      <c r="A1192" s="61" t="str">
        <f t="shared" si="1"/>
        <v>UberlândiaRecifeNavio</v>
      </c>
      <c r="B1192" s="62" t="s">
        <v>37</v>
      </c>
      <c r="C1192" s="62" t="s">
        <v>68</v>
      </c>
      <c r="D1192" s="63" t="s">
        <v>65</v>
      </c>
      <c r="E1192" s="64" t="s">
        <v>112</v>
      </c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</row>
    <row r="1193" ht="15.75" customHeight="1">
      <c r="A1193" s="61" t="str">
        <f t="shared" si="1"/>
        <v>UberlândiaRibeirão PretoNavio</v>
      </c>
      <c r="B1193" s="62" t="s">
        <v>37</v>
      </c>
      <c r="C1193" s="62" t="s">
        <v>68</v>
      </c>
      <c r="D1193" s="63" t="s">
        <v>78</v>
      </c>
      <c r="E1193" s="64" t="s">
        <v>112</v>
      </c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</row>
    <row r="1194" ht="15.75" customHeight="1">
      <c r="A1194" s="61" t="str">
        <f t="shared" si="1"/>
        <v>UberlândiaRio de JaneiroNavio</v>
      </c>
      <c r="B1194" s="62" t="s">
        <v>37</v>
      </c>
      <c r="C1194" s="62" t="s">
        <v>68</v>
      </c>
      <c r="D1194" s="63" t="s">
        <v>66</v>
      </c>
      <c r="E1194" s="64" t="s">
        <v>112</v>
      </c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</row>
    <row r="1195" ht="15.75" customHeight="1">
      <c r="A1195" s="61" t="str">
        <f t="shared" si="1"/>
        <v>UberlândiaSalvadorNavio</v>
      </c>
      <c r="B1195" s="62" t="s">
        <v>37</v>
      </c>
      <c r="C1195" s="62" t="s">
        <v>68</v>
      </c>
      <c r="D1195" s="63" t="s">
        <v>67</v>
      </c>
      <c r="E1195" s="64" t="s">
        <v>112</v>
      </c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</row>
    <row r="1196" ht="15.75" customHeight="1">
      <c r="A1196" s="61" t="str">
        <f t="shared" si="1"/>
        <v>UberlândiaSantosNavio</v>
      </c>
      <c r="B1196" s="62" t="s">
        <v>37</v>
      </c>
      <c r="C1196" s="62" t="s">
        <v>68</v>
      </c>
      <c r="D1196" s="63" t="s">
        <v>38</v>
      </c>
      <c r="E1196" s="64" t="s">
        <v>112</v>
      </c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</row>
    <row r="1197" ht="15.75" customHeight="1">
      <c r="A1197" s="61" t="str">
        <f t="shared" si="1"/>
        <v>UberlândiaSão LuísNavio</v>
      </c>
      <c r="B1197" s="62" t="s">
        <v>37</v>
      </c>
      <c r="C1197" s="62" t="s">
        <v>68</v>
      </c>
      <c r="D1197" s="63" t="s">
        <v>36</v>
      </c>
      <c r="E1197" s="64" t="s">
        <v>112</v>
      </c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</row>
    <row r="1198" ht="15.75" customHeight="1">
      <c r="A1198" s="61" t="str">
        <f t="shared" si="1"/>
        <v>UberlândiaSão PauloNavio</v>
      </c>
      <c r="B1198" s="62" t="s">
        <v>37</v>
      </c>
      <c r="C1198" s="62" t="s">
        <v>68</v>
      </c>
      <c r="D1198" s="63" t="s">
        <v>75</v>
      </c>
      <c r="E1198" s="64" t="s">
        <v>112</v>
      </c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</row>
    <row r="1199" ht="15.75" customHeight="1">
      <c r="A1199" s="61" t="str">
        <f t="shared" si="1"/>
        <v>UberlândiaUberlândiaNavio</v>
      </c>
      <c r="B1199" s="62" t="s">
        <v>37</v>
      </c>
      <c r="C1199" s="62" t="s">
        <v>68</v>
      </c>
      <c r="D1199" s="63" t="s">
        <v>68</v>
      </c>
      <c r="E1199" s="64" t="s">
        <v>112</v>
      </c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</row>
    <row r="1200" ht="15.75" customHeight="1">
      <c r="A1200" s="61" t="str">
        <f t="shared" si="1"/>
        <v>UberlândiaVitóriaNavio</v>
      </c>
      <c r="B1200" s="62" t="s">
        <v>37</v>
      </c>
      <c r="C1200" s="62" t="s">
        <v>68</v>
      </c>
      <c r="D1200" s="63" t="s">
        <v>69</v>
      </c>
      <c r="E1200" s="64" t="s">
        <v>112</v>
      </c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</row>
    <row r="1201" ht="15.75" customHeight="1">
      <c r="A1201" s="61" t="str">
        <f t="shared" si="1"/>
        <v>UberlândiaVitória da ConquistaNavio</v>
      </c>
      <c r="B1201" s="62" t="s">
        <v>37</v>
      </c>
      <c r="C1201" s="62" t="s">
        <v>68</v>
      </c>
      <c r="D1201" s="63" t="s">
        <v>52</v>
      </c>
      <c r="E1201" s="64" t="s">
        <v>112</v>
      </c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</row>
    <row r="1202" ht="15.75" customHeight="1">
      <c r="A1202" s="61" t="str">
        <f t="shared" si="1"/>
        <v>VitóriaBelémNavio</v>
      </c>
      <c r="B1202" s="62" t="s">
        <v>37</v>
      </c>
      <c r="C1202" s="62" t="s">
        <v>69</v>
      </c>
      <c r="D1202" s="63" t="s">
        <v>51</v>
      </c>
      <c r="E1202" s="64">
        <v>5.0</v>
      </c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</row>
    <row r="1203" ht="15.75" customHeight="1">
      <c r="A1203" s="61" t="str">
        <f t="shared" si="1"/>
        <v>VitóriaBelo HorizonteNavio</v>
      </c>
      <c r="B1203" s="62" t="s">
        <v>37</v>
      </c>
      <c r="C1203" s="62" t="s">
        <v>69</v>
      </c>
      <c r="D1203" s="63" t="s">
        <v>57</v>
      </c>
      <c r="E1203" s="64" t="s">
        <v>112</v>
      </c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</row>
    <row r="1204" ht="15.75" customHeight="1">
      <c r="A1204" s="61" t="str">
        <f t="shared" si="1"/>
        <v>VitóriaBrasíliaNavio</v>
      </c>
      <c r="B1204" s="62" t="s">
        <v>37</v>
      </c>
      <c r="C1204" s="62" t="s">
        <v>69</v>
      </c>
      <c r="D1204" s="63" t="s">
        <v>58</v>
      </c>
      <c r="E1204" s="64" t="s">
        <v>112</v>
      </c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</row>
    <row r="1205" ht="15.75" customHeight="1">
      <c r="A1205" s="61" t="str">
        <f t="shared" si="1"/>
        <v>VitóriaCampinasNavio</v>
      </c>
      <c r="B1205" s="62" t="s">
        <v>37</v>
      </c>
      <c r="C1205" s="62" t="s">
        <v>69</v>
      </c>
      <c r="D1205" s="63" t="s">
        <v>77</v>
      </c>
      <c r="E1205" s="64" t="s">
        <v>112</v>
      </c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</row>
    <row r="1206" ht="15.75" customHeight="1">
      <c r="A1206" s="61" t="str">
        <f t="shared" si="1"/>
        <v>VitóriaCampo GrandeNavio</v>
      </c>
      <c r="B1206" s="62" t="s">
        <v>37</v>
      </c>
      <c r="C1206" s="62" t="s">
        <v>69</v>
      </c>
      <c r="D1206" s="63" t="s">
        <v>59</v>
      </c>
      <c r="E1206" s="64" t="s">
        <v>112</v>
      </c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</row>
    <row r="1207" ht="15.75" customHeight="1">
      <c r="A1207" s="61" t="str">
        <f t="shared" si="1"/>
        <v>VitóriaCuiabáNavio</v>
      </c>
      <c r="B1207" s="62" t="s">
        <v>37</v>
      </c>
      <c r="C1207" s="62" t="s">
        <v>69</v>
      </c>
      <c r="D1207" s="63" t="s">
        <v>29</v>
      </c>
      <c r="E1207" s="64" t="s">
        <v>112</v>
      </c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</row>
    <row r="1208" ht="15.75" customHeight="1">
      <c r="A1208" s="61" t="str">
        <f t="shared" si="1"/>
        <v>VitóriaCuritibaNavio</v>
      </c>
      <c r="B1208" s="62" t="s">
        <v>37</v>
      </c>
      <c r="C1208" s="62" t="s">
        <v>69</v>
      </c>
      <c r="D1208" s="63" t="s">
        <v>76</v>
      </c>
      <c r="E1208" s="64">
        <v>2.0</v>
      </c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</row>
    <row r="1209" ht="15.75" customHeight="1">
      <c r="A1209" s="61" t="str">
        <f t="shared" si="1"/>
        <v>VitóriaFortalezaNavio</v>
      </c>
      <c r="B1209" s="62" t="s">
        <v>37</v>
      </c>
      <c r="C1209" s="62" t="s">
        <v>69</v>
      </c>
      <c r="D1209" s="63" t="s">
        <v>60</v>
      </c>
      <c r="E1209" s="64">
        <v>3.0</v>
      </c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</row>
    <row r="1210" ht="15.75" customHeight="1">
      <c r="A1210" s="61" t="str">
        <f t="shared" si="1"/>
        <v>VitóriaGoiâniaNavio</v>
      </c>
      <c r="B1210" s="62" t="s">
        <v>37</v>
      </c>
      <c r="C1210" s="62" t="s">
        <v>69</v>
      </c>
      <c r="D1210" s="63" t="s">
        <v>61</v>
      </c>
      <c r="E1210" s="64" t="s">
        <v>112</v>
      </c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</row>
    <row r="1211" ht="15.75" customHeight="1">
      <c r="A1211" s="61" t="str">
        <f t="shared" si="1"/>
        <v>VitóriaJoão PessoaNavio</v>
      </c>
      <c r="B1211" s="62" t="s">
        <v>37</v>
      </c>
      <c r="C1211" s="62" t="s">
        <v>69</v>
      </c>
      <c r="D1211" s="63" t="s">
        <v>62</v>
      </c>
      <c r="E1211" s="64" t="s">
        <v>112</v>
      </c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</row>
    <row r="1212" ht="15.75" customHeight="1">
      <c r="A1212" s="61" t="str">
        <f t="shared" si="1"/>
        <v>VitóriaJoinvilleNavio</v>
      </c>
      <c r="B1212" s="62" t="s">
        <v>37</v>
      </c>
      <c r="C1212" s="62" t="s">
        <v>69</v>
      </c>
      <c r="D1212" s="63" t="s">
        <v>28</v>
      </c>
      <c r="E1212" s="64" t="s">
        <v>112</v>
      </c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</row>
    <row r="1213" ht="15.75" customHeight="1">
      <c r="A1213" s="61" t="str">
        <f t="shared" si="1"/>
        <v>VitóriaMaceióNavio</v>
      </c>
      <c r="B1213" s="62" t="s">
        <v>37</v>
      </c>
      <c r="C1213" s="62" t="s">
        <v>69</v>
      </c>
      <c r="D1213" s="63" t="s">
        <v>63</v>
      </c>
      <c r="E1213" s="64">
        <v>2.0</v>
      </c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</row>
    <row r="1214" ht="15.75" customHeight="1">
      <c r="A1214" s="61" t="str">
        <f t="shared" si="1"/>
        <v>VitóriaManausNavio</v>
      </c>
      <c r="B1214" s="62" t="s">
        <v>37</v>
      </c>
      <c r="C1214" s="62" t="s">
        <v>69</v>
      </c>
      <c r="D1214" s="63" t="s">
        <v>23</v>
      </c>
      <c r="E1214" s="64">
        <v>7.0</v>
      </c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</row>
    <row r="1215" ht="15.75" customHeight="1">
      <c r="A1215" s="61" t="str">
        <f t="shared" si="1"/>
        <v>VitóriaNatalNavio</v>
      </c>
      <c r="B1215" s="62" t="s">
        <v>37</v>
      </c>
      <c r="C1215" s="62" t="s">
        <v>69</v>
      </c>
      <c r="D1215" s="63" t="s">
        <v>64</v>
      </c>
      <c r="E1215" s="64">
        <v>2.0</v>
      </c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</row>
    <row r="1216" ht="15.75" customHeight="1">
      <c r="A1216" s="61" t="str">
        <f t="shared" si="1"/>
        <v>VitóriaPorto AlegreNavio</v>
      </c>
      <c r="B1216" s="62" t="s">
        <v>37</v>
      </c>
      <c r="C1216" s="62" t="s">
        <v>69</v>
      </c>
      <c r="D1216" s="63" t="s">
        <v>31</v>
      </c>
      <c r="E1216" s="64">
        <v>3.0</v>
      </c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</row>
    <row r="1217" ht="15.75" customHeight="1">
      <c r="A1217" s="61" t="str">
        <f t="shared" si="1"/>
        <v>VitóriaRecifeNavio</v>
      </c>
      <c r="B1217" s="62" t="s">
        <v>37</v>
      </c>
      <c r="C1217" s="62" t="s">
        <v>69</v>
      </c>
      <c r="D1217" s="63" t="s">
        <v>65</v>
      </c>
      <c r="E1217" s="64">
        <v>2.0</v>
      </c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</row>
    <row r="1218" ht="15.75" customHeight="1">
      <c r="A1218" s="61" t="str">
        <f t="shared" si="1"/>
        <v>VitóriaRibeirão PretoNavio</v>
      </c>
      <c r="B1218" s="62" t="s">
        <v>37</v>
      </c>
      <c r="C1218" s="62" t="s">
        <v>69</v>
      </c>
      <c r="D1218" s="63" t="s">
        <v>78</v>
      </c>
      <c r="E1218" s="64" t="s">
        <v>112</v>
      </c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</row>
    <row r="1219" ht="15.75" customHeight="1">
      <c r="A1219" s="61" t="str">
        <f t="shared" si="1"/>
        <v>VitóriaRio de JaneiroNavio</v>
      </c>
      <c r="B1219" s="62" t="s">
        <v>37</v>
      </c>
      <c r="C1219" s="62" t="s">
        <v>69</v>
      </c>
      <c r="D1219" s="63" t="s">
        <v>66</v>
      </c>
      <c r="E1219" s="64">
        <v>1.0</v>
      </c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</row>
    <row r="1220" ht="15.75" customHeight="1">
      <c r="A1220" s="61" t="str">
        <f t="shared" si="1"/>
        <v>VitóriaSalvadorNavio</v>
      </c>
      <c r="B1220" s="62" t="s">
        <v>37</v>
      </c>
      <c r="C1220" s="62" t="s">
        <v>69</v>
      </c>
      <c r="D1220" s="63" t="s">
        <v>67</v>
      </c>
      <c r="E1220" s="64">
        <v>1.0</v>
      </c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</row>
    <row r="1221" ht="15.75" customHeight="1">
      <c r="A1221" s="61" t="str">
        <f t="shared" si="1"/>
        <v>VitóriaSantosNavio</v>
      </c>
      <c r="B1221" s="62" t="s">
        <v>37</v>
      </c>
      <c r="C1221" s="62" t="s">
        <v>69</v>
      </c>
      <c r="D1221" s="63" t="s">
        <v>38</v>
      </c>
      <c r="E1221" s="64">
        <v>1.0</v>
      </c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</row>
    <row r="1222" ht="15.75" customHeight="1">
      <c r="A1222" s="61" t="str">
        <f t="shared" si="1"/>
        <v>VitóriaSão LuísNavio</v>
      </c>
      <c r="B1222" s="62" t="s">
        <v>37</v>
      </c>
      <c r="C1222" s="62" t="s">
        <v>69</v>
      </c>
      <c r="D1222" s="63" t="s">
        <v>36</v>
      </c>
      <c r="E1222" s="64">
        <v>4.0</v>
      </c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</row>
    <row r="1223" ht="15.75" customHeight="1">
      <c r="A1223" s="61" t="str">
        <f t="shared" si="1"/>
        <v>VitóriaSão PauloNavio</v>
      </c>
      <c r="B1223" s="62" t="s">
        <v>37</v>
      </c>
      <c r="C1223" s="62" t="s">
        <v>69</v>
      </c>
      <c r="D1223" s="63" t="s">
        <v>75</v>
      </c>
      <c r="E1223" s="64" t="s">
        <v>112</v>
      </c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</row>
    <row r="1224" ht="15.75" customHeight="1">
      <c r="A1224" s="61" t="str">
        <f t="shared" si="1"/>
        <v>VitóriaUberlândiaNavio</v>
      </c>
      <c r="B1224" s="62" t="s">
        <v>37</v>
      </c>
      <c r="C1224" s="62" t="s">
        <v>69</v>
      </c>
      <c r="D1224" s="63" t="s">
        <v>68</v>
      </c>
      <c r="E1224" s="64" t="s">
        <v>112</v>
      </c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</row>
    <row r="1225" ht="15.75" customHeight="1">
      <c r="A1225" s="61" t="str">
        <f t="shared" si="1"/>
        <v>VitóriaVitóriaNavio</v>
      </c>
      <c r="B1225" s="62" t="s">
        <v>37</v>
      </c>
      <c r="C1225" s="62" t="s">
        <v>69</v>
      </c>
      <c r="D1225" s="63" t="s">
        <v>69</v>
      </c>
      <c r="E1225" s="64">
        <v>0.0</v>
      </c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</row>
    <row r="1226" ht="15.75" customHeight="1">
      <c r="A1226" s="61" t="str">
        <f t="shared" si="1"/>
        <v>VitóriaVitória da ConquistaNavio</v>
      </c>
      <c r="B1226" s="62" t="s">
        <v>37</v>
      </c>
      <c r="C1226" s="62" t="s">
        <v>69</v>
      </c>
      <c r="D1226" s="63" t="s">
        <v>52</v>
      </c>
      <c r="E1226" s="64" t="s">
        <v>112</v>
      </c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</row>
    <row r="1227" ht="15.75" customHeight="1">
      <c r="A1227" s="61" t="str">
        <f t="shared" si="1"/>
        <v>Vitória da ConquistaBelémNavio</v>
      </c>
      <c r="B1227" s="62" t="s">
        <v>37</v>
      </c>
      <c r="C1227" s="62" t="s">
        <v>52</v>
      </c>
      <c r="D1227" s="63" t="s">
        <v>51</v>
      </c>
      <c r="E1227" s="64" t="s">
        <v>112</v>
      </c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</row>
    <row r="1228" ht="15.75" customHeight="1">
      <c r="A1228" s="61" t="str">
        <f t="shared" si="1"/>
        <v>Vitória da ConquistaBelo HorizonteNavio</v>
      </c>
      <c r="B1228" s="62" t="s">
        <v>37</v>
      </c>
      <c r="C1228" s="62" t="s">
        <v>52</v>
      </c>
      <c r="D1228" s="63" t="s">
        <v>57</v>
      </c>
      <c r="E1228" s="64" t="s">
        <v>112</v>
      </c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</row>
    <row r="1229" ht="15.75" customHeight="1">
      <c r="A1229" s="61" t="str">
        <f t="shared" si="1"/>
        <v>Vitória da ConquistaBrasíliaNavio</v>
      </c>
      <c r="B1229" s="62" t="s">
        <v>37</v>
      </c>
      <c r="C1229" s="62" t="s">
        <v>52</v>
      </c>
      <c r="D1229" s="63" t="s">
        <v>58</v>
      </c>
      <c r="E1229" s="64" t="s">
        <v>112</v>
      </c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</row>
    <row r="1230" ht="15.75" customHeight="1">
      <c r="A1230" s="61" t="str">
        <f t="shared" si="1"/>
        <v>Vitória da ConquistaCampinasNavio</v>
      </c>
      <c r="B1230" s="62" t="s">
        <v>37</v>
      </c>
      <c r="C1230" s="62" t="s">
        <v>52</v>
      </c>
      <c r="D1230" s="63" t="s">
        <v>77</v>
      </c>
      <c r="E1230" s="64" t="s">
        <v>112</v>
      </c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</row>
    <row r="1231" ht="15.75" customHeight="1">
      <c r="A1231" s="61" t="str">
        <f t="shared" si="1"/>
        <v>Vitória da ConquistaCampo GrandeNavio</v>
      </c>
      <c r="B1231" s="62" t="s">
        <v>37</v>
      </c>
      <c r="C1231" s="62" t="s">
        <v>52</v>
      </c>
      <c r="D1231" s="63" t="s">
        <v>59</v>
      </c>
      <c r="E1231" s="64" t="s">
        <v>112</v>
      </c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</row>
    <row r="1232" ht="15.75" customHeight="1">
      <c r="A1232" s="61" t="str">
        <f t="shared" si="1"/>
        <v>Vitória da ConquistaCuiabáNavio</v>
      </c>
      <c r="B1232" s="62" t="s">
        <v>37</v>
      </c>
      <c r="C1232" s="62" t="s">
        <v>52</v>
      </c>
      <c r="D1232" s="63" t="s">
        <v>29</v>
      </c>
      <c r="E1232" s="64" t="s">
        <v>112</v>
      </c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</row>
    <row r="1233" ht="15.75" customHeight="1">
      <c r="A1233" s="61" t="str">
        <f t="shared" si="1"/>
        <v>Vitória da ConquistaCuritibaNavio</v>
      </c>
      <c r="B1233" s="62" t="s">
        <v>37</v>
      </c>
      <c r="C1233" s="62" t="s">
        <v>52</v>
      </c>
      <c r="D1233" s="63" t="s">
        <v>76</v>
      </c>
      <c r="E1233" s="64" t="s">
        <v>112</v>
      </c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</row>
    <row r="1234" ht="15.75" customHeight="1">
      <c r="A1234" s="61" t="str">
        <f t="shared" si="1"/>
        <v>Vitória da ConquistaFortalezaNavio</v>
      </c>
      <c r="B1234" s="62" t="s">
        <v>37</v>
      </c>
      <c r="C1234" s="62" t="s">
        <v>52</v>
      </c>
      <c r="D1234" s="63" t="s">
        <v>60</v>
      </c>
      <c r="E1234" s="64" t="s">
        <v>112</v>
      </c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</row>
    <row r="1235" ht="15.75" customHeight="1">
      <c r="A1235" s="61" t="str">
        <f t="shared" si="1"/>
        <v>Vitória da ConquistaGoiâniaNavio</v>
      </c>
      <c r="B1235" s="62" t="s">
        <v>37</v>
      </c>
      <c r="C1235" s="62" t="s">
        <v>52</v>
      </c>
      <c r="D1235" s="63" t="s">
        <v>61</v>
      </c>
      <c r="E1235" s="64" t="s">
        <v>112</v>
      </c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</row>
    <row r="1236" ht="15.75" customHeight="1">
      <c r="A1236" s="61" t="str">
        <f t="shared" si="1"/>
        <v>Vitória da ConquistaJoão PessoaNavio</v>
      </c>
      <c r="B1236" s="62" t="s">
        <v>37</v>
      </c>
      <c r="C1236" s="62" t="s">
        <v>52</v>
      </c>
      <c r="D1236" s="63" t="s">
        <v>62</v>
      </c>
      <c r="E1236" s="64" t="s">
        <v>112</v>
      </c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</row>
    <row r="1237" ht="15.75" customHeight="1">
      <c r="A1237" s="61" t="str">
        <f t="shared" si="1"/>
        <v>Vitória da ConquistaJoinvilleNavio</v>
      </c>
      <c r="B1237" s="62" t="s">
        <v>37</v>
      </c>
      <c r="C1237" s="62" t="s">
        <v>52</v>
      </c>
      <c r="D1237" s="63" t="s">
        <v>28</v>
      </c>
      <c r="E1237" s="64" t="s">
        <v>112</v>
      </c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</row>
    <row r="1238" ht="15.75" customHeight="1">
      <c r="A1238" s="61" t="str">
        <f t="shared" si="1"/>
        <v>Vitória da ConquistaMaceióNavio</v>
      </c>
      <c r="B1238" s="62" t="s">
        <v>37</v>
      </c>
      <c r="C1238" s="62" t="s">
        <v>52</v>
      </c>
      <c r="D1238" s="63" t="s">
        <v>63</v>
      </c>
      <c r="E1238" s="64" t="s">
        <v>112</v>
      </c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</row>
    <row r="1239" ht="15.75" customHeight="1">
      <c r="A1239" s="61" t="str">
        <f t="shared" si="1"/>
        <v>Vitória da ConquistaManausNavio</v>
      </c>
      <c r="B1239" s="62" t="s">
        <v>37</v>
      </c>
      <c r="C1239" s="62" t="s">
        <v>52</v>
      </c>
      <c r="D1239" s="63" t="s">
        <v>23</v>
      </c>
      <c r="E1239" s="64" t="s">
        <v>112</v>
      </c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</row>
    <row r="1240" ht="15.75" customHeight="1">
      <c r="A1240" s="61" t="str">
        <f t="shared" si="1"/>
        <v>Vitória da ConquistaNatalNavio</v>
      </c>
      <c r="B1240" s="62" t="s">
        <v>37</v>
      </c>
      <c r="C1240" s="62" t="s">
        <v>52</v>
      </c>
      <c r="D1240" s="63" t="s">
        <v>64</v>
      </c>
      <c r="E1240" s="64" t="s">
        <v>112</v>
      </c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</row>
    <row r="1241" ht="15.75" customHeight="1">
      <c r="A1241" s="61" t="str">
        <f t="shared" si="1"/>
        <v>Vitória da ConquistaPorto AlegreNavio</v>
      </c>
      <c r="B1241" s="62" t="s">
        <v>37</v>
      </c>
      <c r="C1241" s="62" t="s">
        <v>52</v>
      </c>
      <c r="D1241" s="63" t="s">
        <v>31</v>
      </c>
      <c r="E1241" s="64" t="s">
        <v>112</v>
      </c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</row>
    <row r="1242" ht="15.75" customHeight="1">
      <c r="A1242" s="61" t="str">
        <f t="shared" si="1"/>
        <v>Vitória da ConquistaRecifeNavio</v>
      </c>
      <c r="B1242" s="62" t="s">
        <v>37</v>
      </c>
      <c r="C1242" s="62" t="s">
        <v>52</v>
      </c>
      <c r="D1242" s="63" t="s">
        <v>65</v>
      </c>
      <c r="E1242" s="64" t="s">
        <v>112</v>
      </c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</row>
    <row r="1243" ht="15.75" customHeight="1">
      <c r="A1243" s="61" t="str">
        <f t="shared" si="1"/>
        <v>Vitória da ConquistaRibeirão PretoNavio</v>
      </c>
      <c r="B1243" s="62" t="s">
        <v>37</v>
      </c>
      <c r="C1243" s="62" t="s">
        <v>52</v>
      </c>
      <c r="D1243" s="63" t="s">
        <v>78</v>
      </c>
      <c r="E1243" s="64" t="s">
        <v>112</v>
      </c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</row>
    <row r="1244" ht="15.75" customHeight="1">
      <c r="A1244" s="61" t="str">
        <f t="shared" si="1"/>
        <v>Vitória da ConquistaRio de JaneiroNavio</v>
      </c>
      <c r="B1244" s="62" t="s">
        <v>37</v>
      </c>
      <c r="C1244" s="62" t="s">
        <v>52</v>
      </c>
      <c r="D1244" s="63" t="s">
        <v>66</v>
      </c>
      <c r="E1244" s="64" t="s">
        <v>112</v>
      </c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</row>
    <row r="1245" ht="15.75" customHeight="1">
      <c r="A1245" s="61" t="str">
        <f t="shared" si="1"/>
        <v>Vitória da ConquistaSalvadorNavio</v>
      </c>
      <c r="B1245" s="62" t="s">
        <v>37</v>
      </c>
      <c r="C1245" s="62" t="s">
        <v>52</v>
      </c>
      <c r="D1245" s="63" t="s">
        <v>67</v>
      </c>
      <c r="E1245" s="64" t="s">
        <v>112</v>
      </c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</row>
    <row r="1246" ht="15.75" customHeight="1">
      <c r="A1246" s="61" t="str">
        <f t="shared" si="1"/>
        <v>Vitória da ConquistaSantosNavio</v>
      </c>
      <c r="B1246" s="62" t="s">
        <v>37</v>
      </c>
      <c r="C1246" s="62" t="s">
        <v>52</v>
      </c>
      <c r="D1246" s="63" t="s">
        <v>38</v>
      </c>
      <c r="E1246" s="64" t="s">
        <v>112</v>
      </c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</row>
    <row r="1247" ht="15.75" customHeight="1">
      <c r="A1247" s="61" t="str">
        <f t="shared" si="1"/>
        <v>Vitória da ConquistaSão LuísNavio</v>
      </c>
      <c r="B1247" s="62" t="s">
        <v>37</v>
      </c>
      <c r="C1247" s="62" t="s">
        <v>52</v>
      </c>
      <c r="D1247" s="63" t="s">
        <v>36</v>
      </c>
      <c r="E1247" s="64" t="s">
        <v>112</v>
      </c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</row>
    <row r="1248" ht="15.75" customHeight="1">
      <c r="A1248" s="61" t="str">
        <f t="shared" si="1"/>
        <v>Vitória da ConquistaSão PauloNavio</v>
      </c>
      <c r="B1248" s="62" t="s">
        <v>37</v>
      </c>
      <c r="C1248" s="62" t="s">
        <v>52</v>
      </c>
      <c r="D1248" s="63" t="s">
        <v>75</v>
      </c>
      <c r="E1248" s="64" t="s">
        <v>112</v>
      </c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</row>
    <row r="1249" ht="15.75" customHeight="1">
      <c r="A1249" s="61" t="str">
        <f t="shared" si="1"/>
        <v>Vitória da ConquistaUberlândiaNavio</v>
      </c>
      <c r="B1249" s="62" t="s">
        <v>37</v>
      </c>
      <c r="C1249" s="62" t="s">
        <v>52</v>
      </c>
      <c r="D1249" s="63" t="s">
        <v>68</v>
      </c>
      <c r="E1249" s="64" t="s">
        <v>112</v>
      </c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</row>
    <row r="1250" ht="15.75" customHeight="1">
      <c r="A1250" s="61" t="str">
        <f t="shared" si="1"/>
        <v>Vitória da ConquistaVitóriaNavio</v>
      </c>
      <c r="B1250" s="62" t="s">
        <v>37</v>
      </c>
      <c r="C1250" s="62" t="s">
        <v>52</v>
      </c>
      <c r="D1250" s="63" t="s">
        <v>69</v>
      </c>
      <c r="E1250" s="64" t="s">
        <v>112</v>
      </c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</row>
    <row r="1251" ht="15.75" customHeight="1">
      <c r="A1251" s="61" t="str">
        <f t="shared" si="1"/>
        <v>Vitória da ConquistaVitória da ConquistaNavio</v>
      </c>
      <c r="B1251" s="62" t="s">
        <v>37</v>
      </c>
      <c r="C1251" s="62" t="s">
        <v>52</v>
      </c>
      <c r="D1251" s="63" t="s">
        <v>52</v>
      </c>
      <c r="E1251" s="64" t="s">
        <v>112</v>
      </c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</row>
    <row r="1252" ht="15.75" customHeight="1">
      <c r="A1252" s="61" t="str">
        <f t="shared" si="1"/>
        <v>BelémBelémAvião</v>
      </c>
      <c r="B1252" s="62" t="s">
        <v>45</v>
      </c>
      <c r="C1252" s="63" t="s">
        <v>51</v>
      </c>
      <c r="D1252" s="63" t="s">
        <v>51</v>
      </c>
      <c r="E1252" s="64">
        <v>0.0</v>
      </c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</row>
    <row r="1253" ht="15.75" customHeight="1">
      <c r="A1253" s="61" t="str">
        <f t="shared" si="1"/>
        <v>BelémBelo HorizonteAvião</v>
      </c>
      <c r="B1253" s="62" t="s">
        <v>45</v>
      </c>
      <c r="C1253" s="63" t="s">
        <v>51</v>
      </c>
      <c r="D1253" s="63" t="s">
        <v>57</v>
      </c>
      <c r="E1253" s="64">
        <v>0.0</v>
      </c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</row>
    <row r="1254" ht="15.75" customHeight="1">
      <c r="A1254" s="61" t="str">
        <f t="shared" si="1"/>
        <v>BelémBrasíliaAvião</v>
      </c>
      <c r="B1254" s="62" t="s">
        <v>45</v>
      </c>
      <c r="C1254" s="63" t="s">
        <v>51</v>
      </c>
      <c r="D1254" s="63" t="s">
        <v>58</v>
      </c>
      <c r="E1254" s="64">
        <v>0.0</v>
      </c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</row>
    <row r="1255" ht="15.75" customHeight="1">
      <c r="A1255" s="61" t="str">
        <f t="shared" si="1"/>
        <v>BelémCampinasAvião</v>
      </c>
      <c r="B1255" s="62" t="s">
        <v>45</v>
      </c>
      <c r="C1255" s="63" t="s">
        <v>51</v>
      </c>
      <c r="D1255" s="63" t="s">
        <v>77</v>
      </c>
      <c r="E1255" s="64">
        <v>0.0</v>
      </c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</row>
    <row r="1256" ht="15.75" customHeight="1">
      <c r="A1256" s="61" t="str">
        <f t="shared" si="1"/>
        <v>BelémCampo GrandeAvião</v>
      </c>
      <c r="B1256" s="62" t="s">
        <v>45</v>
      </c>
      <c r="C1256" s="63" t="s">
        <v>51</v>
      </c>
      <c r="D1256" s="63" t="s">
        <v>59</v>
      </c>
      <c r="E1256" s="64">
        <v>0.0</v>
      </c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</row>
    <row r="1257" ht="15.75" customHeight="1">
      <c r="A1257" s="61" t="str">
        <f t="shared" si="1"/>
        <v>BelémCuiabáAvião</v>
      </c>
      <c r="B1257" s="62" t="s">
        <v>45</v>
      </c>
      <c r="C1257" s="63" t="s">
        <v>51</v>
      </c>
      <c r="D1257" s="63" t="s">
        <v>29</v>
      </c>
      <c r="E1257" s="64">
        <v>0.0</v>
      </c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</row>
    <row r="1258" ht="15.75" customHeight="1">
      <c r="A1258" s="61" t="str">
        <f t="shared" si="1"/>
        <v>BelémCuritibaAvião</v>
      </c>
      <c r="B1258" s="62" t="s">
        <v>45</v>
      </c>
      <c r="C1258" s="63" t="s">
        <v>51</v>
      </c>
      <c r="D1258" s="63" t="s">
        <v>76</v>
      </c>
      <c r="E1258" s="64">
        <v>0.0</v>
      </c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</row>
    <row r="1259" ht="15.75" customHeight="1">
      <c r="A1259" s="61" t="str">
        <f t="shared" si="1"/>
        <v>BelémFortalezaAvião</v>
      </c>
      <c r="B1259" s="62" t="s">
        <v>45</v>
      </c>
      <c r="C1259" s="63" t="s">
        <v>51</v>
      </c>
      <c r="D1259" s="63" t="s">
        <v>60</v>
      </c>
      <c r="E1259" s="64">
        <v>0.0</v>
      </c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</row>
    <row r="1260" ht="15.75" customHeight="1">
      <c r="A1260" s="61" t="str">
        <f t="shared" si="1"/>
        <v>BelémGoiâniaAvião</v>
      </c>
      <c r="B1260" s="62" t="s">
        <v>45</v>
      </c>
      <c r="C1260" s="63" t="s">
        <v>51</v>
      </c>
      <c r="D1260" s="63" t="s">
        <v>61</v>
      </c>
      <c r="E1260" s="64">
        <v>0.0</v>
      </c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</row>
    <row r="1261" ht="15.75" customHeight="1">
      <c r="A1261" s="61" t="str">
        <f t="shared" si="1"/>
        <v>BelémJoão PessoaAvião</v>
      </c>
      <c r="B1261" s="62" t="s">
        <v>45</v>
      </c>
      <c r="C1261" s="63" t="s">
        <v>51</v>
      </c>
      <c r="D1261" s="63" t="s">
        <v>62</v>
      </c>
      <c r="E1261" s="64">
        <v>0.0</v>
      </c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</row>
    <row r="1262" ht="15.75" customHeight="1">
      <c r="A1262" s="61" t="str">
        <f t="shared" si="1"/>
        <v>BelémJoinvilleAvião</v>
      </c>
      <c r="B1262" s="62" t="s">
        <v>45</v>
      </c>
      <c r="C1262" s="63" t="s">
        <v>51</v>
      </c>
      <c r="D1262" s="63" t="s">
        <v>28</v>
      </c>
      <c r="E1262" s="64">
        <v>0.0</v>
      </c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</row>
    <row r="1263" ht="15.75" customHeight="1">
      <c r="A1263" s="61" t="str">
        <f t="shared" si="1"/>
        <v>BelémMaceióAvião</v>
      </c>
      <c r="B1263" s="62" t="s">
        <v>45</v>
      </c>
      <c r="C1263" s="63" t="s">
        <v>51</v>
      </c>
      <c r="D1263" s="63" t="s">
        <v>63</v>
      </c>
      <c r="E1263" s="64">
        <v>0.0</v>
      </c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</row>
    <row r="1264" ht="15.75" customHeight="1">
      <c r="A1264" s="61" t="str">
        <f t="shared" si="1"/>
        <v>BelémManausAvião</v>
      </c>
      <c r="B1264" s="62" t="s">
        <v>45</v>
      </c>
      <c r="C1264" s="63" t="s">
        <v>51</v>
      </c>
      <c r="D1264" s="63" t="s">
        <v>23</v>
      </c>
      <c r="E1264" s="64">
        <v>0.0</v>
      </c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</row>
    <row r="1265" ht="15.75" customHeight="1">
      <c r="A1265" s="61" t="str">
        <f t="shared" si="1"/>
        <v>BelémNatalAvião</v>
      </c>
      <c r="B1265" s="62" t="s">
        <v>45</v>
      </c>
      <c r="C1265" s="63" t="s">
        <v>51</v>
      </c>
      <c r="D1265" s="63" t="s">
        <v>64</v>
      </c>
      <c r="E1265" s="64">
        <v>0.0</v>
      </c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</row>
    <row r="1266" ht="15.75" customHeight="1">
      <c r="A1266" s="61" t="str">
        <f t="shared" si="1"/>
        <v>BelémPorto AlegreAvião</v>
      </c>
      <c r="B1266" s="62" t="s">
        <v>45</v>
      </c>
      <c r="C1266" s="63" t="s">
        <v>51</v>
      </c>
      <c r="D1266" s="63" t="s">
        <v>31</v>
      </c>
      <c r="E1266" s="64">
        <v>0.0</v>
      </c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</row>
    <row r="1267" ht="15.75" customHeight="1">
      <c r="A1267" s="61" t="str">
        <f t="shared" si="1"/>
        <v>BelémRecifeAvião</v>
      </c>
      <c r="B1267" s="62" t="s">
        <v>45</v>
      </c>
      <c r="C1267" s="63" t="s">
        <v>51</v>
      </c>
      <c r="D1267" s="63" t="s">
        <v>65</v>
      </c>
      <c r="E1267" s="64">
        <v>0.0</v>
      </c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</row>
    <row r="1268" ht="15.75" customHeight="1">
      <c r="A1268" s="61" t="str">
        <f t="shared" si="1"/>
        <v>BelémRibeirão PretoAvião</v>
      </c>
      <c r="B1268" s="62" t="s">
        <v>45</v>
      </c>
      <c r="C1268" s="63" t="s">
        <v>51</v>
      </c>
      <c r="D1268" s="63" t="s">
        <v>78</v>
      </c>
      <c r="E1268" s="64">
        <v>0.0</v>
      </c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</row>
    <row r="1269" ht="15.75" customHeight="1">
      <c r="A1269" s="61" t="str">
        <f t="shared" si="1"/>
        <v>BelémRio de JaneiroAvião</v>
      </c>
      <c r="B1269" s="62" t="s">
        <v>45</v>
      </c>
      <c r="C1269" s="63" t="s">
        <v>51</v>
      </c>
      <c r="D1269" s="63" t="s">
        <v>66</v>
      </c>
      <c r="E1269" s="64">
        <v>0.0</v>
      </c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</row>
    <row r="1270" ht="15.75" customHeight="1">
      <c r="A1270" s="61" t="str">
        <f t="shared" si="1"/>
        <v>BelémSalvadorAvião</v>
      </c>
      <c r="B1270" s="62" t="s">
        <v>45</v>
      </c>
      <c r="C1270" s="63" t="s">
        <v>51</v>
      </c>
      <c r="D1270" s="63" t="s">
        <v>67</v>
      </c>
      <c r="E1270" s="64">
        <v>0.0</v>
      </c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</row>
    <row r="1271" ht="15.75" customHeight="1">
      <c r="A1271" s="61" t="str">
        <f t="shared" si="1"/>
        <v>BelémSantosAvião</v>
      </c>
      <c r="B1271" s="62" t="s">
        <v>45</v>
      </c>
      <c r="C1271" s="63" t="s">
        <v>51</v>
      </c>
      <c r="D1271" s="63" t="s">
        <v>38</v>
      </c>
      <c r="E1271" s="64">
        <v>0.0</v>
      </c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</row>
    <row r="1272" ht="15.75" customHeight="1">
      <c r="A1272" s="61" t="str">
        <f t="shared" si="1"/>
        <v>BelémSão LuísAvião</v>
      </c>
      <c r="B1272" s="62" t="s">
        <v>45</v>
      </c>
      <c r="C1272" s="63" t="s">
        <v>51</v>
      </c>
      <c r="D1272" s="63" t="s">
        <v>36</v>
      </c>
      <c r="E1272" s="64">
        <v>0.0</v>
      </c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</row>
    <row r="1273" ht="15.75" customHeight="1">
      <c r="A1273" s="61" t="str">
        <f t="shared" si="1"/>
        <v>BelémSão PauloAvião</v>
      </c>
      <c r="B1273" s="62" t="s">
        <v>45</v>
      </c>
      <c r="C1273" s="63" t="s">
        <v>51</v>
      </c>
      <c r="D1273" s="63" t="s">
        <v>75</v>
      </c>
      <c r="E1273" s="64">
        <v>0.0</v>
      </c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</row>
    <row r="1274" ht="15.75" customHeight="1">
      <c r="A1274" s="61" t="str">
        <f t="shared" si="1"/>
        <v>BelémUberlândiaAvião</v>
      </c>
      <c r="B1274" s="62" t="s">
        <v>45</v>
      </c>
      <c r="C1274" s="63" t="s">
        <v>51</v>
      </c>
      <c r="D1274" s="63" t="s">
        <v>68</v>
      </c>
      <c r="E1274" s="64">
        <v>0.0</v>
      </c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</row>
    <row r="1275" ht="15.75" customHeight="1">
      <c r="A1275" s="61" t="str">
        <f t="shared" si="1"/>
        <v>BelémVitóriaAvião</v>
      </c>
      <c r="B1275" s="62" t="s">
        <v>45</v>
      </c>
      <c r="C1275" s="63" t="s">
        <v>51</v>
      </c>
      <c r="D1275" s="63" t="s">
        <v>69</v>
      </c>
      <c r="E1275" s="64">
        <v>0.0</v>
      </c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</row>
    <row r="1276" ht="15.75" customHeight="1">
      <c r="A1276" s="61" t="str">
        <f t="shared" si="1"/>
        <v>BelémVitória da ConquistaAvião</v>
      </c>
      <c r="B1276" s="62" t="s">
        <v>45</v>
      </c>
      <c r="C1276" s="63" t="s">
        <v>51</v>
      </c>
      <c r="D1276" s="63" t="s">
        <v>52</v>
      </c>
      <c r="E1276" s="64">
        <v>0.0</v>
      </c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</row>
    <row r="1277" ht="15.75" customHeight="1">
      <c r="A1277" s="61" t="str">
        <f t="shared" si="1"/>
        <v>Belo HorizonteBelémAvião</v>
      </c>
      <c r="B1277" s="62" t="s">
        <v>45</v>
      </c>
      <c r="C1277" s="62" t="s">
        <v>57</v>
      </c>
      <c r="D1277" s="63" t="s">
        <v>51</v>
      </c>
      <c r="E1277" s="64">
        <v>0.0</v>
      </c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</row>
    <row r="1278" ht="15.75" customHeight="1">
      <c r="A1278" s="61" t="str">
        <f t="shared" si="1"/>
        <v>Belo HorizonteBelo HorizonteAvião</v>
      </c>
      <c r="B1278" s="62" t="s">
        <v>45</v>
      </c>
      <c r="C1278" s="62" t="s">
        <v>57</v>
      </c>
      <c r="D1278" s="63" t="s">
        <v>57</v>
      </c>
      <c r="E1278" s="64">
        <v>0.0</v>
      </c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</row>
    <row r="1279" ht="15.75" customHeight="1">
      <c r="A1279" s="61" t="str">
        <f t="shared" si="1"/>
        <v>Belo HorizonteBrasíliaAvião</v>
      </c>
      <c r="B1279" s="62" t="s">
        <v>45</v>
      </c>
      <c r="C1279" s="62" t="s">
        <v>57</v>
      </c>
      <c r="D1279" s="63" t="s">
        <v>58</v>
      </c>
      <c r="E1279" s="64">
        <v>0.0</v>
      </c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</row>
    <row r="1280" ht="15.75" customHeight="1">
      <c r="A1280" s="61" t="str">
        <f t="shared" si="1"/>
        <v>Belo HorizonteCampinasAvião</v>
      </c>
      <c r="B1280" s="62" t="s">
        <v>45</v>
      </c>
      <c r="C1280" s="62" t="s">
        <v>57</v>
      </c>
      <c r="D1280" s="63" t="s">
        <v>77</v>
      </c>
      <c r="E1280" s="64">
        <v>0.0</v>
      </c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</row>
    <row r="1281" ht="15.75" customHeight="1">
      <c r="A1281" s="61" t="str">
        <f t="shared" si="1"/>
        <v>Belo HorizonteCampo GrandeAvião</v>
      </c>
      <c r="B1281" s="62" t="s">
        <v>45</v>
      </c>
      <c r="C1281" s="62" t="s">
        <v>57</v>
      </c>
      <c r="D1281" s="63" t="s">
        <v>59</v>
      </c>
      <c r="E1281" s="64">
        <v>0.0</v>
      </c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</row>
    <row r="1282" ht="15.75" customHeight="1">
      <c r="A1282" s="61" t="str">
        <f t="shared" si="1"/>
        <v>Belo HorizonteCuiabáAvião</v>
      </c>
      <c r="B1282" s="62" t="s">
        <v>45</v>
      </c>
      <c r="C1282" s="62" t="s">
        <v>57</v>
      </c>
      <c r="D1282" s="63" t="s">
        <v>29</v>
      </c>
      <c r="E1282" s="64">
        <v>0.0</v>
      </c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</row>
    <row r="1283" ht="15.75" customHeight="1">
      <c r="A1283" s="61" t="str">
        <f t="shared" si="1"/>
        <v>Belo HorizonteCuritibaAvião</v>
      </c>
      <c r="B1283" s="62" t="s">
        <v>45</v>
      </c>
      <c r="C1283" s="62" t="s">
        <v>57</v>
      </c>
      <c r="D1283" s="63" t="s">
        <v>76</v>
      </c>
      <c r="E1283" s="64">
        <v>0.0</v>
      </c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</row>
    <row r="1284" ht="15.75" customHeight="1">
      <c r="A1284" s="61" t="str">
        <f t="shared" si="1"/>
        <v>Belo HorizonteFortalezaAvião</v>
      </c>
      <c r="B1284" s="62" t="s">
        <v>45</v>
      </c>
      <c r="C1284" s="62" t="s">
        <v>57</v>
      </c>
      <c r="D1284" s="63" t="s">
        <v>60</v>
      </c>
      <c r="E1284" s="64">
        <v>0.0</v>
      </c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</row>
    <row r="1285" ht="15.75" customHeight="1">
      <c r="A1285" s="61" t="str">
        <f t="shared" si="1"/>
        <v>Belo HorizonteGoiâniaAvião</v>
      </c>
      <c r="B1285" s="62" t="s">
        <v>45</v>
      </c>
      <c r="C1285" s="62" t="s">
        <v>57</v>
      </c>
      <c r="D1285" s="63" t="s">
        <v>61</v>
      </c>
      <c r="E1285" s="64">
        <v>0.0</v>
      </c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</row>
    <row r="1286" ht="15.75" customHeight="1">
      <c r="A1286" s="61" t="str">
        <f t="shared" si="1"/>
        <v>Belo HorizonteJoão PessoaAvião</v>
      </c>
      <c r="B1286" s="62" t="s">
        <v>45</v>
      </c>
      <c r="C1286" s="62" t="s">
        <v>57</v>
      </c>
      <c r="D1286" s="63" t="s">
        <v>62</v>
      </c>
      <c r="E1286" s="64">
        <v>0.0</v>
      </c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</row>
    <row r="1287" ht="15.75" customHeight="1">
      <c r="A1287" s="61" t="str">
        <f t="shared" si="1"/>
        <v>Belo HorizonteJoinvilleAvião</v>
      </c>
      <c r="B1287" s="62" t="s">
        <v>45</v>
      </c>
      <c r="C1287" s="62" t="s">
        <v>57</v>
      </c>
      <c r="D1287" s="63" t="s">
        <v>28</v>
      </c>
      <c r="E1287" s="64">
        <v>0.0</v>
      </c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</row>
    <row r="1288" ht="15.75" customHeight="1">
      <c r="A1288" s="61" t="str">
        <f t="shared" si="1"/>
        <v>Belo HorizonteMaceióAvião</v>
      </c>
      <c r="B1288" s="62" t="s">
        <v>45</v>
      </c>
      <c r="C1288" s="62" t="s">
        <v>57</v>
      </c>
      <c r="D1288" s="63" t="s">
        <v>63</v>
      </c>
      <c r="E1288" s="64">
        <v>0.0</v>
      </c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</row>
    <row r="1289" ht="15.75" customHeight="1">
      <c r="A1289" s="61" t="str">
        <f t="shared" si="1"/>
        <v>Belo HorizonteManausAvião</v>
      </c>
      <c r="B1289" s="62" t="s">
        <v>45</v>
      </c>
      <c r="C1289" s="62" t="s">
        <v>57</v>
      </c>
      <c r="D1289" s="63" t="s">
        <v>23</v>
      </c>
      <c r="E1289" s="64">
        <v>0.0</v>
      </c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</row>
    <row r="1290" ht="15.75" customHeight="1">
      <c r="A1290" s="61" t="str">
        <f t="shared" si="1"/>
        <v>Belo HorizonteNatalAvião</v>
      </c>
      <c r="B1290" s="62" t="s">
        <v>45</v>
      </c>
      <c r="C1290" s="62" t="s">
        <v>57</v>
      </c>
      <c r="D1290" s="63" t="s">
        <v>64</v>
      </c>
      <c r="E1290" s="64">
        <v>0.0</v>
      </c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</row>
    <row r="1291" ht="15.75" customHeight="1">
      <c r="A1291" s="61" t="str">
        <f t="shared" si="1"/>
        <v>Belo HorizontePorto AlegreAvião</v>
      </c>
      <c r="B1291" s="62" t="s">
        <v>45</v>
      </c>
      <c r="C1291" s="62" t="s">
        <v>57</v>
      </c>
      <c r="D1291" s="63" t="s">
        <v>31</v>
      </c>
      <c r="E1291" s="64">
        <v>0.0</v>
      </c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</row>
    <row r="1292" ht="15.75" customHeight="1">
      <c r="A1292" s="61" t="str">
        <f t="shared" si="1"/>
        <v>Belo HorizonteRecifeAvião</v>
      </c>
      <c r="B1292" s="62" t="s">
        <v>45</v>
      </c>
      <c r="C1292" s="62" t="s">
        <v>57</v>
      </c>
      <c r="D1292" s="63" t="s">
        <v>65</v>
      </c>
      <c r="E1292" s="64">
        <v>0.0</v>
      </c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</row>
    <row r="1293" ht="15.75" customHeight="1">
      <c r="A1293" s="61" t="str">
        <f t="shared" si="1"/>
        <v>Belo HorizonteRibeirão PretoAvião</v>
      </c>
      <c r="B1293" s="62" t="s">
        <v>45</v>
      </c>
      <c r="C1293" s="62" t="s">
        <v>57</v>
      </c>
      <c r="D1293" s="63" t="s">
        <v>78</v>
      </c>
      <c r="E1293" s="64">
        <v>0.0</v>
      </c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</row>
    <row r="1294" ht="15.75" customHeight="1">
      <c r="A1294" s="61" t="str">
        <f t="shared" si="1"/>
        <v>Belo HorizonteRio de JaneiroAvião</v>
      </c>
      <c r="B1294" s="62" t="s">
        <v>45</v>
      </c>
      <c r="C1294" s="62" t="s">
        <v>57</v>
      </c>
      <c r="D1294" s="63" t="s">
        <v>66</v>
      </c>
      <c r="E1294" s="64">
        <v>0.0</v>
      </c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</row>
    <row r="1295" ht="15.75" customHeight="1">
      <c r="A1295" s="61" t="str">
        <f t="shared" si="1"/>
        <v>Belo HorizonteSalvadorAvião</v>
      </c>
      <c r="B1295" s="62" t="s">
        <v>45</v>
      </c>
      <c r="C1295" s="62" t="s">
        <v>57</v>
      </c>
      <c r="D1295" s="63" t="s">
        <v>67</v>
      </c>
      <c r="E1295" s="64">
        <v>0.0</v>
      </c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</row>
    <row r="1296" ht="15.75" customHeight="1">
      <c r="A1296" s="61" t="str">
        <f t="shared" si="1"/>
        <v>Belo HorizonteSantosAvião</v>
      </c>
      <c r="B1296" s="62" t="s">
        <v>45</v>
      </c>
      <c r="C1296" s="62" t="s">
        <v>57</v>
      </c>
      <c r="D1296" s="63" t="s">
        <v>38</v>
      </c>
      <c r="E1296" s="64">
        <v>0.0</v>
      </c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</row>
    <row r="1297" ht="15.75" customHeight="1">
      <c r="A1297" s="61" t="str">
        <f t="shared" si="1"/>
        <v>Belo HorizonteSão LuísAvião</v>
      </c>
      <c r="B1297" s="62" t="s">
        <v>45</v>
      </c>
      <c r="C1297" s="62" t="s">
        <v>57</v>
      </c>
      <c r="D1297" s="63" t="s">
        <v>36</v>
      </c>
      <c r="E1297" s="64">
        <v>0.0</v>
      </c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</row>
    <row r="1298" ht="15.75" customHeight="1">
      <c r="A1298" s="61" t="str">
        <f t="shared" si="1"/>
        <v>Belo HorizonteSão PauloAvião</v>
      </c>
      <c r="B1298" s="62" t="s">
        <v>45</v>
      </c>
      <c r="C1298" s="62" t="s">
        <v>57</v>
      </c>
      <c r="D1298" s="63" t="s">
        <v>75</v>
      </c>
      <c r="E1298" s="64">
        <v>0.0</v>
      </c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</row>
    <row r="1299" ht="15.75" customHeight="1">
      <c r="A1299" s="61" t="str">
        <f t="shared" si="1"/>
        <v>Belo HorizonteUberlândiaAvião</v>
      </c>
      <c r="B1299" s="62" t="s">
        <v>45</v>
      </c>
      <c r="C1299" s="62" t="s">
        <v>57</v>
      </c>
      <c r="D1299" s="63" t="s">
        <v>68</v>
      </c>
      <c r="E1299" s="64">
        <v>0.0</v>
      </c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</row>
    <row r="1300" ht="15.75" customHeight="1">
      <c r="A1300" s="61" t="str">
        <f t="shared" si="1"/>
        <v>Belo HorizonteVitóriaAvião</v>
      </c>
      <c r="B1300" s="62" t="s">
        <v>45</v>
      </c>
      <c r="C1300" s="62" t="s">
        <v>57</v>
      </c>
      <c r="D1300" s="63" t="s">
        <v>69</v>
      </c>
      <c r="E1300" s="64">
        <v>0.0</v>
      </c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</row>
    <row r="1301" ht="15.75" customHeight="1">
      <c r="A1301" s="61" t="str">
        <f t="shared" si="1"/>
        <v>Belo HorizonteVitória da ConquistaAvião</v>
      </c>
      <c r="B1301" s="62" t="s">
        <v>45</v>
      </c>
      <c r="C1301" s="62" t="s">
        <v>57</v>
      </c>
      <c r="D1301" s="63" t="s">
        <v>52</v>
      </c>
      <c r="E1301" s="64">
        <v>0.0</v>
      </c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</row>
    <row r="1302" ht="15.75" customHeight="1">
      <c r="A1302" s="61" t="str">
        <f t="shared" si="1"/>
        <v>BrasíliaBelémAvião</v>
      </c>
      <c r="B1302" s="62" t="s">
        <v>45</v>
      </c>
      <c r="C1302" s="63" t="s">
        <v>58</v>
      </c>
      <c r="D1302" s="63" t="s">
        <v>51</v>
      </c>
      <c r="E1302" s="64">
        <v>0.0</v>
      </c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</row>
    <row r="1303" ht="15.75" customHeight="1">
      <c r="A1303" s="61" t="str">
        <f t="shared" si="1"/>
        <v>BrasíliaBelo HorizonteAvião</v>
      </c>
      <c r="B1303" s="62" t="s">
        <v>45</v>
      </c>
      <c r="C1303" s="63" t="s">
        <v>58</v>
      </c>
      <c r="D1303" s="63" t="s">
        <v>57</v>
      </c>
      <c r="E1303" s="64">
        <v>0.0</v>
      </c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</row>
    <row r="1304" ht="15.75" customHeight="1">
      <c r="A1304" s="61" t="str">
        <f t="shared" si="1"/>
        <v>BrasíliaBrasíliaAvião</v>
      </c>
      <c r="B1304" s="62" t="s">
        <v>45</v>
      </c>
      <c r="C1304" s="63" t="s">
        <v>58</v>
      </c>
      <c r="D1304" s="63" t="s">
        <v>58</v>
      </c>
      <c r="E1304" s="64">
        <v>0.0</v>
      </c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</row>
    <row r="1305" ht="15.75" customHeight="1">
      <c r="A1305" s="61" t="str">
        <f t="shared" si="1"/>
        <v>BrasíliaCampinasAvião</v>
      </c>
      <c r="B1305" s="62" t="s">
        <v>45</v>
      </c>
      <c r="C1305" s="63" t="s">
        <v>58</v>
      </c>
      <c r="D1305" s="63" t="s">
        <v>77</v>
      </c>
      <c r="E1305" s="64">
        <v>0.0</v>
      </c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</row>
    <row r="1306" ht="15.75" customHeight="1">
      <c r="A1306" s="61" t="str">
        <f t="shared" si="1"/>
        <v>BrasíliaCampo GrandeAvião</v>
      </c>
      <c r="B1306" s="62" t="s">
        <v>45</v>
      </c>
      <c r="C1306" s="63" t="s">
        <v>58</v>
      </c>
      <c r="D1306" s="63" t="s">
        <v>59</v>
      </c>
      <c r="E1306" s="64">
        <v>0.0</v>
      </c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</row>
    <row r="1307" ht="15.75" customHeight="1">
      <c r="A1307" s="61" t="str">
        <f t="shared" si="1"/>
        <v>BrasíliaCuiabáAvião</v>
      </c>
      <c r="B1307" s="62" t="s">
        <v>45</v>
      </c>
      <c r="C1307" s="63" t="s">
        <v>58</v>
      </c>
      <c r="D1307" s="63" t="s">
        <v>29</v>
      </c>
      <c r="E1307" s="64">
        <v>0.0</v>
      </c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</row>
    <row r="1308" ht="15.75" customHeight="1">
      <c r="A1308" s="61" t="str">
        <f t="shared" si="1"/>
        <v>BrasíliaCuritibaAvião</v>
      </c>
      <c r="B1308" s="62" t="s">
        <v>45</v>
      </c>
      <c r="C1308" s="63" t="s">
        <v>58</v>
      </c>
      <c r="D1308" s="63" t="s">
        <v>76</v>
      </c>
      <c r="E1308" s="64">
        <v>0.0</v>
      </c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</row>
    <row r="1309" ht="15.75" customHeight="1">
      <c r="A1309" s="61" t="str">
        <f t="shared" si="1"/>
        <v>BrasíliaFortalezaAvião</v>
      </c>
      <c r="B1309" s="62" t="s">
        <v>45</v>
      </c>
      <c r="C1309" s="63" t="s">
        <v>58</v>
      </c>
      <c r="D1309" s="63" t="s">
        <v>60</v>
      </c>
      <c r="E1309" s="64">
        <v>0.0</v>
      </c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</row>
    <row r="1310" ht="15.75" customHeight="1">
      <c r="A1310" s="61" t="str">
        <f t="shared" si="1"/>
        <v>BrasíliaGoiâniaAvião</v>
      </c>
      <c r="B1310" s="62" t="s">
        <v>45</v>
      </c>
      <c r="C1310" s="63" t="s">
        <v>58</v>
      </c>
      <c r="D1310" s="63" t="s">
        <v>61</v>
      </c>
      <c r="E1310" s="64">
        <v>0.0</v>
      </c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</row>
    <row r="1311" ht="15.75" customHeight="1">
      <c r="A1311" s="61" t="str">
        <f t="shared" si="1"/>
        <v>BrasíliaJoão PessoaAvião</v>
      </c>
      <c r="B1311" s="62" t="s">
        <v>45</v>
      </c>
      <c r="C1311" s="63" t="s">
        <v>58</v>
      </c>
      <c r="D1311" s="63" t="s">
        <v>62</v>
      </c>
      <c r="E1311" s="64">
        <v>0.0</v>
      </c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</row>
    <row r="1312" ht="15.75" customHeight="1">
      <c r="A1312" s="61" t="str">
        <f t="shared" si="1"/>
        <v>BrasíliaJoinvilleAvião</v>
      </c>
      <c r="B1312" s="62" t="s">
        <v>45</v>
      </c>
      <c r="C1312" s="63" t="s">
        <v>58</v>
      </c>
      <c r="D1312" s="63" t="s">
        <v>28</v>
      </c>
      <c r="E1312" s="64">
        <v>0.0</v>
      </c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</row>
    <row r="1313" ht="15.75" customHeight="1">
      <c r="A1313" s="61" t="str">
        <f t="shared" si="1"/>
        <v>BrasíliaMaceióAvião</v>
      </c>
      <c r="B1313" s="62" t="s">
        <v>45</v>
      </c>
      <c r="C1313" s="63" t="s">
        <v>58</v>
      </c>
      <c r="D1313" s="63" t="s">
        <v>63</v>
      </c>
      <c r="E1313" s="64">
        <v>0.0</v>
      </c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</row>
    <row r="1314" ht="15.75" customHeight="1">
      <c r="A1314" s="61" t="str">
        <f t="shared" si="1"/>
        <v>BrasíliaManausAvião</v>
      </c>
      <c r="B1314" s="62" t="s">
        <v>45</v>
      </c>
      <c r="C1314" s="63" t="s">
        <v>58</v>
      </c>
      <c r="D1314" s="63" t="s">
        <v>23</v>
      </c>
      <c r="E1314" s="64">
        <v>0.0</v>
      </c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</row>
    <row r="1315" ht="15.75" customHeight="1">
      <c r="A1315" s="61" t="str">
        <f t="shared" si="1"/>
        <v>BrasíliaNatalAvião</v>
      </c>
      <c r="B1315" s="62" t="s">
        <v>45</v>
      </c>
      <c r="C1315" s="63" t="s">
        <v>58</v>
      </c>
      <c r="D1315" s="63" t="s">
        <v>64</v>
      </c>
      <c r="E1315" s="64">
        <v>0.0</v>
      </c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</row>
    <row r="1316" ht="15.75" customHeight="1">
      <c r="A1316" s="61" t="str">
        <f t="shared" si="1"/>
        <v>BrasíliaPorto AlegreAvião</v>
      </c>
      <c r="B1316" s="62" t="s">
        <v>45</v>
      </c>
      <c r="C1316" s="63" t="s">
        <v>58</v>
      </c>
      <c r="D1316" s="63" t="s">
        <v>31</v>
      </c>
      <c r="E1316" s="64">
        <v>0.0</v>
      </c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</row>
    <row r="1317" ht="15.75" customHeight="1">
      <c r="A1317" s="61" t="str">
        <f t="shared" si="1"/>
        <v>BrasíliaRecifeAvião</v>
      </c>
      <c r="B1317" s="62" t="s">
        <v>45</v>
      </c>
      <c r="C1317" s="63" t="s">
        <v>58</v>
      </c>
      <c r="D1317" s="63" t="s">
        <v>65</v>
      </c>
      <c r="E1317" s="64">
        <v>0.0</v>
      </c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</row>
    <row r="1318" ht="15.75" customHeight="1">
      <c r="A1318" s="61" t="str">
        <f t="shared" si="1"/>
        <v>BrasíliaRibeirão PretoAvião</v>
      </c>
      <c r="B1318" s="62" t="s">
        <v>45</v>
      </c>
      <c r="C1318" s="63" t="s">
        <v>58</v>
      </c>
      <c r="D1318" s="63" t="s">
        <v>78</v>
      </c>
      <c r="E1318" s="64">
        <v>0.0</v>
      </c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</row>
    <row r="1319" ht="15.75" customHeight="1">
      <c r="A1319" s="61" t="str">
        <f t="shared" si="1"/>
        <v>BrasíliaRio de JaneiroAvião</v>
      </c>
      <c r="B1319" s="62" t="s">
        <v>45</v>
      </c>
      <c r="C1319" s="63" t="s">
        <v>58</v>
      </c>
      <c r="D1319" s="63" t="s">
        <v>66</v>
      </c>
      <c r="E1319" s="64">
        <v>0.0</v>
      </c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</row>
    <row r="1320" ht="15.75" customHeight="1">
      <c r="A1320" s="61" t="str">
        <f t="shared" si="1"/>
        <v>BrasíliaSalvadorAvião</v>
      </c>
      <c r="B1320" s="62" t="s">
        <v>45</v>
      </c>
      <c r="C1320" s="63" t="s">
        <v>58</v>
      </c>
      <c r="D1320" s="63" t="s">
        <v>67</v>
      </c>
      <c r="E1320" s="64">
        <v>0.0</v>
      </c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</row>
    <row r="1321" ht="15.75" customHeight="1">
      <c r="A1321" s="61" t="str">
        <f t="shared" si="1"/>
        <v>BrasíliaSantosAvião</v>
      </c>
      <c r="B1321" s="62" t="s">
        <v>45</v>
      </c>
      <c r="C1321" s="63" t="s">
        <v>58</v>
      </c>
      <c r="D1321" s="63" t="s">
        <v>38</v>
      </c>
      <c r="E1321" s="64">
        <v>0.0</v>
      </c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</row>
    <row r="1322" ht="15.75" customHeight="1">
      <c r="A1322" s="61" t="str">
        <f t="shared" si="1"/>
        <v>BrasíliaSão LuísAvião</v>
      </c>
      <c r="B1322" s="62" t="s">
        <v>45</v>
      </c>
      <c r="C1322" s="63" t="s">
        <v>58</v>
      </c>
      <c r="D1322" s="63" t="s">
        <v>36</v>
      </c>
      <c r="E1322" s="64">
        <v>0.0</v>
      </c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</row>
    <row r="1323" ht="15.75" customHeight="1">
      <c r="A1323" s="61" t="str">
        <f t="shared" si="1"/>
        <v>BrasíliaSão PauloAvião</v>
      </c>
      <c r="B1323" s="62" t="s">
        <v>45</v>
      </c>
      <c r="C1323" s="63" t="s">
        <v>58</v>
      </c>
      <c r="D1323" s="63" t="s">
        <v>75</v>
      </c>
      <c r="E1323" s="64">
        <v>0.0</v>
      </c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</row>
    <row r="1324" ht="15.75" customHeight="1">
      <c r="A1324" s="61" t="str">
        <f t="shared" si="1"/>
        <v>BrasíliaUberlândiaAvião</v>
      </c>
      <c r="B1324" s="62" t="s">
        <v>45</v>
      </c>
      <c r="C1324" s="63" t="s">
        <v>58</v>
      </c>
      <c r="D1324" s="63" t="s">
        <v>68</v>
      </c>
      <c r="E1324" s="64">
        <v>0.0</v>
      </c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</row>
    <row r="1325" ht="15.75" customHeight="1">
      <c r="A1325" s="61" t="str">
        <f t="shared" si="1"/>
        <v>BrasíliaVitóriaAvião</v>
      </c>
      <c r="B1325" s="62" t="s">
        <v>45</v>
      </c>
      <c r="C1325" s="63" t="s">
        <v>58</v>
      </c>
      <c r="D1325" s="63" t="s">
        <v>69</v>
      </c>
      <c r="E1325" s="64">
        <v>0.0</v>
      </c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</row>
    <row r="1326" ht="15.75" customHeight="1">
      <c r="A1326" s="61" t="str">
        <f t="shared" si="1"/>
        <v>BrasíliaVitória da ConquistaAvião</v>
      </c>
      <c r="B1326" s="62" t="s">
        <v>45</v>
      </c>
      <c r="C1326" s="63" t="s">
        <v>58</v>
      </c>
      <c r="D1326" s="63" t="s">
        <v>52</v>
      </c>
      <c r="E1326" s="64">
        <v>0.0</v>
      </c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</row>
    <row r="1327" ht="15.75" customHeight="1">
      <c r="A1327" s="61" t="str">
        <f t="shared" si="1"/>
        <v>CampinasBelémAvião</v>
      </c>
      <c r="B1327" s="62" t="s">
        <v>45</v>
      </c>
      <c r="C1327" s="62" t="s">
        <v>77</v>
      </c>
      <c r="D1327" s="63" t="s">
        <v>51</v>
      </c>
      <c r="E1327" s="64">
        <v>0.0</v>
      </c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</row>
    <row r="1328" ht="15.75" customHeight="1">
      <c r="A1328" s="61" t="str">
        <f t="shared" si="1"/>
        <v>CampinasBelo HorizonteAvião</v>
      </c>
      <c r="B1328" s="62" t="s">
        <v>45</v>
      </c>
      <c r="C1328" s="62" t="s">
        <v>77</v>
      </c>
      <c r="D1328" s="63" t="s">
        <v>57</v>
      </c>
      <c r="E1328" s="64">
        <v>0.0</v>
      </c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</row>
    <row r="1329" ht="15.75" customHeight="1">
      <c r="A1329" s="61" t="str">
        <f t="shared" si="1"/>
        <v>CampinasBrasíliaAvião</v>
      </c>
      <c r="B1329" s="62" t="s">
        <v>45</v>
      </c>
      <c r="C1329" s="62" t="s">
        <v>77</v>
      </c>
      <c r="D1329" s="63" t="s">
        <v>58</v>
      </c>
      <c r="E1329" s="64">
        <v>0.0</v>
      </c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</row>
    <row r="1330" ht="15.75" customHeight="1">
      <c r="A1330" s="61" t="str">
        <f t="shared" si="1"/>
        <v>CampinasCampinasAvião</v>
      </c>
      <c r="B1330" s="62" t="s">
        <v>45</v>
      </c>
      <c r="C1330" s="62" t="s">
        <v>77</v>
      </c>
      <c r="D1330" s="63" t="s">
        <v>77</v>
      </c>
      <c r="E1330" s="64">
        <v>0.0</v>
      </c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</row>
    <row r="1331" ht="15.75" customHeight="1">
      <c r="A1331" s="61" t="str">
        <f t="shared" si="1"/>
        <v>CampinasCampo GrandeAvião</v>
      </c>
      <c r="B1331" s="62" t="s">
        <v>45</v>
      </c>
      <c r="C1331" s="62" t="s">
        <v>77</v>
      </c>
      <c r="D1331" s="63" t="s">
        <v>59</v>
      </c>
      <c r="E1331" s="64">
        <v>0.0</v>
      </c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</row>
    <row r="1332" ht="15.75" customHeight="1">
      <c r="A1332" s="61" t="str">
        <f t="shared" si="1"/>
        <v>CampinasCuiabáAvião</v>
      </c>
      <c r="B1332" s="62" t="s">
        <v>45</v>
      </c>
      <c r="C1332" s="62" t="s">
        <v>77</v>
      </c>
      <c r="D1332" s="63" t="s">
        <v>29</v>
      </c>
      <c r="E1332" s="64">
        <v>0.0</v>
      </c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</row>
    <row r="1333" ht="15.75" customHeight="1">
      <c r="A1333" s="61" t="str">
        <f t="shared" si="1"/>
        <v>CampinasCuritibaAvião</v>
      </c>
      <c r="B1333" s="62" t="s">
        <v>45</v>
      </c>
      <c r="C1333" s="62" t="s">
        <v>77</v>
      </c>
      <c r="D1333" s="63" t="s">
        <v>76</v>
      </c>
      <c r="E1333" s="64">
        <v>0.0</v>
      </c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</row>
    <row r="1334" ht="15.75" customHeight="1">
      <c r="A1334" s="61" t="str">
        <f t="shared" si="1"/>
        <v>CampinasFortalezaAvião</v>
      </c>
      <c r="B1334" s="62" t="s">
        <v>45</v>
      </c>
      <c r="C1334" s="62" t="s">
        <v>77</v>
      </c>
      <c r="D1334" s="63" t="s">
        <v>60</v>
      </c>
      <c r="E1334" s="64">
        <v>0.0</v>
      </c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</row>
    <row r="1335" ht="15.75" customHeight="1">
      <c r="A1335" s="61" t="str">
        <f t="shared" si="1"/>
        <v>CampinasGoiâniaAvião</v>
      </c>
      <c r="B1335" s="62" t="s">
        <v>45</v>
      </c>
      <c r="C1335" s="62" t="s">
        <v>77</v>
      </c>
      <c r="D1335" s="63" t="s">
        <v>61</v>
      </c>
      <c r="E1335" s="64">
        <v>0.0</v>
      </c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</row>
    <row r="1336" ht="15.75" customHeight="1">
      <c r="A1336" s="61" t="str">
        <f t="shared" si="1"/>
        <v>CampinasJoão PessoaAvião</v>
      </c>
      <c r="B1336" s="62" t="s">
        <v>45</v>
      </c>
      <c r="C1336" s="62" t="s">
        <v>77</v>
      </c>
      <c r="D1336" s="63" t="s">
        <v>62</v>
      </c>
      <c r="E1336" s="64">
        <v>0.0</v>
      </c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</row>
    <row r="1337" ht="15.75" customHeight="1">
      <c r="A1337" s="61" t="str">
        <f t="shared" si="1"/>
        <v>CampinasJoinvilleAvião</v>
      </c>
      <c r="B1337" s="62" t="s">
        <v>45</v>
      </c>
      <c r="C1337" s="62" t="s">
        <v>77</v>
      </c>
      <c r="D1337" s="63" t="s">
        <v>28</v>
      </c>
      <c r="E1337" s="64">
        <v>0.0</v>
      </c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</row>
    <row r="1338" ht="15.75" customHeight="1">
      <c r="A1338" s="61" t="str">
        <f t="shared" si="1"/>
        <v>CampinasMaceióAvião</v>
      </c>
      <c r="B1338" s="62" t="s">
        <v>45</v>
      </c>
      <c r="C1338" s="62" t="s">
        <v>77</v>
      </c>
      <c r="D1338" s="63" t="s">
        <v>63</v>
      </c>
      <c r="E1338" s="64">
        <v>0.0</v>
      </c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</row>
    <row r="1339" ht="15.75" customHeight="1">
      <c r="A1339" s="61" t="str">
        <f t="shared" si="1"/>
        <v>CampinasManausAvião</v>
      </c>
      <c r="B1339" s="62" t="s">
        <v>45</v>
      </c>
      <c r="C1339" s="62" t="s">
        <v>77</v>
      </c>
      <c r="D1339" s="63" t="s">
        <v>23</v>
      </c>
      <c r="E1339" s="64">
        <v>0.0</v>
      </c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</row>
    <row r="1340" ht="15.75" customHeight="1">
      <c r="A1340" s="61" t="str">
        <f t="shared" si="1"/>
        <v>CampinasNatalAvião</v>
      </c>
      <c r="B1340" s="62" t="s">
        <v>45</v>
      </c>
      <c r="C1340" s="62" t="s">
        <v>77</v>
      </c>
      <c r="D1340" s="63" t="s">
        <v>64</v>
      </c>
      <c r="E1340" s="64">
        <v>0.0</v>
      </c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</row>
    <row r="1341" ht="15.75" customHeight="1">
      <c r="A1341" s="61" t="str">
        <f t="shared" si="1"/>
        <v>CampinasPorto AlegreAvião</v>
      </c>
      <c r="B1341" s="62" t="s">
        <v>45</v>
      </c>
      <c r="C1341" s="62" t="s">
        <v>77</v>
      </c>
      <c r="D1341" s="63" t="s">
        <v>31</v>
      </c>
      <c r="E1341" s="64">
        <v>0.0</v>
      </c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</row>
    <row r="1342" ht="15.75" customHeight="1">
      <c r="A1342" s="61" t="str">
        <f t="shared" si="1"/>
        <v>CampinasRecifeAvião</v>
      </c>
      <c r="B1342" s="62" t="s">
        <v>45</v>
      </c>
      <c r="C1342" s="62" t="s">
        <v>77</v>
      </c>
      <c r="D1342" s="63" t="s">
        <v>65</v>
      </c>
      <c r="E1342" s="64">
        <v>0.0</v>
      </c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</row>
    <row r="1343" ht="15.75" customHeight="1">
      <c r="A1343" s="61" t="str">
        <f t="shared" si="1"/>
        <v>CampinasRibeirão PretoAvião</v>
      </c>
      <c r="B1343" s="62" t="s">
        <v>45</v>
      </c>
      <c r="C1343" s="62" t="s">
        <v>77</v>
      </c>
      <c r="D1343" s="63" t="s">
        <v>78</v>
      </c>
      <c r="E1343" s="64">
        <v>0.0</v>
      </c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</row>
    <row r="1344" ht="15.75" customHeight="1">
      <c r="A1344" s="61" t="str">
        <f t="shared" si="1"/>
        <v>CampinasRio de JaneiroAvião</v>
      </c>
      <c r="B1344" s="62" t="s">
        <v>45</v>
      </c>
      <c r="C1344" s="62" t="s">
        <v>77</v>
      </c>
      <c r="D1344" s="63" t="s">
        <v>66</v>
      </c>
      <c r="E1344" s="64">
        <v>0.0</v>
      </c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</row>
    <row r="1345" ht="15.75" customHeight="1">
      <c r="A1345" s="61" t="str">
        <f t="shared" si="1"/>
        <v>CampinasSalvadorAvião</v>
      </c>
      <c r="B1345" s="62" t="s">
        <v>45</v>
      </c>
      <c r="C1345" s="62" t="s">
        <v>77</v>
      </c>
      <c r="D1345" s="63" t="s">
        <v>67</v>
      </c>
      <c r="E1345" s="64">
        <v>0.0</v>
      </c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</row>
    <row r="1346" ht="15.75" customHeight="1">
      <c r="A1346" s="61" t="str">
        <f t="shared" si="1"/>
        <v>CampinasSantosAvião</v>
      </c>
      <c r="B1346" s="62" t="s">
        <v>45</v>
      </c>
      <c r="C1346" s="62" t="s">
        <v>77</v>
      </c>
      <c r="D1346" s="63" t="s">
        <v>38</v>
      </c>
      <c r="E1346" s="64">
        <v>0.0</v>
      </c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</row>
    <row r="1347" ht="15.75" customHeight="1">
      <c r="A1347" s="61" t="str">
        <f t="shared" si="1"/>
        <v>CampinasSão LuísAvião</v>
      </c>
      <c r="B1347" s="62" t="s">
        <v>45</v>
      </c>
      <c r="C1347" s="62" t="s">
        <v>77</v>
      </c>
      <c r="D1347" s="63" t="s">
        <v>36</v>
      </c>
      <c r="E1347" s="64">
        <v>0.0</v>
      </c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</row>
    <row r="1348" ht="15.75" customHeight="1">
      <c r="A1348" s="61" t="str">
        <f t="shared" si="1"/>
        <v>CampinasSão PauloAvião</v>
      </c>
      <c r="B1348" s="62" t="s">
        <v>45</v>
      </c>
      <c r="C1348" s="62" t="s">
        <v>77</v>
      </c>
      <c r="D1348" s="63" t="s">
        <v>75</v>
      </c>
      <c r="E1348" s="64">
        <v>0.0</v>
      </c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</row>
    <row r="1349" ht="15.75" customHeight="1">
      <c r="A1349" s="61" t="str">
        <f t="shared" si="1"/>
        <v>CampinasUberlândiaAvião</v>
      </c>
      <c r="B1349" s="62" t="s">
        <v>45</v>
      </c>
      <c r="C1349" s="62" t="s">
        <v>77</v>
      </c>
      <c r="D1349" s="63" t="s">
        <v>68</v>
      </c>
      <c r="E1349" s="64">
        <v>0.0</v>
      </c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</row>
    <row r="1350" ht="15.75" customHeight="1">
      <c r="A1350" s="61" t="str">
        <f t="shared" si="1"/>
        <v>CampinasVitóriaAvião</v>
      </c>
      <c r="B1350" s="62" t="s">
        <v>45</v>
      </c>
      <c r="C1350" s="62" t="s">
        <v>77</v>
      </c>
      <c r="D1350" s="63" t="s">
        <v>69</v>
      </c>
      <c r="E1350" s="64">
        <v>0.0</v>
      </c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</row>
    <row r="1351" ht="15.75" customHeight="1">
      <c r="A1351" s="61" t="str">
        <f t="shared" si="1"/>
        <v>CampinasVitória da ConquistaAvião</v>
      </c>
      <c r="B1351" s="62" t="s">
        <v>45</v>
      </c>
      <c r="C1351" s="62" t="s">
        <v>77</v>
      </c>
      <c r="D1351" s="63" t="s">
        <v>52</v>
      </c>
      <c r="E1351" s="64">
        <v>0.0</v>
      </c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</row>
    <row r="1352" ht="15.75" customHeight="1">
      <c r="A1352" s="61" t="str">
        <f t="shared" si="1"/>
        <v>Campo GrandeBelémAvião</v>
      </c>
      <c r="B1352" s="62" t="s">
        <v>45</v>
      </c>
      <c r="C1352" s="62" t="s">
        <v>59</v>
      </c>
      <c r="D1352" s="63" t="s">
        <v>51</v>
      </c>
      <c r="E1352" s="64">
        <v>0.0</v>
      </c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</row>
    <row r="1353" ht="15.75" customHeight="1">
      <c r="A1353" s="61" t="str">
        <f t="shared" si="1"/>
        <v>Campo GrandeBelo HorizonteAvião</v>
      </c>
      <c r="B1353" s="62" t="s">
        <v>45</v>
      </c>
      <c r="C1353" s="62" t="s">
        <v>59</v>
      </c>
      <c r="D1353" s="63" t="s">
        <v>57</v>
      </c>
      <c r="E1353" s="64">
        <v>0.0</v>
      </c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</row>
    <row r="1354" ht="15.75" customHeight="1">
      <c r="A1354" s="61" t="str">
        <f t="shared" si="1"/>
        <v>Campo GrandeBrasíliaAvião</v>
      </c>
      <c r="B1354" s="62" t="s">
        <v>45</v>
      </c>
      <c r="C1354" s="62" t="s">
        <v>59</v>
      </c>
      <c r="D1354" s="63" t="s">
        <v>58</v>
      </c>
      <c r="E1354" s="64">
        <v>0.0</v>
      </c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</row>
    <row r="1355" ht="15.75" customHeight="1">
      <c r="A1355" s="61" t="str">
        <f t="shared" si="1"/>
        <v>Campo GrandeCampinasAvião</v>
      </c>
      <c r="B1355" s="62" t="s">
        <v>45</v>
      </c>
      <c r="C1355" s="62" t="s">
        <v>59</v>
      </c>
      <c r="D1355" s="63" t="s">
        <v>77</v>
      </c>
      <c r="E1355" s="64">
        <v>0.0</v>
      </c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</row>
    <row r="1356" ht="15.75" customHeight="1">
      <c r="A1356" s="61" t="str">
        <f t="shared" si="1"/>
        <v>Campo GrandeCampo GrandeAvião</v>
      </c>
      <c r="B1356" s="62" t="s">
        <v>45</v>
      </c>
      <c r="C1356" s="62" t="s">
        <v>59</v>
      </c>
      <c r="D1356" s="63" t="s">
        <v>59</v>
      </c>
      <c r="E1356" s="64">
        <v>0.0</v>
      </c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</row>
    <row r="1357" ht="15.75" customHeight="1">
      <c r="A1357" s="61" t="str">
        <f t="shared" si="1"/>
        <v>Campo GrandeCuiabáAvião</v>
      </c>
      <c r="B1357" s="62" t="s">
        <v>45</v>
      </c>
      <c r="C1357" s="62" t="s">
        <v>59</v>
      </c>
      <c r="D1357" s="63" t="s">
        <v>29</v>
      </c>
      <c r="E1357" s="64">
        <v>0.0</v>
      </c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</row>
    <row r="1358" ht="15.75" customHeight="1">
      <c r="A1358" s="61" t="str">
        <f t="shared" si="1"/>
        <v>Campo GrandeCuritibaAvião</v>
      </c>
      <c r="B1358" s="62" t="s">
        <v>45</v>
      </c>
      <c r="C1358" s="62" t="s">
        <v>59</v>
      </c>
      <c r="D1358" s="63" t="s">
        <v>76</v>
      </c>
      <c r="E1358" s="64">
        <v>0.0</v>
      </c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</row>
    <row r="1359" ht="15.75" customHeight="1">
      <c r="A1359" s="61" t="str">
        <f t="shared" si="1"/>
        <v>Campo GrandeFortalezaAvião</v>
      </c>
      <c r="B1359" s="62" t="s">
        <v>45</v>
      </c>
      <c r="C1359" s="62" t="s">
        <v>59</v>
      </c>
      <c r="D1359" s="63" t="s">
        <v>60</v>
      </c>
      <c r="E1359" s="64">
        <v>0.0</v>
      </c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</row>
    <row r="1360" ht="15.75" customHeight="1">
      <c r="A1360" s="61" t="str">
        <f t="shared" si="1"/>
        <v>Campo GrandeGoiâniaAvião</v>
      </c>
      <c r="B1360" s="62" t="s">
        <v>45</v>
      </c>
      <c r="C1360" s="62" t="s">
        <v>59</v>
      </c>
      <c r="D1360" s="63" t="s">
        <v>61</v>
      </c>
      <c r="E1360" s="64">
        <v>0.0</v>
      </c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</row>
    <row r="1361" ht="15.75" customHeight="1">
      <c r="A1361" s="61" t="str">
        <f t="shared" si="1"/>
        <v>Campo GrandeJoão PessoaAvião</v>
      </c>
      <c r="B1361" s="62" t="s">
        <v>45</v>
      </c>
      <c r="C1361" s="62" t="s">
        <v>59</v>
      </c>
      <c r="D1361" s="63" t="s">
        <v>62</v>
      </c>
      <c r="E1361" s="64">
        <v>0.0</v>
      </c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</row>
    <row r="1362" ht="15.75" customHeight="1">
      <c r="A1362" s="61" t="str">
        <f t="shared" si="1"/>
        <v>Campo GrandeJoinvilleAvião</v>
      </c>
      <c r="B1362" s="62" t="s">
        <v>45</v>
      </c>
      <c r="C1362" s="62" t="s">
        <v>59</v>
      </c>
      <c r="D1362" s="63" t="s">
        <v>28</v>
      </c>
      <c r="E1362" s="64">
        <v>0.0</v>
      </c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</row>
    <row r="1363" ht="15.75" customHeight="1">
      <c r="A1363" s="61" t="str">
        <f t="shared" si="1"/>
        <v>Campo GrandeMaceióAvião</v>
      </c>
      <c r="B1363" s="62" t="s">
        <v>45</v>
      </c>
      <c r="C1363" s="62" t="s">
        <v>59</v>
      </c>
      <c r="D1363" s="63" t="s">
        <v>63</v>
      </c>
      <c r="E1363" s="64">
        <v>0.0</v>
      </c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</row>
    <row r="1364" ht="15.75" customHeight="1">
      <c r="A1364" s="61" t="str">
        <f t="shared" si="1"/>
        <v>Campo GrandeManausAvião</v>
      </c>
      <c r="B1364" s="62" t="s">
        <v>45</v>
      </c>
      <c r="C1364" s="62" t="s">
        <v>59</v>
      </c>
      <c r="D1364" s="63" t="s">
        <v>23</v>
      </c>
      <c r="E1364" s="64">
        <v>0.0</v>
      </c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</row>
    <row r="1365" ht="15.75" customHeight="1">
      <c r="A1365" s="61" t="str">
        <f t="shared" si="1"/>
        <v>Campo GrandeNatalAvião</v>
      </c>
      <c r="B1365" s="62" t="s">
        <v>45</v>
      </c>
      <c r="C1365" s="62" t="s">
        <v>59</v>
      </c>
      <c r="D1365" s="63" t="s">
        <v>64</v>
      </c>
      <c r="E1365" s="64">
        <v>0.0</v>
      </c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</row>
    <row r="1366" ht="15.75" customHeight="1">
      <c r="A1366" s="61" t="str">
        <f t="shared" si="1"/>
        <v>Campo GrandePorto AlegreAvião</v>
      </c>
      <c r="B1366" s="62" t="s">
        <v>45</v>
      </c>
      <c r="C1366" s="62" t="s">
        <v>59</v>
      </c>
      <c r="D1366" s="63" t="s">
        <v>31</v>
      </c>
      <c r="E1366" s="64">
        <v>0.0</v>
      </c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</row>
    <row r="1367" ht="15.75" customHeight="1">
      <c r="A1367" s="61" t="str">
        <f t="shared" si="1"/>
        <v>Campo GrandeRecifeAvião</v>
      </c>
      <c r="B1367" s="62" t="s">
        <v>45</v>
      </c>
      <c r="C1367" s="62" t="s">
        <v>59</v>
      </c>
      <c r="D1367" s="63" t="s">
        <v>65</v>
      </c>
      <c r="E1367" s="64">
        <v>0.0</v>
      </c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</row>
    <row r="1368" ht="15.75" customHeight="1">
      <c r="A1368" s="61" t="str">
        <f t="shared" si="1"/>
        <v>Campo GrandeRibeirão PretoAvião</v>
      </c>
      <c r="B1368" s="62" t="s">
        <v>45</v>
      </c>
      <c r="C1368" s="62" t="s">
        <v>59</v>
      </c>
      <c r="D1368" s="63" t="s">
        <v>78</v>
      </c>
      <c r="E1368" s="64">
        <v>0.0</v>
      </c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</row>
    <row r="1369" ht="15.75" customHeight="1">
      <c r="A1369" s="61" t="str">
        <f t="shared" si="1"/>
        <v>Campo GrandeRio de JaneiroAvião</v>
      </c>
      <c r="B1369" s="62" t="s">
        <v>45</v>
      </c>
      <c r="C1369" s="62" t="s">
        <v>59</v>
      </c>
      <c r="D1369" s="63" t="s">
        <v>66</v>
      </c>
      <c r="E1369" s="64">
        <v>0.0</v>
      </c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</row>
    <row r="1370" ht="15.75" customHeight="1">
      <c r="A1370" s="61" t="str">
        <f t="shared" si="1"/>
        <v>Campo GrandeSalvadorAvião</v>
      </c>
      <c r="B1370" s="62" t="s">
        <v>45</v>
      </c>
      <c r="C1370" s="62" t="s">
        <v>59</v>
      </c>
      <c r="D1370" s="63" t="s">
        <v>67</v>
      </c>
      <c r="E1370" s="64">
        <v>0.0</v>
      </c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</row>
    <row r="1371" ht="15.75" customHeight="1">
      <c r="A1371" s="61" t="str">
        <f t="shared" si="1"/>
        <v>Campo GrandeSantosAvião</v>
      </c>
      <c r="B1371" s="62" t="s">
        <v>45</v>
      </c>
      <c r="C1371" s="62" t="s">
        <v>59</v>
      </c>
      <c r="D1371" s="63" t="s">
        <v>38</v>
      </c>
      <c r="E1371" s="64">
        <v>0.0</v>
      </c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</row>
    <row r="1372" ht="15.75" customHeight="1">
      <c r="A1372" s="61" t="str">
        <f t="shared" si="1"/>
        <v>Campo GrandeSão LuísAvião</v>
      </c>
      <c r="B1372" s="62" t="s">
        <v>45</v>
      </c>
      <c r="C1372" s="62" t="s">
        <v>59</v>
      </c>
      <c r="D1372" s="63" t="s">
        <v>36</v>
      </c>
      <c r="E1372" s="64">
        <v>0.0</v>
      </c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</row>
    <row r="1373" ht="15.75" customHeight="1">
      <c r="A1373" s="61" t="str">
        <f t="shared" si="1"/>
        <v>Campo GrandeSão PauloAvião</v>
      </c>
      <c r="B1373" s="62" t="s">
        <v>45</v>
      </c>
      <c r="C1373" s="62" t="s">
        <v>59</v>
      </c>
      <c r="D1373" s="63" t="s">
        <v>75</v>
      </c>
      <c r="E1373" s="64">
        <v>0.0</v>
      </c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</row>
    <row r="1374" ht="15.75" customHeight="1">
      <c r="A1374" s="61" t="str">
        <f t="shared" si="1"/>
        <v>Campo GrandeUberlândiaAvião</v>
      </c>
      <c r="B1374" s="62" t="s">
        <v>45</v>
      </c>
      <c r="C1374" s="62" t="s">
        <v>59</v>
      </c>
      <c r="D1374" s="63" t="s">
        <v>68</v>
      </c>
      <c r="E1374" s="64">
        <v>0.0</v>
      </c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</row>
    <row r="1375" ht="15.75" customHeight="1">
      <c r="A1375" s="61" t="str">
        <f t="shared" si="1"/>
        <v>Campo GrandeVitóriaAvião</v>
      </c>
      <c r="B1375" s="62" t="s">
        <v>45</v>
      </c>
      <c r="C1375" s="62" t="s">
        <v>59</v>
      </c>
      <c r="D1375" s="63" t="s">
        <v>69</v>
      </c>
      <c r="E1375" s="64">
        <v>0.0</v>
      </c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</row>
    <row r="1376" ht="15.75" customHeight="1">
      <c r="A1376" s="61" t="str">
        <f t="shared" si="1"/>
        <v>Campo GrandeVitória da ConquistaAvião</v>
      </c>
      <c r="B1376" s="62" t="s">
        <v>45</v>
      </c>
      <c r="C1376" s="62" t="s">
        <v>59</v>
      </c>
      <c r="D1376" s="63" t="s">
        <v>52</v>
      </c>
      <c r="E1376" s="64">
        <v>0.0</v>
      </c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</row>
    <row r="1377" ht="15.75" customHeight="1">
      <c r="A1377" s="61" t="str">
        <f t="shared" si="1"/>
        <v>CuiabáBelémAvião</v>
      </c>
      <c r="B1377" s="62" t="s">
        <v>45</v>
      </c>
      <c r="C1377" s="63" t="s">
        <v>29</v>
      </c>
      <c r="D1377" s="63" t="s">
        <v>51</v>
      </c>
      <c r="E1377" s="64">
        <v>0.0</v>
      </c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</row>
    <row r="1378" ht="15.75" customHeight="1">
      <c r="A1378" s="61" t="str">
        <f t="shared" si="1"/>
        <v>CuiabáBelo HorizonteAvião</v>
      </c>
      <c r="B1378" s="62" t="s">
        <v>45</v>
      </c>
      <c r="C1378" s="63" t="s">
        <v>29</v>
      </c>
      <c r="D1378" s="63" t="s">
        <v>57</v>
      </c>
      <c r="E1378" s="64">
        <v>0.0</v>
      </c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</row>
    <row r="1379" ht="15.75" customHeight="1">
      <c r="A1379" s="61" t="str">
        <f t="shared" si="1"/>
        <v>CuiabáBrasíliaAvião</v>
      </c>
      <c r="B1379" s="62" t="s">
        <v>45</v>
      </c>
      <c r="C1379" s="63" t="s">
        <v>29</v>
      </c>
      <c r="D1379" s="63" t="s">
        <v>58</v>
      </c>
      <c r="E1379" s="64">
        <v>0.0</v>
      </c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</row>
    <row r="1380" ht="15.75" customHeight="1">
      <c r="A1380" s="61" t="str">
        <f t="shared" si="1"/>
        <v>CuiabáCampinasAvião</v>
      </c>
      <c r="B1380" s="62" t="s">
        <v>45</v>
      </c>
      <c r="C1380" s="63" t="s">
        <v>29</v>
      </c>
      <c r="D1380" s="63" t="s">
        <v>77</v>
      </c>
      <c r="E1380" s="64">
        <v>0.0</v>
      </c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</row>
    <row r="1381" ht="15.75" customHeight="1">
      <c r="A1381" s="61" t="str">
        <f t="shared" si="1"/>
        <v>CuiabáCampo GrandeAvião</v>
      </c>
      <c r="B1381" s="62" t="s">
        <v>45</v>
      </c>
      <c r="C1381" s="63" t="s">
        <v>29</v>
      </c>
      <c r="D1381" s="63" t="s">
        <v>59</v>
      </c>
      <c r="E1381" s="64">
        <v>0.0</v>
      </c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</row>
    <row r="1382" ht="15.75" customHeight="1">
      <c r="A1382" s="61" t="str">
        <f t="shared" si="1"/>
        <v>CuiabáCuiabáAvião</v>
      </c>
      <c r="B1382" s="62" t="s">
        <v>45</v>
      </c>
      <c r="C1382" s="63" t="s">
        <v>29</v>
      </c>
      <c r="D1382" s="63" t="s">
        <v>29</v>
      </c>
      <c r="E1382" s="64">
        <v>0.0</v>
      </c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</row>
    <row r="1383" ht="15.75" customHeight="1">
      <c r="A1383" s="61" t="str">
        <f t="shared" si="1"/>
        <v>CuiabáCuritibaAvião</v>
      </c>
      <c r="B1383" s="62" t="s">
        <v>45</v>
      </c>
      <c r="C1383" s="63" t="s">
        <v>29</v>
      </c>
      <c r="D1383" s="63" t="s">
        <v>76</v>
      </c>
      <c r="E1383" s="64">
        <v>0.0</v>
      </c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</row>
    <row r="1384" ht="15.75" customHeight="1">
      <c r="A1384" s="61" t="str">
        <f t="shared" si="1"/>
        <v>CuiabáFortalezaAvião</v>
      </c>
      <c r="B1384" s="62" t="s">
        <v>45</v>
      </c>
      <c r="C1384" s="63" t="s">
        <v>29</v>
      </c>
      <c r="D1384" s="63" t="s">
        <v>60</v>
      </c>
      <c r="E1384" s="64">
        <v>0.0</v>
      </c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</row>
    <row r="1385" ht="15.75" customHeight="1">
      <c r="A1385" s="61" t="str">
        <f t="shared" si="1"/>
        <v>CuiabáGoiâniaAvião</v>
      </c>
      <c r="B1385" s="62" t="s">
        <v>45</v>
      </c>
      <c r="C1385" s="63" t="s">
        <v>29</v>
      </c>
      <c r="D1385" s="63" t="s">
        <v>61</v>
      </c>
      <c r="E1385" s="64">
        <v>0.0</v>
      </c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</row>
    <row r="1386" ht="15.75" customHeight="1">
      <c r="A1386" s="61" t="str">
        <f t="shared" si="1"/>
        <v>CuiabáJoão PessoaAvião</v>
      </c>
      <c r="B1386" s="62" t="s">
        <v>45</v>
      </c>
      <c r="C1386" s="63" t="s">
        <v>29</v>
      </c>
      <c r="D1386" s="63" t="s">
        <v>62</v>
      </c>
      <c r="E1386" s="64">
        <v>0.0</v>
      </c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</row>
    <row r="1387" ht="15.75" customHeight="1">
      <c r="A1387" s="61" t="str">
        <f t="shared" si="1"/>
        <v>CuiabáJoinvilleAvião</v>
      </c>
      <c r="B1387" s="62" t="s">
        <v>45</v>
      </c>
      <c r="C1387" s="63" t="s">
        <v>29</v>
      </c>
      <c r="D1387" s="63" t="s">
        <v>28</v>
      </c>
      <c r="E1387" s="64">
        <v>0.0</v>
      </c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</row>
    <row r="1388" ht="15.75" customHeight="1">
      <c r="A1388" s="61" t="str">
        <f t="shared" si="1"/>
        <v>CuiabáMaceióAvião</v>
      </c>
      <c r="B1388" s="62" t="s">
        <v>45</v>
      </c>
      <c r="C1388" s="63" t="s">
        <v>29</v>
      </c>
      <c r="D1388" s="63" t="s">
        <v>63</v>
      </c>
      <c r="E1388" s="64">
        <v>0.0</v>
      </c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</row>
    <row r="1389" ht="15.75" customHeight="1">
      <c r="A1389" s="61" t="str">
        <f t="shared" si="1"/>
        <v>CuiabáManausAvião</v>
      </c>
      <c r="B1389" s="62" t="s">
        <v>45</v>
      </c>
      <c r="C1389" s="63" t="s">
        <v>29</v>
      </c>
      <c r="D1389" s="63" t="s">
        <v>23</v>
      </c>
      <c r="E1389" s="64">
        <v>0.0</v>
      </c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</row>
    <row r="1390" ht="15.75" customHeight="1">
      <c r="A1390" s="61" t="str">
        <f t="shared" si="1"/>
        <v>CuiabáNatalAvião</v>
      </c>
      <c r="B1390" s="62" t="s">
        <v>45</v>
      </c>
      <c r="C1390" s="63" t="s">
        <v>29</v>
      </c>
      <c r="D1390" s="63" t="s">
        <v>64</v>
      </c>
      <c r="E1390" s="64">
        <v>0.0</v>
      </c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</row>
    <row r="1391" ht="15.75" customHeight="1">
      <c r="A1391" s="61" t="str">
        <f t="shared" si="1"/>
        <v>CuiabáPorto AlegreAvião</v>
      </c>
      <c r="B1391" s="62" t="s">
        <v>45</v>
      </c>
      <c r="C1391" s="63" t="s">
        <v>29</v>
      </c>
      <c r="D1391" s="63" t="s">
        <v>31</v>
      </c>
      <c r="E1391" s="64">
        <v>0.0</v>
      </c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</row>
    <row r="1392" ht="15.75" customHeight="1">
      <c r="A1392" s="61" t="str">
        <f t="shared" si="1"/>
        <v>CuiabáRecifeAvião</v>
      </c>
      <c r="B1392" s="62" t="s">
        <v>45</v>
      </c>
      <c r="C1392" s="63" t="s">
        <v>29</v>
      </c>
      <c r="D1392" s="63" t="s">
        <v>65</v>
      </c>
      <c r="E1392" s="64">
        <v>0.0</v>
      </c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</row>
    <row r="1393" ht="15.75" customHeight="1">
      <c r="A1393" s="61" t="str">
        <f t="shared" si="1"/>
        <v>CuiabáRibeirão PretoAvião</v>
      </c>
      <c r="B1393" s="62" t="s">
        <v>45</v>
      </c>
      <c r="C1393" s="63" t="s">
        <v>29</v>
      </c>
      <c r="D1393" s="63" t="s">
        <v>78</v>
      </c>
      <c r="E1393" s="64">
        <v>0.0</v>
      </c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</row>
    <row r="1394" ht="15.75" customHeight="1">
      <c r="A1394" s="61" t="str">
        <f t="shared" si="1"/>
        <v>CuiabáRio de JaneiroAvião</v>
      </c>
      <c r="B1394" s="62" t="s">
        <v>45</v>
      </c>
      <c r="C1394" s="63" t="s">
        <v>29</v>
      </c>
      <c r="D1394" s="63" t="s">
        <v>66</v>
      </c>
      <c r="E1394" s="64">
        <v>0.0</v>
      </c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</row>
    <row r="1395" ht="15.75" customHeight="1">
      <c r="A1395" s="61" t="str">
        <f t="shared" si="1"/>
        <v>CuiabáSalvadorAvião</v>
      </c>
      <c r="B1395" s="62" t="s">
        <v>45</v>
      </c>
      <c r="C1395" s="63" t="s">
        <v>29</v>
      </c>
      <c r="D1395" s="63" t="s">
        <v>67</v>
      </c>
      <c r="E1395" s="64">
        <v>0.0</v>
      </c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</row>
    <row r="1396" ht="15.75" customHeight="1">
      <c r="A1396" s="61" t="str">
        <f t="shared" si="1"/>
        <v>CuiabáSantosAvião</v>
      </c>
      <c r="B1396" s="62" t="s">
        <v>45</v>
      </c>
      <c r="C1396" s="63" t="s">
        <v>29</v>
      </c>
      <c r="D1396" s="63" t="s">
        <v>38</v>
      </c>
      <c r="E1396" s="64">
        <v>0.0</v>
      </c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</row>
    <row r="1397" ht="15.75" customHeight="1">
      <c r="A1397" s="61" t="str">
        <f t="shared" si="1"/>
        <v>CuiabáSão LuísAvião</v>
      </c>
      <c r="B1397" s="62" t="s">
        <v>45</v>
      </c>
      <c r="C1397" s="63" t="s">
        <v>29</v>
      </c>
      <c r="D1397" s="63" t="s">
        <v>36</v>
      </c>
      <c r="E1397" s="64">
        <v>0.0</v>
      </c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</row>
    <row r="1398" ht="15.75" customHeight="1">
      <c r="A1398" s="61" t="str">
        <f t="shared" si="1"/>
        <v>CuiabáSão PauloAvião</v>
      </c>
      <c r="B1398" s="62" t="s">
        <v>45</v>
      </c>
      <c r="C1398" s="63" t="s">
        <v>29</v>
      </c>
      <c r="D1398" s="63" t="s">
        <v>75</v>
      </c>
      <c r="E1398" s="64">
        <v>0.0</v>
      </c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</row>
    <row r="1399" ht="15.75" customHeight="1">
      <c r="A1399" s="61" t="str">
        <f t="shared" si="1"/>
        <v>CuiabáUberlândiaAvião</v>
      </c>
      <c r="B1399" s="62" t="s">
        <v>45</v>
      </c>
      <c r="C1399" s="63" t="s">
        <v>29</v>
      </c>
      <c r="D1399" s="63" t="s">
        <v>68</v>
      </c>
      <c r="E1399" s="64">
        <v>0.0</v>
      </c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</row>
    <row r="1400" ht="15.75" customHeight="1">
      <c r="A1400" s="61" t="str">
        <f t="shared" si="1"/>
        <v>CuiabáVitóriaAvião</v>
      </c>
      <c r="B1400" s="62" t="s">
        <v>45</v>
      </c>
      <c r="C1400" s="63" t="s">
        <v>29</v>
      </c>
      <c r="D1400" s="63" t="s">
        <v>69</v>
      </c>
      <c r="E1400" s="64">
        <v>0.0</v>
      </c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</row>
    <row r="1401" ht="15.75" customHeight="1">
      <c r="A1401" s="61" t="str">
        <f t="shared" si="1"/>
        <v>CuiabáVitória da ConquistaAvião</v>
      </c>
      <c r="B1401" s="62" t="s">
        <v>45</v>
      </c>
      <c r="C1401" s="63" t="s">
        <v>29</v>
      </c>
      <c r="D1401" s="63" t="s">
        <v>52</v>
      </c>
      <c r="E1401" s="64">
        <v>0.0</v>
      </c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</row>
    <row r="1402" ht="15.75" customHeight="1">
      <c r="A1402" s="61" t="str">
        <f t="shared" si="1"/>
        <v>CuritibaBelémAvião</v>
      </c>
      <c r="B1402" s="62" t="s">
        <v>45</v>
      </c>
      <c r="C1402" s="62" t="s">
        <v>76</v>
      </c>
      <c r="D1402" s="63" t="s">
        <v>51</v>
      </c>
      <c r="E1402" s="64">
        <v>0.0</v>
      </c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</row>
    <row r="1403" ht="15.75" customHeight="1">
      <c r="A1403" s="61" t="str">
        <f t="shared" si="1"/>
        <v>CuritibaBelo HorizonteAvião</v>
      </c>
      <c r="B1403" s="62" t="s">
        <v>45</v>
      </c>
      <c r="C1403" s="62" t="s">
        <v>76</v>
      </c>
      <c r="D1403" s="63" t="s">
        <v>57</v>
      </c>
      <c r="E1403" s="64">
        <v>0.0</v>
      </c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</row>
    <row r="1404" ht="15.75" customHeight="1">
      <c r="A1404" s="61" t="str">
        <f t="shared" si="1"/>
        <v>CuritibaBrasíliaAvião</v>
      </c>
      <c r="B1404" s="62" t="s">
        <v>45</v>
      </c>
      <c r="C1404" s="62" t="s">
        <v>76</v>
      </c>
      <c r="D1404" s="63" t="s">
        <v>58</v>
      </c>
      <c r="E1404" s="64">
        <v>0.0</v>
      </c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</row>
    <row r="1405" ht="15.75" customHeight="1">
      <c r="A1405" s="61" t="str">
        <f t="shared" si="1"/>
        <v>CuritibaCampinasAvião</v>
      </c>
      <c r="B1405" s="62" t="s">
        <v>45</v>
      </c>
      <c r="C1405" s="62" t="s">
        <v>76</v>
      </c>
      <c r="D1405" s="63" t="s">
        <v>77</v>
      </c>
      <c r="E1405" s="64">
        <v>0.0</v>
      </c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</row>
    <row r="1406" ht="15.75" customHeight="1">
      <c r="A1406" s="61" t="str">
        <f t="shared" si="1"/>
        <v>CuritibaCampo GrandeAvião</v>
      </c>
      <c r="B1406" s="62" t="s">
        <v>45</v>
      </c>
      <c r="C1406" s="62" t="s">
        <v>76</v>
      </c>
      <c r="D1406" s="63" t="s">
        <v>59</v>
      </c>
      <c r="E1406" s="64">
        <v>0.0</v>
      </c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</row>
    <row r="1407" ht="15.75" customHeight="1">
      <c r="A1407" s="61" t="str">
        <f t="shared" si="1"/>
        <v>CuritibaCuiabáAvião</v>
      </c>
      <c r="B1407" s="62" t="s">
        <v>45</v>
      </c>
      <c r="C1407" s="62" t="s">
        <v>76</v>
      </c>
      <c r="D1407" s="63" t="s">
        <v>29</v>
      </c>
      <c r="E1407" s="64">
        <v>0.0</v>
      </c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</row>
    <row r="1408" ht="15.75" customHeight="1">
      <c r="A1408" s="61" t="str">
        <f t="shared" si="1"/>
        <v>CuritibaCuritibaAvião</v>
      </c>
      <c r="B1408" s="62" t="s">
        <v>45</v>
      </c>
      <c r="C1408" s="62" t="s">
        <v>76</v>
      </c>
      <c r="D1408" s="63" t="s">
        <v>76</v>
      </c>
      <c r="E1408" s="64">
        <v>0.0</v>
      </c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</row>
    <row r="1409" ht="15.75" customHeight="1">
      <c r="A1409" s="61" t="str">
        <f t="shared" si="1"/>
        <v>CuritibaFortalezaAvião</v>
      </c>
      <c r="B1409" s="62" t="s">
        <v>45</v>
      </c>
      <c r="C1409" s="62" t="s">
        <v>76</v>
      </c>
      <c r="D1409" s="63" t="s">
        <v>60</v>
      </c>
      <c r="E1409" s="64">
        <v>0.0</v>
      </c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</row>
    <row r="1410" ht="15.75" customHeight="1">
      <c r="A1410" s="61" t="str">
        <f t="shared" si="1"/>
        <v>CuritibaGoiâniaAvião</v>
      </c>
      <c r="B1410" s="62" t="s">
        <v>45</v>
      </c>
      <c r="C1410" s="62" t="s">
        <v>76</v>
      </c>
      <c r="D1410" s="63" t="s">
        <v>61</v>
      </c>
      <c r="E1410" s="64">
        <v>0.0</v>
      </c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</row>
    <row r="1411" ht="15.75" customHeight="1">
      <c r="A1411" s="61" t="str">
        <f t="shared" si="1"/>
        <v>CuritibaJoão PessoaAvião</v>
      </c>
      <c r="B1411" s="62" t="s">
        <v>45</v>
      </c>
      <c r="C1411" s="62" t="s">
        <v>76</v>
      </c>
      <c r="D1411" s="63" t="s">
        <v>62</v>
      </c>
      <c r="E1411" s="64">
        <v>0.0</v>
      </c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</row>
    <row r="1412" ht="15.75" customHeight="1">
      <c r="A1412" s="61" t="str">
        <f t="shared" si="1"/>
        <v>CuritibaJoinvilleAvião</v>
      </c>
      <c r="B1412" s="62" t="s">
        <v>45</v>
      </c>
      <c r="C1412" s="62" t="s">
        <v>76</v>
      </c>
      <c r="D1412" s="63" t="s">
        <v>28</v>
      </c>
      <c r="E1412" s="64">
        <v>0.0</v>
      </c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</row>
    <row r="1413" ht="15.75" customHeight="1">
      <c r="A1413" s="61" t="str">
        <f t="shared" si="1"/>
        <v>CuritibaMaceióAvião</v>
      </c>
      <c r="B1413" s="62" t="s">
        <v>45</v>
      </c>
      <c r="C1413" s="62" t="s">
        <v>76</v>
      </c>
      <c r="D1413" s="63" t="s">
        <v>63</v>
      </c>
      <c r="E1413" s="64">
        <v>0.0</v>
      </c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</row>
    <row r="1414" ht="15.75" customHeight="1">
      <c r="A1414" s="61" t="str">
        <f t="shared" si="1"/>
        <v>CuritibaManausAvião</v>
      </c>
      <c r="B1414" s="62" t="s">
        <v>45</v>
      </c>
      <c r="C1414" s="62" t="s">
        <v>76</v>
      </c>
      <c r="D1414" s="63" t="s">
        <v>23</v>
      </c>
      <c r="E1414" s="64">
        <v>0.0</v>
      </c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</row>
    <row r="1415" ht="15.75" customHeight="1">
      <c r="A1415" s="61" t="str">
        <f t="shared" si="1"/>
        <v>CuritibaNatalAvião</v>
      </c>
      <c r="B1415" s="62" t="s">
        <v>45</v>
      </c>
      <c r="C1415" s="62" t="s">
        <v>76</v>
      </c>
      <c r="D1415" s="63" t="s">
        <v>64</v>
      </c>
      <c r="E1415" s="64">
        <v>0.0</v>
      </c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</row>
    <row r="1416" ht="15.75" customHeight="1">
      <c r="A1416" s="61" t="str">
        <f t="shared" si="1"/>
        <v>CuritibaPorto AlegreAvião</v>
      </c>
      <c r="B1416" s="62" t="s">
        <v>45</v>
      </c>
      <c r="C1416" s="62" t="s">
        <v>76</v>
      </c>
      <c r="D1416" s="63" t="s">
        <v>31</v>
      </c>
      <c r="E1416" s="64">
        <v>0.0</v>
      </c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</row>
    <row r="1417" ht="15.75" customHeight="1">
      <c r="A1417" s="61" t="str">
        <f t="shared" si="1"/>
        <v>CuritibaRecifeAvião</v>
      </c>
      <c r="B1417" s="62" t="s">
        <v>45</v>
      </c>
      <c r="C1417" s="62" t="s">
        <v>76</v>
      </c>
      <c r="D1417" s="63" t="s">
        <v>65</v>
      </c>
      <c r="E1417" s="64">
        <v>0.0</v>
      </c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</row>
    <row r="1418" ht="15.75" customHeight="1">
      <c r="A1418" s="61" t="str">
        <f t="shared" si="1"/>
        <v>CuritibaRibeirão PretoAvião</v>
      </c>
      <c r="B1418" s="62" t="s">
        <v>45</v>
      </c>
      <c r="C1418" s="62" t="s">
        <v>76</v>
      </c>
      <c r="D1418" s="63" t="s">
        <v>78</v>
      </c>
      <c r="E1418" s="64">
        <v>0.0</v>
      </c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</row>
    <row r="1419" ht="15.75" customHeight="1">
      <c r="A1419" s="61" t="str">
        <f t="shared" si="1"/>
        <v>CuritibaRio de JaneiroAvião</v>
      </c>
      <c r="B1419" s="62" t="s">
        <v>45</v>
      </c>
      <c r="C1419" s="62" t="s">
        <v>76</v>
      </c>
      <c r="D1419" s="63" t="s">
        <v>66</v>
      </c>
      <c r="E1419" s="64">
        <v>0.0</v>
      </c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</row>
    <row r="1420" ht="15.75" customHeight="1">
      <c r="A1420" s="61" t="str">
        <f t="shared" si="1"/>
        <v>CuritibaSalvadorAvião</v>
      </c>
      <c r="B1420" s="62" t="s">
        <v>45</v>
      </c>
      <c r="C1420" s="62" t="s">
        <v>76</v>
      </c>
      <c r="D1420" s="63" t="s">
        <v>67</v>
      </c>
      <c r="E1420" s="64">
        <v>0.0</v>
      </c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</row>
    <row r="1421" ht="15.75" customHeight="1">
      <c r="A1421" s="61" t="str">
        <f t="shared" si="1"/>
        <v>CuritibaSantosAvião</v>
      </c>
      <c r="B1421" s="62" t="s">
        <v>45</v>
      </c>
      <c r="C1421" s="62" t="s">
        <v>76</v>
      </c>
      <c r="D1421" s="63" t="s">
        <v>38</v>
      </c>
      <c r="E1421" s="64">
        <v>0.0</v>
      </c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</row>
    <row r="1422" ht="15.75" customHeight="1">
      <c r="A1422" s="61" t="str">
        <f t="shared" si="1"/>
        <v>CuritibaSão LuísAvião</v>
      </c>
      <c r="B1422" s="62" t="s">
        <v>45</v>
      </c>
      <c r="C1422" s="62" t="s">
        <v>76</v>
      </c>
      <c r="D1422" s="63" t="s">
        <v>36</v>
      </c>
      <c r="E1422" s="64">
        <v>0.0</v>
      </c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</row>
    <row r="1423" ht="15.75" customHeight="1">
      <c r="A1423" s="61" t="str">
        <f t="shared" si="1"/>
        <v>CuritibaSão PauloAvião</v>
      </c>
      <c r="B1423" s="62" t="s">
        <v>45</v>
      </c>
      <c r="C1423" s="62" t="s">
        <v>76</v>
      </c>
      <c r="D1423" s="63" t="s">
        <v>75</v>
      </c>
      <c r="E1423" s="64">
        <v>0.0</v>
      </c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</row>
    <row r="1424" ht="15.75" customHeight="1">
      <c r="A1424" s="61" t="str">
        <f t="shared" si="1"/>
        <v>CuritibaUberlândiaAvião</v>
      </c>
      <c r="B1424" s="62" t="s">
        <v>45</v>
      </c>
      <c r="C1424" s="62" t="s">
        <v>76</v>
      </c>
      <c r="D1424" s="63" t="s">
        <v>68</v>
      </c>
      <c r="E1424" s="64">
        <v>0.0</v>
      </c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</row>
    <row r="1425" ht="15.75" customHeight="1">
      <c r="A1425" s="61" t="str">
        <f t="shared" si="1"/>
        <v>CuritibaVitóriaAvião</v>
      </c>
      <c r="B1425" s="62" t="s">
        <v>45</v>
      </c>
      <c r="C1425" s="62" t="s">
        <v>76</v>
      </c>
      <c r="D1425" s="63" t="s">
        <v>69</v>
      </c>
      <c r="E1425" s="64">
        <v>0.0</v>
      </c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</row>
    <row r="1426" ht="15.75" customHeight="1">
      <c r="A1426" s="61" t="str">
        <f t="shared" si="1"/>
        <v>CuritibaVitória da ConquistaAvião</v>
      </c>
      <c r="B1426" s="62" t="s">
        <v>45</v>
      </c>
      <c r="C1426" s="62" t="s">
        <v>76</v>
      </c>
      <c r="D1426" s="63" t="s">
        <v>52</v>
      </c>
      <c r="E1426" s="64">
        <v>0.0</v>
      </c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</row>
    <row r="1427" ht="15.75" customHeight="1">
      <c r="A1427" s="61" t="str">
        <f t="shared" si="1"/>
        <v>FortalezaBelémAvião</v>
      </c>
      <c r="B1427" s="62" t="s">
        <v>45</v>
      </c>
      <c r="C1427" s="62" t="s">
        <v>60</v>
      </c>
      <c r="D1427" s="63" t="s">
        <v>51</v>
      </c>
      <c r="E1427" s="64">
        <v>0.0</v>
      </c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</row>
    <row r="1428" ht="15.75" customHeight="1">
      <c r="A1428" s="61" t="str">
        <f t="shared" si="1"/>
        <v>FortalezaBelo HorizonteAvião</v>
      </c>
      <c r="B1428" s="62" t="s">
        <v>45</v>
      </c>
      <c r="C1428" s="62" t="s">
        <v>60</v>
      </c>
      <c r="D1428" s="63" t="s">
        <v>57</v>
      </c>
      <c r="E1428" s="64">
        <v>0.0</v>
      </c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</row>
    <row r="1429" ht="15.75" customHeight="1">
      <c r="A1429" s="61" t="str">
        <f t="shared" si="1"/>
        <v>FortalezaBrasíliaAvião</v>
      </c>
      <c r="B1429" s="62" t="s">
        <v>45</v>
      </c>
      <c r="C1429" s="62" t="s">
        <v>60</v>
      </c>
      <c r="D1429" s="63" t="s">
        <v>58</v>
      </c>
      <c r="E1429" s="64">
        <v>0.0</v>
      </c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</row>
    <row r="1430" ht="15.75" customHeight="1">
      <c r="A1430" s="61" t="str">
        <f t="shared" si="1"/>
        <v>FortalezaCampinasAvião</v>
      </c>
      <c r="B1430" s="62" t="s">
        <v>45</v>
      </c>
      <c r="C1430" s="62" t="s">
        <v>60</v>
      </c>
      <c r="D1430" s="63" t="s">
        <v>77</v>
      </c>
      <c r="E1430" s="64">
        <v>0.0</v>
      </c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</row>
    <row r="1431" ht="15.75" customHeight="1">
      <c r="A1431" s="61" t="str">
        <f t="shared" si="1"/>
        <v>FortalezaCampo GrandeAvião</v>
      </c>
      <c r="B1431" s="62" t="s">
        <v>45</v>
      </c>
      <c r="C1431" s="62" t="s">
        <v>60</v>
      </c>
      <c r="D1431" s="63" t="s">
        <v>59</v>
      </c>
      <c r="E1431" s="64">
        <v>0.0</v>
      </c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</row>
    <row r="1432" ht="15.75" customHeight="1">
      <c r="A1432" s="61" t="str">
        <f t="shared" si="1"/>
        <v>FortalezaCuiabáAvião</v>
      </c>
      <c r="B1432" s="62" t="s">
        <v>45</v>
      </c>
      <c r="C1432" s="62" t="s">
        <v>60</v>
      </c>
      <c r="D1432" s="63" t="s">
        <v>29</v>
      </c>
      <c r="E1432" s="64">
        <v>0.0</v>
      </c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</row>
    <row r="1433" ht="15.75" customHeight="1">
      <c r="A1433" s="61" t="str">
        <f t="shared" si="1"/>
        <v>FortalezaCuritibaAvião</v>
      </c>
      <c r="B1433" s="62" t="s">
        <v>45</v>
      </c>
      <c r="C1433" s="62" t="s">
        <v>60</v>
      </c>
      <c r="D1433" s="63" t="s">
        <v>76</v>
      </c>
      <c r="E1433" s="64">
        <v>0.0</v>
      </c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</row>
    <row r="1434" ht="15.75" customHeight="1">
      <c r="A1434" s="61" t="str">
        <f t="shared" si="1"/>
        <v>FortalezaFortalezaAvião</v>
      </c>
      <c r="B1434" s="62" t="s">
        <v>45</v>
      </c>
      <c r="C1434" s="62" t="s">
        <v>60</v>
      </c>
      <c r="D1434" s="63" t="s">
        <v>60</v>
      </c>
      <c r="E1434" s="64">
        <v>0.0</v>
      </c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</row>
    <row r="1435" ht="15.75" customHeight="1">
      <c r="A1435" s="61" t="str">
        <f t="shared" si="1"/>
        <v>FortalezaGoiâniaAvião</v>
      </c>
      <c r="B1435" s="62" t="s">
        <v>45</v>
      </c>
      <c r="C1435" s="62" t="s">
        <v>60</v>
      </c>
      <c r="D1435" s="63" t="s">
        <v>61</v>
      </c>
      <c r="E1435" s="64">
        <v>0.0</v>
      </c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</row>
    <row r="1436" ht="15.75" customHeight="1">
      <c r="A1436" s="61" t="str">
        <f t="shared" si="1"/>
        <v>FortalezaJoão PessoaAvião</v>
      </c>
      <c r="B1436" s="62" t="s">
        <v>45</v>
      </c>
      <c r="C1436" s="62" t="s">
        <v>60</v>
      </c>
      <c r="D1436" s="63" t="s">
        <v>62</v>
      </c>
      <c r="E1436" s="64">
        <v>0.0</v>
      </c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</row>
    <row r="1437" ht="15.75" customHeight="1">
      <c r="A1437" s="61" t="str">
        <f t="shared" si="1"/>
        <v>FortalezaJoinvilleAvião</v>
      </c>
      <c r="B1437" s="62" t="s">
        <v>45</v>
      </c>
      <c r="C1437" s="62" t="s">
        <v>60</v>
      </c>
      <c r="D1437" s="63" t="s">
        <v>28</v>
      </c>
      <c r="E1437" s="64">
        <v>0.0</v>
      </c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</row>
    <row r="1438" ht="15.75" customHeight="1">
      <c r="A1438" s="61" t="str">
        <f t="shared" si="1"/>
        <v>FortalezaMaceióAvião</v>
      </c>
      <c r="B1438" s="62" t="s">
        <v>45</v>
      </c>
      <c r="C1438" s="62" t="s">
        <v>60</v>
      </c>
      <c r="D1438" s="63" t="s">
        <v>63</v>
      </c>
      <c r="E1438" s="64">
        <v>0.0</v>
      </c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</row>
    <row r="1439" ht="15.75" customHeight="1">
      <c r="A1439" s="61" t="str">
        <f t="shared" si="1"/>
        <v>FortalezaManausAvião</v>
      </c>
      <c r="B1439" s="62" t="s">
        <v>45</v>
      </c>
      <c r="C1439" s="62" t="s">
        <v>60</v>
      </c>
      <c r="D1439" s="63" t="s">
        <v>23</v>
      </c>
      <c r="E1439" s="64">
        <v>0.0</v>
      </c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</row>
    <row r="1440" ht="15.75" customHeight="1">
      <c r="A1440" s="61" t="str">
        <f t="shared" si="1"/>
        <v>FortalezaNatalAvião</v>
      </c>
      <c r="B1440" s="62" t="s">
        <v>45</v>
      </c>
      <c r="C1440" s="62" t="s">
        <v>60</v>
      </c>
      <c r="D1440" s="63" t="s">
        <v>64</v>
      </c>
      <c r="E1440" s="64">
        <v>0.0</v>
      </c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</row>
    <row r="1441" ht="15.75" customHeight="1">
      <c r="A1441" s="61" t="str">
        <f t="shared" si="1"/>
        <v>FortalezaPorto AlegreAvião</v>
      </c>
      <c r="B1441" s="62" t="s">
        <v>45</v>
      </c>
      <c r="C1441" s="62" t="s">
        <v>60</v>
      </c>
      <c r="D1441" s="63" t="s">
        <v>31</v>
      </c>
      <c r="E1441" s="64">
        <v>0.0</v>
      </c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</row>
    <row r="1442" ht="15.75" customHeight="1">
      <c r="A1442" s="61" t="str">
        <f t="shared" si="1"/>
        <v>FortalezaRecifeAvião</v>
      </c>
      <c r="B1442" s="62" t="s">
        <v>45</v>
      </c>
      <c r="C1442" s="62" t="s">
        <v>60</v>
      </c>
      <c r="D1442" s="63" t="s">
        <v>65</v>
      </c>
      <c r="E1442" s="64">
        <v>0.0</v>
      </c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</row>
    <row r="1443" ht="15.75" customHeight="1">
      <c r="A1443" s="61" t="str">
        <f t="shared" si="1"/>
        <v>FortalezaRibeirão PretoAvião</v>
      </c>
      <c r="B1443" s="62" t="s">
        <v>45</v>
      </c>
      <c r="C1443" s="62" t="s">
        <v>60</v>
      </c>
      <c r="D1443" s="63" t="s">
        <v>78</v>
      </c>
      <c r="E1443" s="64">
        <v>0.0</v>
      </c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</row>
    <row r="1444" ht="15.75" customHeight="1">
      <c r="A1444" s="61" t="str">
        <f t="shared" si="1"/>
        <v>FortalezaRio de JaneiroAvião</v>
      </c>
      <c r="B1444" s="62" t="s">
        <v>45</v>
      </c>
      <c r="C1444" s="62" t="s">
        <v>60</v>
      </c>
      <c r="D1444" s="63" t="s">
        <v>66</v>
      </c>
      <c r="E1444" s="64">
        <v>0.0</v>
      </c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</row>
    <row r="1445" ht="15.75" customHeight="1">
      <c r="A1445" s="61" t="str">
        <f t="shared" si="1"/>
        <v>FortalezaSalvadorAvião</v>
      </c>
      <c r="B1445" s="62" t="s">
        <v>45</v>
      </c>
      <c r="C1445" s="62" t="s">
        <v>60</v>
      </c>
      <c r="D1445" s="63" t="s">
        <v>67</v>
      </c>
      <c r="E1445" s="64">
        <v>0.0</v>
      </c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</row>
    <row r="1446" ht="15.75" customHeight="1">
      <c r="A1446" s="61" t="str">
        <f t="shared" si="1"/>
        <v>FortalezaSantosAvião</v>
      </c>
      <c r="B1446" s="62" t="s">
        <v>45</v>
      </c>
      <c r="C1446" s="62" t="s">
        <v>60</v>
      </c>
      <c r="D1446" s="63" t="s">
        <v>38</v>
      </c>
      <c r="E1446" s="64">
        <v>0.0</v>
      </c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</row>
    <row r="1447" ht="15.75" customHeight="1">
      <c r="A1447" s="61" t="str">
        <f t="shared" si="1"/>
        <v>FortalezaSão LuísAvião</v>
      </c>
      <c r="B1447" s="62" t="s">
        <v>45</v>
      </c>
      <c r="C1447" s="62" t="s">
        <v>60</v>
      </c>
      <c r="D1447" s="63" t="s">
        <v>36</v>
      </c>
      <c r="E1447" s="64">
        <v>0.0</v>
      </c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</row>
    <row r="1448" ht="15.75" customHeight="1">
      <c r="A1448" s="61" t="str">
        <f t="shared" si="1"/>
        <v>FortalezaSão PauloAvião</v>
      </c>
      <c r="B1448" s="62" t="s">
        <v>45</v>
      </c>
      <c r="C1448" s="62" t="s">
        <v>60</v>
      </c>
      <c r="D1448" s="63" t="s">
        <v>75</v>
      </c>
      <c r="E1448" s="64">
        <v>0.0</v>
      </c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</row>
    <row r="1449" ht="15.75" customHeight="1">
      <c r="A1449" s="61" t="str">
        <f t="shared" si="1"/>
        <v>FortalezaUberlândiaAvião</v>
      </c>
      <c r="B1449" s="62" t="s">
        <v>45</v>
      </c>
      <c r="C1449" s="62" t="s">
        <v>60</v>
      </c>
      <c r="D1449" s="63" t="s">
        <v>68</v>
      </c>
      <c r="E1449" s="64">
        <v>0.0</v>
      </c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</row>
    <row r="1450" ht="15.75" customHeight="1">
      <c r="A1450" s="61" t="str">
        <f t="shared" si="1"/>
        <v>FortalezaVitóriaAvião</v>
      </c>
      <c r="B1450" s="62" t="s">
        <v>45</v>
      </c>
      <c r="C1450" s="62" t="s">
        <v>60</v>
      </c>
      <c r="D1450" s="63" t="s">
        <v>69</v>
      </c>
      <c r="E1450" s="64">
        <v>0.0</v>
      </c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</row>
    <row r="1451" ht="15.75" customHeight="1">
      <c r="A1451" s="61" t="str">
        <f t="shared" si="1"/>
        <v>FortalezaVitória da ConquistaAvião</v>
      </c>
      <c r="B1451" s="62" t="s">
        <v>45</v>
      </c>
      <c r="C1451" s="62" t="s">
        <v>60</v>
      </c>
      <c r="D1451" s="63" t="s">
        <v>52</v>
      </c>
      <c r="E1451" s="64">
        <v>0.0</v>
      </c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</row>
    <row r="1452" ht="15.75" customHeight="1">
      <c r="A1452" s="61" t="str">
        <f t="shared" si="1"/>
        <v>GoiâniaBelémAvião</v>
      </c>
      <c r="B1452" s="62" t="s">
        <v>45</v>
      </c>
      <c r="C1452" s="63" t="s">
        <v>61</v>
      </c>
      <c r="D1452" s="63" t="s">
        <v>51</v>
      </c>
      <c r="E1452" s="64">
        <v>0.0</v>
      </c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</row>
    <row r="1453" ht="15.75" customHeight="1">
      <c r="A1453" s="61" t="str">
        <f t="shared" si="1"/>
        <v>GoiâniaBelo HorizonteAvião</v>
      </c>
      <c r="B1453" s="62" t="s">
        <v>45</v>
      </c>
      <c r="C1453" s="63" t="s">
        <v>61</v>
      </c>
      <c r="D1453" s="63" t="s">
        <v>57</v>
      </c>
      <c r="E1453" s="64">
        <v>0.0</v>
      </c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</row>
    <row r="1454" ht="15.75" customHeight="1">
      <c r="A1454" s="61" t="str">
        <f t="shared" si="1"/>
        <v>GoiâniaBrasíliaAvião</v>
      </c>
      <c r="B1454" s="62" t="s">
        <v>45</v>
      </c>
      <c r="C1454" s="63" t="s">
        <v>61</v>
      </c>
      <c r="D1454" s="63" t="s">
        <v>58</v>
      </c>
      <c r="E1454" s="64">
        <v>0.0</v>
      </c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</row>
    <row r="1455" ht="15.75" customHeight="1">
      <c r="A1455" s="61" t="str">
        <f t="shared" si="1"/>
        <v>GoiâniaCampinasAvião</v>
      </c>
      <c r="B1455" s="62" t="s">
        <v>45</v>
      </c>
      <c r="C1455" s="63" t="s">
        <v>61</v>
      </c>
      <c r="D1455" s="63" t="s">
        <v>77</v>
      </c>
      <c r="E1455" s="64">
        <v>0.0</v>
      </c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</row>
    <row r="1456" ht="15.75" customHeight="1">
      <c r="A1456" s="61" t="str">
        <f t="shared" si="1"/>
        <v>GoiâniaCampo GrandeAvião</v>
      </c>
      <c r="B1456" s="62" t="s">
        <v>45</v>
      </c>
      <c r="C1456" s="63" t="s">
        <v>61</v>
      </c>
      <c r="D1456" s="63" t="s">
        <v>59</v>
      </c>
      <c r="E1456" s="64">
        <v>0.0</v>
      </c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</row>
    <row r="1457" ht="15.75" customHeight="1">
      <c r="A1457" s="61" t="str">
        <f t="shared" si="1"/>
        <v>GoiâniaCuiabáAvião</v>
      </c>
      <c r="B1457" s="62" t="s">
        <v>45</v>
      </c>
      <c r="C1457" s="63" t="s">
        <v>61</v>
      </c>
      <c r="D1457" s="63" t="s">
        <v>29</v>
      </c>
      <c r="E1457" s="64">
        <v>0.0</v>
      </c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</row>
    <row r="1458" ht="15.75" customHeight="1">
      <c r="A1458" s="61" t="str">
        <f t="shared" si="1"/>
        <v>GoiâniaCuritibaAvião</v>
      </c>
      <c r="B1458" s="62" t="s">
        <v>45</v>
      </c>
      <c r="C1458" s="63" t="s">
        <v>61</v>
      </c>
      <c r="D1458" s="63" t="s">
        <v>76</v>
      </c>
      <c r="E1458" s="64">
        <v>0.0</v>
      </c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</row>
    <row r="1459" ht="15.75" customHeight="1">
      <c r="A1459" s="61" t="str">
        <f t="shared" si="1"/>
        <v>GoiâniaFortalezaAvião</v>
      </c>
      <c r="B1459" s="62" t="s">
        <v>45</v>
      </c>
      <c r="C1459" s="63" t="s">
        <v>61</v>
      </c>
      <c r="D1459" s="63" t="s">
        <v>60</v>
      </c>
      <c r="E1459" s="64">
        <v>0.0</v>
      </c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</row>
    <row r="1460" ht="15.75" customHeight="1">
      <c r="A1460" s="61" t="str">
        <f t="shared" si="1"/>
        <v>GoiâniaGoiâniaAvião</v>
      </c>
      <c r="B1460" s="62" t="s">
        <v>45</v>
      </c>
      <c r="C1460" s="63" t="s">
        <v>61</v>
      </c>
      <c r="D1460" s="63" t="s">
        <v>61</v>
      </c>
      <c r="E1460" s="64">
        <v>0.0</v>
      </c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</row>
    <row r="1461" ht="15.75" customHeight="1">
      <c r="A1461" s="61" t="str">
        <f t="shared" si="1"/>
        <v>GoiâniaJoão PessoaAvião</v>
      </c>
      <c r="B1461" s="62" t="s">
        <v>45</v>
      </c>
      <c r="C1461" s="63" t="s">
        <v>61</v>
      </c>
      <c r="D1461" s="63" t="s">
        <v>62</v>
      </c>
      <c r="E1461" s="64">
        <v>0.0</v>
      </c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</row>
    <row r="1462" ht="15.75" customHeight="1">
      <c r="A1462" s="61" t="str">
        <f t="shared" si="1"/>
        <v>GoiâniaJoinvilleAvião</v>
      </c>
      <c r="B1462" s="62" t="s">
        <v>45</v>
      </c>
      <c r="C1462" s="63" t="s">
        <v>61</v>
      </c>
      <c r="D1462" s="63" t="s">
        <v>28</v>
      </c>
      <c r="E1462" s="64">
        <v>0.0</v>
      </c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</row>
    <row r="1463" ht="15.75" customHeight="1">
      <c r="A1463" s="61" t="str">
        <f t="shared" si="1"/>
        <v>GoiâniaMaceióAvião</v>
      </c>
      <c r="B1463" s="62" t="s">
        <v>45</v>
      </c>
      <c r="C1463" s="63" t="s">
        <v>61</v>
      </c>
      <c r="D1463" s="63" t="s">
        <v>63</v>
      </c>
      <c r="E1463" s="64">
        <v>0.0</v>
      </c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</row>
    <row r="1464" ht="15.75" customHeight="1">
      <c r="A1464" s="61" t="str">
        <f t="shared" si="1"/>
        <v>GoiâniaManausAvião</v>
      </c>
      <c r="B1464" s="62" t="s">
        <v>45</v>
      </c>
      <c r="C1464" s="63" t="s">
        <v>61</v>
      </c>
      <c r="D1464" s="63" t="s">
        <v>23</v>
      </c>
      <c r="E1464" s="64">
        <v>0.0</v>
      </c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</row>
    <row r="1465" ht="15.75" customHeight="1">
      <c r="A1465" s="61" t="str">
        <f t="shared" si="1"/>
        <v>GoiâniaNatalAvião</v>
      </c>
      <c r="B1465" s="62" t="s">
        <v>45</v>
      </c>
      <c r="C1465" s="63" t="s">
        <v>61</v>
      </c>
      <c r="D1465" s="63" t="s">
        <v>64</v>
      </c>
      <c r="E1465" s="64">
        <v>0.0</v>
      </c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</row>
    <row r="1466" ht="15.75" customHeight="1">
      <c r="A1466" s="61" t="str">
        <f t="shared" si="1"/>
        <v>GoiâniaPorto AlegreAvião</v>
      </c>
      <c r="B1466" s="62" t="s">
        <v>45</v>
      </c>
      <c r="C1466" s="63" t="s">
        <v>61</v>
      </c>
      <c r="D1466" s="63" t="s">
        <v>31</v>
      </c>
      <c r="E1466" s="64">
        <v>0.0</v>
      </c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</row>
    <row r="1467" ht="15.75" customHeight="1">
      <c r="A1467" s="61" t="str">
        <f t="shared" si="1"/>
        <v>GoiâniaRecifeAvião</v>
      </c>
      <c r="B1467" s="62" t="s">
        <v>45</v>
      </c>
      <c r="C1467" s="63" t="s">
        <v>61</v>
      </c>
      <c r="D1467" s="63" t="s">
        <v>65</v>
      </c>
      <c r="E1467" s="64">
        <v>0.0</v>
      </c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</row>
    <row r="1468" ht="15.75" customHeight="1">
      <c r="A1468" s="61" t="str">
        <f t="shared" si="1"/>
        <v>GoiâniaRibeirão PretoAvião</v>
      </c>
      <c r="B1468" s="62" t="s">
        <v>45</v>
      </c>
      <c r="C1468" s="63" t="s">
        <v>61</v>
      </c>
      <c r="D1468" s="63" t="s">
        <v>78</v>
      </c>
      <c r="E1468" s="64">
        <v>0.0</v>
      </c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</row>
    <row r="1469" ht="15.75" customHeight="1">
      <c r="A1469" s="61" t="str">
        <f t="shared" si="1"/>
        <v>GoiâniaRio de JaneiroAvião</v>
      </c>
      <c r="B1469" s="62" t="s">
        <v>45</v>
      </c>
      <c r="C1469" s="63" t="s">
        <v>61</v>
      </c>
      <c r="D1469" s="63" t="s">
        <v>66</v>
      </c>
      <c r="E1469" s="64">
        <v>0.0</v>
      </c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</row>
    <row r="1470" ht="15.75" customHeight="1">
      <c r="A1470" s="61" t="str">
        <f t="shared" si="1"/>
        <v>GoiâniaSalvadorAvião</v>
      </c>
      <c r="B1470" s="62" t="s">
        <v>45</v>
      </c>
      <c r="C1470" s="63" t="s">
        <v>61</v>
      </c>
      <c r="D1470" s="63" t="s">
        <v>67</v>
      </c>
      <c r="E1470" s="64">
        <v>0.0</v>
      </c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</row>
    <row r="1471" ht="15.75" customHeight="1">
      <c r="A1471" s="61" t="str">
        <f t="shared" si="1"/>
        <v>GoiâniaSantosAvião</v>
      </c>
      <c r="B1471" s="62" t="s">
        <v>45</v>
      </c>
      <c r="C1471" s="63" t="s">
        <v>61</v>
      </c>
      <c r="D1471" s="63" t="s">
        <v>38</v>
      </c>
      <c r="E1471" s="64">
        <v>0.0</v>
      </c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</row>
    <row r="1472" ht="15.75" customHeight="1">
      <c r="A1472" s="61" t="str">
        <f t="shared" si="1"/>
        <v>GoiâniaSão LuísAvião</v>
      </c>
      <c r="B1472" s="62" t="s">
        <v>45</v>
      </c>
      <c r="C1472" s="63" t="s">
        <v>61</v>
      </c>
      <c r="D1472" s="63" t="s">
        <v>36</v>
      </c>
      <c r="E1472" s="64">
        <v>0.0</v>
      </c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</row>
    <row r="1473" ht="15.75" customHeight="1">
      <c r="A1473" s="61" t="str">
        <f t="shared" si="1"/>
        <v>GoiâniaSão PauloAvião</v>
      </c>
      <c r="B1473" s="62" t="s">
        <v>45</v>
      </c>
      <c r="C1473" s="63" t="s">
        <v>61</v>
      </c>
      <c r="D1473" s="63" t="s">
        <v>75</v>
      </c>
      <c r="E1473" s="64">
        <v>0.0</v>
      </c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</row>
    <row r="1474" ht="15.75" customHeight="1">
      <c r="A1474" s="61" t="str">
        <f t="shared" si="1"/>
        <v>GoiâniaUberlândiaAvião</v>
      </c>
      <c r="B1474" s="62" t="s">
        <v>45</v>
      </c>
      <c r="C1474" s="63" t="s">
        <v>61</v>
      </c>
      <c r="D1474" s="63" t="s">
        <v>68</v>
      </c>
      <c r="E1474" s="64">
        <v>0.0</v>
      </c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</row>
    <row r="1475" ht="15.75" customHeight="1">
      <c r="A1475" s="61" t="str">
        <f t="shared" si="1"/>
        <v>GoiâniaVitóriaAvião</v>
      </c>
      <c r="B1475" s="62" t="s">
        <v>45</v>
      </c>
      <c r="C1475" s="63" t="s">
        <v>61</v>
      </c>
      <c r="D1475" s="63" t="s">
        <v>69</v>
      </c>
      <c r="E1475" s="64">
        <v>0.0</v>
      </c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</row>
    <row r="1476" ht="15.75" customHeight="1">
      <c r="A1476" s="61" t="str">
        <f t="shared" si="1"/>
        <v>GoiâniaVitória da ConquistaAvião</v>
      </c>
      <c r="B1476" s="62" t="s">
        <v>45</v>
      </c>
      <c r="C1476" s="63" t="s">
        <v>61</v>
      </c>
      <c r="D1476" s="63" t="s">
        <v>52</v>
      </c>
      <c r="E1476" s="64">
        <v>0.0</v>
      </c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</row>
    <row r="1477" ht="15.75" customHeight="1">
      <c r="A1477" s="61" t="str">
        <f t="shared" si="1"/>
        <v>João PessoaBelémAvião</v>
      </c>
      <c r="B1477" s="62" t="s">
        <v>45</v>
      </c>
      <c r="C1477" s="63" t="s">
        <v>62</v>
      </c>
      <c r="D1477" s="63" t="s">
        <v>51</v>
      </c>
      <c r="E1477" s="64">
        <v>0.0</v>
      </c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</row>
    <row r="1478" ht="15.75" customHeight="1">
      <c r="A1478" s="61" t="str">
        <f t="shared" si="1"/>
        <v>João PessoaBelo HorizonteAvião</v>
      </c>
      <c r="B1478" s="62" t="s">
        <v>45</v>
      </c>
      <c r="C1478" s="63" t="s">
        <v>62</v>
      </c>
      <c r="D1478" s="63" t="s">
        <v>57</v>
      </c>
      <c r="E1478" s="64">
        <v>0.0</v>
      </c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</row>
    <row r="1479" ht="15.75" customHeight="1">
      <c r="A1479" s="61" t="str">
        <f t="shared" si="1"/>
        <v>João PessoaBrasíliaAvião</v>
      </c>
      <c r="B1479" s="62" t="s">
        <v>45</v>
      </c>
      <c r="C1479" s="63" t="s">
        <v>62</v>
      </c>
      <c r="D1479" s="63" t="s">
        <v>58</v>
      </c>
      <c r="E1479" s="64">
        <v>0.0</v>
      </c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</row>
    <row r="1480" ht="15.75" customHeight="1">
      <c r="A1480" s="61" t="str">
        <f t="shared" si="1"/>
        <v>João PessoaCampinasAvião</v>
      </c>
      <c r="B1480" s="62" t="s">
        <v>45</v>
      </c>
      <c r="C1480" s="63" t="s">
        <v>62</v>
      </c>
      <c r="D1480" s="63" t="s">
        <v>77</v>
      </c>
      <c r="E1480" s="64">
        <v>0.0</v>
      </c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</row>
    <row r="1481" ht="15.75" customHeight="1">
      <c r="A1481" s="61" t="str">
        <f t="shared" si="1"/>
        <v>João PessoaCampo GrandeAvião</v>
      </c>
      <c r="B1481" s="62" t="s">
        <v>45</v>
      </c>
      <c r="C1481" s="63" t="s">
        <v>62</v>
      </c>
      <c r="D1481" s="63" t="s">
        <v>59</v>
      </c>
      <c r="E1481" s="64">
        <v>0.0</v>
      </c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</row>
    <row r="1482" ht="15.75" customHeight="1">
      <c r="A1482" s="61" t="str">
        <f t="shared" si="1"/>
        <v>João PessoaCuiabáAvião</v>
      </c>
      <c r="B1482" s="62" t="s">
        <v>45</v>
      </c>
      <c r="C1482" s="63" t="s">
        <v>62</v>
      </c>
      <c r="D1482" s="63" t="s">
        <v>29</v>
      </c>
      <c r="E1482" s="64">
        <v>0.0</v>
      </c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</row>
    <row r="1483" ht="15.75" customHeight="1">
      <c r="A1483" s="61" t="str">
        <f t="shared" si="1"/>
        <v>João PessoaCuritibaAvião</v>
      </c>
      <c r="B1483" s="62" t="s">
        <v>45</v>
      </c>
      <c r="C1483" s="63" t="s">
        <v>62</v>
      </c>
      <c r="D1483" s="63" t="s">
        <v>76</v>
      </c>
      <c r="E1483" s="64">
        <v>0.0</v>
      </c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</row>
    <row r="1484" ht="15.75" customHeight="1">
      <c r="A1484" s="61" t="str">
        <f t="shared" si="1"/>
        <v>João PessoaFortalezaAvião</v>
      </c>
      <c r="B1484" s="62" t="s">
        <v>45</v>
      </c>
      <c r="C1484" s="63" t="s">
        <v>62</v>
      </c>
      <c r="D1484" s="63" t="s">
        <v>60</v>
      </c>
      <c r="E1484" s="64">
        <v>0.0</v>
      </c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</row>
    <row r="1485" ht="15.75" customHeight="1">
      <c r="A1485" s="61" t="str">
        <f t="shared" si="1"/>
        <v>João PessoaGoiâniaAvião</v>
      </c>
      <c r="B1485" s="62" t="s">
        <v>45</v>
      </c>
      <c r="C1485" s="63" t="s">
        <v>62</v>
      </c>
      <c r="D1485" s="63" t="s">
        <v>61</v>
      </c>
      <c r="E1485" s="64">
        <v>0.0</v>
      </c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</row>
    <row r="1486" ht="15.75" customHeight="1">
      <c r="A1486" s="61" t="str">
        <f t="shared" si="1"/>
        <v>João PessoaJoão PessoaAvião</v>
      </c>
      <c r="B1486" s="62" t="s">
        <v>45</v>
      </c>
      <c r="C1486" s="63" t="s">
        <v>62</v>
      </c>
      <c r="D1486" s="63" t="s">
        <v>62</v>
      </c>
      <c r="E1486" s="64">
        <v>0.0</v>
      </c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</row>
    <row r="1487" ht="15.75" customHeight="1">
      <c r="A1487" s="61" t="str">
        <f t="shared" si="1"/>
        <v>João PessoaJoinvilleAvião</v>
      </c>
      <c r="B1487" s="62" t="s">
        <v>45</v>
      </c>
      <c r="C1487" s="63" t="s">
        <v>62</v>
      </c>
      <c r="D1487" s="63" t="s">
        <v>28</v>
      </c>
      <c r="E1487" s="64">
        <v>0.0</v>
      </c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</row>
    <row r="1488" ht="15.75" customHeight="1">
      <c r="A1488" s="61" t="str">
        <f t="shared" si="1"/>
        <v>João PessoaMaceióAvião</v>
      </c>
      <c r="B1488" s="62" t="s">
        <v>45</v>
      </c>
      <c r="C1488" s="63" t="s">
        <v>62</v>
      </c>
      <c r="D1488" s="63" t="s">
        <v>63</v>
      </c>
      <c r="E1488" s="64">
        <v>0.0</v>
      </c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</row>
    <row r="1489" ht="15.75" customHeight="1">
      <c r="A1489" s="61" t="str">
        <f t="shared" si="1"/>
        <v>João PessoaManausAvião</v>
      </c>
      <c r="B1489" s="62" t="s">
        <v>45</v>
      </c>
      <c r="C1489" s="63" t="s">
        <v>62</v>
      </c>
      <c r="D1489" s="63" t="s">
        <v>23</v>
      </c>
      <c r="E1489" s="64">
        <v>0.0</v>
      </c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</row>
    <row r="1490" ht="15.75" customHeight="1">
      <c r="A1490" s="61" t="str">
        <f t="shared" si="1"/>
        <v>João PessoaNatalAvião</v>
      </c>
      <c r="B1490" s="62" t="s">
        <v>45</v>
      </c>
      <c r="C1490" s="63" t="s">
        <v>62</v>
      </c>
      <c r="D1490" s="63" t="s">
        <v>64</v>
      </c>
      <c r="E1490" s="64">
        <v>0.0</v>
      </c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</row>
    <row r="1491" ht="15.75" customHeight="1">
      <c r="A1491" s="61" t="str">
        <f t="shared" si="1"/>
        <v>João PessoaPorto AlegreAvião</v>
      </c>
      <c r="B1491" s="62" t="s">
        <v>45</v>
      </c>
      <c r="C1491" s="63" t="s">
        <v>62</v>
      </c>
      <c r="D1491" s="63" t="s">
        <v>31</v>
      </c>
      <c r="E1491" s="64">
        <v>0.0</v>
      </c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</row>
    <row r="1492" ht="15.75" customHeight="1">
      <c r="A1492" s="61" t="str">
        <f t="shared" si="1"/>
        <v>João PessoaRecifeAvião</v>
      </c>
      <c r="B1492" s="62" t="s">
        <v>45</v>
      </c>
      <c r="C1492" s="63" t="s">
        <v>62</v>
      </c>
      <c r="D1492" s="63" t="s">
        <v>65</v>
      </c>
      <c r="E1492" s="64">
        <v>0.0</v>
      </c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</row>
    <row r="1493" ht="15.75" customHeight="1">
      <c r="A1493" s="61" t="str">
        <f t="shared" si="1"/>
        <v>João PessoaRibeirão PretoAvião</v>
      </c>
      <c r="B1493" s="62" t="s">
        <v>45</v>
      </c>
      <c r="C1493" s="63" t="s">
        <v>62</v>
      </c>
      <c r="D1493" s="63" t="s">
        <v>78</v>
      </c>
      <c r="E1493" s="64">
        <v>0.0</v>
      </c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</row>
    <row r="1494" ht="15.75" customHeight="1">
      <c r="A1494" s="61" t="str">
        <f t="shared" si="1"/>
        <v>João PessoaRio de JaneiroAvião</v>
      </c>
      <c r="B1494" s="62" t="s">
        <v>45</v>
      </c>
      <c r="C1494" s="63" t="s">
        <v>62</v>
      </c>
      <c r="D1494" s="63" t="s">
        <v>66</v>
      </c>
      <c r="E1494" s="64">
        <v>0.0</v>
      </c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</row>
    <row r="1495" ht="15.75" customHeight="1">
      <c r="A1495" s="61" t="str">
        <f t="shared" si="1"/>
        <v>João PessoaSalvadorAvião</v>
      </c>
      <c r="B1495" s="62" t="s">
        <v>45</v>
      </c>
      <c r="C1495" s="63" t="s">
        <v>62</v>
      </c>
      <c r="D1495" s="63" t="s">
        <v>67</v>
      </c>
      <c r="E1495" s="64">
        <v>0.0</v>
      </c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</row>
    <row r="1496" ht="15.75" customHeight="1">
      <c r="A1496" s="61" t="str">
        <f t="shared" si="1"/>
        <v>João PessoaSantosAvião</v>
      </c>
      <c r="B1496" s="62" t="s">
        <v>45</v>
      </c>
      <c r="C1496" s="63" t="s">
        <v>62</v>
      </c>
      <c r="D1496" s="63" t="s">
        <v>38</v>
      </c>
      <c r="E1496" s="64">
        <v>0.0</v>
      </c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</row>
    <row r="1497" ht="15.75" customHeight="1">
      <c r="A1497" s="61" t="str">
        <f t="shared" si="1"/>
        <v>João PessoaSão LuísAvião</v>
      </c>
      <c r="B1497" s="62" t="s">
        <v>45</v>
      </c>
      <c r="C1497" s="63" t="s">
        <v>62</v>
      </c>
      <c r="D1497" s="63" t="s">
        <v>36</v>
      </c>
      <c r="E1497" s="64">
        <v>0.0</v>
      </c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</row>
    <row r="1498" ht="15.75" customHeight="1">
      <c r="A1498" s="61" t="str">
        <f t="shared" si="1"/>
        <v>João PessoaSão PauloAvião</v>
      </c>
      <c r="B1498" s="62" t="s">
        <v>45</v>
      </c>
      <c r="C1498" s="63" t="s">
        <v>62</v>
      </c>
      <c r="D1498" s="63" t="s">
        <v>75</v>
      </c>
      <c r="E1498" s="64">
        <v>0.0</v>
      </c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</row>
    <row r="1499" ht="15.75" customHeight="1">
      <c r="A1499" s="61" t="str">
        <f t="shared" si="1"/>
        <v>João PessoaUberlândiaAvião</v>
      </c>
      <c r="B1499" s="62" t="s">
        <v>45</v>
      </c>
      <c r="C1499" s="63" t="s">
        <v>62</v>
      </c>
      <c r="D1499" s="63" t="s">
        <v>68</v>
      </c>
      <c r="E1499" s="64">
        <v>0.0</v>
      </c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</row>
    <row r="1500" ht="15.75" customHeight="1">
      <c r="A1500" s="61" t="str">
        <f t="shared" si="1"/>
        <v>João PessoaVitóriaAvião</v>
      </c>
      <c r="B1500" s="62" t="s">
        <v>45</v>
      </c>
      <c r="C1500" s="63" t="s">
        <v>62</v>
      </c>
      <c r="D1500" s="63" t="s">
        <v>69</v>
      </c>
      <c r="E1500" s="64">
        <v>0.0</v>
      </c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</row>
    <row r="1501" ht="15.75" customHeight="1">
      <c r="A1501" s="61" t="str">
        <f t="shared" si="1"/>
        <v>João PessoaVitória da ConquistaAvião</v>
      </c>
      <c r="B1501" s="62" t="s">
        <v>45</v>
      </c>
      <c r="C1501" s="63" t="s">
        <v>62</v>
      </c>
      <c r="D1501" s="63" t="s">
        <v>52</v>
      </c>
      <c r="E1501" s="64">
        <v>0.0</v>
      </c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</row>
    <row r="1502" ht="15.75" customHeight="1">
      <c r="A1502" s="61" t="str">
        <f t="shared" si="1"/>
        <v>JoinvilleBelémAvião</v>
      </c>
      <c r="B1502" s="62" t="s">
        <v>45</v>
      </c>
      <c r="C1502" s="62" t="s">
        <v>28</v>
      </c>
      <c r="D1502" s="63" t="s">
        <v>51</v>
      </c>
      <c r="E1502" s="64">
        <v>0.0</v>
      </c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</row>
    <row r="1503" ht="15.75" customHeight="1">
      <c r="A1503" s="61" t="str">
        <f t="shared" si="1"/>
        <v>JoinvilleBelo HorizonteAvião</v>
      </c>
      <c r="B1503" s="62" t="s">
        <v>45</v>
      </c>
      <c r="C1503" s="62" t="s">
        <v>28</v>
      </c>
      <c r="D1503" s="63" t="s">
        <v>57</v>
      </c>
      <c r="E1503" s="64">
        <v>0.0</v>
      </c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</row>
    <row r="1504" ht="15.75" customHeight="1">
      <c r="A1504" s="61" t="str">
        <f t="shared" si="1"/>
        <v>JoinvilleBrasíliaAvião</v>
      </c>
      <c r="B1504" s="62" t="s">
        <v>45</v>
      </c>
      <c r="C1504" s="62" t="s">
        <v>28</v>
      </c>
      <c r="D1504" s="63" t="s">
        <v>58</v>
      </c>
      <c r="E1504" s="64">
        <v>0.0</v>
      </c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</row>
    <row r="1505" ht="15.75" customHeight="1">
      <c r="A1505" s="61" t="str">
        <f t="shared" si="1"/>
        <v>JoinvilleCampinasAvião</v>
      </c>
      <c r="B1505" s="62" t="s">
        <v>45</v>
      </c>
      <c r="C1505" s="62" t="s">
        <v>28</v>
      </c>
      <c r="D1505" s="63" t="s">
        <v>77</v>
      </c>
      <c r="E1505" s="64">
        <v>0.0</v>
      </c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</row>
    <row r="1506" ht="15.75" customHeight="1">
      <c r="A1506" s="61" t="str">
        <f t="shared" si="1"/>
        <v>JoinvilleCampo GrandeAvião</v>
      </c>
      <c r="B1506" s="62" t="s">
        <v>45</v>
      </c>
      <c r="C1506" s="62" t="s">
        <v>28</v>
      </c>
      <c r="D1506" s="63" t="s">
        <v>59</v>
      </c>
      <c r="E1506" s="64">
        <v>0.0</v>
      </c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</row>
    <row r="1507" ht="15.75" customHeight="1">
      <c r="A1507" s="61" t="str">
        <f t="shared" si="1"/>
        <v>JoinvilleCuiabáAvião</v>
      </c>
      <c r="B1507" s="62" t="s">
        <v>45</v>
      </c>
      <c r="C1507" s="62" t="s">
        <v>28</v>
      </c>
      <c r="D1507" s="63" t="s">
        <v>29</v>
      </c>
      <c r="E1507" s="64">
        <v>0.0</v>
      </c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</row>
    <row r="1508" ht="15.75" customHeight="1">
      <c r="A1508" s="61" t="str">
        <f t="shared" si="1"/>
        <v>JoinvilleCuritibaAvião</v>
      </c>
      <c r="B1508" s="62" t="s">
        <v>45</v>
      </c>
      <c r="C1508" s="62" t="s">
        <v>28</v>
      </c>
      <c r="D1508" s="63" t="s">
        <v>76</v>
      </c>
      <c r="E1508" s="64">
        <v>0.0</v>
      </c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</row>
    <row r="1509" ht="15.75" customHeight="1">
      <c r="A1509" s="61" t="str">
        <f t="shared" si="1"/>
        <v>JoinvilleFortalezaAvião</v>
      </c>
      <c r="B1509" s="62" t="s">
        <v>45</v>
      </c>
      <c r="C1509" s="62" t="s">
        <v>28</v>
      </c>
      <c r="D1509" s="63" t="s">
        <v>60</v>
      </c>
      <c r="E1509" s="64">
        <v>0.0</v>
      </c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</row>
    <row r="1510" ht="15.75" customHeight="1">
      <c r="A1510" s="61" t="str">
        <f t="shared" si="1"/>
        <v>JoinvilleGoiâniaAvião</v>
      </c>
      <c r="B1510" s="62" t="s">
        <v>45</v>
      </c>
      <c r="C1510" s="62" t="s">
        <v>28</v>
      </c>
      <c r="D1510" s="63" t="s">
        <v>61</v>
      </c>
      <c r="E1510" s="64">
        <v>0.0</v>
      </c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</row>
    <row r="1511" ht="15.75" customHeight="1">
      <c r="A1511" s="61" t="str">
        <f t="shared" si="1"/>
        <v>JoinvilleJoão PessoaAvião</v>
      </c>
      <c r="B1511" s="62" t="s">
        <v>45</v>
      </c>
      <c r="C1511" s="62" t="s">
        <v>28</v>
      </c>
      <c r="D1511" s="63" t="s">
        <v>62</v>
      </c>
      <c r="E1511" s="64">
        <v>0.0</v>
      </c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</row>
    <row r="1512" ht="15.75" customHeight="1">
      <c r="A1512" s="61" t="str">
        <f t="shared" si="1"/>
        <v>JoinvilleJoinvilleAvião</v>
      </c>
      <c r="B1512" s="62" t="s">
        <v>45</v>
      </c>
      <c r="C1512" s="62" t="s">
        <v>28</v>
      </c>
      <c r="D1512" s="63" t="s">
        <v>28</v>
      </c>
      <c r="E1512" s="64">
        <v>0.0</v>
      </c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</row>
    <row r="1513" ht="15.75" customHeight="1">
      <c r="A1513" s="61" t="str">
        <f t="shared" si="1"/>
        <v>JoinvilleMaceióAvião</v>
      </c>
      <c r="B1513" s="62" t="s">
        <v>45</v>
      </c>
      <c r="C1513" s="62" t="s">
        <v>28</v>
      </c>
      <c r="D1513" s="63" t="s">
        <v>63</v>
      </c>
      <c r="E1513" s="64">
        <v>0.0</v>
      </c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</row>
    <row r="1514" ht="15.75" customHeight="1">
      <c r="A1514" s="61" t="str">
        <f t="shared" si="1"/>
        <v>JoinvilleManausAvião</v>
      </c>
      <c r="B1514" s="62" t="s">
        <v>45</v>
      </c>
      <c r="C1514" s="62" t="s">
        <v>28</v>
      </c>
      <c r="D1514" s="63" t="s">
        <v>23</v>
      </c>
      <c r="E1514" s="64">
        <v>0.0</v>
      </c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</row>
    <row r="1515" ht="15.75" customHeight="1">
      <c r="A1515" s="61" t="str">
        <f t="shared" si="1"/>
        <v>JoinvilleNatalAvião</v>
      </c>
      <c r="B1515" s="62" t="s">
        <v>45</v>
      </c>
      <c r="C1515" s="62" t="s">
        <v>28</v>
      </c>
      <c r="D1515" s="63" t="s">
        <v>64</v>
      </c>
      <c r="E1515" s="64">
        <v>0.0</v>
      </c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</row>
    <row r="1516" ht="15.75" customHeight="1">
      <c r="A1516" s="61" t="str">
        <f t="shared" si="1"/>
        <v>JoinvillePorto AlegreAvião</v>
      </c>
      <c r="B1516" s="62" t="s">
        <v>45</v>
      </c>
      <c r="C1516" s="62" t="s">
        <v>28</v>
      </c>
      <c r="D1516" s="63" t="s">
        <v>31</v>
      </c>
      <c r="E1516" s="64">
        <v>0.0</v>
      </c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</row>
    <row r="1517" ht="15.75" customHeight="1">
      <c r="A1517" s="61" t="str">
        <f t="shared" si="1"/>
        <v>JoinvilleRecifeAvião</v>
      </c>
      <c r="B1517" s="62" t="s">
        <v>45</v>
      </c>
      <c r="C1517" s="62" t="s">
        <v>28</v>
      </c>
      <c r="D1517" s="63" t="s">
        <v>65</v>
      </c>
      <c r="E1517" s="64">
        <v>0.0</v>
      </c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</row>
    <row r="1518" ht="15.75" customHeight="1">
      <c r="A1518" s="61" t="str">
        <f t="shared" si="1"/>
        <v>JoinvilleRibeirão PretoAvião</v>
      </c>
      <c r="B1518" s="62" t="s">
        <v>45</v>
      </c>
      <c r="C1518" s="62" t="s">
        <v>28</v>
      </c>
      <c r="D1518" s="63" t="s">
        <v>78</v>
      </c>
      <c r="E1518" s="64">
        <v>0.0</v>
      </c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</row>
    <row r="1519" ht="15.75" customHeight="1">
      <c r="A1519" s="61" t="str">
        <f t="shared" si="1"/>
        <v>JoinvilleRio de JaneiroAvião</v>
      </c>
      <c r="B1519" s="62" t="s">
        <v>45</v>
      </c>
      <c r="C1519" s="62" t="s">
        <v>28</v>
      </c>
      <c r="D1519" s="63" t="s">
        <v>66</v>
      </c>
      <c r="E1519" s="64">
        <v>0.0</v>
      </c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</row>
    <row r="1520" ht="15.75" customHeight="1">
      <c r="A1520" s="61" t="str">
        <f t="shared" si="1"/>
        <v>JoinvilleSalvadorAvião</v>
      </c>
      <c r="B1520" s="62" t="s">
        <v>45</v>
      </c>
      <c r="C1520" s="62" t="s">
        <v>28</v>
      </c>
      <c r="D1520" s="63" t="s">
        <v>67</v>
      </c>
      <c r="E1520" s="64">
        <v>0.0</v>
      </c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</row>
    <row r="1521" ht="15.75" customHeight="1">
      <c r="A1521" s="61" t="str">
        <f t="shared" si="1"/>
        <v>JoinvilleSantosAvião</v>
      </c>
      <c r="B1521" s="62" t="s">
        <v>45</v>
      </c>
      <c r="C1521" s="62" t="s">
        <v>28</v>
      </c>
      <c r="D1521" s="63" t="s">
        <v>38</v>
      </c>
      <c r="E1521" s="64">
        <v>0.0</v>
      </c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</row>
    <row r="1522" ht="15.75" customHeight="1">
      <c r="A1522" s="61" t="str">
        <f t="shared" si="1"/>
        <v>JoinvilleSão LuísAvião</v>
      </c>
      <c r="B1522" s="62" t="s">
        <v>45</v>
      </c>
      <c r="C1522" s="62" t="s">
        <v>28</v>
      </c>
      <c r="D1522" s="63" t="s">
        <v>36</v>
      </c>
      <c r="E1522" s="64">
        <v>0.0</v>
      </c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</row>
    <row r="1523" ht="15.75" customHeight="1">
      <c r="A1523" s="61" t="str">
        <f t="shared" si="1"/>
        <v>JoinvilleSão PauloAvião</v>
      </c>
      <c r="B1523" s="62" t="s">
        <v>45</v>
      </c>
      <c r="C1523" s="62" t="s">
        <v>28</v>
      </c>
      <c r="D1523" s="63" t="s">
        <v>75</v>
      </c>
      <c r="E1523" s="64">
        <v>0.0</v>
      </c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</row>
    <row r="1524" ht="15.75" customHeight="1">
      <c r="A1524" s="61" t="str">
        <f t="shared" si="1"/>
        <v>JoinvilleUberlândiaAvião</v>
      </c>
      <c r="B1524" s="62" t="s">
        <v>45</v>
      </c>
      <c r="C1524" s="62" t="s">
        <v>28</v>
      </c>
      <c r="D1524" s="63" t="s">
        <v>68</v>
      </c>
      <c r="E1524" s="64">
        <v>0.0</v>
      </c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</row>
    <row r="1525" ht="15.75" customHeight="1">
      <c r="A1525" s="61" t="str">
        <f t="shared" si="1"/>
        <v>JoinvilleVitóriaAvião</v>
      </c>
      <c r="B1525" s="62" t="s">
        <v>45</v>
      </c>
      <c r="C1525" s="62" t="s">
        <v>28</v>
      </c>
      <c r="D1525" s="63" t="s">
        <v>69</v>
      </c>
      <c r="E1525" s="64">
        <v>0.0</v>
      </c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</row>
    <row r="1526" ht="15.75" customHeight="1">
      <c r="A1526" s="61" t="str">
        <f t="shared" si="1"/>
        <v>JoinvilleVitória da ConquistaAvião</v>
      </c>
      <c r="B1526" s="62" t="s">
        <v>45</v>
      </c>
      <c r="C1526" s="62" t="s">
        <v>28</v>
      </c>
      <c r="D1526" s="63" t="s">
        <v>52</v>
      </c>
      <c r="E1526" s="64">
        <v>0.0</v>
      </c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</row>
    <row r="1527" ht="15.75" customHeight="1">
      <c r="A1527" s="61" t="str">
        <f t="shared" si="1"/>
        <v>MaceióBelémAvião</v>
      </c>
      <c r="B1527" s="62" t="s">
        <v>45</v>
      </c>
      <c r="C1527" s="63" t="s">
        <v>63</v>
      </c>
      <c r="D1527" s="63" t="s">
        <v>51</v>
      </c>
      <c r="E1527" s="64">
        <v>0.0</v>
      </c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</row>
    <row r="1528" ht="15.75" customHeight="1">
      <c r="A1528" s="61" t="str">
        <f t="shared" si="1"/>
        <v>MaceióBelo HorizonteAvião</v>
      </c>
      <c r="B1528" s="62" t="s">
        <v>45</v>
      </c>
      <c r="C1528" s="63" t="s">
        <v>63</v>
      </c>
      <c r="D1528" s="63" t="s">
        <v>57</v>
      </c>
      <c r="E1528" s="64">
        <v>0.0</v>
      </c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</row>
    <row r="1529" ht="15.75" customHeight="1">
      <c r="A1529" s="61" t="str">
        <f t="shared" si="1"/>
        <v>MaceióBrasíliaAvião</v>
      </c>
      <c r="B1529" s="62" t="s">
        <v>45</v>
      </c>
      <c r="C1529" s="63" t="s">
        <v>63</v>
      </c>
      <c r="D1529" s="63" t="s">
        <v>58</v>
      </c>
      <c r="E1529" s="64">
        <v>0.0</v>
      </c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</row>
    <row r="1530" ht="15.75" customHeight="1">
      <c r="A1530" s="61" t="str">
        <f t="shared" si="1"/>
        <v>MaceióCampinasAvião</v>
      </c>
      <c r="B1530" s="62" t="s">
        <v>45</v>
      </c>
      <c r="C1530" s="63" t="s">
        <v>63</v>
      </c>
      <c r="D1530" s="63" t="s">
        <v>77</v>
      </c>
      <c r="E1530" s="64">
        <v>0.0</v>
      </c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</row>
    <row r="1531" ht="15.75" customHeight="1">
      <c r="A1531" s="61" t="str">
        <f t="shared" si="1"/>
        <v>MaceióCampo GrandeAvião</v>
      </c>
      <c r="B1531" s="62" t="s">
        <v>45</v>
      </c>
      <c r="C1531" s="63" t="s">
        <v>63</v>
      </c>
      <c r="D1531" s="63" t="s">
        <v>59</v>
      </c>
      <c r="E1531" s="64">
        <v>0.0</v>
      </c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</row>
    <row r="1532" ht="15.75" customHeight="1">
      <c r="A1532" s="61" t="str">
        <f t="shared" si="1"/>
        <v>MaceióCuiabáAvião</v>
      </c>
      <c r="B1532" s="62" t="s">
        <v>45</v>
      </c>
      <c r="C1532" s="63" t="s">
        <v>63</v>
      </c>
      <c r="D1532" s="63" t="s">
        <v>29</v>
      </c>
      <c r="E1532" s="64">
        <v>0.0</v>
      </c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</row>
    <row r="1533" ht="15.75" customHeight="1">
      <c r="A1533" s="61" t="str">
        <f t="shared" si="1"/>
        <v>MaceióCuritibaAvião</v>
      </c>
      <c r="B1533" s="62" t="s">
        <v>45</v>
      </c>
      <c r="C1533" s="63" t="s">
        <v>63</v>
      </c>
      <c r="D1533" s="63" t="s">
        <v>76</v>
      </c>
      <c r="E1533" s="64">
        <v>0.0</v>
      </c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</row>
    <row r="1534" ht="15.75" customHeight="1">
      <c r="A1534" s="61" t="str">
        <f t="shared" si="1"/>
        <v>MaceióFortalezaAvião</v>
      </c>
      <c r="B1534" s="62" t="s">
        <v>45</v>
      </c>
      <c r="C1534" s="63" t="s">
        <v>63</v>
      </c>
      <c r="D1534" s="63" t="s">
        <v>60</v>
      </c>
      <c r="E1534" s="64">
        <v>0.0</v>
      </c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</row>
    <row r="1535" ht="15.75" customHeight="1">
      <c r="A1535" s="61" t="str">
        <f t="shared" si="1"/>
        <v>MaceióGoiâniaAvião</v>
      </c>
      <c r="B1535" s="62" t="s">
        <v>45</v>
      </c>
      <c r="C1535" s="63" t="s">
        <v>63</v>
      </c>
      <c r="D1535" s="63" t="s">
        <v>61</v>
      </c>
      <c r="E1535" s="64">
        <v>0.0</v>
      </c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</row>
    <row r="1536" ht="15.75" customHeight="1">
      <c r="A1536" s="61" t="str">
        <f t="shared" si="1"/>
        <v>MaceióJoão PessoaAvião</v>
      </c>
      <c r="B1536" s="62" t="s">
        <v>45</v>
      </c>
      <c r="C1536" s="63" t="s">
        <v>63</v>
      </c>
      <c r="D1536" s="63" t="s">
        <v>62</v>
      </c>
      <c r="E1536" s="64">
        <v>0.0</v>
      </c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</row>
    <row r="1537" ht="15.75" customHeight="1">
      <c r="A1537" s="61" t="str">
        <f t="shared" si="1"/>
        <v>MaceióJoinvilleAvião</v>
      </c>
      <c r="B1537" s="62" t="s">
        <v>45</v>
      </c>
      <c r="C1537" s="63" t="s">
        <v>63</v>
      </c>
      <c r="D1537" s="63" t="s">
        <v>28</v>
      </c>
      <c r="E1537" s="64">
        <v>0.0</v>
      </c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</row>
    <row r="1538" ht="15.75" customHeight="1">
      <c r="A1538" s="61" t="str">
        <f t="shared" si="1"/>
        <v>MaceióMaceióAvião</v>
      </c>
      <c r="B1538" s="62" t="s">
        <v>45</v>
      </c>
      <c r="C1538" s="63" t="s">
        <v>63</v>
      </c>
      <c r="D1538" s="63" t="s">
        <v>63</v>
      </c>
      <c r="E1538" s="64">
        <v>0.0</v>
      </c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</row>
    <row r="1539" ht="15.75" customHeight="1">
      <c r="A1539" s="61" t="str">
        <f t="shared" si="1"/>
        <v>MaceióManausAvião</v>
      </c>
      <c r="B1539" s="62" t="s">
        <v>45</v>
      </c>
      <c r="C1539" s="63" t="s">
        <v>63</v>
      </c>
      <c r="D1539" s="63" t="s">
        <v>23</v>
      </c>
      <c r="E1539" s="64">
        <v>0.0</v>
      </c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</row>
    <row r="1540" ht="15.75" customHeight="1">
      <c r="A1540" s="61" t="str">
        <f t="shared" si="1"/>
        <v>MaceióNatalAvião</v>
      </c>
      <c r="B1540" s="62" t="s">
        <v>45</v>
      </c>
      <c r="C1540" s="63" t="s">
        <v>63</v>
      </c>
      <c r="D1540" s="63" t="s">
        <v>64</v>
      </c>
      <c r="E1540" s="64">
        <v>0.0</v>
      </c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</row>
    <row r="1541" ht="15.75" customHeight="1">
      <c r="A1541" s="61" t="str">
        <f t="shared" si="1"/>
        <v>MaceióPorto AlegreAvião</v>
      </c>
      <c r="B1541" s="62" t="s">
        <v>45</v>
      </c>
      <c r="C1541" s="63" t="s">
        <v>63</v>
      </c>
      <c r="D1541" s="63" t="s">
        <v>31</v>
      </c>
      <c r="E1541" s="64">
        <v>0.0</v>
      </c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</row>
    <row r="1542" ht="15.75" customHeight="1">
      <c r="A1542" s="61" t="str">
        <f t="shared" si="1"/>
        <v>MaceióRecifeAvião</v>
      </c>
      <c r="B1542" s="62" t="s">
        <v>45</v>
      </c>
      <c r="C1542" s="63" t="s">
        <v>63</v>
      </c>
      <c r="D1542" s="63" t="s">
        <v>65</v>
      </c>
      <c r="E1542" s="64">
        <v>0.0</v>
      </c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</row>
    <row r="1543" ht="15.75" customHeight="1">
      <c r="A1543" s="61" t="str">
        <f t="shared" si="1"/>
        <v>MaceióRibeirão PretoAvião</v>
      </c>
      <c r="B1543" s="62" t="s">
        <v>45</v>
      </c>
      <c r="C1543" s="63" t="s">
        <v>63</v>
      </c>
      <c r="D1543" s="63" t="s">
        <v>78</v>
      </c>
      <c r="E1543" s="64">
        <v>0.0</v>
      </c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</row>
    <row r="1544" ht="15.75" customHeight="1">
      <c r="A1544" s="61" t="str">
        <f t="shared" si="1"/>
        <v>MaceióRio de JaneiroAvião</v>
      </c>
      <c r="B1544" s="62" t="s">
        <v>45</v>
      </c>
      <c r="C1544" s="63" t="s">
        <v>63</v>
      </c>
      <c r="D1544" s="63" t="s">
        <v>66</v>
      </c>
      <c r="E1544" s="64">
        <v>0.0</v>
      </c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</row>
    <row r="1545" ht="15.75" customHeight="1">
      <c r="A1545" s="61" t="str">
        <f t="shared" si="1"/>
        <v>MaceióSalvadorAvião</v>
      </c>
      <c r="B1545" s="62" t="s">
        <v>45</v>
      </c>
      <c r="C1545" s="63" t="s">
        <v>63</v>
      </c>
      <c r="D1545" s="63" t="s">
        <v>67</v>
      </c>
      <c r="E1545" s="64">
        <v>0.0</v>
      </c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</row>
    <row r="1546" ht="15.75" customHeight="1">
      <c r="A1546" s="61" t="str">
        <f t="shared" si="1"/>
        <v>MaceióSantosAvião</v>
      </c>
      <c r="B1546" s="62" t="s">
        <v>45</v>
      </c>
      <c r="C1546" s="63" t="s">
        <v>63</v>
      </c>
      <c r="D1546" s="63" t="s">
        <v>38</v>
      </c>
      <c r="E1546" s="64">
        <v>0.0</v>
      </c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</row>
    <row r="1547" ht="15.75" customHeight="1">
      <c r="A1547" s="61" t="str">
        <f t="shared" si="1"/>
        <v>MaceióSão LuísAvião</v>
      </c>
      <c r="B1547" s="62" t="s">
        <v>45</v>
      </c>
      <c r="C1547" s="63" t="s">
        <v>63</v>
      </c>
      <c r="D1547" s="63" t="s">
        <v>36</v>
      </c>
      <c r="E1547" s="64">
        <v>0.0</v>
      </c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</row>
    <row r="1548" ht="15.75" customHeight="1">
      <c r="A1548" s="61" t="str">
        <f t="shared" si="1"/>
        <v>MaceióSão PauloAvião</v>
      </c>
      <c r="B1548" s="62" t="s">
        <v>45</v>
      </c>
      <c r="C1548" s="63" t="s">
        <v>63</v>
      </c>
      <c r="D1548" s="63" t="s">
        <v>75</v>
      </c>
      <c r="E1548" s="64">
        <v>0.0</v>
      </c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</row>
    <row r="1549" ht="15.75" customHeight="1">
      <c r="A1549" s="61" t="str">
        <f t="shared" si="1"/>
        <v>MaceióUberlândiaAvião</v>
      </c>
      <c r="B1549" s="62" t="s">
        <v>45</v>
      </c>
      <c r="C1549" s="63" t="s">
        <v>63</v>
      </c>
      <c r="D1549" s="63" t="s">
        <v>68</v>
      </c>
      <c r="E1549" s="64">
        <v>0.0</v>
      </c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</row>
    <row r="1550" ht="15.75" customHeight="1">
      <c r="A1550" s="61" t="str">
        <f t="shared" si="1"/>
        <v>MaceióVitóriaAvião</v>
      </c>
      <c r="B1550" s="62" t="s">
        <v>45</v>
      </c>
      <c r="C1550" s="63" t="s">
        <v>63</v>
      </c>
      <c r="D1550" s="63" t="s">
        <v>69</v>
      </c>
      <c r="E1550" s="64">
        <v>0.0</v>
      </c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</row>
    <row r="1551" ht="15.75" customHeight="1">
      <c r="A1551" s="61" t="str">
        <f t="shared" si="1"/>
        <v>MaceióVitória da ConquistaAvião</v>
      </c>
      <c r="B1551" s="62" t="s">
        <v>45</v>
      </c>
      <c r="C1551" s="63" t="s">
        <v>63</v>
      </c>
      <c r="D1551" s="63" t="s">
        <v>52</v>
      </c>
      <c r="E1551" s="64">
        <v>0.0</v>
      </c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</row>
    <row r="1552" ht="15.75" customHeight="1">
      <c r="A1552" s="61" t="str">
        <f t="shared" si="1"/>
        <v>ManausBelémAvião</v>
      </c>
      <c r="B1552" s="62" t="s">
        <v>45</v>
      </c>
      <c r="C1552" s="62" t="s">
        <v>23</v>
      </c>
      <c r="D1552" s="63" t="s">
        <v>51</v>
      </c>
      <c r="E1552" s="64">
        <v>0.0</v>
      </c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</row>
    <row r="1553" ht="15.75" customHeight="1">
      <c r="A1553" s="61" t="str">
        <f t="shared" si="1"/>
        <v>ManausBelo HorizonteAvião</v>
      </c>
      <c r="B1553" s="62" t="s">
        <v>45</v>
      </c>
      <c r="C1553" s="62" t="s">
        <v>23</v>
      </c>
      <c r="D1553" s="63" t="s">
        <v>57</v>
      </c>
      <c r="E1553" s="64">
        <v>0.0</v>
      </c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</row>
    <row r="1554" ht="15.75" customHeight="1">
      <c r="A1554" s="61" t="str">
        <f t="shared" si="1"/>
        <v>ManausBrasíliaAvião</v>
      </c>
      <c r="B1554" s="62" t="s">
        <v>45</v>
      </c>
      <c r="C1554" s="62" t="s">
        <v>23</v>
      </c>
      <c r="D1554" s="63" t="s">
        <v>58</v>
      </c>
      <c r="E1554" s="64">
        <v>0.0</v>
      </c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</row>
    <row r="1555" ht="15.75" customHeight="1">
      <c r="A1555" s="61" t="str">
        <f t="shared" si="1"/>
        <v>ManausCampinasAvião</v>
      </c>
      <c r="B1555" s="62" t="s">
        <v>45</v>
      </c>
      <c r="C1555" s="62" t="s">
        <v>23</v>
      </c>
      <c r="D1555" s="63" t="s">
        <v>77</v>
      </c>
      <c r="E1555" s="64">
        <v>0.0</v>
      </c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</row>
    <row r="1556" ht="15.75" customHeight="1">
      <c r="A1556" s="61" t="str">
        <f t="shared" si="1"/>
        <v>ManausCampo GrandeAvião</v>
      </c>
      <c r="B1556" s="62" t="s">
        <v>45</v>
      </c>
      <c r="C1556" s="62" t="s">
        <v>23</v>
      </c>
      <c r="D1556" s="63" t="s">
        <v>59</v>
      </c>
      <c r="E1556" s="64">
        <v>0.0</v>
      </c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</row>
    <row r="1557" ht="15.75" customHeight="1">
      <c r="A1557" s="61" t="str">
        <f t="shared" si="1"/>
        <v>ManausCuiabáAvião</v>
      </c>
      <c r="B1557" s="62" t="s">
        <v>45</v>
      </c>
      <c r="C1557" s="62" t="s">
        <v>23</v>
      </c>
      <c r="D1557" s="63" t="s">
        <v>29</v>
      </c>
      <c r="E1557" s="64">
        <v>0.0</v>
      </c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</row>
    <row r="1558" ht="15.75" customHeight="1">
      <c r="A1558" s="61" t="str">
        <f t="shared" si="1"/>
        <v>ManausCuritibaAvião</v>
      </c>
      <c r="B1558" s="62" t="s">
        <v>45</v>
      </c>
      <c r="C1558" s="62" t="s">
        <v>23</v>
      </c>
      <c r="D1558" s="63" t="s">
        <v>76</v>
      </c>
      <c r="E1558" s="64">
        <v>0.0</v>
      </c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</row>
    <row r="1559" ht="15.75" customHeight="1">
      <c r="A1559" s="61" t="str">
        <f t="shared" si="1"/>
        <v>ManausFortalezaAvião</v>
      </c>
      <c r="B1559" s="62" t="s">
        <v>45</v>
      </c>
      <c r="C1559" s="62" t="s">
        <v>23</v>
      </c>
      <c r="D1559" s="63" t="s">
        <v>60</v>
      </c>
      <c r="E1559" s="64">
        <v>0.0</v>
      </c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</row>
    <row r="1560" ht="15.75" customHeight="1">
      <c r="A1560" s="61" t="str">
        <f t="shared" si="1"/>
        <v>ManausGoiâniaAvião</v>
      </c>
      <c r="B1560" s="62" t="s">
        <v>45</v>
      </c>
      <c r="C1560" s="62" t="s">
        <v>23</v>
      </c>
      <c r="D1560" s="63" t="s">
        <v>61</v>
      </c>
      <c r="E1560" s="64">
        <v>0.0</v>
      </c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</row>
    <row r="1561" ht="15.75" customHeight="1">
      <c r="A1561" s="61" t="str">
        <f t="shared" si="1"/>
        <v>ManausJoão PessoaAvião</v>
      </c>
      <c r="B1561" s="62" t="s">
        <v>45</v>
      </c>
      <c r="C1561" s="62" t="s">
        <v>23</v>
      </c>
      <c r="D1561" s="63" t="s">
        <v>62</v>
      </c>
      <c r="E1561" s="64">
        <v>0.0</v>
      </c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</row>
    <row r="1562" ht="15.75" customHeight="1">
      <c r="A1562" s="61" t="str">
        <f t="shared" si="1"/>
        <v>ManausJoinvilleAvião</v>
      </c>
      <c r="B1562" s="62" t="s">
        <v>45</v>
      </c>
      <c r="C1562" s="62" t="s">
        <v>23</v>
      </c>
      <c r="D1562" s="63" t="s">
        <v>28</v>
      </c>
      <c r="E1562" s="64">
        <v>0.0</v>
      </c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</row>
    <row r="1563" ht="15.75" customHeight="1">
      <c r="A1563" s="61" t="str">
        <f t="shared" si="1"/>
        <v>ManausMaceióAvião</v>
      </c>
      <c r="B1563" s="62" t="s">
        <v>45</v>
      </c>
      <c r="C1563" s="62" t="s">
        <v>23</v>
      </c>
      <c r="D1563" s="63" t="s">
        <v>63</v>
      </c>
      <c r="E1563" s="64">
        <v>0.0</v>
      </c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</row>
    <row r="1564" ht="15.75" customHeight="1">
      <c r="A1564" s="61" t="str">
        <f t="shared" si="1"/>
        <v>ManausManausAvião</v>
      </c>
      <c r="B1564" s="62" t="s">
        <v>45</v>
      </c>
      <c r="C1564" s="62" t="s">
        <v>23</v>
      </c>
      <c r="D1564" s="63" t="s">
        <v>23</v>
      </c>
      <c r="E1564" s="64">
        <v>0.0</v>
      </c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</row>
    <row r="1565" ht="15.75" customHeight="1">
      <c r="A1565" s="61" t="str">
        <f t="shared" si="1"/>
        <v>ManausNatalAvião</v>
      </c>
      <c r="B1565" s="62" t="s">
        <v>45</v>
      </c>
      <c r="C1565" s="62" t="s">
        <v>23</v>
      </c>
      <c r="D1565" s="63" t="s">
        <v>64</v>
      </c>
      <c r="E1565" s="64">
        <v>0.0</v>
      </c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</row>
    <row r="1566" ht="15.75" customHeight="1">
      <c r="A1566" s="61" t="str">
        <f t="shared" si="1"/>
        <v>ManausPorto AlegreAvião</v>
      </c>
      <c r="B1566" s="62" t="s">
        <v>45</v>
      </c>
      <c r="C1566" s="62" t="s">
        <v>23</v>
      </c>
      <c r="D1566" s="63" t="s">
        <v>31</v>
      </c>
      <c r="E1566" s="64">
        <v>0.0</v>
      </c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</row>
    <row r="1567" ht="15.75" customHeight="1">
      <c r="A1567" s="61" t="str">
        <f t="shared" si="1"/>
        <v>ManausRecifeAvião</v>
      </c>
      <c r="B1567" s="62" t="s">
        <v>45</v>
      </c>
      <c r="C1567" s="62" t="s">
        <v>23</v>
      </c>
      <c r="D1567" s="63" t="s">
        <v>65</v>
      </c>
      <c r="E1567" s="64">
        <v>0.0</v>
      </c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</row>
    <row r="1568" ht="15.75" customHeight="1">
      <c r="A1568" s="61" t="str">
        <f t="shared" si="1"/>
        <v>ManausRibeirão PretoAvião</v>
      </c>
      <c r="B1568" s="62" t="s">
        <v>45</v>
      </c>
      <c r="C1568" s="62" t="s">
        <v>23</v>
      </c>
      <c r="D1568" s="63" t="s">
        <v>78</v>
      </c>
      <c r="E1568" s="64">
        <v>0.0</v>
      </c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</row>
    <row r="1569" ht="15.75" customHeight="1">
      <c r="A1569" s="61" t="str">
        <f t="shared" si="1"/>
        <v>ManausRio de JaneiroAvião</v>
      </c>
      <c r="B1569" s="62" t="s">
        <v>45</v>
      </c>
      <c r="C1569" s="62" t="s">
        <v>23</v>
      </c>
      <c r="D1569" s="63" t="s">
        <v>66</v>
      </c>
      <c r="E1569" s="64">
        <v>0.0</v>
      </c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</row>
    <row r="1570" ht="15.75" customHeight="1">
      <c r="A1570" s="61" t="str">
        <f t="shared" si="1"/>
        <v>ManausSalvadorAvião</v>
      </c>
      <c r="B1570" s="62" t="s">
        <v>45</v>
      </c>
      <c r="C1570" s="62" t="s">
        <v>23</v>
      </c>
      <c r="D1570" s="63" t="s">
        <v>67</v>
      </c>
      <c r="E1570" s="64">
        <v>0.0</v>
      </c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</row>
    <row r="1571" ht="15.75" customHeight="1">
      <c r="A1571" s="61" t="str">
        <f t="shared" si="1"/>
        <v>ManausSantosAvião</v>
      </c>
      <c r="B1571" s="62" t="s">
        <v>45</v>
      </c>
      <c r="C1571" s="62" t="s">
        <v>23</v>
      </c>
      <c r="D1571" s="63" t="s">
        <v>38</v>
      </c>
      <c r="E1571" s="64">
        <v>0.0</v>
      </c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</row>
    <row r="1572" ht="15.75" customHeight="1">
      <c r="A1572" s="61" t="str">
        <f t="shared" si="1"/>
        <v>ManausSão LuísAvião</v>
      </c>
      <c r="B1572" s="62" t="s">
        <v>45</v>
      </c>
      <c r="C1572" s="62" t="s">
        <v>23</v>
      </c>
      <c r="D1572" s="63" t="s">
        <v>36</v>
      </c>
      <c r="E1572" s="64">
        <v>0.0</v>
      </c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</row>
    <row r="1573" ht="15.75" customHeight="1">
      <c r="A1573" s="61" t="str">
        <f t="shared" si="1"/>
        <v>ManausSão PauloAvião</v>
      </c>
      <c r="B1573" s="62" t="s">
        <v>45</v>
      </c>
      <c r="C1573" s="62" t="s">
        <v>23</v>
      </c>
      <c r="D1573" s="63" t="s">
        <v>75</v>
      </c>
      <c r="E1573" s="64">
        <v>0.0</v>
      </c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</row>
    <row r="1574" ht="15.75" customHeight="1">
      <c r="A1574" s="61" t="str">
        <f t="shared" si="1"/>
        <v>ManausUberlândiaAvião</v>
      </c>
      <c r="B1574" s="62" t="s">
        <v>45</v>
      </c>
      <c r="C1574" s="62" t="s">
        <v>23</v>
      </c>
      <c r="D1574" s="63" t="s">
        <v>68</v>
      </c>
      <c r="E1574" s="64">
        <v>0.0</v>
      </c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</row>
    <row r="1575" ht="15.75" customHeight="1">
      <c r="A1575" s="61" t="str">
        <f t="shared" si="1"/>
        <v>ManausVitóriaAvião</v>
      </c>
      <c r="B1575" s="62" t="s">
        <v>45</v>
      </c>
      <c r="C1575" s="62" t="s">
        <v>23</v>
      </c>
      <c r="D1575" s="63" t="s">
        <v>69</v>
      </c>
      <c r="E1575" s="64">
        <v>0.0</v>
      </c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</row>
    <row r="1576" ht="15.75" customHeight="1">
      <c r="A1576" s="61" t="str">
        <f t="shared" si="1"/>
        <v>ManausVitória da ConquistaAvião</v>
      </c>
      <c r="B1576" s="62" t="s">
        <v>45</v>
      </c>
      <c r="C1576" s="62" t="s">
        <v>23</v>
      </c>
      <c r="D1576" s="63" t="s">
        <v>52</v>
      </c>
      <c r="E1576" s="64">
        <v>0.0</v>
      </c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</row>
    <row r="1577" ht="15.75" customHeight="1">
      <c r="A1577" s="61" t="str">
        <f t="shared" si="1"/>
        <v>NatalBelémAvião</v>
      </c>
      <c r="B1577" s="62" t="s">
        <v>45</v>
      </c>
      <c r="C1577" s="62" t="s">
        <v>64</v>
      </c>
      <c r="D1577" s="63" t="s">
        <v>51</v>
      </c>
      <c r="E1577" s="64">
        <v>0.0</v>
      </c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</row>
    <row r="1578" ht="15.75" customHeight="1">
      <c r="A1578" s="61" t="str">
        <f t="shared" si="1"/>
        <v>NatalBelo HorizonteAvião</v>
      </c>
      <c r="B1578" s="62" t="s">
        <v>45</v>
      </c>
      <c r="C1578" s="62" t="s">
        <v>64</v>
      </c>
      <c r="D1578" s="63" t="s">
        <v>57</v>
      </c>
      <c r="E1578" s="64">
        <v>0.0</v>
      </c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</row>
    <row r="1579" ht="15.75" customHeight="1">
      <c r="A1579" s="61" t="str">
        <f t="shared" si="1"/>
        <v>NatalBrasíliaAvião</v>
      </c>
      <c r="B1579" s="62" t="s">
        <v>45</v>
      </c>
      <c r="C1579" s="62" t="s">
        <v>64</v>
      </c>
      <c r="D1579" s="63" t="s">
        <v>58</v>
      </c>
      <c r="E1579" s="64">
        <v>0.0</v>
      </c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</row>
    <row r="1580" ht="15.75" customHeight="1">
      <c r="A1580" s="61" t="str">
        <f t="shared" si="1"/>
        <v>NatalCampinasAvião</v>
      </c>
      <c r="B1580" s="62" t="s">
        <v>45</v>
      </c>
      <c r="C1580" s="62" t="s">
        <v>64</v>
      </c>
      <c r="D1580" s="63" t="s">
        <v>77</v>
      </c>
      <c r="E1580" s="64">
        <v>0.0</v>
      </c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</row>
    <row r="1581" ht="15.75" customHeight="1">
      <c r="A1581" s="61" t="str">
        <f t="shared" si="1"/>
        <v>NatalCampo GrandeAvião</v>
      </c>
      <c r="B1581" s="62" t="s">
        <v>45</v>
      </c>
      <c r="C1581" s="62" t="s">
        <v>64</v>
      </c>
      <c r="D1581" s="63" t="s">
        <v>59</v>
      </c>
      <c r="E1581" s="64">
        <v>0.0</v>
      </c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</row>
    <row r="1582" ht="15.75" customHeight="1">
      <c r="A1582" s="61" t="str">
        <f t="shared" si="1"/>
        <v>NatalCuiabáAvião</v>
      </c>
      <c r="B1582" s="62" t="s">
        <v>45</v>
      </c>
      <c r="C1582" s="62" t="s">
        <v>64</v>
      </c>
      <c r="D1582" s="63" t="s">
        <v>29</v>
      </c>
      <c r="E1582" s="64">
        <v>0.0</v>
      </c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</row>
    <row r="1583" ht="15.75" customHeight="1">
      <c r="A1583" s="61" t="str">
        <f t="shared" si="1"/>
        <v>NatalCuritibaAvião</v>
      </c>
      <c r="B1583" s="62" t="s">
        <v>45</v>
      </c>
      <c r="C1583" s="62" t="s">
        <v>64</v>
      </c>
      <c r="D1583" s="63" t="s">
        <v>76</v>
      </c>
      <c r="E1583" s="64">
        <v>0.0</v>
      </c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</row>
    <row r="1584" ht="15.75" customHeight="1">
      <c r="A1584" s="61" t="str">
        <f t="shared" si="1"/>
        <v>NatalFortalezaAvião</v>
      </c>
      <c r="B1584" s="62" t="s">
        <v>45</v>
      </c>
      <c r="C1584" s="62" t="s">
        <v>64</v>
      </c>
      <c r="D1584" s="63" t="s">
        <v>60</v>
      </c>
      <c r="E1584" s="64">
        <v>0.0</v>
      </c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</row>
    <row r="1585" ht="15.75" customHeight="1">
      <c r="A1585" s="61" t="str">
        <f t="shared" si="1"/>
        <v>NatalGoiâniaAvião</v>
      </c>
      <c r="B1585" s="62" t="s">
        <v>45</v>
      </c>
      <c r="C1585" s="62" t="s">
        <v>64</v>
      </c>
      <c r="D1585" s="63" t="s">
        <v>61</v>
      </c>
      <c r="E1585" s="64">
        <v>0.0</v>
      </c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</row>
    <row r="1586" ht="15.75" customHeight="1">
      <c r="A1586" s="61" t="str">
        <f t="shared" si="1"/>
        <v>NatalJoão PessoaAvião</v>
      </c>
      <c r="B1586" s="62" t="s">
        <v>45</v>
      </c>
      <c r="C1586" s="62" t="s">
        <v>64</v>
      </c>
      <c r="D1586" s="63" t="s">
        <v>62</v>
      </c>
      <c r="E1586" s="64">
        <v>0.0</v>
      </c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</row>
    <row r="1587" ht="15.75" customHeight="1">
      <c r="A1587" s="61" t="str">
        <f t="shared" si="1"/>
        <v>NatalJoinvilleAvião</v>
      </c>
      <c r="B1587" s="62" t="s">
        <v>45</v>
      </c>
      <c r="C1587" s="62" t="s">
        <v>64</v>
      </c>
      <c r="D1587" s="63" t="s">
        <v>28</v>
      </c>
      <c r="E1587" s="64">
        <v>0.0</v>
      </c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</row>
    <row r="1588" ht="15.75" customHeight="1">
      <c r="A1588" s="61" t="str">
        <f t="shared" si="1"/>
        <v>NatalMaceióAvião</v>
      </c>
      <c r="B1588" s="62" t="s">
        <v>45</v>
      </c>
      <c r="C1588" s="62" t="s">
        <v>64</v>
      </c>
      <c r="D1588" s="63" t="s">
        <v>63</v>
      </c>
      <c r="E1588" s="64">
        <v>0.0</v>
      </c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</row>
    <row r="1589" ht="15.75" customHeight="1">
      <c r="A1589" s="61" t="str">
        <f t="shared" si="1"/>
        <v>NatalManausAvião</v>
      </c>
      <c r="B1589" s="62" t="s">
        <v>45</v>
      </c>
      <c r="C1589" s="62" t="s">
        <v>64</v>
      </c>
      <c r="D1589" s="63" t="s">
        <v>23</v>
      </c>
      <c r="E1589" s="64">
        <v>0.0</v>
      </c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</row>
    <row r="1590" ht="15.75" customHeight="1">
      <c r="A1590" s="61" t="str">
        <f t="shared" si="1"/>
        <v>NatalNatalAvião</v>
      </c>
      <c r="B1590" s="62" t="s">
        <v>45</v>
      </c>
      <c r="C1590" s="62" t="s">
        <v>64</v>
      </c>
      <c r="D1590" s="63" t="s">
        <v>64</v>
      </c>
      <c r="E1590" s="64">
        <v>0.0</v>
      </c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</row>
    <row r="1591" ht="15.75" customHeight="1">
      <c r="A1591" s="61" t="str">
        <f t="shared" si="1"/>
        <v>NatalPorto AlegreAvião</v>
      </c>
      <c r="B1591" s="62" t="s">
        <v>45</v>
      </c>
      <c r="C1591" s="62" t="s">
        <v>64</v>
      </c>
      <c r="D1591" s="63" t="s">
        <v>31</v>
      </c>
      <c r="E1591" s="64">
        <v>0.0</v>
      </c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</row>
    <row r="1592" ht="15.75" customHeight="1">
      <c r="A1592" s="61" t="str">
        <f t="shared" si="1"/>
        <v>NatalRecifeAvião</v>
      </c>
      <c r="B1592" s="62" t="s">
        <v>45</v>
      </c>
      <c r="C1592" s="62" t="s">
        <v>64</v>
      </c>
      <c r="D1592" s="63" t="s">
        <v>65</v>
      </c>
      <c r="E1592" s="64">
        <v>0.0</v>
      </c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</row>
    <row r="1593" ht="15.75" customHeight="1">
      <c r="A1593" s="61" t="str">
        <f t="shared" si="1"/>
        <v>NatalRibeirão PretoAvião</v>
      </c>
      <c r="B1593" s="62" t="s">
        <v>45</v>
      </c>
      <c r="C1593" s="62" t="s">
        <v>64</v>
      </c>
      <c r="D1593" s="63" t="s">
        <v>78</v>
      </c>
      <c r="E1593" s="64">
        <v>0.0</v>
      </c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</row>
    <row r="1594" ht="15.75" customHeight="1">
      <c r="A1594" s="61" t="str">
        <f t="shared" si="1"/>
        <v>NatalRio de JaneiroAvião</v>
      </c>
      <c r="B1594" s="62" t="s">
        <v>45</v>
      </c>
      <c r="C1594" s="62" t="s">
        <v>64</v>
      </c>
      <c r="D1594" s="63" t="s">
        <v>66</v>
      </c>
      <c r="E1594" s="64">
        <v>0.0</v>
      </c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</row>
    <row r="1595" ht="15.75" customHeight="1">
      <c r="A1595" s="61" t="str">
        <f t="shared" si="1"/>
        <v>NatalSalvadorAvião</v>
      </c>
      <c r="B1595" s="62" t="s">
        <v>45</v>
      </c>
      <c r="C1595" s="62" t="s">
        <v>64</v>
      </c>
      <c r="D1595" s="63" t="s">
        <v>67</v>
      </c>
      <c r="E1595" s="64">
        <v>0.0</v>
      </c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</row>
    <row r="1596" ht="15.75" customHeight="1">
      <c r="A1596" s="61" t="str">
        <f t="shared" si="1"/>
        <v>NatalSantosAvião</v>
      </c>
      <c r="B1596" s="62" t="s">
        <v>45</v>
      </c>
      <c r="C1596" s="62" t="s">
        <v>64</v>
      </c>
      <c r="D1596" s="63" t="s">
        <v>38</v>
      </c>
      <c r="E1596" s="64">
        <v>0.0</v>
      </c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</row>
    <row r="1597" ht="15.75" customHeight="1">
      <c r="A1597" s="61" t="str">
        <f t="shared" si="1"/>
        <v>NatalSão LuísAvião</v>
      </c>
      <c r="B1597" s="62" t="s">
        <v>45</v>
      </c>
      <c r="C1597" s="62" t="s">
        <v>64</v>
      </c>
      <c r="D1597" s="63" t="s">
        <v>36</v>
      </c>
      <c r="E1597" s="64">
        <v>0.0</v>
      </c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</row>
    <row r="1598" ht="15.75" customHeight="1">
      <c r="A1598" s="61" t="str">
        <f t="shared" si="1"/>
        <v>NatalSão PauloAvião</v>
      </c>
      <c r="B1598" s="62" t="s">
        <v>45</v>
      </c>
      <c r="C1598" s="62" t="s">
        <v>64</v>
      </c>
      <c r="D1598" s="63" t="s">
        <v>75</v>
      </c>
      <c r="E1598" s="64">
        <v>0.0</v>
      </c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</row>
    <row r="1599" ht="15.75" customHeight="1">
      <c r="A1599" s="61" t="str">
        <f t="shared" si="1"/>
        <v>NatalUberlândiaAvião</v>
      </c>
      <c r="B1599" s="62" t="s">
        <v>45</v>
      </c>
      <c r="C1599" s="62" t="s">
        <v>64</v>
      </c>
      <c r="D1599" s="63" t="s">
        <v>68</v>
      </c>
      <c r="E1599" s="64">
        <v>0.0</v>
      </c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</row>
    <row r="1600" ht="15.75" customHeight="1">
      <c r="A1600" s="61" t="str">
        <f t="shared" si="1"/>
        <v>NatalVitóriaAvião</v>
      </c>
      <c r="B1600" s="62" t="s">
        <v>45</v>
      </c>
      <c r="C1600" s="62" t="s">
        <v>64</v>
      </c>
      <c r="D1600" s="63" t="s">
        <v>69</v>
      </c>
      <c r="E1600" s="64">
        <v>0.0</v>
      </c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</row>
    <row r="1601" ht="15.75" customHeight="1">
      <c r="A1601" s="61" t="str">
        <f t="shared" si="1"/>
        <v>NatalVitória da ConquistaAvião</v>
      </c>
      <c r="B1601" s="62" t="s">
        <v>45</v>
      </c>
      <c r="C1601" s="62" t="s">
        <v>64</v>
      </c>
      <c r="D1601" s="63" t="s">
        <v>52</v>
      </c>
      <c r="E1601" s="64">
        <v>0.0</v>
      </c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</row>
    <row r="1602" ht="15.75" customHeight="1">
      <c r="A1602" s="61" t="str">
        <f t="shared" si="1"/>
        <v>Porto AlegreBelémAvião</v>
      </c>
      <c r="B1602" s="62" t="s">
        <v>45</v>
      </c>
      <c r="C1602" s="62" t="s">
        <v>31</v>
      </c>
      <c r="D1602" s="63" t="s">
        <v>51</v>
      </c>
      <c r="E1602" s="64">
        <v>0.0</v>
      </c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</row>
    <row r="1603" ht="15.75" customHeight="1">
      <c r="A1603" s="61" t="str">
        <f t="shared" si="1"/>
        <v>Porto AlegreBelo HorizonteAvião</v>
      </c>
      <c r="B1603" s="62" t="s">
        <v>45</v>
      </c>
      <c r="C1603" s="62" t="s">
        <v>31</v>
      </c>
      <c r="D1603" s="63" t="s">
        <v>57</v>
      </c>
      <c r="E1603" s="64">
        <v>0.0</v>
      </c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</row>
    <row r="1604" ht="15.75" customHeight="1">
      <c r="A1604" s="61" t="str">
        <f t="shared" si="1"/>
        <v>Porto AlegreBrasíliaAvião</v>
      </c>
      <c r="B1604" s="62" t="s">
        <v>45</v>
      </c>
      <c r="C1604" s="62" t="s">
        <v>31</v>
      </c>
      <c r="D1604" s="63" t="s">
        <v>58</v>
      </c>
      <c r="E1604" s="64">
        <v>0.0</v>
      </c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</row>
    <row r="1605" ht="15.75" customHeight="1">
      <c r="A1605" s="61" t="str">
        <f t="shared" si="1"/>
        <v>Porto AlegreCampinasAvião</v>
      </c>
      <c r="B1605" s="62" t="s">
        <v>45</v>
      </c>
      <c r="C1605" s="62" t="s">
        <v>31</v>
      </c>
      <c r="D1605" s="63" t="s">
        <v>77</v>
      </c>
      <c r="E1605" s="64">
        <v>0.0</v>
      </c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</row>
    <row r="1606" ht="15.75" customHeight="1">
      <c r="A1606" s="61" t="str">
        <f t="shared" si="1"/>
        <v>Porto AlegreCampo GrandeAvião</v>
      </c>
      <c r="B1606" s="62" t="s">
        <v>45</v>
      </c>
      <c r="C1606" s="62" t="s">
        <v>31</v>
      </c>
      <c r="D1606" s="63" t="s">
        <v>59</v>
      </c>
      <c r="E1606" s="64">
        <v>0.0</v>
      </c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</row>
    <row r="1607" ht="15.75" customHeight="1">
      <c r="A1607" s="61" t="str">
        <f t="shared" si="1"/>
        <v>Porto AlegreCuiabáAvião</v>
      </c>
      <c r="B1607" s="62" t="s">
        <v>45</v>
      </c>
      <c r="C1607" s="62" t="s">
        <v>31</v>
      </c>
      <c r="D1607" s="63" t="s">
        <v>29</v>
      </c>
      <c r="E1607" s="64">
        <v>0.0</v>
      </c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</row>
    <row r="1608" ht="15.75" customHeight="1">
      <c r="A1608" s="61" t="str">
        <f t="shared" si="1"/>
        <v>Porto AlegreCuritibaAvião</v>
      </c>
      <c r="B1608" s="62" t="s">
        <v>45</v>
      </c>
      <c r="C1608" s="62" t="s">
        <v>31</v>
      </c>
      <c r="D1608" s="63" t="s">
        <v>76</v>
      </c>
      <c r="E1608" s="64">
        <v>0.0</v>
      </c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</row>
    <row r="1609" ht="15.75" customHeight="1">
      <c r="A1609" s="61" t="str">
        <f t="shared" si="1"/>
        <v>Porto AlegreFortalezaAvião</v>
      </c>
      <c r="B1609" s="62" t="s">
        <v>45</v>
      </c>
      <c r="C1609" s="62" t="s">
        <v>31</v>
      </c>
      <c r="D1609" s="63" t="s">
        <v>60</v>
      </c>
      <c r="E1609" s="64">
        <v>0.0</v>
      </c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</row>
    <row r="1610" ht="15.75" customHeight="1">
      <c r="A1610" s="61" t="str">
        <f t="shared" si="1"/>
        <v>Porto AlegreGoiâniaAvião</v>
      </c>
      <c r="B1610" s="62" t="s">
        <v>45</v>
      </c>
      <c r="C1610" s="62" t="s">
        <v>31</v>
      </c>
      <c r="D1610" s="63" t="s">
        <v>61</v>
      </c>
      <c r="E1610" s="64">
        <v>0.0</v>
      </c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</row>
    <row r="1611" ht="15.75" customHeight="1">
      <c r="A1611" s="61" t="str">
        <f t="shared" si="1"/>
        <v>Porto AlegreJoão PessoaAvião</v>
      </c>
      <c r="B1611" s="62" t="s">
        <v>45</v>
      </c>
      <c r="C1611" s="62" t="s">
        <v>31</v>
      </c>
      <c r="D1611" s="63" t="s">
        <v>62</v>
      </c>
      <c r="E1611" s="64">
        <v>0.0</v>
      </c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</row>
    <row r="1612" ht="15.75" customHeight="1">
      <c r="A1612" s="61" t="str">
        <f t="shared" si="1"/>
        <v>Porto AlegreJoinvilleAvião</v>
      </c>
      <c r="B1612" s="62" t="s">
        <v>45</v>
      </c>
      <c r="C1612" s="62" t="s">
        <v>31</v>
      </c>
      <c r="D1612" s="63" t="s">
        <v>28</v>
      </c>
      <c r="E1612" s="64">
        <v>0.0</v>
      </c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</row>
    <row r="1613" ht="15.75" customHeight="1">
      <c r="A1613" s="61" t="str">
        <f t="shared" si="1"/>
        <v>Porto AlegreMaceióAvião</v>
      </c>
      <c r="B1613" s="62" t="s">
        <v>45</v>
      </c>
      <c r="C1613" s="62" t="s">
        <v>31</v>
      </c>
      <c r="D1613" s="63" t="s">
        <v>63</v>
      </c>
      <c r="E1613" s="64">
        <v>0.0</v>
      </c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</row>
    <row r="1614" ht="15.75" customHeight="1">
      <c r="A1614" s="61" t="str">
        <f t="shared" si="1"/>
        <v>Porto AlegreManausAvião</v>
      </c>
      <c r="B1614" s="62" t="s">
        <v>45</v>
      </c>
      <c r="C1614" s="62" t="s">
        <v>31</v>
      </c>
      <c r="D1614" s="63" t="s">
        <v>23</v>
      </c>
      <c r="E1614" s="64">
        <v>0.0</v>
      </c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</row>
    <row r="1615" ht="15.75" customHeight="1">
      <c r="A1615" s="61" t="str">
        <f t="shared" si="1"/>
        <v>Porto AlegreNatalAvião</v>
      </c>
      <c r="B1615" s="62" t="s">
        <v>45</v>
      </c>
      <c r="C1615" s="62" t="s">
        <v>31</v>
      </c>
      <c r="D1615" s="63" t="s">
        <v>64</v>
      </c>
      <c r="E1615" s="64">
        <v>0.0</v>
      </c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</row>
    <row r="1616" ht="15.75" customHeight="1">
      <c r="A1616" s="61" t="str">
        <f t="shared" si="1"/>
        <v>Porto AlegrePorto AlegreAvião</v>
      </c>
      <c r="B1616" s="62" t="s">
        <v>45</v>
      </c>
      <c r="C1616" s="62" t="s">
        <v>31</v>
      </c>
      <c r="D1616" s="63" t="s">
        <v>31</v>
      </c>
      <c r="E1616" s="64">
        <v>0.0</v>
      </c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</row>
    <row r="1617" ht="15.75" customHeight="1">
      <c r="A1617" s="61" t="str">
        <f t="shared" si="1"/>
        <v>Porto AlegreRecifeAvião</v>
      </c>
      <c r="B1617" s="62" t="s">
        <v>45</v>
      </c>
      <c r="C1617" s="62" t="s">
        <v>31</v>
      </c>
      <c r="D1617" s="63" t="s">
        <v>65</v>
      </c>
      <c r="E1617" s="64">
        <v>0.0</v>
      </c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</row>
    <row r="1618" ht="15.75" customHeight="1">
      <c r="A1618" s="61" t="str">
        <f t="shared" si="1"/>
        <v>Porto AlegreRibeirão PretoAvião</v>
      </c>
      <c r="B1618" s="62" t="s">
        <v>45</v>
      </c>
      <c r="C1618" s="62" t="s">
        <v>31</v>
      </c>
      <c r="D1618" s="63" t="s">
        <v>78</v>
      </c>
      <c r="E1618" s="64">
        <v>0.0</v>
      </c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</row>
    <row r="1619" ht="15.75" customHeight="1">
      <c r="A1619" s="61" t="str">
        <f t="shared" si="1"/>
        <v>Porto AlegreRio de JaneiroAvião</v>
      </c>
      <c r="B1619" s="62" t="s">
        <v>45</v>
      </c>
      <c r="C1619" s="62" t="s">
        <v>31</v>
      </c>
      <c r="D1619" s="63" t="s">
        <v>66</v>
      </c>
      <c r="E1619" s="64">
        <v>0.0</v>
      </c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</row>
    <row r="1620" ht="15.75" customHeight="1">
      <c r="A1620" s="61" t="str">
        <f t="shared" si="1"/>
        <v>Porto AlegreSalvadorAvião</v>
      </c>
      <c r="B1620" s="62" t="s">
        <v>45</v>
      </c>
      <c r="C1620" s="62" t="s">
        <v>31</v>
      </c>
      <c r="D1620" s="63" t="s">
        <v>67</v>
      </c>
      <c r="E1620" s="64">
        <v>0.0</v>
      </c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</row>
    <row r="1621" ht="15.75" customHeight="1">
      <c r="A1621" s="61" t="str">
        <f t="shared" si="1"/>
        <v>Porto AlegreSantosAvião</v>
      </c>
      <c r="B1621" s="62" t="s">
        <v>45</v>
      </c>
      <c r="C1621" s="62" t="s">
        <v>31</v>
      </c>
      <c r="D1621" s="63" t="s">
        <v>38</v>
      </c>
      <c r="E1621" s="64">
        <v>0.0</v>
      </c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</row>
    <row r="1622" ht="15.75" customHeight="1">
      <c r="A1622" s="61" t="str">
        <f t="shared" si="1"/>
        <v>Porto AlegreSão LuísAvião</v>
      </c>
      <c r="B1622" s="62" t="s">
        <v>45</v>
      </c>
      <c r="C1622" s="62" t="s">
        <v>31</v>
      </c>
      <c r="D1622" s="63" t="s">
        <v>36</v>
      </c>
      <c r="E1622" s="64">
        <v>0.0</v>
      </c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</row>
    <row r="1623" ht="15.75" customHeight="1">
      <c r="A1623" s="61" t="str">
        <f t="shared" si="1"/>
        <v>Porto AlegreSão PauloAvião</v>
      </c>
      <c r="B1623" s="62" t="s">
        <v>45</v>
      </c>
      <c r="C1623" s="62" t="s">
        <v>31</v>
      </c>
      <c r="D1623" s="63" t="s">
        <v>75</v>
      </c>
      <c r="E1623" s="64">
        <v>0.0</v>
      </c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</row>
    <row r="1624" ht="15.75" customHeight="1">
      <c r="A1624" s="61" t="str">
        <f t="shared" si="1"/>
        <v>Porto AlegreUberlândiaAvião</v>
      </c>
      <c r="B1624" s="62" t="s">
        <v>45</v>
      </c>
      <c r="C1624" s="62" t="s">
        <v>31</v>
      </c>
      <c r="D1624" s="63" t="s">
        <v>68</v>
      </c>
      <c r="E1624" s="64">
        <v>0.0</v>
      </c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</row>
    <row r="1625" ht="15.75" customHeight="1">
      <c r="A1625" s="61" t="str">
        <f t="shared" si="1"/>
        <v>Porto AlegreVitóriaAvião</v>
      </c>
      <c r="B1625" s="62" t="s">
        <v>45</v>
      </c>
      <c r="C1625" s="62" t="s">
        <v>31</v>
      </c>
      <c r="D1625" s="63" t="s">
        <v>69</v>
      </c>
      <c r="E1625" s="64">
        <v>0.0</v>
      </c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</row>
    <row r="1626" ht="15.75" customHeight="1">
      <c r="A1626" s="61" t="str">
        <f t="shared" si="1"/>
        <v>Porto AlegreVitória da ConquistaAvião</v>
      </c>
      <c r="B1626" s="62" t="s">
        <v>45</v>
      </c>
      <c r="C1626" s="62" t="s">
        <v>31</v>
      </c>
      <c r="D1626" s="63" t="s">
        <v>52</v>
      </c>
      <c r="E1626" s="64">
        <v>0.0</v>
      </c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</row>
    <row r="1627" ht="15.75" customHeight="1">
      <c r="A1627" s="61" t="str">
        <f t="shared" si="1"/>
        <v>RecifeBelémAvião</v>
      </c>
      <c r="B1627" s="62" t="s">
        <v>45</v>
      </c>
      <c r="C1627" s="62" t="s">
        <v>65</v>
      </c>
      <c r="D1627" s="63" t="s">
        <v>51</v>
      </c>
      <c r="E1627" s="64">
        <v>0.0</v>
      </c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</row>
    <row r="1628" ht="15.75" customHeight="1">
      <c r="A1628" s="61" t="str">
        <f t="shared" si="1"/>
        <v>RecifeBelo HorizonteAvião</v>
      </c>
      <c r="B1628" s="62" t="s">
        <v>45</v>
      </c>
      <c r="C1628" s="62" t="s">
        <v>65</v>
      </c>
      <c r="D1628" s="63" t="s">
        <v>57</v>
      </c>
      <c r="E1628" s="64">
        <v>0.0</v>
      </c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</row>
    <row r="1629" ht="15.75" customHeight="1">
      <c r="A1629" s="61" t="str">
        <f t="shared" si="1"/>
        <v>RecifeBrasíliaAvião</v>
      </c>
      <c r="B1629" s="62" t="s">
        <v>45</v>
      </c>
      <c r="C1629" s="62" t="s">
        <v>65</v>
      </c>
      <c r="D1629" s="63" t="s">
        <v>58</v>
      </c>
      <c r="E1629" s="64">
        <v>0.0</v>
      </c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</row>
    <row r="1630" ht="15.75" customHeight="1">
      <c r="A1630" s="61" t="str">
        <f t="shared" si="1"/>
        <v>RecifeCampinasAvião</v>
      </c>
      <c r="B1630" s="62" t="s">
        <v>45</v>
      </c>
      <c r="C1630" s="62" t="s">
        <v>65</v>
      </c>
      <c r="D1630" s="63" t="s">
        <v>77</v>
      </c>
      <c r="E1630" s="64">
        <v>0.0</v>
      </c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</row>
    <row r="1631" ht="15.75" customHeight="1">
      <c r="A1631" s="61" t="str">
        <f t="shared" si="1"/>
        <v>RecifeCampo GrandeAvião</v>
      </c>
      <c r="B1631" s="62" t="s">
        <v>45</v>
      </c>
      <c r="C1631" s="62" t="s">
        <v>65</v>
      </c>
      <c r="D1631" s="63" t="s">
        <v>59</v>
      </c>
      <c r="E1631" s="64">
        <v>0.0</v>
      </c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</row>
    <row r="1632" ht="15.75" customHeight="1">
      <c r="A1632" s="61" t="str">
        <f t="shared" si="1"/>
        <v>RecifeCuiabáAvião</v>
      </c>
      <c r="B1632" s="62" t="s">
        <v>45</v>
      </c>
      <c r="C1632" s="62" t="s">
        <v>65</v>
      </c>
      <c r="D1632" s="63" t="s">
        <v>29</v>
      </c>
      <c r="E1632" s="64">
        <v>0.0</v>
      </c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</row>
    <row r="1633" ht="15.75" customHeight="1">
      <c r="A1633" s="61" t="str">
        <f t="shared" si="1"/>
        <v>RecifeCuritibaAvião</v>
      </c>
      <c r="B1633" s="62" t="s">
        <v>45</v>
      </c>
      <c r="C1633" s="62" t="s">
        <v>65</v>
      </c>
      <c r="D1633" s="63" t="s">
        <v>76</v>
      </c>
      <c r="E1633" s="64">
        <v>0.0</v>
      </c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</row>
    <row r="1634" ht="15.75" customHeight="1">
      <c r="A1634" s="61" t="str">
        <f t="shared" si="1"/>
        <v>RecifeFortalezaAvião</v>
      </c>
      <c r="B1634" s="62" t="s">
        <v>45</v>
      </c>
      <c r="C1634" s="62" t="s">
        <v>65</v>
      </c>
      <c r="D1634" s="63" t="s">
        <v>60</v>
      </c>
      <c r="E1634" s="64">
        <v>0.0</v>
      </c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</row>
    <row r="1635" ht="15.75" customHeight="1">
      <c r="A1635" s="61" t="str">
        <f t="shared" si="1"/>
        <v>RecifeGoiâniaAvião</v>
      </c>
      <c r="B1635" s="62" t="s">
        <v>45</v>
      </c>
      <c r="C1635" s="62" t="s">
        <v>65</v>
      </c>
      <c r="D1635" s="63" t="s">
        <v>61</v>
      </c>
      <c r="E1635" s="64">
        <v>0.0</v>
      </c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</row>
    <row r="1636" ht="15.75" customHeight="1">
      <c r="A1636" s="61" t="str">
        <f t="shared" si="1"/>
        <v>RecifeJoão PessoaAvião</v>
      </c>
      <c r="B1636" s="62" t="s">
        <v>45</v>
      </c>
      <c r="C1636" s="62" t="s">
        <v>65</v>
      </c>
      <c r="D1636" s="63" t="s">
        <v>62</v>
      </c>
      <c r="E1636" s="64">
        <v>0.0</v>
      </c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</row>
    <row r="1637" ht="15.75" customHeight="1">
      <c r="A1637" s="61" t="str">
        <f t="shared" si="1"/>
        <v>RecifeJoinvilleAvião</v>
      </c>
      <c r="B1637" s="62" t="s">
        <v>45</v>
      </c>
      <c r="C1637" s="62" t="s">
        <v>65</v>
      </c>
      <c r="D1637" s="63" t="s">
        <v>28</v>
      </c>
      <c r="E1637" s="64">
        <v>0.0</v>
      </c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</row>
    <row r="1638" ht="15.75" customHeight="1">
      <c r="A1638" s="61" t="str">
        <f t="shared" si="1"/>
        <v>RecifeMaceióAvião</v>
      </c>
      <c r="B1638" s="62" t="s">
        <v>45</v>
      </c>
      <c r="C1638" s="62" t="s">
        <v>65</v>
      </c>
      <c r="D1638" s="63" t="s">
        <v>63</v>
      </c>
      <c r="E1638" s="64">
        <v>0.0</v>
      </c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</row>
    <row r="1639" ht="15.75" customHeight="1">
      <c r="A1639" s="61" t="str">
        <f t="shared" si="1"/>
        <v>RecifeManausAvião</v>
      </c>
      <c r="B1639" s="62" t="s">
        <v>45</v>
      </c>
      <c r="C1639" s="62" t="s">
        <v>65</v>
      </c>
      <c r="D1639" s="63" t="s">
        <v>23</v>
      </c>
      <c r="E1639" s="64">
        <v>0.0</v>
      </c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</row>
    <row r="1640" ht="15.75" customHeight="1">
      <c r="A1640" s="61" t="str">
        <f t="shared" si="1"/>
        <v>RecifeNatalAvião</v>
      </c>
      <c r="B1640" s="62" t="s">
        <v>45</v>
      </c>
      <c r="C1640" s="62" t="s">
        <v>65</v>
      </c>
      <c r="D1640" s="63" t="s">
        <v>64</v>
      </c>
      <c r="E1640" s="64">
        <v>0.0</v>
      </c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</row>
    <row r="1641" ht="15.75" customHeight="1">
      <c r="A1641" s="61" t="str">
        <f t="shared" si="1"/>
        <v>RecifePorto AlegreAvião</v>
      </c>
      <c r="B1641" s="62" t="s">
        <v>45</v>
      </c>
      <c r="C1641" s="62" t="s">
        <v>65</v>
      </c>
      <c r="D1641" s="63" t="s">
        <v>31</v>
      </c>
      <c r="E1641" s="64">
        <v>0.0</v>
      </c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</row>
    <row r="1642" ht="15.75" customHeight="1">
      <c r="A1642" s="61" t="str">
        <f t="shared" si="1"/>
        <v>RecifeRecifeAvião</v>
      </c>
      <c r="B1642" s="62" t="s">
        <v>45</v>
      </c>
      <c r="C1642" s="62" t="s">
        <v>65</v>
      </c>
      <c r="D1642" s="63" t="s">
        <v>65</v>
      </c>
      <c r="E1642" s="64">
        <v>0.0</v>
      </c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</row>
    <row r="1643" ht="15.75" customHeight="1">
      <c r="A1643" s="61" t="str">
        <f t="shared" si="1"/>
        <v>RecifeRibeirão PretoAvião</v>
      </c>
      <c r="B1643" s="62" t="s">
        <v>45</v>
      </c>
      <c r="C1643" s="62" t="s">
        <v>65</v>
      </c>
      <c r="D1643" s="63" t="s">
        <v>78</v>
      </c>
      <c r="E1643" s="64">
        <v>0.0</v>
      </c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</row>
    <row r="1644" ht="15.75" customHeight="1">
      <c r="A1644" s="61" t="str">
        <f t="shared" si="1"/>
        <v>RecifeRio de JaneiroAvião</v>
      </c>
      <c r="B1644" s="62" t="s">
        <v>45</v>
      </c>
      <c r="C1644" s="62" t="s">
        <v>65</v>
      </c>
      <c r="D1644" s="63" t="s">
        <v>66</v>
      </c>
      <c r="E1644" s="64">
        <v>0.0</v>
      </c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</row>
    <row r="1645" ht="15.75" customHeight="1">
      <c r="A1645" s="61" t="str">
        <f t="shared" si="1"/>
        <v>RecifeSalvadorAvião</v>
      </c>
      <c r="B1645" s="62" t="s">
        <v>45</v>
      </c>
      <c r="C1645" s="62" t="s">
        <v>65</v>
      </c>
      <c r="D1645" s="63" t="s">
        <v>67</v>
      </c>
      <c r="E1645" s="64">
        <v>0.0</v>
      </c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</row>
    <row r="1646" ht="15.75" customHeight="1">
      <c r="A1646" s="61" t="str">
        <f t="shared" si="1"/>
        <v>RecifeSantosAvião</v>
      </c>
      <c r="B1646" s="62" t="s">
        <v>45</v>
      </c>
      <c r="C1646" s="62" t="s">
        <v>65</v>
      </c>
      <c r="D1646" s="63" t="s">
        <v>38</v>
      </c>
      <c r="E1646" s="64">
        <v>0.0</v>
      </c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</row>
    <row r="1647" ht="15.75" customHeight="1">
      <c r="A1647" s="61" t="str">
        <f t="shared" si="1"/>
        <v>RecifeSão LuísAvião</v>
      </c>
      <c r="B1647" s="62" t="s">
        <v>45</v>
      </c>
      <c r="C1647" s="62" t="s">
        <v>65</v>
      </c>
      <c r="D1647" s="63" t="s">
        <v>36</v>
      </c>
      <c r="E1647" s="64">
        <v>0.0</v>
      </c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</row>
    <row r="1648" ht="15.75" customHeight="1">
      <c r="A1648" s="61" t="str">
        <f t="shared" si="1"/>
        <v>RecifeSão PauloAvião</v>
      </c>
      <c r="B1648" s="62" t="s">
        <v>45</v>
      </c>
      <c r="C1648" s="62" t="s">
        <v>65</v>
      </c>
      <c r="D1648" s="63" t="s">
        <v>75</v>
      </c>
      <c r="E1648" s="64">
        <v>0.0</v>
      </c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</row>
    <row r="1649" ht="15.75" customHeight="1">
      <c r="A1649" s="61" t="str">
        <f t="shared" si="1"/>
        <v>RecifeUberlândiaAvião</v>
      </c>
      <c r="B1649" s="62" t="s">
        <v>45</v>
      </c>
      <c r="C1649" s="62" t="s">
        <v>65</v>
      </c>
      <c r="D1649" s="63" t="s">
        <v>68</v>
      </c>
      <c r="E1649" s="64">
        <v>0.0</v>
      </c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</row>
    <row r="1650" ht="15.75" customHeight="1">
      <c r="A1650" s="61" t="str">
        <f t="shared" si="1"/>
        <v>RecifeVitóriaAvião</v>
      </c>
      <c r="B1650" s="62" t="s">
        <v>45</v>
      </c>
      <c r="C1650" s="62" t="s">
        <v>65</v>
      </c>
      <c r="D1650" s="63" t="s">
        <v>69</v>
      </c>
      <c r="E1650" s="64">
        <v>0.0</v>
      </c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</row>
    <row r="1651" ht="15.75" customHeight="1">
      <c r="A1651" s="61" t="str">
        <f t="shared" si="1"/>
        <v>RecifeVitória da ConquistaAvião</v>
      </c>
      <c r="B1651" s="62" t="s">
        <v>45</v>
      </c>
      <c r="C1651" s="62" t="s">
        <v>65</v>
      </c>
      <c r="D1651" s="63" t="s">
        <v>52</v>
      </c>
      <c r="E1651" s="64">
        <v>0.0</v>
      </c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</row>
    <row r="1652" ht="15.75" customHeight="1">
      <c r="A1652" s="61" t="str">
        <f t="shared" si="1"/>
        <v>Ribeirão PretoBelémAvião</v>
      </c>
      <c r="B1652" s="62" t="s">
        <v>45</v>
      </c>
      <c r="C1652" s="63" t="s">
        <v>78</v>
      </c>
      <c r="D1652" s="63" t="s">
        <v>51</v>
      </c>
      <c r="E1652" s="64">
        <v>0.0</v>
      </c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</row>
    <row r="1653" ht="15.75" customHeight="1">
      <c r="A1653" s="61" t="str">
        <f t="shared" si="1"/>
        <v>Ribeirão PretoBelo HorizonteAvião</v>
      </c>
      <c r="B1653" s="62" t="s">
        <v>45</v>
      </c>
      <c r="C1653" s="63" t="s">
        <v>78</v>
      </c>
      <c r="D1653" s="63" t="s">
        <v>57</v>
      </c>
      <c r="E1653" s="64">
        <v>0.0</v>
      </c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</row>
    <row r="1654" ht="15.75" customHeight="1">
      <c r="A1654" s="61" t="str">
        <f t="shared" si="1"/>
        <v>Ribeirão PretoBrasíliaAvião</v>
      </c>
      <c r="B1654" s="62" t="s">
        <v>45</v>
      </c>
      <c r="C1654" s="63" t="s">
        <v>78</v>
      </c>
      <c r="D1654" s="63" t="s">
        <v>58</v>
      </c>
      <c r="E1654" s="64">
        <v>0.0</v>
      </c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</row>
    <row r="1655" ht="15.75" customHeight="1">
      <c r="A1655" s="61" t="str">
        <f t="shared" si="1"/>
        <v>Ribeirão PretoCampinasAvião</v>
      </c>
      <c r="B1655" s="62" t="s">
        <v>45</v>
      </c>
      <c r="C1655" s="63" t="s">
        <v>78</v>
      </c>
      <c r="D1655" s="63" t="s">
        <v>77</v>
      </c>
      <c r="E1655" s="64">
        <v>0.0</v>
      </c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</row>
    <row r="1656" ht="15.75" customHeight="1">
      <c r="A1656" s="61" t="str">
        <f t="shared" si="1"/>
        <v>Ribeirão PretoCampo GrandeAvião</v>
      </c>
      <c r="B1656" s="62" t="s">
        <v>45</v>
      </c>
      <c r="C1656" s="63" t="s">
        <v>78</v>
      </c>
      <c r="D1656" s="63" t="s">
        <v>59</v>
      </c>
      <c r="E1656" s="64">
        <v>0.0</v>
      </c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</row>
    <row r="1657" ht="15.75" customHeight="1">
      <c r="A1657" s="61" t="str">
        <f t="shared" si="1"/>
        <v>Ribeirão PretoCuiabáAvião</v>
      </c>
      <c r="B1657" s="62" t="s">
        <v>45</v>
      </c>
      <c r="C1657" s="63" t="s">
        <v>78</v>
      </c>
      <c r="D1657" s="63" t="s">
        <v>29</v>
      </c>
      <c r="E1657" s="64">
        <v>0.0</v>
      </c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</row>
    <row r="1658" ht="15.75" customHeight="1">
      <c r="A1658" s="61" t="str">
        <f t="shared" si="1"/>
        <v>Ribeirão PretoCuritibaAvião</v>
      </c>
      <c r="B1658" s="62" t="s">
        <v>45</v>
      </c>
      <c r="C1658" s="63" t="s">
        <v>78</v>
      </c>
      <c r="D1658" s="63" t="s">
        <v>76</v>
      </c>
      <c r="E1658" s="64">
        <v>0.0</v>
      </c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</row>
    <row r="1659" ht="15.75" customHeight="1">
      <c r="A1659" s="61" t="str">
        <f t="shared" si="1"/>
        <v>Ribeirão PretoFortalezaAvião</v>
      </c>
      <c r="B1659" s="62" t="s">
        <v>45</v>
      </c>
      <c r="C1659" s="63" t="s">
        <v>78</v>
      </c>
      <c r="D1659" s="63" t="s">
        <v>60</v>
      </c>
      <c r="E1659" s="64">
        <v>0.0</v>
      </c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</row>
    <row r="1660" ht="15.75" customHeight="1">
      <c r="A1660" s="61" t="str">
        <f t="shared" si="1"/>
        <v>Ribeirão PretoGoiâniaAvião</v>
      </c>
      <c r="B1660" s="62" t="s">
        <v>45</v>
      </c>
      <c r="C1660" s="63" t="s">
        <v>78</v>
      </c>
      <c r="D1660" s="63" t="s">
        <v>61</v>
      </c>
      <c r="E1660" s="64">
        <v>0.0</v>
      </c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</row>
    <row r="1661" ht="15.75" customHeight="1">
      <c r="A1661" s="61" t="str">
        <f t="shared" si="1"/>
        <v>Ribeirão PretoJoão PessoaAvião</v>
      </c>
      <c r="B1661" s="62" t="s">
        <v>45</v>
      </c>
      <c r="C1661" s="63" t="s">
        <v>78</v>
      </c>
      <c r="D1661" s="63" t="s">
        <v>62</v>
      </c>
      <c r="E1661" s="64">
        <v>0.0</v>
      </c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</row>
    <row r="1662" ht="15.75" customHeight="1">
      <c r="A1662" s="61" t="str">
        <f t="shared" si="1"/>
        <v>Ribeirão PretoJoinvilleAvião</v>
      </c>
      <c r="B1662" s="62" t="s">
        <v>45</v>
      </c>
      <c r="C1662" s="63" t="s">
        <v>78</v>
      </c>
      <c r="D1662" s="63" t="s">
        <v>28</v>
      </c>
      <c r="E1662" s="64">
        <v>0.0</v>
      </c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</row>
    <row r="1663" ht="15.75" customHeight="1">
      <c r="A1663" s="61" t="str">
        <f t="shared" si="1"/>
        <v>Ribeirão PretoMaceióAvião</v>
      </c>
      <c r="B1663" s="62" t="s">
        <v>45</v>
      </c>
      <c r="C1663" s="63" t="s">
        <v>78</v>
      </c>
      <c r="D1663" s="63" t="s">
        <v>63</v>
      </c>
      <c r="E1663" s="64">
        <v>0.0</v>
      </c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</row>
    <row r="1664" ht="15.75" customHeight="1">
      <c r="A1664" s="61" t="str">
        <f t="shared" si="1"/>
        <v>Ribeirão PretoManausAvião</v>
      </c>
      <c r="B1664" s="62" t="s">
        <v>45</v>
      </c>
      <c r="C1664" s="63" t="s">
        <v>78</v>
      </c>
      <c r="D1664" s="63" t="s">
        <v>23</v>
      </c>
      <c r="E1664" s="64">
        <v>0.0</v>
      </c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</row>
    <row r="1665" ht="15.75" customHeight="1">
      <c r="A1665" s="61" t="str">
        <f t="shared" si="1"/>
        <v>Ribeirão PretoNatalAvião</v>
      </c>
      <c r="B1665" s="62" t="s">
        <v>45</v>
      </c>
      <c r="C1665" s="63" t="s">
        <v>78</v>
      </c>
      <c r="D1665" s="63" t="s">
        <v>64</v>
      </c>
      <c r="E1665" s="64">
        <v>0.0</v>
      </c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</row>
    <row r="1666" ht="15.75" customHeight="1">
      <c r="A1666" s="61" t="str">
        <f t="shared" si="1"/>
        <v>Ribeirão PretoPorto AlegreAvião</v>
      </c>
      <c r="B1666" s="62" t="s">
        <v>45</v>
      </c>
      <c r="C1666" s="63" t="s">
        <v>78</v>
      </c>
      <c r="D1666" s="63" t="s">
        <v>31</v>
      </c>
      <c r="E1666" s="64">
        <v>0.0</v>
      </c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</row>
    <row r="1667" ht="15.75" customHeight="1">
      <c r="A1667" s="61" t="str">
        <f t="shared" si="1"/>
        <v>Ribeirão PretoRecifeAvião</v>
      </c>
      <c r="B1667" s="62" t="s">
        <v>45</v>
      </c>
      <c r="C1667" s="63" t="s">
        <v>78</v>
      </c>
      <c r="D1667" s="63" t="s">
        <v>65</v>
      </c>
      <c r="E1667" s="64">
        <v>0.0</v>
      </c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</row>
    <row r="1668" ht="15.75" customHeight="1">
      <c r="A1668" s="61" t="str">
        <f t="shared" si="1"/>
        <v>Ribeirão PretoRibeirão PretoAvião</v>
      </c>
      <c r="B1668" s="62" t="s">
        <v>45</v>
      </c>
      <c r="C1668" s="63" t="s">
        <v>78</v>
      </c>
      <c r="D1668" s="63" t="s">
        <v>78</v>
      </c>
      <c r="E1668" s="64">
        <v>0.0</v>
      </c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</row>
    <row r="1669" ht="15.75" customHeight="1">
      <c r="A1669" s="61" t="str">
        <f t="shared" si="1"/>
        <v>Ribeirão PretoRio de JaneiroAvião</v>
      </c>
      <c r="B1669" s="62" t="s">
        <v>45</v>
      </c>
      <c r="C1669" s="63" t="s">
        <v>78</v>
      </c>
      <c r="D1669" s="63" t="s">
        <v>66</v>
      </c>
      <c r="E1669" s="64">
        <v>0.0</v>
      </c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</row>
    <row r="1670" ht="15.75" customHeight="1">
      <c r="A1670" s="61" t="str">
        <f t="shared" si="1"/>
        <v>Ribeirão PretoSalvadorAvião</v>
      </c>
      <c r="B1670" s="62" t="s">
        <v>45</v>
      </c>
      <c r="C1670" s="63" t="s">
        <v>78</v>
      </c>
      <c r="D1670" s="63" t="s">
        <v>67</v>
      </c>
      <c r="E1670" s="64">
        <v>0.0</v>
      </c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</row>
    <row r="1671" ht="15.75" customHeight="1">
      <c r="A1671" s="61" t="str">
        <f t="shared" si="1"/>
        <v>Ribeirão PretoSantosAvião</v>
      </c>
      <c r="B1671" s="62" t="s">
        <v>45</v>
      </c>
      <c r="C1671" s="63" t="s">
        <v>78</v>
      </c>
      <c r="D1671" s="63" t="s">
        <v>38</v>
      </c>
      <c r="E1671" s="64">
        <v>0.0</v>
      </c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</row>
    <row r="1672" ht="15.75" customHeight="1">
      <c r="A1672" s="61" t="str">
        <f t="shared" si="1"/>
        <v>Ribeirão PretoSão LuísAvião</v>
      </c>
      <c r="B1672" s="62" t="s">
        <v>45</v>
      </c>
      <c r="C1672" s="63" t="s">
        <v>78</v>
      </c>
      <c r="D1672" s="63" t="s">
        <v>36</v>
      </c>
      <c r="E1672" s="64">
        <v>0.0</v>
      </c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</row>
    <row r="1673" ht="15.75" customHeight="1">
      <c r="A1673" s="61" t="str">
        <f t="shared" si="1"/>
        <v>Ribeirão PretoSão PauloAvião</v>
      </c>
      <c r="B1673" s="62" t="s">
        <v>45</v>
      </c>
      <c r="C1673" s="63" t="s">
        <v>78</v>
      </c>
      <c r="D1673" s="63" t="s">
        <v>75</v>
      </c>
      <c r="E1673" s="64">
        <v>0.0</v>
      </c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</row>
    <row r="1674" ht="15.75" customHeight="1">
      <c r="A1674" s="61" t="str">
        <f t="shared" si="1"/>
        <v>Ribeirão PretoUberlândiaAvião</v>
      </c>
      <c r="B1674" s="62" t="s">
        <v>45</v>
      </c>
      <c r="C1674" s="63" t="s">
        <v>78</v>
      </c>
      <c r="D1674" s="63" t="s">
        <v>68</v>
      </c>
      <c r="E1674" s="64">
        <v>0.0</v>
      </c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</row>
    <row r="1675" ht="15.75" customHeight="1">
      <c r="A1675" s="61" t="str">
        <f t="shared" si="1"/>
        <v>Ribeirão PretoVitóriaAvião</v>
      </c>
      <c r="B1675" s="62" t="s">
        <v>45</v>
      </c>
      <c r="C1675" s="63" t="s">
        <v>78</v>
      </c>
      <c r="D1675" s="63" t="s">
        <v>69</v>
      </c>
      <c r="E1675" s="64">
        <v>0.0</v>
      </c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</row>
    <row r="1676" ht="15.75" customHeight="1">
      <c r="A1676" s="61" t="str">
        <f t="shared" si="1"/>
        <v>Ribeirão PretoVitória da ConquistaAvião</v>
      </c>
      <c r="B1676" s="62" t="s">
        <v>45</v>
      </c>
      <c r="C1676" s="63" t="s">
        <v>78</v>
      </c>
      <c r="D1676" s="63" t="s">
        <v>52</v>
      </c>
      <c r="E1676" s="64">
        <v>0.0</v>
      </c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</row>
    <row r="1677" ht="15.75" customHeight="1">
      <c r="A1677" s="61" t="str">
        <f t="shared" si="1"/>
        <v>Rio de JaneiroBelémAvião</v>
      </c>
      <c r="B1677" s="62" t="s">
        <v>45</v>
      </c>
      <c r="C1677" s="62" t="s">
        <v>66</v>
      </c>
      <c r="D1677" s="63" t="s">
        <v>51</v>
      </c>
      <c r="E1677" s="64">
        <v>0.0</v>
      </c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</row>
    <row r="1678" ht="15.75" customHeight="1">
      <c r="A1678" s="61" t="str">
        <f t="shared" si="1"/>
        <v>Rio de JaneiroBelo HorizonteAvião</v>
      </c>
      <c r="B1678" s="62" t="s">
        <v>45</v>
      </c>
      <c r="C1678" s="62" t="s">
        <v>66</v>
      </c>
      <c r="D1678" s="63" t="s">
        <v>57</v>
      </c>
      <c r="E1678" s="64">
        <v>0.0</v>
      </c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</row>
    <row r="1679" ht="15.75" customHeight="1">
      <c r="A1679" s="61" t="str">
        <f t="shared" si="1"/>
        <v>Rio de JaneiroBrasíliaAvião</v>
      </c>
      <c r="B1679" s="62" t="s">
        <v>45</v>
      </c>
      <c r="C1679" s="62" t="s">
        <v>66</v>
      </c>
      <c r="D1679" s="63" t="s">
        <v>58</v>
      </c>
      <c r="E1679" s="64">
        <v>0.0</v>
      </c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</row>
    <row r="1680" ht="15.75" customHeight="1">
      <c r="A1680" s="61" t="str">
        <f t="shared" si="1"/>
        <v>Rio de JaneiroCampinasAvião</v>
      </c>
      <c r="B1680" s="62" t="s">
        <v>45</v>
      </c>
      <c r="C1680" s="62" t="s">
        <v>66</v>
      </c>
      <c r="D1680" s="63" t="s">
        <v>77</v>
      </c>
      <c r="E1680" s="64">
        <v>0.0</v>
      </c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</row>
    <row r="1681" ht="15.75" customHeight="1">
      <c r="A1681" s="61" t="str">
        <f t="shared" si="1"/>
        <v>Rio de JaneiroCampo GrandeAvião</v>
      </c>
      <c r="B1681" s="62" t="s">
        <v>45</v>
      </c>
      <c r="C1681" s="62" t="s">
        <v>66</v>
      </c>
      <c r="D1681" s="63" t="s">
        <v>59</v>
      </c>
      <c r="E1681" s="64">
        <v>0.0</v>
      </c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</row>
    <row r="1682" ht="15.75" customHeight="1">
      <c r="A1682" s="61" t="str">
        <f t="shared" si="1"/>
        <v>Rio de JaneiroCuiabáAvião</v>
      </c>
      <c r="B1682" s="62" t="s">
        <v>45</v>
      </c>
      <c r="C1682" s="62" t="s">
        <v>66</v>
      </c>
      <c r="D1682" s="63" t="s">
        <v>29</v>
      </c>
      <c r="E1682" s="64">
        <v>0.0</v>
      </c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</row>
    <row r="1683" ht="15.75" customHeight="1">
      <c r="A1683" s="61" t="str">
        <f t="shared" si="1"/>
        <v>Rio de JaneiroCuritibaAvião</v>
      </c>
      <c r="B1683" s="62" t="s">
        <v>45</v>
      </c>
      <c r="C1683" s="62" t="s">
        <v>66</v>
      </c>
      <c r="D1683" s="63" t="s">
        <v>76</v>
      </c>
      <c r="E1683" s="64">
        <v>0.0</v>
      </c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</row>
    <row r="1684" ht="15.75" customHeight="1">
      <c r="A1684" s="61" t="str">
        <f t="shared" si="1"/>
        <v>Rio de JaneiroFortalezaAvião</v>
      </c>
      <c r="B1684" s="62" t="s">
        <v>45</v>
      </c>
      <c r="C1684" s="62" t="s">
        <v>66</v>
      </c>
      <c r="D1684" s="63" t="s">
        <v>60</v>
      </c>
      <c r="E1684" s="64">
        <v>0.0</v>
      </c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</row>
    <row r="1685" ht="15.75" customHeight="1">
      <c r="A1685" s="61" t="str">
        <f t="shared" si="1"/>
        <v>Rio de JaneiroGoiâniaAvião</v>
      </c>
      <c r="B1685" s="62" t="s">
        <v>45</v>
      </c>
      <c r="C1685" s="62" t="s">
        <v>66</v>
      </c>
      <c r="D1685" s="63" t="s">
        <v>61</v>
      </c>
      <c r="E1685" s="64">
        <v>0.0</v>
      </c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</row>
    <row r="1686" ht="15.75" customHeight="1">
      <c r="A1686" s="61" t="str">
        <f t="shared" si="1"/>
        <v>Rio de JaneiroJoão PessoaAvião</v>
      </c>
      <c r="B1686" s="62" t="s">
        <v>45</v>
      </c>
      <c r="C1686" s="62" t="s">
        <v>66</v>
      </c>
      <c r="D1686" s="63" t="s">
        <v>62</v>
      </c>
      <c r="E1686" s="64">
        <v>0.0</v>
      </c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</row>
    <row r="1687" ht="15.75" customHeight="1">
      <c r="A1687" s="61" t="str">
        <f t="shared" si="1"/>
        <v>Rio de JaneiroJoinvilleAvião</v>
      </c>
      <c r="B1687" s="62" t="s">
        <v>45</v>
      </c>
      <c r="C1687" s="62" t="s">
        <v>66</v>
      </c>
      <c r="D1687" s="63" t="s">
        <v>28</v>
      </c>
      <c r="E1687" s="64">
        <v>0.0</v>
      </c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</row>
    <row r="1688" ht="15.75" customHeight="1">
      <c r="A1688" s="61" t="str">
        <f t="shared" si="1"/>
        <v>Rio de JaneiroMaceióAvião</v>
      </c>
      <c r="B1688" s="62" t="s">
        <v>45</v>
      </c>
      <c r="C1688" s="62" t="s">
        <v>66</v>
      </c>
      <c r="D1688" s="63" t="s">
        <v>63</v>
      </c>
      <c r="E1688" s="64">
        <v>0.0</v>
      </c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</row>
    <row r="1689" ht="15.75" customHeight="1">
      <c r="A1689" s="61" t="str">
        <f t="shared" si="1"/>
        <v>Rio de JaneiroManausAvião</v>
      </c>
      <c r="B1689" s="62" t="s">
        <v>45</v>
      </c>
      <c r="C1689" s="62" t="s">
        <v>66</v>
      </c>
      <c r="D1689" s="63" t="s">
        <v>23</v>
      </c>
      <c r="E1689" s="64">
        <v>0.0</v>
      </c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</row>
    <row r="1690" ht="15.75" customHeight="1">
      <c r="A1690" s="61" t="str">
        <f t="shared" si="1"/>
        <v>Rio de JaneiroNatalAvião</v>
      </c>
      <c r="B1690" s="62" t="s">
        <v>45</v>
      </c>
      <c r="C1690" s="62" t="s">
        <v>66</v>
      </c>
      <c r="D1690" s="63" t="s">
        <v>64</v>
      </c>
      <c r="E1690" s="64">
        <v>0.0</v>
      </c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</row>
    <row r="1691" ht="15.75" customHeight="1">
      <c r="A1691" s="61" t="str">
        <f t="shared" si="1"/>
        <v>Rio de JaneiroPorto AlegreAvião</v>
      </c>
      <c r="B1691" s="62" t="s">
        <v>45</v>
      </c>
      <c r="C1691" s="62" t="s">
        <v>66</v>
      </c>
      <c r="D1691" s="63" t="s">
        <v>31</v>
      </c>
      <c r="E1691" s="64">
        <v>0.0</v>
      </c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</row>
    <row r="1692" ht="15.75" customHeight="1">
      <c r="A1692" s="61" t="str">
        <f t="shared" si="1"/>
        <v>Rio de JaneiroRecifeAvião</v>
      </c>
      <c r="B1692" s="62" t="s">
        <v>45</v>
      </c>
      <c r="C1692" s="62" t="s">
        <v>66</v>
      </c>
      <c r="D1692" s="63" t="s">
        <v>65</v>
      </c>
      <c r="E1692" s="64">
        <v>0.0</v>
      </c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</row>
    <row r="1693" ht="15.75" customHeight="1">
      <c r="A1693" s="61" t="str">
        <f t="shared" si="1"/>
        <v>Rio de JaneiroRibeirão PretoAvião</v>
      </c>
      <c r="B1693" s="62" t="s">
        <v>45</v>
      </c>
      <c r="C1693" s="62" t="s">
        <v>66</v>
      </c>
      <c r="D1693" s="63" t="s">
        <v>78</v>
      </c>
      <c r="E1693" s="64">
        <v>0.0</v>
      </c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</row>
    <row r="1694" ht="15.75" customHeight="1">
      <c r="A1694" s="61" t="str">
        <f t="shared" si="1"/>
        <v>Rio de JaneiroRio de JaneiroAvião</v>
      </c>
      <c r="B1694" s="62" t="s">
        <v>45</v>
      </c>
      <c r="C1694" s="62" t="s">
        <v>66</v>
      </c>
      <c r="D1694" s="63" t="s">
        <v>66</v>
      </c>
      <c r="E1694" s="64">
        <v>0.0</v>
      </c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</row>
    <row r="1695" ht="15.75" customHeight="1">
      <c r="A1695" s="61" t="str">
        <f t="shared" si="1"/>
        <v>Rio de JaneiroSalvadorAvião</v>
      </c>
      <c r="B1695" s="62" t="s">
        <v>45</v>
      </c>
      <c r="C1695" s="62" t="s">
        <v>66</v>
      </c>
      <c r="D1695" s="63" t="s">
        <v>67</v>
      </c>
      <c r="E1695" s="64">
        <v>0.0</v>
      </c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</row>
    <row r="1696" ht="15.75" customHeight="1">
      <c r="A1696" s="61" t="str">
        <f t="shared" si="1"/>
        <v>Rio de JaneiroSantosAvião</v>
      </c>
      <c r="B1696" s="62" t="s">
        <v>45</v>
      </c>
      <c r="C1696" s="62" t="s">
        <v>66</v>
      </c>
      <c r="D1696" s="63" t="s">
        <v>38</v>
      </c>
      <c r="E1696" s="64">
        <v>0.0</v>
      </c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</row>
    <row r="1697" ht="15.75" customHeight="1">
      <c r="A1697" s="61" t="str">
        <f t="shared" si="1"/>
        <v>Rio de JaneiroSão LuísAvião</v>
      </c>
      <c r="B1697" s="62" t="s">
        <v>45</v>
      </c>
      <c r="C1697" s="62" t="s">
        <v>66</v>
      </c>
      <c r="D1697" s="63" t="s">
        <v>36</v>
      </c>
      <c r="E1697" s="64">
        <v>0.0</v>
      </c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</row>
    <row r="1698" ht="15.75" customHeight="1">
      <c r="A1698" s="61" t="str">
        <f t="shared" si="1"/>
        <v>Rio de JaneiroSão PauloAvião</v>
      </c>
      <c r="B1698" s="62" t="s">
        <v>45</v>
      </c>
      <c r="C1698" s="62" t="s">
        <v>66</v>
      </c>
      <c r="D1698" s="63" t="s">
        <v>75</v>
      </c>
      <c r="E1698" s="64">
        <v>0.0</v>
      </c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</row>
    <row r="1699" ht="15.75" customHeight="1">
      <c r="A1699" s="61" t="str">
        <f t="shared" si="1"/>
        <v>Rio de JaneiroUberlândiaAvião</v>
      </c>
      <c r="B1699" s="62" t="s">
        <v>45</v>
      </c>
      <c r="C1699" s="62" t="s">
        <v>66</v>
      </c>
      <c r="D1699" s="63" t="s">
        <v>68</v>
      </c>
      <c r="E1699" s="64">
        <v>0.0</v>
      </c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</row>
    <row r="1700" ht="15.75" customHeight="1">
      <c r="A1700" s="61" t="str">
        <f t="shared" si="1"/>
        <v>Rio de JaneiroVitóriaAvião</v>
      </c>
      <c r="B1700" s="62" t="s">
        <v>45</v>
      </c>
      <c r="C1700" s="62" t="s">
        <v>66</v>
      </c>
      <c r="D1700" s="63" t="s">
        <v>69</v>
      </c>
      <c r="E1700" s="64">
        <v>0.0</v>
      </c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</row>
    <row r="1701" ht="15.75" customHeight="1">
      <c r="A1701" s="61" t="str">
        <f t="shared" si="1"/>
        <v>Rio de JaneiroVitória da ConquistaAvião</v>
      </c>
      <c r="B1701" s="62" t="s">
        <v>45</v>
      </c>
      <c r="C1701" s="62" t="s">
        <v>66</v>
      </c>
      <c r="D1701" s="63" t="s">
        <v>52</v>
      </c>
      <c r="E1701" s="64">
        <v>0.0</v>
      </c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</row>
    <row r="1702" ht="15.75" customHeight="1">
      <c r="A1702" s="61" t="str">
        <f t="shared" si="1"/>
        <v>SalvadorBelémAvião</v>
      </c>
      <c r="B1702" s="62" t="s">
        <v>45</v>
      </c>
      <c r="C1702" s="62" t="s">
        <v>67</v>
      </c>
      <c r="D1702" s="63" t="s">
        <v>51</v>
      </c>
      <c r="E1702" s="64">
        <v>0.0</v>
      </c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</row>
    <row r="1703" ht="15.75" customHeight="1">
      <c r="A1703" s="61" t="str">
        <f t="shared" si="1"/>
        <v>SalvadorBelo HorizonteAvião</v>
      </c>
      <c r="B1703" s="62" t="s">
        <v>45</v>
      </c>
      <c r="C1703" s="62" t="s">
        <v>67</v>
      </c>
      <c r="D1703" s="63" t="s">
        <v>57</v>
      </c>
      <c r="E1703" s="64">
        <v>0.0</v>
      </c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</row>
    <row r="1704" ht="15.75" customHeight="1">
      <c r="A1704" s="61" t="str">
        <f t="shared" si="1"/>
        <v>SalvadorBrasíliaAvião</v>
      </c>
      <c r="B1704" s="62" t="s">
        <v>45</v>
      </c>
      <c r="C1704" s="62" t="s">
        <v>67</v>
      </c>
      <c r="D1704" s="63" t="s">
        <v>58</v>
      </c>
      <c r="E1704" s="64">
        <v>0.0</v>
      </c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</row>
    <row r="1705" ht="15.75" customHeight="1">
      <c r="A1705" s="61" t="str">
        <f t="shared" si="1"/>
        <v>SalvadorCampinasAvião</v>
      </c>
      <c r="B1705" s="62" t="s">
        <v>45</v>
      </c>
      <c r="C1705" s="62" t="s">
        <v>67</v>
      </c>
      <c r="D1705" s="63" t="s">
        <v>77</v>
      </c>
      <c r="E1705" s="64">
        <v>0.0</v>
      </c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</row>
    <row r="1706" ht="15.75" customHeight="1">
      <c r="A1706" s="61" t="str">
        <f t="shared" si="1"/>
        <v>SalvadorCampo GrandeAvião</v>
      </c>
      <c r="B1706" s="62" t="s">
        <v>45</v>
      </c>
      <c r="C1706" s="62" t="s">
        <v>67</v>
      </c>
      <c r="D1706" s="63" t="s">
        <v>59</v>
      </c>
      <c r="E1706" s="64">
        <v>0.0</v>
      </c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</row>
    <row r="1707" ht="15.75" customHeight="1">
      <c r="A1707" s="61" t="str">
        <f t="shared" si="1"/>
        <v>SalvadorCuiabáAvião</v>
      </c>
      <c r="B1707" s="62" t="s">
        <v>45</v>
      </c>
      <c r="C1707" s="62" t="s">
        <v>67</v>
      </c>
      <c r="D1707" s="63" t="s">
        <v>29</v>
      </c>
      <c r="E1707" s="64">
        <v>0.0</v>
      </c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</row>
    <row r="1708" ht="15.75" customHeight="1">
      <c r="A1708" s="61" t="str">
        <f t="shared" si="1"/>
        <v>SalvadorCuritibaAvião</v>
      </c>
      <c r="B1708" s="62" t="s">
        <v>45</v>
      </c>
      <c r="C1708" s="62" t="s">
        <v>67</v>
      </c>
      <c r="D1708" s="63" t="s">
        <v>76</v>
      </c>
      <c r="E1708" s="64">
        <v>0.0</v>
      </c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</row>
    <row r="1709" ht="15.75" customHeight="1">
      <c r="A1709" s="61" t="str">
        <f t="shared" si="1"/>
        <v>SalvadorFortalezaAvião</v>
      </c>
      <c r="B1709" s="62" t="s">
        <v>45</v>
      </c>
      <c r="C1709" s="62" t="s">
        <v>67</v>
      </c>
      <c r="D1709" s="63" t="s">
        <v>60</v>
      </c>
      <c r="E1709" s="64">
        <v>0.0</v>
      </c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</row>
    <row r="1710" ht="15.75" customHeight="1">
      <c r="A1710" s="61" t="str">
        <f t="shared" si="1"/>
        <v>SalvadorGoiâniaAvião</v>
      </c>
      <c r="B1710" s="62" t="s">
        <v>45</v>
      </c>
      <c r="C1710" s="62" t="s">
        <v>67</v>
      </c>
      <c r="D1710" s="63" t="s">
        <v>61</v>
      </c>
      <c r="E1710" s="64">
        <v>0.0</v>
      </c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</row>
    <row r="1711" ht="15.75" customHeight="1">
      <c r="A1711" s="61" t="str">
        <f t="shared" si="1"/>
        <v>SalvadorJoão PessoaAvião</v>
      </c>
      <c r="B1711" s="62" t="s">
        <v>45</v>
      </c>
      <c r="C1711" s="62" t="s">
        <v>67</v>
      </c>
      <c r="D1711" s="63" t="s">
        <v>62</v>
      </c>
      <c r="E1711" s="64">
        <v>0.0</v>
      </c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</row>
    <row r="1712" ht="15.75" customHeight="1">
      <c r="A1712" s="61" t="str">
        <f t="shared" si="1"/>
        <v>SalvadorJoinvilleAvião</v>
      </c>
      <c r="B1712" s="62" t="s">
        <v>45</v>
      </c>
      <c r="C1712" s="62" t="s">
        <v>67</v>
      </c>
      <c r="D1712" s="63" t="s">
        <v>28</v>
      </c>
      <c r="E1712" s="64">
        <v>0.0</v>
      </c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</row>
    <row r="1713" ht="15.75" customHeight="1">
      <c r="A1713" s="61" t="str">
        <f t="shared" si="1"/>
        <v>SalvadorMaceióAvião</v>
      </c>
      <c r="B1713" s="62" t="s">
        <v>45</v>
      </c>
      <c r="C1713" s="62" t="s">
        <v>67</v>
      </c>
      <c r="D1713" s="63" t="s">
        <v>63</v>
      </c>
      <c r="E1713" s="64">
        <v>0.0</v>
      </c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</row>
    <row r="1714" ht="15.75" customHeight="1">
      <c r="A1714" s="61" t="str">
        <f t="shared" si="1"/>
        <v>SalvadorManausAvião</v>
      </c>
      <c r="B1714" s="62" t="s">
        <v>45</v>
      </c>
      <c r="C1714" s="62" t="s">
        <v>67</v>
      </c>
      <c r="D1714" s="63" t="s">
        <v>23</v>
      </c>
      <c r="E1714" s="64">
        <v>0.0</v>
      </c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</row>
    <row r="1715" ht="15.75" customHeight="1">
      <c r="A1715" s="61" t="str">
        <f t="shared" si="1"/>
        <v>SalvadorNatalAvião</v>
      </c>
      <c r="B1715" s="62" t="s">
        <v>45</v>
      </c>
      <c r="C1715" s="62" t="s">
        <v>67</v>
      </c>
      <c r="D1715" s="63" t="s">
        <v>64</v>
      </c>
      <c r="E1715" s="64">
        <v>0.0</v>
      </c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</row>
    <row r="1716" ht="15.75" customHeight="1">
      <c r="A1716" s="61" t="str">
        <f t="shared" si="1"/>
        <v>SalvadorPorto AlegreAvião</v>
      </c>
      <c r="B1716" s="62" t="s">
        <v>45</v>
      </c>
      <c r="C1716" s="62" t="s">
        <v>67</v>
      </c>
      <c r="D1716" s="63" t="s">
        <v>31</v>
      </c>
      <c r="E1716" s="64">
        <v>0.0</v>
      </c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</row>
    <row r="1717" ht="15.75" customHeight="1">
      <c r="A1717" s="61" t="str">
        <f t="shared" si="1"/>
        <v>SalvadorRecifeAvião</v>
      </c>
      <c r="B1717" s="62" t="s">
        <v>45</v>
      </c>
      <c r="C1717" s="62" t="s">
        <v>67</v>
      </c>
      <c r="D1717" s="63" t="s">
        <v>65</v>
      </c>
      <c r="E1717" s="64">
        <v>0.0</v>
      </c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</row>
    <row r="1718" ht="15.75" customHeight="1">
      <c r="A1718" s="61" t="str">
        <f t="shared" si="1"/>
        <v>SalvadorRibeirão PretoAvião</v>
      </c>
      <c r="B1718" s="62" t="s">
        <v>45</v>
      </c>
      <c r="C1718" s="62" t="s">
        <v>67</v>
      </c>
      <c r="D1718" s="63" t="s">
        <v>78</v>
      </c>
      <c r="E1718" s="64">
        <v>0.0</v>
      </c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</row>
    <row r="1719" ht="15.75" customHeight="1">
      <c r="A1719" s="61" t="str">
        <f t="shared" si="1"/>
        <v>SalvadorRio de JaneiroAvião</v>
      </c>
      <c r="B1719" s="62" t="s">
        <v>45</v>
      </c>
      <c r="C1719" s="62" t="s">
        <v>67</v>
      </c>
      <c r="D1719" s="63" t="s">
        <v>66</v>
      </c>
      <c r="E1719" s="64">
        <v>0.0</v>
      </c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</row>
    <row r="1720" ht="15.75" customHeight="1">
      <c r="A1720" s="61" t="str">
        <f t="shared" si="1"/>
        <v>SalvadorSalvadorAvião</v>
      </c>
      <c r="B1720" s="62" t="s">
        <v>45</v>
      </c>
      <c r="C1720" s="62" t="s">
        <v>67</v>
      </c>
      <c r="D1720" s="63" t="s">
        <v>67</v>
      </c>
      <c r="E1720" s="64">
        <v>0.0</v>
      </c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</row>
    <row r="1721" ht="15.75" customHeight="1">
      <c r="A1721" s="61" t="str">
        <f t="shared" si="1"/>
        <v>SalvadorSantosAvião</v>
      </c>
      <c r="B1721" s="62" t="s">
        <v>45</v>
      </c>
      <c r="C1721" s="62" t="s">
        <v>67</v>
      </c>
      <c r="D1721" s="63" t="s">
        <v>38</v>
      </c>
      <c r="E1721" s="64">
        <v>0.0</v>
      </c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</row>
    <row r="1722" ht="15.75" customHeight="1">
      <c r="A1722" s="61" t="str">
        <f t="shared" si="1"/>
        <v>SalvadorSão LuísAvião</v>
      </c>
      <c r="B1722" s="62" t="s">
        <v>45</v>
      </c>
      <c r="C1722" s="62" t="s">
        <v>67</v>
      </c>
      <c r="D1722" s="63" t="s">
        <v>36</v>
      </c>
      <c r="E1722" s="64">
        <v>0.0</v>
      </c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</row>
    <row r="1723" ht="15.75" customHeight="1">
      <c r="A1723" s="61" t="str">
        <f t="shared" si="1"/>
        <v>SalvadorSão PauloAvião</v>
      </c>
      <c r="B1723" s="62" t="s">
        <v>45</v>
      </c>
      <c r="C1723" s="62" t="s">
        <v>67</v>
      </c>
      <c r="D1723" s="63" t="s">
        <v>75</v>
      </c>
      <c r="E1723" s="64">
        <v>0.0</v>
      </c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</row>
    <row r="1724" ht="15.75" customHeight="1">
      <c r="A1724" s="61" t="str">
        <f t="shared" si="1"/>
        <v>SalvadorUberlândiaAvião</v>
      </c>
      <c r="B1724" s="62" t="s">
        <v>45</v>
      </c>
      <c r="C1724" s="62" t="s">
        <v>67</v>
      </c>
      <c r="D1724" s="63" t="s">
        <v>68</v>
      </c>
      <c r="E1724" s="64">
        <v>0.0</v>
      </c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</row>
    <row r="1725" ht="15.75" customHeight="1">
      <c r="A1725" s="61" t="str">
        <f t="shared" si="1"/>
        <v>SalvadorVitóriaAvião</v>
      </c>
      <c r="B1725" s="62" t="s">
        <v>45</v>
      </c>
      <c r="C1725" s="62" t="s">
        <v>67</v>
      </c>
      <c r="D1725" s="63" t="s">
        <v>69</v>
      </c>
      <c r="E1725" s="64">
        <v>0.0</v>
      </c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</row>
    <row r="1726" ht="15.75" customHeight="1">
      <c r="A1726" s="61" t="str">
        <f t="shared" si="1"/>
        <v>SalvadorVitória da ConquistaAvião</v>
      </c>
      <c r="B1726" s="62" t="s">
        <v>45</v>
      </c>
      <c r="C1726" s="62" t="s">
        <v>67</v>
      </c>
      <c r="D1726" s="63" t="s">
        <v>52</v>
      </c>
      <c r="E1726" s="64">
        <v>0.0</v>
      </c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</row>
    <row r="1727" ht="15.75" customHeight="1">
      <c r="A1727" s="61" t="str">
        <f t="shared" si="1"/>
        <v>SantosBelémAvião</v>
      </c>
      <c r="B1727" s="62" t="s">
        <v>45</v>
      </c>
      <c r="C1727" s="62" t="s">
        <v>38</v>
      </c>
      <c r="D1727" s="63" t="s">
        <v>51</v>
      </c>
      <c r="E1727" s="64">
        <v>0.0</v>
      </c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</row>
    <row r="1728" ht="15.75" customHeight="1">
      <c r="A1728" s="61" t="str">
        <f t="shared" si="1"/>
        <v>SantosBelo HorizonteAvião</v>
      </c>
      <c r="B1728" s="62" t="s">
        <v>45</v>
      </c>
      <c r="C1728" s="62" t="s">
        <v>38</v>
      </c>
      <c r="D1728" s="63" t="s">
        <v>57</v>
      </c>
      <c r="E1728" s="64">
        <v>0.0</v>
      </c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</row>
    <row r="1729" ht="15.75" customHeight="1">
      <c r="A1729" s="61" t="str">
        <f t="shared" si="1"/>
        <v>SantosBrasíliaAvião</v>
      </c>
      <c r="B1729" s="62" t="s">
        <v>45</v>
      </c>
      <c r="C1729" s="62" t="s">
        <v>38</v>
      </c>
      <c r="D1729" s="63" t="s">
        <v>58</v>
      </c>
      <c r="E1729" s="64">
        <v>0.0</v>
      </c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</row>
    <row r="1730" ht="15.75" customHeight="1">
      <c r="A1730" s="61" t="str">
        <f t="shared" si="1"/>
        <v>SantosCampinasAvião</v>
      </c>
      <c r="B1730" s="62" t="s">
        <v>45</v>
      </c>
      <c r="C1730" s="62" t="s">
        <v>38</v>
      </c>
      <c r="D1730" s="63" t="s">
        <v>77</v>
      </c>
      <c r="E1730" s="64">
        <v>0.0</v>
      </c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</row>
    <row r="1731" ht="15.75" customHeight="1">
      <c r="A1731" s="61" t="str">
        <f t="shared" si="1"/>
        <v>SantosCampo GrandeAvião</v>
      </c>
      <c r="B1731" s="62" t="s">
        <v>45</v>
      </c>
      <c r="C1731" s="62" t="s">
        <v>38</v>
      </c>
      <c r="D1731" s="63" t="s">
        <v>59</v>
      </c>
      <c r="E1731" s="64">
        <v>0.0</v>
      </c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</row>
    <row r="1732" ht="15.75" customHeight="1">
      <c r="A1732" s="61" t="str">
        <f t="shared" si="1"/>
        <v>SantosCuiabáAvião</v>
      </c>
      <c r="B1732" s="62" t="s">
        <v>45</v>
      </c>
      <c r="C1732" s="62" t="s">
        <v>38</v>
      </c>
      <c r="D1732" s="63" t="s">
        <v>29</v>
      </c>
      <c r="E1732" s="64">
        <v>0.0</v>
      </c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</row>
    <row r="1733" ht="15.75" customHeight="1">
      <c r="A1733" s="61" t="str">
        <f t="shared" si="1"/>
        <v>SantosCuritibaAvião</v>
      </c>
      <c r="B1733" s="62" t="s">
        <v>45</v>
      </c>
      <c r="C1733" s="62" t="s">
        <v>38</v>
      </c>
      <c r="D1733" s="63" t="s">
        <v>76</v>
      </c>
      <c r="E1733" s="64">
        <v>0.0</v>
      </c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</row>
    <row r="1734" ht="15.75" customHeight="1">
      <c r="A1734" s="61" t="str">
        <f t="shared" si="1"/>
        <v>SantosFortalezaAvião</v>
      </c>
      <c r="B1734" s="62" t="s">
        <v>45</v>
      </c>
      <c r="C1734" s="62" t="s">
        <v>38</v>
      </c>
      <c r="D1734" s="63" t="s">
        <v>60</v>
      </c>
      <c r="E1734" s="64">
        <v>0.0</v>
      </c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</row>
    <row r="1735" ht="15.75" customHeight="1">
      <c r="A1735" s="61" t="str">
        <f t="shared" si="1"/>
        <v>SantosGoiâniaAvião</v>
      </c>
      <c r="B1735" s="62" t="s">
        <v>45</v>
      </c>
      <c r="C1735" s="62" t="s">
        <v>38</v>
      </c>
      <c r="D1735" s="63" t="s">
        <v>61</v>
      </c>
      <c r="E1735" s="64">
        <v>0.0</v>
      </c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</row>
    <row r="1736" ht="15.75" customHeight="1">
      <c r="A1736" s="61" t="str">
        <f t="shared" si="1"/>
        <v>SantosJoão PessoaAvião</v>
      </c>
      <c r="B1736" s="62" t="s">
        <v>45</v>
      </c>
      <c r="C1736" s="62" t="s">
        <v>38</v>
      </c>
      <c r="D1736" s="63" t="s">
        <v>62</v>
      </c>
      <c r="E1736" s="64">
        <v>0.0</v>
      </c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</row>
    <row r="1737" ht="15.75" customHeight="1">
      <c r="A1737" s="61" t="str">
        <f t="shared" si="1"/>
        <v>SantosJoinvilleAvião</v>
      </c>
      <c r="B1737" s="62" t="s">
        <v>45</v>
      </c>
      <c r="C1737" s="62" t="s">
        <v>38</v>
      </c>
      <c r="D1737" s="63" t="s">
        <v>28</v>
      </c>
      <c r="E1737" s="64">
        <v>0.0</v>
      </c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</row>
    <row r="1738" ht="15.75" customHeight="1">
      <c r="A1738" s="61" t="str">
        <f t="shared" si="1"/>
        <v>SantosMaceióAvião</v>
      </c>
      <c r="B1738" s="62" t="s">
        <v>45</v>
      </c>
      <c r="C1738" s="62" t="s">
        <v>38</v>
      </c>
      <c r="D1738" s="63" t="s">
        <v>63</v>
      </c>
      <c r="E1738" s="64">
        <v>0.0</v>
      </c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</row>
    <row r="1739" ht="15.75" customHeight="1">
      <c r="A1739" s="61" t="str">
        <f t="shared" si="1"/>
        <v>SantosManausAvião</v>
      </c>
      <c r="B1739" s="62" t="s">
        <v>45</v>
      </c>
      <c r="C1739" s="62" t="s">
        <v>38</v>
      </c>
      <c r="D1739" s="63" t="s">
        <v>23</v>
      </c>
      <c r="E1739" s="64">
        <v>0.0</v>
      </c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</row>
    <row r="1740" ht="15.75" customHeight="1">
      <c r="A1740" s="61" t="str">
        <f t="shared" si="1"/>
        <v>SantosNatalAvião</v>
      </c>
      <c r="B1740" s="62" t="s">
        <v>45</v>
      </c>
      <c r="C1740" s="62" t="s">
        <v>38</v>
      </c>
      <c r="D1740" s="63" t="s">
        <v>64</v>
      </c>
      <c r="E1740" s="64">
        <v>0.0</v>
      </c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</row>
    <row r="1741" ht="15.75" customHeight="1">
      <c r="A1741" s="61" t="str">
        <f t="shared" si="1"/>
        <v>SantosPorto AlegreAvião</v>
      </c>
      <c r="B1741" s="62" t="s">
        <v>45</v>
      </c>
      <c r="C1741" s="62" t="s">
        <v>38</v>
      </c>
      <c r="D1741" s="63" t="s">
        <v>31</v>
      </c>
      <c r="E1741" s="64">
        <v>0.0</v>
      </c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</row>
    <row r="1742" ht="15.75" customHeight="1">
      <c r="A1742" s="61" t="str">
        <f t="shared" si="1"/>
        <v>SantosRecifeAvião</v>
      </c>
      <c r="B1742" s="62" t="s">
        <v>45</v>
      </c>
      <c r="C1742" s="62" t="s">
        <v>38</v>
      </c>
      <c r="D1742" s="63" t="s">
        <v>65</v>
      </c>
      <c r="E1742" s="64">
        <v>0.0</v>
      </c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</row>
    <row r="1743" ht="15.75" customHeight="1">
      <c r="A1743" s="61" t="str">
        <f t="shared" si="1"/>
        <v>SantosRibeirão PretoAvião</v>
      </c>
      <c r="B1743" s="62" t="s">
        <v>45</v>
      </c>
      <c r="C1743" s="62" t="s">
        <v>38</v>
      </c>
      <c r="D1743" s="63" t="s">
        <v>78</v>
      </c>
      <c r="E1743" s="64">
        <v>0.0</v>
      </c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</row>
    <row r="1744" ht="15.75" customHeight="1">
      <c r="A1744" s="61" t="str">
        <f t="shared" si="1"/>
        <v>SantosRio de JaneiroAvião</v>
      </c>
      <c r="B1744" s="62" t="s">
        <v>45</v>
      </c>
      <c r="C1744" s="62" t="s">
        <v>38</v>
      </c>
      <c r="D1744" s="63" t="s">
        <v>66</v>
      </c>
      <c r="E1744" s="64">
        <v>0.0</v>
      </c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</row>
    <row r="1745" ht="15.75" customHeight="1">
      <c r="A1745" s="61" t="str">
        <f t="shared" si="1"/>
        <v>SantosSalvadorAvião</v>
      </c>
      <c r="B1745" s="62" t="s">
        <v>45</v>
      </c>
      <c r="C1745" s="62" t="s">
        <v>38</v>
      </c>
      <c r="D1745" s="63" t="s">
        <v>67</v>
      </c>
      <c r="E1745" s="64">
        <v>0.0</v>
      </c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</row>
    <row r="1746" ht="15.75" customHeight="1">
      <c r="A1746" s="61" t="str">
        <f t="shared" si="1"/>
        <v>SantosSantosAvião</v>
      </c>
      <c r="B1746" s="62" t="s">
        <v>45</v>
      </c>
      <c r="C1746" s="62" t="s">
        <v>38</v>
      </c>
      <c r="D1746" s="63" t="s">
        <v>38</v>
      </c>
      <c r="E1746" s="64">
        <v>0.0</v>
      </c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</row>
    <row r="1747" ht="15.75" customHeight="1">
      <c r="A1747" s="61" t="str">
        <f t="shared" si="1"/>
        <v>SantosSão LuísAvião</v>
      </c>
      <c r="B1747" s="62" t="s">
        <v>45</v>
      </c>
      <c r="C1747" s="62" t="s">
        <v>38</v>
      </c>
      <c r="D1747" s="63" t="s">
        <v>36</v>
      </c>
      <c r="E1747" s="64">
        <v>0.0</v>
      </c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</row>
    <row r="1748" ht="15.75" customHeight="1">
      <c r="A1748" s="61" t="str">
        <f t="shared" si="1"/>
        <v>SantosSão PauloAvião</v>
      </c>
      <c r="B1748" s="62" t="s">
        <v>45</v>
      </c>
      <c r="C1748" s="62" t="s">
        <v>38</v>
      </c>
      <c r="D1748" s="63" t="s">
        <v>75</v>
      </c>
      <c r="E1748" s="64">
        <v>0.0</v>
      </c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</row>
    <row r="1749" ht="15.75" customHeight="1">
      <c r="A1749" s="61" t="str">
        <f t="shared" si="1"/>
        <v>SantosUberlândiaAvião</v>
      </c>
      <c r="B1749" s="62" t="s">
        <v>45</v>
      </c>
      <c r="C1749" s="62" t="s">
        <v>38</v>
      </c>
      <c r="D1749" s="63" t="s">
        <v>68</v>
      </c>
      <c r="E1749" s="64">
        <v>0.0</v>
      </c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</row>
    <row r="1750" ht="15.75" customHeight="1">
      <c r="A1750" s="61" t="str">
        <f t="shared" si="1"/>
        <v>SantosVitóriaAvião</v>
      </c>
      <c r="B1750" s="62" t="s">
        <v>45</v>
      </c>
      <c r="C1750" s="62" t="s">
        <v>38</v>
      </c>
      <c r="D1750" s="63" t="s">
        <v>69</v>
      </c>
      <c r="E1750" s="64">
        <v>0.0</v>
      </c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</row>
    <row r="1751" ht="15.75" customHeight="1">
      <c r="A1751" s="61" t="str">
        <f t="shared" si="1"/>
        <v>SantosVitória da ConquistaAvião</v>
      </c>
      <c r="B1751" s="62" t="s">
        <v>45</v>
      </c>
      <c r="C1751" s="62" t="s">
        <v>38</v>
      </c>
      <c r="D1751" s="63" t="s">
        <v>52</v>
      </c>
      <c r="E1751" s="64">
        <v>0.0</v>
      </c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</row>
    <row r="1752" ht="15.75" customHeight="1">
      <c r="A1752" s="61" t="str">
        <f t="shared" si="1"/>
        <v>São LuísBelémAvião</v>
      </c>
      <c r="B1752" s="62" t="s">
        <v>45</v>
      </c>
      <c r="C1752" s="63" t="s">
        <v>36</v>
      </c>
      <c r="D1752" s="63" t="s">
        <v>51</v>
      </c>
      <c r="E1752" s="64">
        <v>0.0</v>
      </c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</row>
    <row r="1753" ht="15.75" customHeight="1">
      <c r="A1753" s="61" t="str">
        <f t="shared" si="1"/>
        <v>São LuísBelo HorizonteAvião</v>
      </c>
      <c r="B1753" s="62" t="s">
        <v>45</v>
      </c>
      <c r="C1753" s="63" t="s">
        <v>36</v>
      </c>
      <c r="D1753" s="63" t="s">
        <v>57</v>
      </c>
      <c r="E1753" s="64">
        <v>0.0</v>
      </c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</row>
    <row r="1754" ht="15.75" customHeight="1">
      <c r="A1754" s="61" t="str">
        <f t="shared" si="1"/>
        <v>São LuísBrasíliaAvião</v>
      </c>
      <c r="B1754" s="62" t="s">
        <v>45</v>
      </c>
      <c r="C1754" s="63" t="s">
        <v>36</v>
      </c>
      <c r="D1754" s="63" t="s">
        <v>58</v>
      </c>
      <c r="E1754" s="64">
        <v>0.0</v>
      </c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</row>
    <row r="1755" ht="15.75" customHeight="1">
      <c r="A1755" s="61" t="str">
        <f t="shared" si="1"/>
        <v>São LuísCampinasAvião</v>
      </c>
      <c r="B1755" s="62" t="s">
        <v>45</v>
      </c>
      <c r="C1755" s="63" t="s">
        <v>36</v>
      </c>
      <c r="D1755" s="63" t="s">
        <v>77</v>
      </c>
      <c r="E1755" s="64">
        <v>0.0</v>
      </c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</row>
    <row r="1756" ht="15.75" customHeight="1">
      <c r="A1756" s="61" t="str">
        <f t="shared" si="1"/>
        <v>São LuísCampo GrandeAvião</v>
      </c>
      <c r="B1756" s="62" t="s">
        <v>45</v>
      </c>
      <c r="C1756" s="63" t="s">
        <v>36</v>
      </c>
      <c r="D1756" s="63" t="s">
        <v>59</v>
      </c>
      <c r="E1756" s="64">
        <v>0.0</v>
      </c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</row>
    <row r="1757" ht="15.75" customHeight="1">
      <c r="A1757" s="61" t="str">
        <f t="shared" si="1"/>
        <v>São LuísCuiabáAvião</v>
      </c>
      <c r="B1757" s="62" t="s">
        <v>45</v>
      </c>
      <c r="C1757" s="63" t="s">
        <v>36</v>
      </c>
      <c r="D1757" s="63" t="s">
        <v>29</v>
      </c>
      <c r="E1757" s="64">
        <v>0.0</v>
      </c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</row>
    <row r="1758" ht="15.75" customHeight="1">
      <c r="A1758" s="61" t="str">
        <f t="shared" si="1"/>
        <v>São LuísCuritibaAvião</v>
      </c>
      <c r="B1758" s="62" t="s">
        <v>45</v>
      </c>
      <c r="C1758" s="63" t="s">
        <v>36</v>
      </c>
      <c r="D1758" s="63" t="s">
        <v>76</v>
      </c>
      <c r="E1758" s="64">
        <v>0.0</v>
      </c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</row>
    <row r="1759" ht="15.75" customHeight="1">
      <c r="A1759" s="61" t="str">
        <f t="shared" si="1"/>
        <v>São LuísFortalezaAvião</v>
      </c>
      <c r="B1759" s="62" t="s">
        <v>45</v>
      </c>
      <c r="C1759" s="63" t="s">
        <v>36</v>
      </c>
      <c r="D1759" s="63" t="s">
        <v>60</v>
      </c>
      <c r="E1759" s="64">
        <v>0.0</v>
      </c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</row>
    <row r="1760" ht="15.75" customHeight="1">
      <c r="A1760" s="61" t="str">
        <f t="shared" si="1"/>
        <v>São LuísGoiâniaAvião</v>
      </c>
      <c r="B1760" s="62" t="s">
        <v>45</v>
      </c>
      <c r="C1760" s="63" t="s">
        <v>36</v>
      </c>
      <c r="D1760" s="63" t="s">
        <v>61</v>
      </c>
      <c r="E1760" s="64">
        <v>0.0</v>
      </c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</row>
    <row r="1761" ht="15.75" customHeight="1">
      <c r="A1761" s="61" t="str">
        <f t="shared" si="1"/>
        <v>São LuísJoão PessoaAvião</v>
      </c>
      <c r="B1761" s="62" t="s">
        <v>45</v>
      </c>
      <c r="C1761" s="63" t="s">
        <v>36</v>
      </c>
      <c r="D1761" s="63" t="s">
        <v>62</v>
      </c>
      <c r="E1761" s="64">
        <v>0.0</v>
      </c>
      <c r="F1761" s="31"/>
      <c r="G1761" s="31"/>
      <c r="H1761" s="31"/>
      <c r="I1761" s="31"/>
      <c r="J1761" s="31"/>
      <c r="K1761" s="31"/>
      <c r="L1761" s="31"/>
      <c r="M1761" s="31"/>
      <c r="N1761" s="31"/>
      <c r="O1761" s="31"/>
      <c r="P1761" s="3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</row>
    <row r="1762" ht="15.75" customHeight="1">
      <c r="A1762" s="61" t="str">
        <f t="shared" si="1"/>
        <v>São LuísJoinvilleAvião</v>
      </c>
      <c r="B1762" s="62" t="s">
        <v>45</v>
      </c>
      <c r="C1762" s="63" t="s">
        <v>36</v>
      </c>
      <c r="D1762" s="63" t="s">
        <v>28</v>
      </c>
      <c r="E1762" s="64">
        <v>0.0</v>
      </c>
      <c r="F1762" s="31"/>
      <c r="G1762" s="31"/>
      <c r="H1762" s="31"/>
      <c r="I1762" s="31"/>
      <c r="J1762" s="31"/>
      <c r="K1762" s="31"/>
      <c r="L1762" s="31"/>
      <c r="M1762" s="31"/>
      <c r="N1762" s="31"/>
      <c r="O1762" s="31"/>
      <c r="P1762" s="3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</row>
    <row r="1763" ht="15.75" customHeight="1">
      <c r="A1763" s="61" t="str">
        <f t="shared" si="1"/>
        <v>São LuísMaceióAvião</v>
      </c>
      <c r="B1763" s="62" t="s">
        <v>45</v>
      </c>
      <c r="C1763" s="63" t="s">
        <v>36</v>
      </c>
      <c r="D1763" s="63" t="s">
        <v>63</v>
      </c>
      <c r="E1763" s="64">
        <v>0.0</v>
      </c>
      <c r="F1763" s="31"/>
      <c r="G1763" s="31"/>
      <c r="H1763" s="31"/>
      <c r="I1763" s="31"/>
      <c r="J1763" s="31"/>
      <c r="K1763" s="31"/>
      <c r="L1763" s="31"/>
      <c r="M1763" s="31"/>
      <c r="N1763" s="31"/>
      <c r="O1763" s="31"/>
      <c r="P1763" s="3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</row>
    <row r="1764" ht="15.75" customHeight="1">
      <c r="A1764" s="61" t="str">
        <f t="shared" si="1"/>
        <v>São LuísManausAvião</v>
      </c>
      <c r="B1764" s="62" t="s">
        <v>45</v>
      </c>
      <c r="C1764" s="63" t="s">
        <v>36</v>
      </c>
      <c r="D1764" s="63" t="s">
        <v>23</v>
      </c>
      <c r="E1764" s="64">
        <v>0.0</v>
      </c>
      <c r="F1764" s="31"/>
      <c r="G1764" s="31"/>
      <c r="H1764" s="31"/>
      <c r="I1764" s="31"/>
      <c r="J1764" s="31"/>
      <c r="K1764" s="31"/>
      <c r="L1764" s="31"/>
      <c r="M1764" s="31"/>
      <c r="N1764" s="31"/>
      <c r="O1764" s="31"/>
      <c r="P1764" s="3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</row>
    <row r="1765" ht="15.75" customHeight="1">
      <c r="A1765" s="61" t="str">
        <f t="shared" si="1"/>
        <v>São LuísNatalAvião</v>
      </c>
      <c r="B1765" s="62" t="s">
        <v>45</v>
      </c>
      <c r="C1765" s="63" t="s">
        <v>36</v>
      </c>
      <c r="D1765" s="63" t="s">
        <v>64</v>
      </c>
      <c r="E1765" s="64">
        <v>0.0</v>
      </c>
      <c r="F1765" s="31"/>
      <c r="G1765" s="31"/>
      <c r="H1765" s="31"/>
      <c r="I1765" s="31"/>
      <c r="J1765" s="31"/>
      <c r="K1765" s="31"/>
      <c r="L1765" s="31"/>
      <c r="M1765" s="31"/>
      <c r="N1765" s="31"/>
      <c r="O1765" s="31"/>
      <c r="P1765" s="3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</row>
    <row r="1766" ht="15.75" customHeight="1">
      <c r="A1766" s="61" t="str">
        <f t="shared" si="1"/>
        <v>São LuísPorto AlegreAvião</v>
      </c>
      <c r="B1766" s="62" t="s">
        <v>45</v>
      </c>
      <c r="C1766" s="63" t="s">
        <v>36</v>
      </c>
      <c r="D1766" s="63" t="s">
        <v>31</v>
      </c>
      <c r="E1766" s="64">
        <v>0.0</v>
      </c>
      <c r="F1766" s="31"/>
      <c r="G1766" s="31"/>
      <c r="H1766" s="31"/>
      <c r="I1766" s="31"/>
      <c r="J1766" s="31"/>
      <c r="K1766" s="31"/>
      <c r="L1766" s="31"/>
      <c r="M1766" s="31"/>
      <c r="N1766" s="31"/>
      <c r="O1766" s="31"/>
      <c r="P1766" s="3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</row>
    <row r="1767" ht="15.75" customHeight="1">
      <c r="A1767" s="61" t="str">
        <f t="shared" si="1"/>
        <v>São LuísRecifeAvião</v>
      </c>
      <c r="B1767" s="62" t="s">
        <v>45</v>
      </c>
      <c r="C1767" s="63" t="s">
        <v>36</v>
      </c>
      <c r="D1767" s="63" t="s">
        <v>65</v>
      </c>
      <c r="E1767" s="64">
        <v>0.0</v>
      </c>
      <c r="F1767" s="31"/>
      <c r="G1767" s="31"/>
      <c r="H1767" s="31"/>
      <c r="I1767" s="31"/>
      <c r="J1767" s="31"/>
      <c r="K1767" s="31"/>
      <c r="L1767" s="31"/>
      <c r="M1767" s="31"/>
      <c r="N1767" s="31"/>
      <c r="O1767" s="31"/>
      <c r="P1767" s="3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</row>
    <row r="1768" ht="15.75" customHeight="1">
      <c r="A1768" s="61" t="str">
        <f t="shared" si="1"/>
        <v>São LuísRibeirão PretoAvião</v>
      </c>
      <c r="B1768" s="62" t="s">
        <v>45</v>
      </c>
      <c r="C1768" s="63" t="s">
        <v>36</v>
      </c>
      <c r="D1768" s="63" t="s">
        <v>78</v>
      </c>
      <c r="E1768" s="64">
        <v>0.0</v>
      </c>
      <c r="F1768" s="31"/>
      <c r="G1768" s="31"/>
      <c r="H1768" s="31"/>
      <c r="I1768" s="31"/>
      <c r="J1768" s="31"/>
      <c r="K1768" s="31"/>
      <c r="L1768" s="31"/>
      <c r="M1768" s="31"/>
      <c r="N1768" s="31"/>
      <c r="O1768" s="31"/>
      <c r="P1768" s="3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</row>
    <row r="1769" ht="15.75" customHeight="1">
      <c r="A1769" s="61" t="str">
        <f t="shared" si="1"/>
        <v>São LuísRio de JaneiroAvião</v>
      </c>
      <c r="B1769" s="62" t="s">
        <v>45</v>
      </c>
      <c r="C1769" s="63" t="s">
        <v>36</v>
      </c>
      <c r="D1769" s="63" t="s">
        <v>66</v>
      </c>
      <c r="E1769" s="64">
        <v>0.0</v>
      </c>
      <c r="F1769" s="31"/>
      <c r="G1769" s="31"/>
      <c r="H1769" s="31"/>
      <c r="I1769" s="31"/>
      <c r="J1769" s="31"/>
      <c r="K1769" s="31"/>
      <c r="L1769" s="31"/>
      <c r="M1769" s="31"/>
      <c r="N1769" s="31"/>
      <c r="O1769" s="31"/>
      <c r="P1769" s="3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</row>
    <row r="1770" ht="15.75" customHeight="1">
      <c r="A1770" s="61" t="str">
        <f t="shared" si="1"/>
        <v>São LuísSalvadorAvião</v>
      </c>
      <c r="B1770" s="62" t="s">
        <v>45</v>
      </c>
      <c r="C1770" s="63" t="s">
        <v>36</v>
      </c>
      <c r="D1770" s="63" t="s">
        <v>67</v>
      </c>
      <c r="E1770" s="64">
        <v>0.0</v>
      </c>
      <c r="F1770" s="31"/>
      <c r="G1770" s="31"/>
      <c r="H1770" s="31"/>
      <c r="I1770" s="31"/>
      <c r="J1770" s="31"/>
      <c r="K1770" s="31"/>
      <c r="L1770" s="31"/>
      <c r="M1770" s="31"/>
      <c r="N1770" s="31"/>
      <c r="O1770" s="31"/>
      <c r="P1770" s="3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</row>
    <row r="1771" ht="15.75" customHeight="1">
      <c r="A1771" s="61" t="str">
        <f t="shared" si="1"/>
        <v>São LuísSantosAvião</v>
      </c>
      <c r="B1771" s="62" t="s">
        <v>45</v>
      </c>
      <c r="C1771" s="63" t="s">
        <v>36</v>
      </c>
      <c r="D1771" s="63" t="s">
        <v>38</v>
      </c>
      <c r="E1771" s="64">
        <v>0.0</v>
      </c>
      <c r="F1771" s="31"/>
      <c r="G1771" s="31"/>
      <c r="H1771" s="31"/>
      <c r="I1771" s="31"/>
      <c r="J1771" s="31"/>
      <c r="K1771" s="31"/>
      <c r="L1771" s="31"/>
      <c r="M1771" s="31"/>
      <c r="N1771" s="31"/>
      <c r="O1771" s="31"/>
      <c r="P1771" s="3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</row>
    <row r="1772" ht="15.75" customHeight="1">
      <c r="A1772" s="61" t="str">
        <f t="shared" si="1"/>
        <v>São LuísSão LuísAvião</v>
      </c>
      <c r="B1772" s="62" t="s">
        <v>45</v>
      </c>
      <c r="C1772" s="63" t="s">
        <v>36</v>
      </c>
      <c r="D1772" s="63" t="s">
        <v>36</v>
      </c>
      <c r="E1772" s="64">
        <v>0.0</v>
      </c>
      <c r="F1772" s="31"/>
      <c r="G1772" s="31"/>
      <c r="H1772" s="31"/>
      <c r="I1772" s="31"/>
      <c r="J1772" s="31"/>
      <c r="K1772" s="31"/>
      <c r="L1772" s="31"/>
      <c r="M1772" s="31"/>
      <c r="N1772" s="31"/>
      <c r="O1772" s="31"/>
      <c r="P1772" s="3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</row>
    <row r="1773" ht="15.75" customHeight="1">
      <c r="A1773" s="61" t="str">
        <f t="shared" si="1"/>
        <v>São LuísSão PauloAvião</v>
      </c>
      <c r="B1773" s="62" t="s">
        <v>45</v>
      </c>
      <c r="C1773" s="63" t="s">
        <v>36</v>
      </c>
      <c r="D1773" s="63" t="s">
        <v>75</v>
      </c>
      <c r="E1773" s="64">
        <v>0.0</v>
      </c>
      <c r="F1773" s="31"/>
      <c r="G1773" s="31"/>
      <c r="H1773" s="31"/>
      <c r="I1773" s="31"/>
      <c r="J1773" s="31"/>
      <c r="K1773" s="31"/>
      <c r="L1773" s="31"/>
      <c r="M1773" s="31"/>
      <c r="N1773" s="31"/>
      <c r="O1773" s="31"/>
      <c r="P1773" s="3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</row>
    <row r="1774" ht="15.75" customHeight="1">
      <c r="A1774" s="61" t="str">
        <f t="shared" si="1"/>
        <v>São LuísUberlândiaAvião</v>
      </c>
      <c r="B1774" s="62" t="s">
        <v>45</v>
      </c>
      <c r="C1774" s="63" t="s">
        <v>36</v>
      </c>
      <c r="D1774" s="63" t="s">
        <v>68</v>
      </c>
      <c r="E1774" s="64">
        <v>0.0</v>
      </c>
      <c r="F1774" s="31"/>
      <c r="G1774" s="31"/>
      <c r="H1774" s="31"/>
      <c r="I1774" s="31"/>
      <c r="J1774" s="31"/>
      <c r="K1774" s="31"/>
      <c r="L1774" s="31"/>
      <c r="M1774" s="31"/>
      <c r="N1774" s="31"/>
      <c r="O1774" s="31"/>
      <c r="P1774" s="3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</row>
    <row r="1775" ht="15.75" customHeight="1">
      <c r="A1775" s="61" t="str">
        <f t="shared" si="1"/>
        <v>São LuísVitóriaAvião</v>
      </c>
      <c r="B1775" s="62" t="s">
        <v>45</v>
      </c>
      <c r="C1775" s="63" t="s">
        <v>36</v>
      </c>
      <c r="D1775" s="63" t="s">
        <v>69</v>
      </c>
      <c r="E1775" s="64">
        <v>0.0</v>
      </c>
      <c r="F1775" s="31"/>
      <c r="G1775" s="31"/>
      <c r="H1775" s="31"/>
      <c r="I1775" s="31"/>
      <c r="J1775" s="31"/>
      <c r="K1775" s="31"/>
      <c r="L1775" s="31"/>
      <c r="M1775" s="31"/>
      <c r="N1775" s="31"/>
      <c r="O1775" s="31"/>
      <c r="P1775" s="3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</row>
    <row r="1776" ht="15.75" customHeight="1">
      <c r="A1776" s="61" t="str">
        <f t="shared" si="1"/>
        <v>São LuísVitória da ConquistaAvião</v>
      </c>
      <c r="B1776" s="62" t="s">
        <v>45</v>
      </c>
      <c r="C1776" s="63" t="s">
        <v>36</v>
      </c>
      <c r="D1776" s="63" t="s">
        <v>52</v>
      </c>
      <c r="E1776" s="64">
        <v>0.0</v>
      </c>
      <c r="F1776" s="31"/>
      <c r="G1776" s="31"/>
      <c r="H1776" s="31"/>
      <c r="I1776" s="31"/>
      <c r="J1776" s="31"/>
      <c r="K1776" s="31"/>
      <c r="L1776" s="31"/>
      <c r="M1776" s="31"/>
      <c r="N1776" s="31"/>
      <c r="O1776" s="31"/>
      <c r="P1776" s="3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</row>
    <row r="1777" ht="15.75" customHeight="1">
      <c r="A1777" s="61" t="str">
        <f t="shared" si="1"/>
        <v>São PauloBelémAvião</v>
      </c>
      <c r="B1777" s="62" t="s">
        <v>45</v>
      </c>
      <c r="C1777" s="62" t="s">
        <v>75</v>
      </c>
      <c r="D1777" s="63" t="s">
        <v>51</v>
      </c>
      <c r="E1777" s="64">
        <v>0.0</v>
      </c>
      <c r="F1777" s="31"/>
      <c r="G1777" s="31"/>
      <c r="H1777" s="31"/>
      <c r="I1777" s="31"/>
      <c r="J1777" s="31"/>
      <c r="K1777" s="31"/>
      <c r="L1777" s="31"/>
      <c r="M1777" s="31"/>
      <c r="N1777" s="31"/>
      <c r="O1777" s="31"/>
      <c r="P1777" s="3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</row>
    <row r="1778" ht="15.75" customHeight="1">
      <c r="A1778" s="61" t="str">
        <f t="shared" si="1"/>
        <v>São PauloBelo HorizonteAvião</v>
      </c>
      <c r="B1778" s="62" t="s">
        <v>45</v>
      </c>
      <c r="C1778" s="62" t="s">
        <v>75</v>
      </c>
      <c r="D1778" s="63" t="s">
        <v>57</v>
      </c>
      <c r="E1778" s="64">
        <v>0.0</v>
      </c>
      <c r="F1778" s="31"/>
      <c r="G1778" s="31"/>
      <c r="H1778" s="31"/>
      <c r="I1778" s="31"/>
      <c r="J1778" s="31"/>
      <c r="K1778" s="31"/>
      <c r="L1778" s="31"/>
      <c r="M1778" s="31"/>
      <c r="N1778" s="31"/>
      <c r="O1778" s="31"/>
      <c r="P1778" s="3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</row>
    <row r="1779" ht="15.75" customHeight="1">
      <c r="A1779" s="61" t="str">
        <f t="shared" si="1"/>
        <v>São PauloBrasíliaAvião</v>
      </c>
      <c r="B1779" s="62" t="s">
        <v>45</v>
      </c>
      <c r="C1779" s="62" t="s">
        <v>75</v>
      </c>
      <c r="D1779" s="63" t="s">
        <v>58</v>
      </c>
      <c r="E1779" s="64">
        <v>0.0</v>
      </c>
      <c r="F1779" s="31"/>
      <c r="G1779" s="31"/>
      <c r="H1779" s="31"/>
      <c r="I1779" s="31"/>
      <c r="J1779" s="31"/>
      <c r="K1779" s="31"/>
      <c r="L1779" s="31"/>
      <c r="M1779" s="31"/>
      <c r="N1779" s="31"/>
      <c r="O1779" s="31"/>
      <c r="P1779" s="3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</row>
    <row r="1780" ht="15.75" customHeight="1">
      <c r="A1780" s="61" t="str">
        <f t="shared" si="1"/>
        <v>São PauloCampinasAvião</v>
      </c>
      <c r="B1780" s="62" t="s">
        <v>45</v>
      </c>
      <c r="C1780" s="62" t="s">
        <v>75</v>
      </c>
      <c r="D1780" s="63" t="s">
        <v>77</v>
      </c>
      <c r="E1780" s="64">
        <v>0.0</v>
      </c>
      <c r="F1780" s="31"/>
      <c r="G1780" s="31"/>
      <c r="H1780" s="31"/>
      <c r="I1780" s="31"/>
      <c r="J1780" s="31"/>
      <c r="K1780" s="31"/>
      <c r="L1780" s="31"/>
      <c r="M1780" s="31"/>
      <c r="N1780" s="31"/>
      <c r="O1780" s="31"/>
      <c r="P1780" s="3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</row>
    <row r="1781" ht="15.75" customHeight="1">
      <c r="A1781" s="61" t="str">
        <f t="shared" si="1"/>
        <v>São PauloCampo GrandeAvião</v>
      </c>
      <c r="B1781" s="62" t="s">
        <v>45</v>
      </c>
      <c r="C1781" s="62" t="s">
        <v>75</v>
      </c>
      <c r="D1781" s="63" t="s">
        <v>59</v>
      </c>
      <c r="E1781" s="64">
        <v>0.0</v>
      </c>
      <c r="F1781" s="31"/>
      <c r="G1781" s="31"/>
      <c r="H1781" s="31"/>
      <c r="I1781" s="31"/>
      <c r="J1781" s="31"/>
      <c r="K1781" s="31"/>
      <c r="L1781" s="31"/>
      <c r="M1781" s="31"/>
      <c r="N1781" s="31"/>
      <c r="O1781" s="31"/>
      <c r="P1781" s="3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</row>
    <row r="1782" ht="15.75" customHeight="1">
      <c r="A1782" s="61" t="str">
        <f t="shared" si="1"/>
        <v>São PauloCuiabáAvião</v>
      </c>
      <c r="B1782" s="62" t="s">
        <v>45</v>
      </c>
      <c r="C1782" s="62" t="s">
        <v>75</v>
      </c>
      <c r="D1782" s="63" t="s">
        <v>29</v>
      </c>
      <c r="E1782" s="64">
        <v>0.0</v>
      </c>
      <c r="F1782" s="31"/>
      <c r="G1782" s="31"/>
      <c r="H1782" s="31"/>
      <c r="I1782" s="31"/>
      <c r="J1782" s="31"/>
      <c r="K1782" s="31"/>
      <c r="L1782" s="31"/>
      <c r="M1782" s="31"/>
      <c r="N1782" s="31"/>
      <c r="O1782" s="31"/>
      <c r="P1782" s="3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</row>
    <row r="1783" ht="15.75" customHeight="1">
      <c r="A1783" s="61" t="str">
        <f t="shared" si="1"/>
        <v>São PauloCuritibaAvião</v>
      </c>
      <c r="B1783" s="62" t="s">
        <v>45</v>
      </c>
      <c r="C1783" s="62" t="s">
        <v>75</v>
      </c>
      <c r="D1783" s="63" t="s">
        <v>76</v>
      </c>
      <c r="E1783" s="64">
        <v>0.0</v>
      </c>
      <c r="F1783" s="31"/>
      <c r="G1783" s="31"/>
      <c r="H1783" s="31"/>
      <c r="I1783" s="31"/>
      <c r="J1783" s="31"/>
      <c r="K1783" s="31"/>
      <c r="L1783" s="31"/>
      <c r="M1783" s="31"/>
      <c r="N1783" s="31"/>
      <c r="O1783" s="31"/>
      <c r="P1783" s="3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</row>
    <row r="1784" ht="15.75" customHeight="1">
      <c r="A1784" s="61" t="str">
        <f t="shared" si="1"/>
        <v>São PauloFortalezaAvião</v>
      </c>
      <c r="B1784" s="62" t="s">
        <v>45</v>
      </c>
      <c r="C1784" s="62" t="s">
        <v>75</v>
      </c>
      <c r="D1784" s="63" t="s">
        <v>60</v>
      </c>
      <c r="E1784" s="64">
        <v>0.0</v>
      </c>
      <c r="F1784" s="31"/>
      <c r="G1784" s="31"/>
      <c r="H1784" s="31"/>
      <c r="I1784" s="31"/>
      <c r="J1784" s="31"/>
      <c r="K1784" s="31"/>
      <c r="L1784" s="31"/>
      <c r="M1784" s="31"/>
      <c r="N1784" s="31"/>
      <c r="O1784" s="31"/>
      <c r="P1784" s="3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</row>
    <row r="1785" ht="15.75" customHeight="1">
      <c r="A1785" s="61" t="str">
        <f t="shared" si="1"/>
        <v>São PauloGoiâniaAvião</v>
      </c>
      <c r="B1785" s="62" t="s">
        <v>45</v>
      </c>
      <c r="C1785" s="62" t="s">
        <v>75</v>
      </c>
      <c r="D1785" s="63" t="s">
        <v>61</v>
      </c>
      <c r="E1785" s="64">
        <v>0.0</v>
      </c>
      <c r="F1785" s="31"/>
      <c r="G1785" s="31"/>
      <c r="H1785" s="31"/>
      <c r="I1785" s="31"/>
      <c r="J1785" s="31"/>
      <c r="K1785" s="31"/>
      <c r="L1785" s="31"/>
      <c r="M1785" s="31"/>
      <c r="N1785" s="31"/>
      <c r="O1785" s="31"/>
      <c r="P1785" s="3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</row>
    <row r="1786" ht="15.75" customHeight="1">
      <c r="A1786" s="61" t="str">
        <f t="shared" si="1"/>
        <v>São PauloJoão PessoaAvião</v>
      </c>
      <c r="B1786" s="62" t="s">
        <v>45</v>
      </c>
      <c r="C1786" s="62" t="s">
        <v>75</v>
      </c>
      <c r="D1786" s="63" t="s">
        <v>62</v>
      </c>
      <c r="E1786" s="64">
        <v>0.0</v>
      </c>
      <c r="F1786" s="31"/>
      <c r="G1786" s="31"/>
      <c r="H1786" s="31"/>
      <c r="I1786" s="31"/>
      <c r="J1786" s="31"/>
      <c r="K1786" s="31"/>
      <c r="L1786" s="31"/>
      <c r="M1786" s="31"/>
      <c r="N1786" s="31"/>
      <c r="O1786" s="31"/>
      <c r="P1786" s="3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</row>
    <row r="1787" ht="15.75" customHeight="1">
      <c r="A1787" s="61" t="str">
        <f t="shared" si="1"/>
        <v>São PauloJoinvilleAvião</v>
      </c>
      <c r="B1787" s="62" t="s">
        <v>45</v>
      </c>
      <c r="C1787" s="62" t="s">
        <v>75</v>
      </c>
      <c r="D1787" s="63" t="s">
        <v>28</v>
      </c>
      <c r="E1787" s="64">
        <v>0.0</v>
      </c>
      <c r="F1787" s="31"/>
      <c r="G1787" s="31"/>
      <c r="H1787" s="31"/>
      <c r="I1787" s="31"/>
      <c r="J1787" s="31"/>
      <c r="K1787" s="31"/>
      <c r="L1787" s="31"/>
      <c r="M1787" s="31"/>
      <c r="N1787" s="31"/>
      <c r="O1787" s="31"/>
      <c r="P1787" s="3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</row>
    <row r="1788" ht="15.75" customHeight="1">
      <c r="A1788" s="61" t="str">
        <f t="shared" si="1"/>
        <v>São PauloMaceióAvião</v>
      </c>
      <c r="B1788" s="62" t="s">
        <v>45</v>
      </c>
      <c r="C1788" s="62" t="s">
        <v>75</v>
      </c>
      <c r="D1788" s="63" t="s">
        <v>63</v>
      </c>
      <c r="E1788" s="64">
        <v>0.0</v>
      </c>
      <c r="F1788" s="31"/>
      <c r="G1788" s="31"/>
      <c r="H1788" s="31"/>
      <c r="I1788" s="31"/>
      <c r="J1788" s="31"/>
      <c r="K1788" s="31"/>
      <c r="L1788" s="31"/>
      <c r="M1788" s="31"/>
      <c r="N1788" s="31"/>
      <c r="O1788" s="31"/>
      <c r="P1788" s="3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</row>
    <row r="1789" ht="15.75" customHeight="1">
      <c r="A1789" s="61" t="str">
        <f t="shared" si="1"/>
        <v>São PauloManausAvião</v>
      </c>
      <c r="B1789" s="62" t="s">
        <v>45</v>
      </c>
      <c r="C1789" s="62" t="s">
        <v>75</v>
      </c>
      <c r="D1789" s="63" t="s">
        <v>23</v>
      </c>
      <c r="E1789" s="64">
        <v>0.0</v>
      </c>
      <c r="F1789" s="31"/>
      <c r="G1789" s="31"/>
      <c r="H1789" s="31"/>
      <c r="I1789" s="31"/>
      <c r="J1789" s="31"/>
      <c r="K1789" s="31"/>
      <c r="L1789" s="31"/>
      <c r="M1789" s="31"/>
      <c r="N1789" s="31"/>
      <c r="O1789" s="31"/>
      <c r="P1789" s="3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</row>
    <row r="1790" ht="15.75" customHeight="1">
      <c r="A1790" s="61" t="str">
        <f t="shared" si="1"/>
        <v>São PauloNatalAvião</v>
      </c>
      <c r="B1790" s="62" t="s">
        <v>45</v>
      </c>
      <c r="C1790" s="62" t="s">
        <v>75</v>
      </c>
      <c r="D1790" s="63" t="s">
        <v>64</v>
      </c>
      <c r="E1790" s="64">
        <v>0.0</v>
      </c>
      <c r="F1790" s="31"/>
      <c r="G1790" s="31"/>
      <c r="H1790" s="31"/>
      <c r="I1790" s="31"/>
      <c r="J1790" s="31"/>
      <c r="K1790" s="31"/>
      <c r="L1790" s="31"/>
      <c r="M1790" s="31"/>
      <c r="N1790" s="31"/>
      <c r="O1790" s="31"/>
      <c r="P1790" s="3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</row>
    <row r="1791" ht="15.75" customHeight="1">
      <c r="A1791" s="61" t="str">
        <f t="shared" si="1"/>
        <v>São PauloPorto AlegreAvião</v>
      </c>
      <c r="B1791" s="62" t="s">
        <v>45</v>
      </c>
      <c r="C1791" s="62" t="s">
        <v>75</v>
      </c>
      <c r="D1791" s="63" t="s">
        <v>31</v>
      </c>
      <c r="E1791" s="64">
        <v>0.0</v>
      </c>
      <c r="F1791" s="31"/>
      <c r="G1791" s="31"/>
      <c r="H1791" s="31"/>
      <c r="I1791" s="31"/>
      <c r="J1791" s="31"/>
      <c r="K1791" s="31"/>
      <c r="L1791" s="31"/>
      <c r="M1791" s="31"/>
      <c r="N1791" s="31"/>
      <c r="O1791" s="31"/>
      <c r="P1791" s="3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</row>
    <row r="1792" ht="15.75" customHeight="1">
      <c r="A1792" s="61" t="str">
        <f t="shared" si="1"/>
        <v>São PauloRecifeAvião</v>
      </c>
      <c r="B1792" s="62" t="s">
        <v>45</v>
      </c>
      <c r="C1792" s="62" t="s">
        <v>75</v>
      </c>
      <c r="D1792" s="63" t="s">
        <v>65</v>
      </c>
      <c r="E1792" s="64">
        <v>0.0</v>
      </c>
      <c r="F1792" s="31"/>
      <c r="G1792" s="31"/>
      <c r="H1792" s="31"/>
      <c r="I1792" s="31"/>
      <c r="J1792" s="31"/>
      <c r="K1792" s="31"/>
      <c r="L1792" s="31"/>
      <c r="M1792" s="31"/>
      <c r="N1792" s="31"/>
      <c r="O1792" s="31"/>
      <c r="P1792" s="3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</row>
    <row r="1793" ht="15.75" customHeight="1">
      <c r="A1793" s="61" t="str">
        <f t="shared" si="1"/>
        <v>São PauloRibeirão PretoAvião</v>
      </c>
      <c r="B1793" s="62" t="s">
        <v>45</v>
      </c>
      <c r="C1793" s="62" t="s">
        <v>75</v>
      </c>
      <c r="D1793" s="63" t="s">
        <v>78</v>
      </c>
      <c r="E1793" s="64">
        <v>0.0</v>
      </c>
      <c r="F1793" s="31"/>
      <c r="G1793" s="31"/>
      <c r="H1793" s="31"/>
      <c r="I1793" s="31"/>
      <c r="J1793" s="31"/>
      <c r="K1793" s="31"/>
      <c r="L1793" s="31"/>
      <c r="M1793" s="31"/>
      <c r="N1793" s="31"/>
      <c r="O1793" s="31"/>
      <c r="P1793" s="3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</row>
    <row r="1794" ht="15.75" customHeight="1">
      <c r="A1794" s="61" t="str">
        <f t="shared" si="1"/>
        <v>São PauloRio de JaneiroAvião</v>
      </c>
      <c r="B1794" s="62" t="s">
        <v>45</v>
      </c>
      <c r="C1794" s="62" t="s">
        <v>75</v>
      </c>
      <c r="D1794" s="63" t="s">
        <v>66</v>
      </c>
      <c r="E1794" s="64">
        <v>0.0</v>
      </c>
      <c r="F1794" s="31"/>
      <c r="G1794" s="31"/>
      <c r="H1794" s="31"/>
      <c r="I1794" s="31"/>
      <c r="J1794" s="31"/>
      <c r="K1794" s="31"/>
      <c r="L1794" s="31"/>
      <c r="M1794" s="31"/>
      <c r="N1794" s="31"/>
      <c r="O1794" s="31"/>
      <c r="P1794" s="3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</row>
    <row r="1795" ht="15.75" customHeight="1">
      <c r="A1795" s="61" t="str">
        <f t="shared" si="1"/>
        <v>São PauloSalvadorAvião</v>
      </c>
      <c r="B1795" s="62" t="s">
        <v>45</v>
      </c>
      <c r="C1795" s="62" t="s">
        <v>75</v>
      </c>
      <c r="D1795" s="63" t="s">
        <v>67</v>
      </c>
      <c r="E1795" s="64">
        <v>0.0</v>
      </c>
      <c r="F1795" s="31"/>
      <c r="G1795" s="31"/>
      <c r="H1795" s="31"/>
      <c r="I1795" s="31"/>
      <c r="J1795" s="31"/>
      <c r="K1795" s="31"/>
      <c r="L1795" s="31"/>
      <c r="M1795" s="31"/>
      <c r="N1795" s="31"/>
      <c r="O1795" s="31"/>
      <c r="P1795" s="3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</row>
    <row r="1796" ht="15.75" customHeight="1">
      <c r="A1796" s="61" t="str">
        <f t="shared" si="1"/>
        <v>São PauloSantosAvião</v>
      </c>
      <c r="B1796" s="62" t="s">
        <v>45</v>
      </c>
      <c r="C1796" s="62" t="s">
        <v>75</v>
      </c>
      <c r="D1796" s="63" t="s">
        <v>38</v>
      </c>
      <c r="E1796" s="64">
        <v>0.0</v>
      </c>
      <c r="F1796" s="31"/>
      <c r="G1796" s="31"/>
      <c r="H1796" s="31"/>
      <c r="I1796" s="31"/>
      <c r="J1796" s="31"/>
      <c r="K1796" s="31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</row>
    <row r="1797" ht="15.75" customHeight="1">
      <c r="A1797" s="61" t="str">
        <f t="shared" si="1"/>
        <v>São PauloSão LuísAvião</v>
      </c>
      <c r="B1797" s="62" t="s">
        <v>45</v>
      </c>
      <c r="C1797" s="62" t="s">
        <v>75</v>
      </c>
      <c r="D1797" s="63" t="s">
        <v>36</v>
      </c>
      <c r="E1797" s="64">
        <v>0.0</v>
      </c>
      <c r="F1797" s="31"/>
      <c r="G1797" s="31"/>
      <c r="H1797" s="31"/>
      <c r="I1797" s="31"/>
      <c r="J1797" s="31"/>
      <c r="K1797" s="31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</row>
    <row r="1798" ht="15.75" customHeight="1">
      <c r="A1798" s="61" t="str">
        <f t="shared" si="1"/>
        <v>São PauloSão PauloAvião</v>
      </c>
      <c r="B1798" s="62" t="s">
        <v>45</v>
      </c>
      <c r="C1798" s="62" t="s">
        <v>75</v>
      </c>
      <c r="D1798" s="63" t="s">
        <v>75</v>
      </c>
      <c r="E1798" s="64">
        <v>0.0</v>
      </c>
      <c r="F1798" s="31"/>
      <c r="G1798" s="31"/>
      <c r="H1798" s="31"/>
      <c r="I1798" s="31"/>
      <c r="J1798" s="31"/>
      <c r="K1798" s="31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</row>
    <row r="1799" ht="15.75" customHeight="1">
      <c r="A1799" s="61" t="str">
        <f t="shared" si="1"/>
        <v>São PauloUberlândiaAvião</v>
      </c>
      <c r="B1799" s="62" t="s">
        <v>45</v>
      </c>
      <c r="C1799" s="62" t="s">
        <v>75</v>
      </c>
      <c r="D1799" s="63" t="s">
        <v>68</v>
      </c>
      <c r="E1799" s="64">
        <v>0.0</v>
      </c>
      <c r="F1799" s="31"/>
      <c r="G1799" s="31"/>
      <c r="H1799" s="31"/>
      <c r="I1799" s="31"/>
      <c r="J1799" s="31"/>
      <c r="K1799" s="31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</row>
    <row r="1800" ht="15.75" customHeight="1">
      <c r="A1800" s="61" t="str">
        <f t="shared" si="1"/>
        <v>São PauloVitóriaAvião</v>
      </c>
      <c r="B1800" s="62" t="s">
        <v>45</v>
      </c>
      <c r="C1800" s="62" t="s">
        <v>75</v>
      </c>
      <c r="D1800" s="63" t="s">
        <v>69</v>
      </c>
      <c r="E1800" s="64">
        <v>0.0</v>
      </c>
      <c r="F1800" s="31"/>
      <c r="G1800" s="31"/>
      <c r="H1800" s="31"/>
      <c r="I1800" s="31"/>
      <c r="J1800" s="31"/>
      <c r="K1800" s="31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</row>
    <row r="1801" ht="15.75" customHeight="1">
      <c r="A1801" s="61" t="str">
        <f t="shared" si="1"/>
        <v>São PauloVitória da ConquistaAvião</v>
      </c>
      <c r="B1801" s="62" t="s">
        <v>45</v>
      </c>
      <c r="C1801" s="62" t="s">
        <v>75</v>
      </c>
      <c r="D1801" s="63" t="s">
        <v>52</v>
      </c>
      <c r="E1801" s="64">
        <v>0.0</v>
      </c>
      <c r="F1801" s="31"/>
      <c r="G1801" s="31"/>
      <c r="H1801" s="31"/>
      <c r="I1801" s="31"/>
      <c r="J1801" s="31"/>
      <c r="K1801" s="31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</row>
    <row r="1802" ht="15.75" customHeight="1">
      <c r="A1802" s="61" t="str">
        <f t="shared" si="1"/>
        <v>UberlândiaBelémAvião</v>
      </c>
      <c r="B1802" s="62" t="s">
        <v>45</v>
      </c>
      <c r="C1802" s="62" t="s">
        <v>68</v>
      </c>
      <c r="D1802" s="63" t="s">
        <v>51</v>
      </c>
      <c r="E1802" s="64">
        <v>0.0</v>
      </c>
      <c r="F1802" s="31"/>
      <c r="G1802" s="31"/>
      <c r="H1802" s="31"/>
      <c r="I1802" s="31"/>
      <c r="J1802" s="31"/>
      <c r="K1802" s="31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</row>
    <row r="1803" ht="15.75" customHeight="1">
      <c r="A1803" s="61" t="str">
        <f t="shared" si="1"/>
        <v>UberlândiaBelo HorizonteAvião</v>
      </c>
      <c r="B1803" s="62" t="s">
        <v>45</v>
      </c>
      <c r="C1803" s="62" t="s">
        <v>68</v>
      </c>
      <c r="D1803" s="63" t="s">
        <v>57</v>
      </c>
      <c r="E1803" s="64">
        <v>0.0</v>
      </c>
      <c r="F1803" s="31"/>
      <c r="G1803" s="31"/>
      <c r="H1803" s="31"/>
      <c r="I1803" s="31"/>
      <c r="J1803" s="31"/>
      <c r="K1803" s="31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</row>
    <row r="1804" ht="15.75" customHeight="1">
      <c r="A1804" s="61" t="str">
        <f t="shared" si="1"/>
        <v>UberlândiaBrasíliaAvião</v>
      </c>
      <c r="B1804" s="62" t="s">
        <v>45</v>
      </c>
      <c r="C1804" s="62" t="s">
        <v>68</v>
      </c>
      <c r="D1804" s="63" t="s">
        <v>58</v>
      </c>
      <c r="E1804" s="64">
        <v>0.0</v>
      </c>
      <c r="F1804" s="31"/>
      <c r="G1804" s="31"/>
      <c r="H1804" s="31"/>
      <c r="I1804" s="31"/>
      <c r="J1804" s="31"/>
      <c r="K1804" s="31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</row>
    <row r="1805" ht="15.75" customHeight="1">
      <c r="A1805" s="61" t="str">
        <f t="shared" si="1"/>
        <v>UberlândiaCampinasAvião</v>
      </c>
      <c r="B1805" s="62" t="s">
        <v>45</v>
      </c>
      <c r="C1805" s="62" t="s">
        <v>68</v>
      </c>
      <c r="D1805" s="63" t="s">
        <v>77</v>
      </c>
      <c r="E1805" s="64">
        <v>0.0</v>
      </c>
      <c r="F1805" s="31"/>
      <c r="G1805" s="31"/>
      <c r="H1805" s="31"/>
      <c r="I1805" s="31"/>
      <c r="J1805" s="31"/>
      <c r="K1805" s="31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</row>
    <row r="1806" ht="15.75" customHeight="1">
      <c r="A1806" s="61" t="str">
        <f t="shared" si="1"/>
        <v>UberlândiaCampo GrandeAvião</v>
      </c>
      <c r="B1806" s="62" t="s">
        <v>45</v>
      </c>
      <c r="C1806" s="62" t="s">
        <v>68</v>
      </c>
      <c r="D1806" s="63" t="s">
        <v>59</v>
      </c>
      <c r="E1806" s="64">
        <v>0.0</v>
      </c>
      <c r="F1806" s="31"/>
      <c r="G1806" s="31"/>
      <c r="H1806" s="31"/>
      <c r="I1806" s="31"/>
      <c r="J1806" s="31"/>
      <c r="K1806" s="31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</row>
    <row r="1807" ht="15.75" customHeight="1">
      <c r="A1807" s="61" t="str">
        <f t="shared" si="1"/>
        <v>UberlândiaCuiabáAvião</v>
      </c>
      <c r="B1807" s="62" t="s">
        <v>45</v>
      </c>
      <c r="C1807" s="62" t="s">
        <v>68</v>
      </c>
      <c r="D1807" s="63" t="s">
        <v>29</v>
      </c>
      <c r="E1807" s="64">
        <v>0.0</v>
      </c>
      <c r="F1807" s="31"/>
      <c r="G1807" s="31"/>
      <c r="H1807" s="31"/>
      <c r="I1807" s="31"/>
      <c r="J1807" s="31"/>
      <c r="K1807" s="31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</row>
    <row r="1808" ht="15.75" customHeight="1">
      <c r="A1808" s="61" t="str">
        <f t="shared" si="1"/>
        <v>UberlândiaCuritibaAvião</v>
      </c>
      <c r="B1808" s="62" t="s">
        <v>45</v>
      </c>
      <c r="C1808" s="62" t="s">
        <v>68</v>
      </c>
      <c r="D1808" s="63" t="s">
        <v>76</v>
      </c>
      <c r="E1808" s="64">
        <v>0.0</v>
      </c>
      <c r="F1808" s="31"/>
      <c r="G1808" s="31"/>
      <c r="H1808" s="31"/>
      <c r="I1808" s="31"/>
      <c r="J1808" s="31"/>
      <c r="K1808" s="31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</row>
    <row r="1809" ht="15.75" customHeight="1">
      <c r="A1809" s="61" t="str">
        <f t="shared" si="1"/>
        <v>UberlândiaFortalezaAvião</v>
      </c>
      <c r="B1809" s="62" t="s">
        <v>45</v>
      </c>
      <c r="C1809" s="62" t="s">
        <v>68</v>
      </c>
      <c r="D1809" s="63" t="s">
        <v>60</v>
      </c>
      <c r="E1809" s="64">
        <v>0.0</v>
      </c>
      <c r="F1809" s="31"/>
      <c r="G1809" s="31"/>
      <c r="H1809" s="31"/>
      <c r="I1809" s="31"/>
      <c r="J1809" s="31"/>
      <c r="K1809" s="31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</row>
    <row r="1810" ht="15.75" customHeight="1">
      <c r="A1810" s="61" t="str">
        <f t="shared" si="1"/>
        <v>UberlândiaGoiâniaAvião</v>
      </c>
      <c r="B1810" s="62" t="s">
        <v>45</v>
      </c>
      <c r="C1810" s="62" t="s">
        <v>68</v>
      </c>
      <c r="D1810" s="63" t="s">
        <v>61</v>
      </c>
      <c r="E1810" s="64">
        <v>0.0</v>
      </c>
      <c r="F1810" s="31"/>
      <c r="G1810" s="31"/>
      <c r="H1810" s="31"/>
      <c r="I1810" s="31"/>
      <c r="J1810" s="31"/>
      <c r="K1810" s="31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</row>
    <row r="1811" ht="15.75" customHeight="1">
      <c r="A1811" s="61" t="str">
        <f t="shared" si="1"/>
        <v>UberlândiaJoão PessoaAvião</v>
      </c>
      <c r="B1811" s="62" t="s">
        <v>45</v>
      </c>
      <c r="C1811" s="62" t="s">
        <v>68</v>
      </c>
      <c r="D1811" s="63" t="s">
        <v>62</v>
      </c>
      <c r="E1811" s="64">
        <v>0.0</v>
      </c>
      <c r="F1811" s="31"/>
      <c r="G1811" s="31"/>
      <c r="H1811" s="31"/>
      <c r="I1811" s="31"/>
      <c r="J1811" s="31"/>
      <c r="K1811" s="31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</row>
    <row r="1812" ht="15.75" customHeight="1">
      <c r="A1812" s="61" t="str">
        <f t="shared" si="1"/>
        <v>UberlândiaJoinvilleAvião</v>
      </c>
      <c r="B1812" s="62" t="s">
        <v>45</v>
      </c>
      <c r="C1812" s="62" t="s">
        <v>68</v>
      </c>
      <c r="D1812" s="63" t="s">
        <v>28</v>
      </c>
      <c r="E1812" s="64">
        <v>0.0</v>
      </c>
      <c r="F1812" s="31"/>
      <c r="G1812" s="31"/>
      <c r="H1812" s="31"/>
      <c r="I1812" s="31"/>
      <c r="J1812" s="31"/>
      <c r="K1812" s="31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</row>
    <row r="1813" ht="15.75" customHeight="1">
      <c r="A1813" s="61" t="str">
        <f t="shared" si="1"/>
        <v>UberlândiaMaceióAvião</v>
      </c>
      <c r="B1813" s="62" t="s">
        <v>45</v>
      </c>
      <c r="C1813" s="62" t="s">
        <v>68</v>
      </c>
      <c r="D1813" s="63" t="s">
        <v>63</v>
      </c>
      <c r="E1813" s="64">
        <v>0.0</v>
      </c>
      <c r="F1813" s="31"/>
      <c r="G1813" s="31"/>
      <c r="H1813" s="31"/>
      <c r="I1813" s="31"/>
      <c r="J1813" s="31"/>
      <c r="K1813" s="31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</row>
    <row r="1814" ht="15.75" customHeight="1">
      <c r="A1814" s="61" t="str">
        <f t="shared" si="1"/>
        <v>UberlândiaManausAvião</v>
      </c>
      <c r="B1814" s="62" t="s">
        <v>45</v>
      </c>
      <c r="C1814" s="62" t="s">
        <v>68</v>
      </c>
      <c r="D1814" s="63" t="s">
        <v>23</v>
      </c>
      <c r="E1814" s="64">
        <v>0.0</v>
      </c>
      <c r="F1814" s="31"/>
      <c r="G1814" s="31"/>
      <c r="H1814" s="31"/>
      <c r="I1814" s="31"/>
      <c r="J1814" s="31"/>
      <c r="K1814" s="31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</row>
    <row r="1815" ht="15.75" customHeight="1">
      <c r="A1815" s="61" t="str">
        <f t="shared" si="1"/>
        <v>UberlândiaNatalAvião</v>
      </c>
      <c r="B1815" s="62" t="s">
        <v>45</v>
      </c>
      <c r="C1815" s="62" t="s">
        <v>68</v>
      </c>
      <c r="D1815" s="63" t="s">
        <v>64</v>
      </c>
      <c r="E1815" s="64">
        <v>0.0</v>
      </c>
      <c r="F1815" s="31"/>
      <c r="G1815" s="31"/>
      <c r="H1815" s="31"/>
      <c r="I1815" s="31"/>
      <c r="J1815" s="31"/>
      <c r="K1815" s="31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</row>
    <row r="1816" ht="15.75" customHeight="1">
      <c r="A1816" s="61" t="str">
        <f t="shared" si="1"/>
        <v>UberlândiaPorto AlegreAvião</v>
      </c>
      <c r="B1816" s="62" t="s">
        <v>45</v>
      </c>
      <c r="C1816" s="62" t="s">
        <v>68</v>
      </c>
      <c r="D1816" s="63" t="s">
        <v>31</v>
      </c>
      <c r="E1816" s="64">
        <v>0.0</v>
      </c>
      <c r="F1816" s="31"/>
      <c r="G1816" s="31"/>
      <c r="H1816" s="31"/>
      <c r="I1816" s="31"/>
      <c r="J1816" s="31"/>
      <c r="K1816" s="31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</row>
    <row r="1817" ht="15.75" customHeight="1">
      <c r="A1817" s="61" t="str">
        <f t="shared" si="1"/>
        <v>UberlândiaRecifeAvião</v>
      </c>
      <c r="B1817" s="62" t="s">
        <v>45</v>
      </c>
      <c r="C1817" s="62" t="s">
        <v>68</v>
      </c>
      <c r="D1817" s="63" t="s">
        <v>65</v>
      </c>
      <c r="E1817" s="64">
        <v>0.0</v>
      </c>
      <c r="F1817" s="31"/>
      <c r="G1817" s="31"/>
      <c r="H1817" s="31"/>
      <c r="I1817" s="31"/>
      <c r="J1817" s="31"/>
      <c r="K1817" s="31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</row>
    <row r="1818" ht="15.75" customHeight="1">
      <c r="A1818" s="61" t="str">
        <f t="shared" si="1"/>
        <v>UberlândiaRibeirão PretoAvião</v>
      </c>
      <c r="B1818" s="62" t="s">
        <v>45</v>
      </c>
      <c r="C1818" s="62" t="s">
        <v>68</v>
      </c>
      <c r="D1818" s="63" t="s">
        <v>78</v>
      </c>
      <c r="E1818" s="64">
        <v>0.0</v>
      </c>
      <c r="F1818" s="31"/>
      <c r="G1818" s="31"/>
      <c r="H1818" s="31"/>
      <c r="I1818" s="31"/>
      <c r="J1818" s="31"/>
      <c r="K1818" s="31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</row>
    <row r="1819" ht="15.75" customHeight="1">
      <c r="A1819" s="61" t="str">
        <f t="shared" si="1"/>
        <v>UberlândiaRio de JaneiroAvião</v>
      </c>
      <c r="B1819" s="62" t="s">
        <v>45</v>
      </c>
      <c r="C1819" s="62" t="s">
        <v>68</v>
      </c>
      <c r="D1819" s="63" t="s">
        <v>66</v>
      </c>
      <c r="E1819" s="64">
        <v>0.0</v>
      </c>
      <c r="F1819" s="31"/>
      <c r="G1819" s="31"/>
      <c r="H1819" s="31"/>
      <c r="I1819" s="31"/>
      <c r="J1819" s="31"/>
      <c r="K1819" s="31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</row>
    <row r="1820" ht="15.75" customHeight="1">
      <c r="A1820" s="61" t="str">
        <f t="shared" si="1"/>
        <v>UberlândiaSalvadorAvião</v>
      </c>
      <c r="B1820" s="62" t="s">
        <v>45</v>
      </c>
      <c r="C1820" s="62" t="s">
        <v>68</v>
      </c>
      <c r="D1820" s="63" t="s">
        <v>67</v>
      </c>
      <c r="E1820" s="64">
        <v>0.0</v>
      </c>
      <c r="F1820" s="31"/>
      <c r="G1820" s="31"/>
      <c r="H1820" s="31"/>
      <c r="I1820" s="31"/>
      <c r="J1820" s="31"/>
      <c r="K1820" s="31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</row>
    <row r="1821" ht="15.75" customHeight="1">
      <c r="A1821" s="61" t="str">
        <f t="shared" si="1"/>
        <v>UberlândiaSantosAvião</v>
      </c>
      <c r="B1821" s="62" t="s">
        <v>45</v>
      </c>
      <c r="C1821" s="62" t="s">
        <v>68</v>
      </c>
      <c r="D1821" s="63" t="s">
        <v>38</v>
      </c>
      <c r="E1821" s="64">
        <v>0.0</v>
      </c>
      <c r="F1821" s="31"/>
      <c r="G1821" s="31"/>
      <c r="H1821" s="31"/>
      <c r="I1821" s="31"/>
      <c r="J1821" s="31"/>
      <c r="K1821" s="31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</row>
    <row r="1822" ht="15.75" customHeight="1">
      <c r="A1822" s="61" t="str">
        <f t="shared" si="1"/>
        <v>UberlândiaSão LuísAvião</v>
      </c>
      <c r="B1822" s="62" t="s">
        <v>45</v>
      </c>
      <c r="C1822" s="62" t="s">
        <v>68</v>
      </c>
      <c r="D1822" s="63" t="s">
        <v>36</v>
      </c>
      <c r="E1822" s="64">
        <v>0.0</v>
      </c>
      <c r="F1822" s="31"/>
      <c r="G1822" s="31"/>
      <c r="H1822" s="31"/>
      <c r="I1822" s="31"/>
      <c r="J1822" s="31"/>
      <c r="K1822" s="31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</row>
    <row r="1823" ht="15.75" customHeight="1">
      <c r="A1823" s="61" t="str">
        <f t="shared" si="1"/>
        <v>UberlândiaSão PauloAvião</v>
      </c>
      <c r="B1823" s="62" t="s">
        <v>45</v>
      </c>
      <c r="C1823" s="62" t="s">
        <v>68</v>
      </c>
      <c r="D1823" s="63" t="s">
        <v>75</v>
      </c>
      <c r="E1823" s="64">
        <v>0.0</v>
      </c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</row>
    <row r="1824" ht="15.75" customHeight="1">
      <c r="A1824" s="61" t="str">
        <f t="shared" si="1"/>
        <v>UberlândiaUberlândiaAvião</v>
      </c>
      <c r="B1824" s="62" t="s">
        <v>45</v>
      </c>
      <c r="C1824" s="62" t="s">
        <v>68</v>
      </c>
      <c r="D1824" s="63" t="s">
        <v>68</v>
      </c>
      <c r="E1824" s="64">
        <v>0.0</v>
      </c>
      <c r="F1824" s="31"/>
      <c r="G1824" s="31"/>
      <c r="H1824" s="31"/>
      <c r="I1824" s="31"/>
      <c r="J1824" s="31"/>
      <c r="K1824" s="31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</row>
    <row r="1825" ht="15.75" customHeight="1">
      <c r="A1825" s="61" t="str">
        <f t="shared" si="1"/>
        <v>UberlândiaVitóriaAvião</v>
      </c>
      <c r="B1825" s="62" t="s">
        <v>45</v>
      </c>
      <c r="C1825" s="62" t="s">
        <v>68</v>
      </c>
      <c r="D1825" s="63" t="s">
        <v>69</v>
      </c>
      <c r="E1825" s="64">
        <v>0.0</v>
      </c>
      <c r="F1825" s="31"/>
      <c r="G1825" s="31"/>
      <c r="H1825" s="31"/>
      <c r="I1825" s="31"/>
      <c r="J1825" s="31"/>
      <c r="K1825" s="31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</row>
    <row r="1826" ht="15.75" customHeight="1">
      <c r="A1826" s="61" t="str">
        <f t="shared" si="1"/>
        <v>UberlândiaVitória da ConquistaAvião</v>
      </c>
      <c r="B1826" s="62" t="s">
        <v>45</v>
      </c>
      <c r="C1826" s="62" t="s">
        <v>68</v>
      </c>
      <c r="D1826" s="63" t="s">
        <v>52</v>
      </c>
      <c r="E1826" s="64">
        <v>0.0</v>
      </c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</row>
    <row r="1827" ht="15.75" customHeight="1">
      <c r="A1827" s="61" t="str">
        <f t="shared" si="1"/>
        <v>VitóriaBelémAvião</v>
      </c>
      <c r="B1827" s="62" t="s">
        <v>45</v>
      </c>
      <c r="C1827" s="62" t="s">
        <v>69</v>
      </c>
      <c r="D1827" s="63" t="s">
        <v>51</v>
      </c>
      <c r="E1827" s="64">
        <v>0.0</v>
      </c>
      <c r="F1827" s="31"/>
      <c r="G1827" s="31"/>
      <c r="H1827" s="31"/>
      <c r="I1827" s="31"/>
      <c r="J1827" s="31"/>
      <c r="K1827" s="31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</row>
    <row r="1828" ht="15.75" customHeight="1">
      <c r="A1828" s="61" t="str">
        <f t="shared" si="1"/>
        <v>VitóriaBelo HorizonteAvião</v>
      </c>
      <c r="B1828" s="62" t="s">
        <v>45</v>
      </c>
      <c r="C1828" s="62" t="s">
        <v>69</v>
      </c>
      <c r="D1828" s="63" t="s">
        <v>57</v>
      </c>
      <c r="E1828" s="64">
        <v>0.0</v>
      </c>
      <c r="F1828" s="31"/>
      <c r="G1828" s="31"/>
      <c r="H1828" s="31"/>
      <c r="I1828" s="31"/>
      <c r="J1828" s="31"/>
      <c r="K1828" s="31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</row>
    <row r="1829" ht="15.75" customHeight="1">
      <c r="A1829" s="61" t="str">
        <f t="shared" si="1"/>
        <v>VitóriaBrasíliaAvião</v>
      </c>
      <c r="B1829" s="62" t="s">
        <v>45</v>
      </c>
      <c r="C1829" s="62" t="s">
        <v>69</v>
      </c>
      <c r="D1829" s="63" t="s">
        <v>58</v>
      </c>
      <c r="E1829" s="64">
        <v>0.0</v>
      </c>
      <c r="F1829" s="31"/>
      <c r="G1829" s="31"/>
      <c r="H1829" s="31"/>
      <c r="I1829" s="31"/>
      <c r="J1829" s="31"/>
      <c r="K1829" s="31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</row>
    <row r="1830" ht="15.75" customHeight="1">
      <c r="A1830" s="61" t="str">
        <f t="shared" si="1"/>
        <v>VitóriaCampinasAvião</v>
      </c>
      <c r="B1830" s="62" t="s">
        <v>45</v>
      </c>
      <c r="C1830" s="62" t="s">
        <v>69</v>
      </c>
      <c r="D1830" s="63" t="s">
        <v>77</v>
      </c>
      <c r="E1830" s="64">
        <v>0.0</v>
      </c>
      <c r="F1830" s="31"/>
      <c r="G1830" s="31"/>
      <c r="H1830" s="31"/>
      <c r="I1830" s="31"/>
      <c r="J1830" s="31"/>
      <c r="K1830" s="31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</row>
    <row r="1831" ht="15.75" customHeight="1">
      <c r="A1831" s="61" t="str">
        <f t="shared" si="1"/>
        <v>VitóriaCampo GrandeAvião</v>
      </c>
      <c r="B1831" s="62" t="s">
        <v>45</v>
      </c>
      <c r="C1831" s="62" t="s">
        <v>69</v>
      </c>
      <c r="D1831" s="63" t="s">
        <v>59</v>
      </c>
      <c r="E1831" s="64">
        <v>0.0</v>
      </c>
      <c r="F1831" s="31"/>
      <c r="G1831" s="31"/>
      <c r="H1831" s="31"/>
      <c r="I1831" s="31"/>
      <c r="J1831" s="31"/>
      <c r="K1831" s="31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</row>
    <row r="1832" ht="15.75" customHeight="1">
      <c r="A1832" s="61" t="str">
        <f t="shared" si="1"/>
        <v>VitóriaCuiabáAvião</v>
      </c>
      <c r="B1832" s="62" t="s">
        <v>45</v>
      </c>
      <c r="C1832" s="62" t="s">
        <v>69</v>
      </c>
      <c r="D1832" s="63" t="s">
        <v>29</v>
      </c>
      <c r="E1832" s="64">
        <v>0.0</v>
      </c>
      <c r="F1832" s="31"/>
      <c r="G1832" s="31"/>
      <c r="H1832" s="31"/>
      <c r="I1832" s="31"/>
      <c r="J1832" s="31"/>
      <c r="K1832" s="31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</row>
    <row r="1833" ht="15.75" customHeight="1">
      <c r="A1833" s="61" t="str">
        <f t="shared" si="1"/>
        <v>VitóriaCuritibaAvião</v>
      </c>
      <c r="B1833" s="62" t="s">
        <v>45</v>
      </c>
      <c r="C1833" s="62" t="s">
        <v>69</v>
      </c>
      <c r="D1833" s="63" t="s">
        <v>76</v>
      </c>
      <c r="E1833" s="64">
        <v>0.0</v>
      </c>
      <c r="F1833" s="31"/>
      <c r="G1833" s="31"/>
      <c r="H1833" s="31"/>
      <c r="I1833" s="31"/>
      <c r="J1833" s="31"/>
      <c r="K1833" s="31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</row>
    <row r="1834" ht="15.75" customHeight="1">
      <c r="A1834" s="61" t="str">
        <f t="shared" si="1"/>
        <v>VitóriaFortalezaAvião</v>
      </c>
      <c r="B1834" s="62" t="s">
        <v>45</v>
      </c>
      <c r="C1834" s="62" t="s">
        <v>69</v>
      </c>
      <c r="D1834" s="63" t="s">
        <v>60</v>
      </c>
      <c r="E1834" s="64">
        <v>0.0</v>
      </c>
      <c r="F1834" s="31"/>
      <c r="G1834" s="31"/>
      <c r="H1834" s="31"/>
      <c r="I1834" s="31"/>
      <c r="J1834" s="31"/>
      <c r="K1834" s="31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</row>
    <row r="1835" ht="15.75" customHeight="1">
      <c r="A1835" s="61" t="str">
        <f t="shared" si="1"/>
        <v>VitóriaGoiâniaAvião</v>
      </c>
      <c r="B1835" s="62" t="s">
        <v>45</v>
      </c>
      <c r="C1835" s="62" t="s">
        <v>69</v>
      </c>
      <c r="D1835" s="63" t="s">
        <v>61</v>
      </c>
      <c r="E1835" s="64">
        <v>0.0</v>
      </c>
      <c r="F1835" s="31"/>
      <c r="G1835" s="31"/>
      <c r="H1835" s="31"/>
      <c r="I1835" s="31"/>
      <c r="J1835" s="31"/>
      <c r="K1835" s="31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</row>
    <row r="1836" ht="15.75" customHeight="1">
      <c r="A1836" s="61" t="str">
        <f t="shared" si="1"/>
        <v>VitóriaJoão PessoaAvião</v>
      </c>
      <c r="B1836" s="62" t="s">
        <v>45</v>
      </c>
      <c r="C1836" s="62" t="s">
        <v>69</v>
      </c>
      <c r="D1836" s="63" t="s">
        <v>62</v>
      </c>
      <c r="E1836" s="64">
        <v>0.0</v>
      </c>
      <c r="F1836" s="31"/>
      <c r="G1836" s="31"/>
      <c r="H1836" s="31"/>
      <c r="I1836" s="31"/>
      <c r="J1836" s="31"/>
      <c r="K1836" s="31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</row>
    <row r="1837" ht="15.75" customHeight="1">
      <c r="A1837" s="61" t="str">
        <f t="shared" si="1"/>
        <v>VitóriaJoinvilleAvião</v>
      </c>
      <c r="B1837" s="62" t="s">
        <v>45</v>
      </c>
      <c r="C1837" s="62" t="s">
        <v>69</v>
      </c>
      <c r="D1837" s="63" t="s">
        <v>28</v>
      </c>
      <c r="E1837" s="64">
        <v>0.0</v>
      </c>
      <c r="F1837" s="31"/>
      <c r="G1837" s="31"/>
      <c r="H1837" s="31"/>
      <c r="I1837" s="31"/>
      <c r="J1837" s="31"/>
      <c r="K1837" s="31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</row>
    <row r="1838" ht="15.75" customHeight="1">
      <c r="A1838" s="61" t="str">
        <f t="shared" si="1"/>
        <v>VitóriaMaceióAvião</v>
      </c>
      <c r="B1838" s="62" t="s">
        <v>45</v>
      </c>
      <c r="C1838" s="62" t="s">
        <v>69</v>
      </c>
      <c r="D1838" s="63" t="s">
        <v>63</v>
      </c>
      <c r="E1838" s="64">
        <v>0.0</v>
      </c>
      <c r="F1838" s="31"/>
      <c r="G1838" s="31"/>
      <c r="H1838" s="31"/>
      <c r="I1838" s="31"/>
      <c r="J1838" s="31"/>
      <c r="K1838" s="31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</row>
    <row r="1839" ht="15.75" customHeight="1">
      <c r="A1839" s="61" t="str">
        <f t="shared" si="1"/>
        <v>VitóriaManausAvião</v>
      </c>
      <c r="B1839" s="62" t="s">
        <v>45</v>
      </c>
      <c r="C1839" s="62" t="s">
        <v>69</v>
      </c>
      <c r="D1839" s="63" t="s">
        <v>23</v>
      </c>
      <c r="E1839" s="64">
        <v>0.0</v>
      </c>
      <c r="F1839" s="31"/>
      <c r="G1839" s="31"/>
      <c r="H1839" s="31"/>
      <c r="I1839" s="31"/>
      <c r="J1839" s="31"/>
      <c r="K1839" s="31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</row>
    <row r="1840" ht="15.75" customHeight="1">
      <c r="A1840" s="61" t="str">
        <f t="shared" si="1"/>
        <v>VitóriaNatalAvião</v>
      </c>
      <c r="B1840" s="62" t="s">
        <v>45</v>
      </c>
      <c r="C1840" s="62" t="s">
        <v>69</v>
      </c>
      <c r="D1840" s="63" t="s">
        <v>64</v>
      </c>
      <c r="E1840" s="64">
        <v>0.0</v>
      </c>
      <c r="F1840" s="31"/>
      <c r="G1840" s="31"/>
      <c r="H1840" s="31"/>
      <c r="I1840" s="31"/>
      <c r="J1840" s="31"/>
      <c r="K1840" s="31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</row>
    <row r="1841" ht="15.75" customHeight="1">
      <c r="A1841" s="61" t="str">
        <f t="shared" si="1"/>
        <v>VitóriaPorto AlegreAvião</v>
      </c>
      <c r="B1841" s="62" t="s">
        <v>45</v>
      </c>
      <c r="C1841" s="62" t="s">
        <v>69</v>
      </c>
      <c r="D1841" s="63" t="s">
        <v>31</v>
      </c>
      <c r="E1841" s="64">
        <v>0.0</v>
      </c>
      <c r="F1841" s="31"/>
      <c r="G1841" s="31"/>
      <c r="H1841" s="31"/>
      <c r="I1841" s="31"/>
      <c r="J1841" s="31"/>
      <c r="K1841" s="31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</row>
    <row r="1842" ht="15.75" customHeight="1">
      <c r="A1842" s="61" t="str">
        <f t="shared" si="1"/>
        <v>VitóriaRecifeAvião</v>
      </c>
      <c r="B1842" s="62" t="s">
        <v>45</v>
      </c>
      <c r="C1842" s="62" t="s">
        <v>69</v>
      </c>
      <c r="D1842" s="63" t="s">
        <v>65</v>
      </c>
      <c r="E1842" s="64">
        <v>0.0</v>
      </c>
      <c r="F1842" s="31"/>
      <c r="G1842" s="31"/>
      <c r="H1842" s="31"/>
      <c r="I1842" s="31"/>
      <c r="J1842" s="31"/>
      <c r="K1842" s="31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</row>
    <row r="1843" ht="15.75" customHeight="1">
      <c r="A1843" s="61" t="str">
        <f t="shared" si="1"/>
        <v>VitóriaRibeirão PretoAvião</v>
      </c>
      <c r="B1843" s="62" t="s">
        <v>45</v>
      </c>
      <c r="C1843" s="62" t="s">
        <v>69</v>
      </c>
      <c r="D1843" s="63" t="s">
        <v>78</v>
      </c>
      <c r="E1843" s="64">
        <v>0.0</v>
      </c>
      <c r="F1843" s="31"/>
      <c r="G1843" s="31"/>
      <c r="H1843" s="31"/>
      <c r="I1843" s="31"/>
      <c r="J1843" s="31"/>
      <c r="K1843" s="31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</row>
    <row r="1844" ht="15.75" customHeight="1">
      <c r="A1844" s="61" t="str">
        <f t="shared" si="1"/>
        <v>VitóriaRio de JaneiroAvião</v>
      </c>
      <c r="B1844" s="62" t="s">
        <v>45</v>
      </c>
      <c r="C1844" s="62" t="s">
        <v>69</v>
      </c>
      <c r="D1844" s="63" t="s">
        <v>66</v>
      </c>
      <c r="E1844" s="64">
        <v>0.0</v>
      </c>
      <c r="F1844" s="31"/>
      <c r="G1844" s="31"/>
      <c r="H1844" s="31"/>
      <c r="I1844" s="31"/>
      <c r="J1844" s="31"/>
      <c r="K1844" s="31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</row>
    <row r="1845" ht="15.75" customHeight="1">
      <c r="A1845" s="61" t="str">
        <f t="shared" si="1"/>
        <v>VitóriaSalvadorAvião</v>
      </c>
      <c r="B1845" s="62" t="s">
        <v>45</v>
      </c>
      <c r="C1845" s="62" t="s">
        <v>69</v>
      </c>
      <c r="D1845" s="63" t="s">
        <v>67</v>
      </c>
      <c r="E1845" s="64">
        <v>0.0</v>
      </c>
      <c r="F1845" s="31"/>
      <c r="G1845" s="31"/>
      <c r="H1845" s="31"/>
      <c r="I1845" s="31"/>
      <c r="J1845" s="31"/>
      <c r="K1845" s="31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</row>
    <row r="1846" ht="15.75" customHeight="1">
      <c r="A1846" s="61" t="str">
        <f t="shared" si="1"/>
        <v>VitóriaSantosAvião</v>
      </c>
      <c r="B1846" s="62" t="s">
        <v>45</v>
      </c>
      <c r="C1846" s="62" t="s">
        <v>69</v>
      </c>
      <c r="D1846" s="63" t="s">
        <v>38</v>
      </c>
      <c r="E1846" s="64">
        <v>0.0</v>
      </c>
      <c r="F1846" s="31"/>
      <c r="G1846" s="31"/>
      <c r="H1846" s="31"/>
      <c r="I1846" s="31"/>
      <c r="J1846" s="31"/>
      <c r="K1846" s="31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</row>
    <row r="1847" ht="15.75" customHeight="1">
      <c r="A1847" s="61" t="str">
        <f t="shared" si="1"/>
        <v>VitóriaSão LuísAvião</v>
      </c>
      <c r="B1847" s="62" t="s">
        <v>45</v>
      </c>
      <c r="C1847" s="62" t="s">
        <v>69</v>
      </c>
      <c r="D1847" s="63" t="s">
        <v>36</v>
      </c>
      <c r="E1847" s="64">
        <v>0.0</v>
      </c>
      <c r="F1847" s="31"/>
      <c r="G1847" s="31"/>
      <c r="H1847" s="31"/>
      <c r="I1847" s="31"/>
      <c r="J1847" s="31"/>
      <c r="K1847" s="31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</row>
    <row r="1848" ht="15.75" customHeight="1">
      <c r="A1848" s="61" t="str">
        <f t="shared" si="1"/>
        <v>VitóriaSão PauloAvião</v>
      </c>
      <c r="B1848" s="62" t="s">
        <v>45</v>
      </c>
      <c r="C1848" s="62" t="s">
        <v>69</v>
      </c>
      <c r="D1848" s="63" t="s">
        <v>75</v>
      </c>
      <c r="E1848" s="64">
        <v>0.0</v>
      </c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</row>
    <row r="1849" ht="15.75" customHeight="1">
      <c r="A1849" s="61" t="str">
        <f t="shared" si="1"/>
        <v>VitóriaUberlândiaAvião</v>
      </c>
      <c r="B1849" s="62" t="s">
        <v>45</v>
      </c>
      <c r="C1849" s="62" t="s">
        <v>69</v>
      </c>
      <c r="D1849" s="63" t="s">
        <v>68</v>
      </c>
      <c r="E1849" s="64">
        <v>0.0</v>
      </c>
      <c r="F1849" s="31"/>
      <c r="G1849" s="31"/>
      <c r="H1849" s="31"/>
      <c r="I1849" s="31"/>
      <c r="J1849" s="31"/>
      <c r="K1849" s="31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</row>
    <row r="1850" ht="15.75" customHeight="1">
      <c r="A1850" s="61" t="str">
        <f t="shared" si="1"/>
        <v>VitóriaVitóriaAvião</v>
      </c>
      <c r="B1850" s="62" t="s">
        <v>45</v>
      </c>
      <c r="C1850" s="62" t="s">
        <v>69</v>
      </c>
      <c r="D1850" s="63" t="s">
        <v>69</v>
      </c>
      <c r="E1850" s="64">
        <v>0.0</v>
      </c>
      <c r="F1850" s="31"/>
      <c r="G1850" s="31"/>
      <c r="H1850" s="31"/>
      <c r="I1850" s="31"/>
      <c r="J1850" s="31"/>
      <c r="K1850" s="31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</row>
    <row r="1851" ht="15.75" customHeight="1">
      <c r="A1851" s="61" t="str">
        <f t="shared" si="1"/>
        <v>VitóriaVitória da ConquistaAvião</v>
      </c>
      <c r="B1851" s="62" t="s">
        <v>45</v>
      </c>
      <c r="C1851" s="62" t="s">
        <v>69</v>
      </c>
      <c r="D1851" s="63" t="s">
        <v>52</v>
      </c>
      <c r="E1851" s="64">
        <v>0.0</v>
      </c>
      <c r="F1851" s="31"/>
      <c r="G1851" s="31"/>
      <c r="H1851" s="31"/>
      <c r="I1851" s="31"/>
      <c r="J1851" s="31"/>
      <c r="K1851" s="31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</row>
    <row r="1852" ht="15.75" customHeight="1">
      <c r="A1852" s="61" t="str">
        <f t="shared" si="1"/>
        <v>Vitória da ConquistaBelémAvião</v>
      </c>
      <c r="B1852" s="62" t="s">
        <v>45</v>
      </c>
      <c r="C1852" s="62" t="s">
        <v>52</v>
      </c>
      <c r="D1852" s="63" t="s">
        <v>51</v>
      </c>
      <c r="E1852" s="64">
        <v>0.0</v>
      </c>
      <c r="F1852" s="31"/>
      <c r="G1852" s="31"/>
      <c r="H1852" s="31"/>
      <c r="I1852" s="31"/>
      <c r="J1852" s="31"/>
      <c r="K1852" s="31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</row>
    <row r="1853" ht="15.75" customHeight="1">
      <c r="A1853" s="61" t="str">
        <f t="shared" si="1"/>
        <v>Vitória da ConquistaBelo HorizonteAvião</v>
      </c>
      <c r="B1853" s="62" t="s">
        <v>45</v>
      </c>
      <c r="C1853" s="62" t="s">
        <v>52</v>
      </c>
      <c r="D1853" s="63" t="s">
        <v>57</v>
      </c>
      <c r="E1853" s="64">
        <v>0.0</v>
      </c>
      <c r="F1853" s="31"/>
      <c r="G1853" s="31"/>
      <c r="H1853" s="31"/>
      <c r="I1853" s="31"/>
      <c r="J1853" s="31"/>
      <c r="K1853" s="31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</row>
    <row r="1854" ht="15.75" customHeight="1">
      <c r="A1854" s="61" t="str">
        <f t="shared" si="1"/>
        <v>Vitória da ConquistaBrasíliaAvião</v>
      </c>
      <c r="B1854" s="62" t="s">
        <v>45</v>
      </c>
      <c r="C1854" s="62" t="s">
        <v>52</v>
      </c>
      <c r="D1854" s="63" t="s">
        <v>58</v>
      </c>
      <c r="E1854" s="64">
        <v>0.0</v>
      </c>
      <c r="F1854" s="31"/>
      <c r="G1854" s="31"/>
      <c r="H1854" s="31"/>
      <c r="I1854" s="31"/>
      <c r="J1854" s="31"/>
      <c r="K1854" s="31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</row>
    <row r="1855" ht="15.75" customHeight="1">
      <c r="A1855" s="61" t="str">
        <f t="shared" si="1"/>
        <v>Vitória da ConquistaCampinasAvião</v>
      </c>
      <c r="B1855" s="62" t="s">
        <v>45</v>
      </c>
      <c r="C1855" s="62" t="s">
        <v>52</v>
      </c>
      <c r="D1855" s="63" t="s">
        <v>77</v>
      </c>
      <c r="E1855" s="64">
        <v>0.0</v>
      </c>
      <c r="F1855" s="31"/>
      <c r="G1855" s="31"/>
      <c r="H1855" s="31"/>
      <c r="I1855" s="31"/>
      <c r="J1855" s="31"/>
      <c r="K1855" s="31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</row>
    <row r="1856" ht="15.75" customHeight="1">
      <c r="A1856" s="61" t="str">
        <f t="shared" si="1"/>
        <v>Vitória da ConquistaCampo GrandeAvião</v>
      </c>
      <c r="B1856" s="62" t="s">
        <v>45</v>
      </c>
      <c r="C1856" s="62" t="s">
        <v>52</v>
      </c>
      <c r="D1856" s="63" t="s">
        <v>59</v>
      </c>
      <c r="E1856" s="64">
        <v>0.0</v>
      </c>
      <c r="F1856" s="31"/>
      <c r="G1856" s="31"/>
      <c r="H1856" s="31"/>
      <c r="I1856" s="31"/>
      <c r="J1856" s="31"/>
      <c r="K1856" s="31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</row>
    <row r="1857" ht="15.75" customHeight="1">
      <c r="A1857" s="61" t="str">
        <f t="shared" si="1"/>
        <v>Vitória da ConquistaCuiabáAvião</v>
      </c>
      <c r="B1857" s="62" t="s">
        <v>45</v>
      </c>
      <c r="C1857" s="62" t="s">
        <v>52</v>
      </c>
      <c r="D1857" s="63" t="s">
        <v>29</v>
      </c>
      <c r="E1857" s="64">
        <v>0.0</v>
      </c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</row>
    <row r="1858" ht="15.75" customHeight="1">
      <c r="A1858" s="61" t="str">
        <f t="shared" si="1"/>
        <v>Vitória da ConquistaCuritibaAvião</v>
      </c>
      <c r="B1858" s="62" t="s">
        <v>45</v>
      </c>
      <c r="C1858" s="62" t="s">
        <v>52</v>
      </c>
      <c r="D1858" s="63" t="s">
        <v>76</v>
      </c>
      <c r="E1858" s="64">
        <v>0.0</v>
      </c>
      <c r="F1858" s="31"/>
      <c r="G1858" s="31"/>
      <c r="H1858" s="31"/>
      <c r="I1858" s="31"/>
      <c r="J1858" s="31"/>
      <c r="K1858" s="31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</row>
    <row r="1859" ht="15.75" customHeight="1">
      <c r="A1859" s="61" t="str">
        <f t="shared" si="1"/>
        <v>Vitória da ConquistaFortalezaAvião</v>
      </c>
      <c r="B1859" s="62" t="s">
        <v>45</v>
      </c>
      <c r="C1859" s="62" t="s">
        <v>52</v>
      </c>
      <c r="D1859" s="63" t="s">
        <v>60</v>
      </c>
      <c r="E1859" s="64">
        <v>0.0</v>
      </c>
      <c r="F1859" s="31"/>
      <c r="G1859" s="31"/>
      <c r="H1859" s="31"/>
      <c r="I1859" s="31"/>
      <c r="J1859" s="31"/>
      <c r="K1859" s="31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</row>
    <row r="1860" ht="15.75" customHeight="1">
      <c r="A1860" s="61" t="str">
        <f t="shared" si="1"/>
        <v>Vitória da ConquistaGoiâniaAvião</v>
      </c>
      <c r="B1860" s="62" t="s">
        <v>45</v>
      </c>
      <c r="C1860" s="62" t="s">
        <v>52</v>
      </c>
      <c r="D1860" s="63" t="s">
        <v>61</v>
      </c>
      <c r="E1860" s="64">
        <v>0.0</v>
      </c>
      <c r="F1860" s="31"/>
      <c r="G1860" s="31"/>
      <c r="H1860" s="31"/>
      <c r="I1860" s="31"/>
      <c r="J1860" s="31"/>
      <c r="K1860" s="31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</row>
    <row r="1861" ht="15.75" customHeight="1">
      <c r="A1861" s="61" t="str">
        <f t="shared" si="1"/>
        <v>Vitória da ConquistaJoão PessoaAvião</v>
      </c>
      <c r="B1861" s="62" t="s">
        <v>45</v>
      </c>
      <c r="C1861" s="62" t="s">
        <v>52</v>
      </c>
      <c r="D1861" s="63" t="s">
        <v>62</v>
      </c>
      <c r="E1861" s="64">
        <v>0.0</v>
      </c>
      <c r="F1861" s="31"/>
      <c r="G1861" s="31"/>
      <c r="H1861" s="31"/>
      <c r="I1861" s="31"/>
      <c r="J1861" s="31"/>
      <c r="K1861" s="31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</row>
    <row r="1862" ht="15.75" customHeight="1">
      <c r="A1862" s="61" t="str">
        <f t="shared" si="1"/>
        <v>Vitória da ConquistaJoinvilleAvião</v>
      </c>
      <c r="B1862" s="62" t="s">
        <v>45</v>
      </c>
      <c r="C1862" s="62" t="s">
        <v>52</v>
      </c>
      <c r="D1862" s="63" t="s">
        <v>28</v>
      </c>
      <c r="E1862" s="64">
        <v>0.0</v>
      </c>
      <c r="F1862" s="31"/>
      <c r="G1862" s="31"/>
      <c r="H1862" s="31"/>
      <c r="I1862" s="31"/>
      <c r="J1862" s="31"/>
      <c r="K1862" s="31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</row>
    <row r="1863" ht="15.75" customHeight="1">
      <c r="A1863" s="61" t="str">
        <f t="shared" si="1"/>
        <v>Vitória da ConquistaMaceióAvião</v>
      </c>
      <c r="B1863" s="62" t="s">
        <v>45</v>
      </c>
      <c r="C1863" s="62" t="s">
        <v>52</v>
      </c>
      <c r="D1863" s="63" t="s">
        <v>63</v>
      </c>
      <c r="E1863" s="64">
        <v>0.0</v>
      </c>
      <c r="F1863" s="31"/>
      <c r="G1863" s="31"/>
      <c r="H1863" s="31"/>
      <c r="I1863" s="31"/>
      <c r="J1863" s="31"/>
      <c r="K1863" s="31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</row>
    <row r="1864" ht="15.75" customHeight="1">
      <c r="A1864" s="61" t="str">
        <f t="shared" si="1"/>
        <v>Vitória da ConquistaManausAvião</v>
      </c>
      <c r="B1864" s="62" t="s">
        <v>45</v>
      </c>
      <c r="C1864" s="62" t="s">
        <v>52</v>
      </c>
      <c r="D1864" s="63" t="s">
        <v>23</v>
      </c>
      <c r="E1864" s="64">
        <v>0.0</v>
      </c>
      <c r="F1864" s="31"/>
      <c r="G1864" s="31"/>
      <c r="H1864" s="31"/>
      <c r="I1864" s="31"/>
      <c r="J1864" s="31"/>
      <c r="K1864" s="31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</row>
    <row r="1865" ht="15.75" customHeight="1">
      <c r="A1865" s="61" t="str">
        <f t="shared" si="1"/>
        <v>Vitória da ConquistaNatalAvião</v>
      </c>
      <c r="B1865" s="62" t="s">
        <v>45</v>
      </c>
      <c r="C1865" s="62" t="s">
        <v>52</v>
      </c>
      <c r="D1865" s="63" t="s">
        <v>64</v>
      </c>
      <c r="E1865" s="64">
        <v>0.0</v>
      </c>
      <c r="F1865" s="31"/>
      <c r="G1865" s="31"/>
      <c r="H1865" s="31"/>
      <c r="I1865" s="31"/>
      <c r="J1865" s="31"/>
      <c r="K1865" s="31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</row>
    <row r="1866" ht="15.75" customHeight="1">
      <c r="A1866" s="61" t="str">
        <f t="shared" si="1"/>
        <v>Vitória da ConquistaPorto AlegreAvião</v>
      </c>
      <c r="B1866" s="62" t="s">
        <v>45</v>
      </c>
      <c r="C1866" s="62" t="s">
        <v>52</v>
      </c>
      <c r="D1866" s="63" t="s">
        <v>31</v>
      </c>
      <c r="E1866" s="64">
        <v>0.0</v>
      </c>
      <c r="F1866" s="31"/>
      <c r="G1866" s="31"/>
      <c r="H1866" s="31"/>
      <c r="I1866" s="31"/>
      <c r="J1866" s="31"/>
      <c r="K1866" s="31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</row>
    <row r="1867" ht="15.75" customHeight="1">
      <c r="A1867" s="61" t="str">
        <f t="shared" si="1"/>
        <v>Vitória da ConquistaRecifeAvião</v>
      </c>
      <c r="B1867" s="62" t="s">
        <v>45</v>
      </c>
      <c r="C1867" s="62" t="s">
        <v>52</v>
      </c>
      <c r="D1867" s="63" t="s">
        <v>65</v>
      </c>
      <c r="E1867" s="64">
        <v>0.0</v>
      </c>
      <c r="F1867" s="31"/>
      <c r="G1867" s="31"/>
      <c r="H1867" s="31"/>
      <c r="I1867" s="31"/>
      <c r="J1867" s="31"/>
      <c r="K1867" s="31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</row>
    <row r="1868" ht="15.75" customHeight="1">
      <c r="A1868" s="61" t="str">
        <f t="shared" si="1"/>
        <v>Vitória da ConquistaRibeirão PretoAvião</v>
      </c>
      <c r="B1868" s="62" t="s">
        <v>45</v>
      </c>
      <c r="C1868" s="62" t="s">
        <v>52</v>
      </c>
      <c r="D1868" s="63" t="s">
        <v>78</v>
      </c>
      <c r="E1868" s="64">
        <v>0.0</v>
      </c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</row>
    <row r="1869" ht="15.75" customHeight="1">
      <c r="A1869" s="61" t="str">
        <f t="shared" si="1"/>
        <v>Vitória da ConquistaRio de JaneiroAvião</v>
      </c>
      <c r="B1869" s="62" t="s">
        <v>45</v>
      </c>
      <c r="C1869" s="62" t="s">
        <v>52</v>
      </c>
      <c r="D1869" s="63" t="s">
        <v>66</v>
      </c>
      <c r="E1869" s="64">
        <v>0.0</v>
      </c>
      <c r="F1869" s="31"/>
      <c r="G1869" s="31"/>
      <c r="H1869" s="31"/>
      <c r="I1869" s="31"/>
      <c r="J1869" s="31"/>
      <c r="K1869" s="31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</row>
    <row r="1870" ht="15.75" customHeight="1">
      <c r="A1870" s="61" t="str">
        <f t="shared" si="1"/>
        <v>Vitória da ConquistaSalvadorAvião</v>
      </c>
      <c r="B1870" s="62" t="s">
        <v>45</v>
      </c>
      <c r="C1870" s="62" t="s">
        <v>52</v>
      </c>
      <c r="D1870" s="63" t="s">
        <v>67</v>
      </c>
      <c r="E1870" s="64">
        <v>0.0</v>
      </c>
      <c r="F1870" s="31"/>
      <c r="G1870" s="31"/>
      <c r="H1870" s="31"/>
      <c r="I1870" s="31"/>
      <c r="J1870" s="31"/>
      <c r="K1870" s="31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</row>
    <row r="1871" ht="15.75" customHeight="1">
      <c r="A1871" s="61" t="str">
        <f t="shared" si="1"/>
        <v>Vitória da ConquistaSantosAvião</v>
      </c>
      <c r="B1871" s="62" t="s">
        <v>45</v>
      </c>
      <c r="C1871" s="62" t="s">
        <v>52</v>
      </c>
      <c r="D1871" s="63" t="s">
        <v>38</v>
      </c>
      <c r="E1871" s="64">
        <v>0.0</v>
      </c>
      <c r="F1871" s="31"/>
      <c r="G1871" s="31"/>
      <c r="H1871" s="31"/>
      <c r="I1871" s="31"/>
      <c r="J1871" s="31"/>
      <c r="K1871" s="31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</row>
    <row r="1872" ht="15.75" customHeight="1">
      <c r="A1872" s="61" t="str">
        <f t="shared" si="1"/>
        <v>Vitória da ConquistaSão LuísAvião</v>
      </c>
      <c r="B1872" s="62" t="s">
        <v>45</v>
      </c>
      <c r="C1872" s="62" t="s">
        <v>52</v>
      </c>
      <c r="D1872" s="63" t="s">
        <v>36</v>
      </c>
      <c r="E1872" s="64">
        <v>0.0</v>
      </c>
      <c r="F1872" s="31"/>
      <c r="G1872" s="31"/>
      <c r="H1872" s="31"/>
      <c r="I1872" s="31"/>
      <c r="J1872" s="31"/>
      <c r="K1872" s="31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</row>
    <row r="1873" ht="15.75" customHeight="1">
      <c r="A1873" s="61" t="str">
        <f t="shared" si="1"/>
        <v>Vitória da ConquistaSão PauloAvião</v>
      </c>
      <c r="B1873" s="62" t="s">
        <v>45</v>
      </c>
      <c r="C1873" s="62" t="s">
        <v>52</v>
      </c>
      <c r="D1873" s="63" t="s">
        <v>75</v>
      </c>
      <c r="E1873" s="64">
        <v>0.0</v>
      </c>
      <c r="F1873" s="31"/>
      <c r="G1873" s="31"/>
      <c r="H1873" s="31"/>
      <c r="I1873" s="31"/>
      <c r="J1873" s="31"/>
      <c r="K1873" s="31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</row>
    <row r="1874" ht="15.75" customHeight="1">
      <c r="A1874" s="61" t="str">
        <f t="shared" si="1"/>
        <v>Vitória da ConquistaUberlândiaAvião</v>
      </c>
      <c r="B1874" s="62" t="s">
        <v>45</v>
      </c>
      <c r="C1874" s="62" t="s">
        <v>52</v>
      </c>
      <c r="D1874" s="63" t="s">
        <v>68</v>
      </c>
      <c r="E1874" s="64">
        <v>0.0</v>
      </c>
      <c r="F1874" s="31"/>
      <c r="G1874" s="31"/>
      <c r="H1874" s="31"/>
      <c r="I1874" s="31"/>
      <c r="J1874" s="31"/>
      <c r="K1874" s="31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</row>
    <row r="1875" ht="15.75" customHeight="1">
      <c r="A1875" s="61" t="str">
        <f t="shared" si="1"/>
        <v>Vitória da ConquistaVitóriaAvião</v>
      </c>
      <c r="B1875" s="62" t="s">
        <v>45</v>
      </c>
      <c r="C1875" s="62" t="s">
        <v>52</v>
      </c>
      <c r="D1875" s="63" t="s">
        <v>69</v>
      </c>
      <c r="E1875" s="64">
        <v>0.0</v>
      </c>
      <c r="F1875" s="31"/>
      <c r="G1875" s="31"/>
      <c r="H1875" s="31"/>
      <c r="I1875" s="31"/>
      <c r="J1875" s="31"/>
      <c r="K1875" s="31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</row>
    <row r="1876" ht="15.75" customHeight="1">
      <c r="A1876" s="61" t="str">
        <f t="shared" si="1"/>
        <v>Vitória da ConquistaVitória da ConquistaAvião</v>
      </c>
      <c r="B1876" s="62" t="s">
        <v>45</v>
      </c>
      <c r="C1876" s="62" t="s">
        <v>52</v>
      </c>
      <c r="D1876" s="63" t="s">
        <v>52</v>
      </c>
      <c r="E1876" s="64">
        <v>0.0</v>
      </c>
      <c r="F1876" s="31"/>
      <c r="G1876" s="31"/>
      <c r="H1876" s="31"/>
      <c r="I1876" s="31"/>
      <c r="J1876" s="31"/>
      <c r="K1876" s="31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3">
    <pageSetUpPr/>
  </sheetPr>
  <sheetViews>
    <sheetView workbookViewId="0"/>
  </sheetViews>
  <sheetFormatPr customHeight="1" defaultColWidth="14.43" defaultRowHeight="15.0"/>
  <cols>
    <col customWidth="1" min="1" max="1" width="13.71"/>
    <col customWidth="1" min="2" max="2" width="19.14"/>
    <col customWidth="1" min="3" max="3" width="11.29"/>
    <col customWidth="1" min="4" max="4" width="10.29"/>
    <col customWidth="1" min="5" max="5" width="15.29"/>
    <col customWidth="1" min="6" max="6" width="8.29"/>
    <col customWidth="1" min="7" max="7" width="13.71"/>
    <col customWidth="1" min="8" max="8" width="10.0"/>
    <col customWidth="1" min="9" max="9" width="7.14"/>
    <col customWidth="1" min="10" max="10" width="1.71"/>
    <col customWidth="1" min="11" max="11" width="7.14"/>
    <col customWidth="1" min="12" max="12" width="10.0"/>
    <col customWidth="1" min="13" max="13" width="9.43"/>
    <col customWidth="1" min="14" max="14" width="9.71"/>
    <col customWidth="1" min="15" max="15" width="7.71"/>
    <col customWidth="1" min="16" max="16" width="1.14"/>
    <col customWidth="1" min="17" max="17" width="8.71"/>
    <col customWidth="1" hidden="1" min="18" max="46" width="8.71"/>
    <col customWidth="1" min="47" max="64" width="8.71"/>
  </cols>
  <sheetData>
    <row r="1" ht="11.25" customHeight="1">
      <c r="A1" s="65" t="s">
        <v>27</v>
      </c>
      <c r="B1" s="65" t="s">
        <v>35</v>
      </c>
      <c r="C1" s="66" t="s">
        <v>5</v>
      </c>
      <c r="D1" s="67" t="s">
        <v>11</v>
      </c>
      <c r="E1" s="67" t="s">
        <v>22</v>
      </c>
      <c r="F1" s="68" t="s">
        <v>113</v>
      </c>
      <c r="G1" s="67" t="s">
        <v>56</v>
      </c>
      <c r="H1" s="69" t="s">
        <v>8</v>
      </c>
      <c r="I1" s="67" t="s">
        <v>46</v>
      </c>
      <c r="J1" s="70"/>
      <c r="K1" s="68" t="s">
        <v>46</v>
      </c>
      <c r="L1" s="68" t="s">
        <v>114</v>
      </c>
      <c r="M1" s="71" t="s">
        <v>45</v>
      </c>
      <c r="N1" s="71" t="s">
        <v>25</v>
      </c>
      <c r="O1" s="71" t="s">
        <v>37</v>
      </c>
      <c r="P1" s="70"/>
      <c r="Q1" s="68" t="s">
        <v>21</v>
      </c>
      <c r="R1" s="68" t="s">
        <v>43</v>
      </c>
      <c r="S1" s="68" t="s">
        <v>70</v>
      </c>
      <c r="T1" s="68" t="s">
        <v>115</v>
      </c>
      <c r="U1" s="68" t="s">
        <v>116</v>
      </c>
      <c r="V1" s="68" t="s">
        <v>117</v>
      </c>
      <c r="W1" s="68" t="s">
        <v>118</v>
      </c>
      <c r="X1" s="68" t="s">
        <v>119</v>
      </c>
      <c r="Y1" s="68" t="s">
        <v>120</v>
      </c>
      <c r="Z1" s="68" t="s">
        <v>121</v>
      </c>
      <c r="AA1" s="68" t="s">
        <v>122</v>
      </c>
      <c r="AB1" s="68" t="s">
        <v>123</v>
      </c>
      <c r="AC1" s="68" t="s">
        <v>124</v>
      </c>
      <c r="AD1" s="68" t="s">
        <v>125</v>
      </c>
      <c r="AE1" s="68" t="s">
        <v>126</v>
      </c>
      <c r="AF1" s="68" t="s">
        <v>127</v>
      </c>
      <c r="AG1" s="68" t="s">
        <v>128</v>
      </c>
      <c r="AH1" s="68" t="s">
        <v>129</v>
      </c>
      <c r="AI1" s="68" t="s">
        <v>130</v>
      </c>
      <c r="AJ1" s="68" t="s">
        <v>131</v>
      </c>
      <c r="AK1" s="68" t="s">
        <v>132</v>
      </c>
      <c r="AL1" s="68" t="s">
        <v>133</v>
      </c>
      <c r="AM1" s="68" t="s">
        <v>134</v>
      </c>
      <c r="AN1" s="68" t="s">
        <v>135</v>
      </c>
      <c r="AO1" s="68" t="s">
        <v>136</v>
      </c>
      <c r="AP1" s="68" t="s">
        <v>137</v>
      </c>
      <c r="AQ1" s="68" t="s">
        <v>138</v>
      </c>
      <c r="AR1" s="68" t="s">
        <v>139</v>
      </c>
      <c r="AS1" s="68" t="s">
        <v>140</v>
      </c>
      <c r="AT1" s="68" t="s">
        <v>141</v>
      </c>
      <c r="AU1" s="68" t="s">
        <v>142</v>
      </c>
      <c r="AV1" s="68" t="s">
        <v>143</v>
      </c>
      <c r="AW1" s="68" t="s">
        <v>144</v>
      </c>
      <c r="AX1" s="68" t="s">
        <v>145</v>
      </c>
      <c r="AY1" s="68" t="s">
        <v>146</v>
      </c>
      <c r="AZ1" s="68" t="s">
        <v>147</v>
      </c>
      <c r="BA1" s="68" t="s">
        <v>148</v>
      </c>
      <c r="BB1" s="68" t="s">
        <v>149</v>
      </c>
      <c r="BC1" s="68" t="s">
        <v>150</v>
      </c>
      <c r="BD1" s="68" t="s">
        <v>151</v>
      </c>
      <c r="BE1" s="68" t="s">
        <v>152</v>
      </c>
      <c r="BF1" s="68" t="s">
        <v>153</v>
      </c>
      <c r="BG1" s="68" t="s">
        <v>154</v>
      </c>
      <c r="BH1" s="68" t="s">
        <v>155</v>
      </c>
      <c r="BI1" s="68" t="s">
        <v>156</v>
      </c>
      <c r="BJ1" s="68" t="s">
        <v>157</v>
      </c>
      <c r="BK1" s="68" t="s">
        <v>158</v>
      </c>
      <c r="BL1" s="68" t="s">
        <v>159</v>
      </c>
    </row>
    <row r="2" ht="11.25" customHeight="1">
      <c r="A2" s="72" t="str">
        <f>'INSTALAÇÕES'!B8</f>
        <v>Joinville</v>
      </c>
      <c r="B2" s="73" t="str">
        <f>'INSTALAÇÕES'!B12</f>
        <v>São Luís</v>
      </c>
      <c r="C2" s="74" t="s">
        <v>22</v>
      </c>
      <c r="D2" s="75" t="s">
        <v>27</v>
      </c>
      <c r="E2" s="75" t="s">
        <v>23</v>
      </c>
      <c r="F2" s="76" t="s">
        <v>26</v>
      </c>
      <c r="G2" s="75" t="s">
        <v>51</v>
      </c>
      <c r="H2" s="77" t="s">
        <v>45</v>
      </c>
      <c r="I2" s="68" t="s">
        <v>34</v>
      </c>
      <c r="J2" s="70"/>
      <c r="K2" s="68" t="s">
        <v>34</v>
      </c>
      <c r="L2" s="71" t="s">
        <v>48</v>
      </c>
      <c r="M2" s="78">
        <f t="shared" ref="M2:O2" si="1">ROUND(M5/VLOOKUP($K2,$K$10:$M$12,3,FALSE),0)</f>
        <v>3333</v>
      </c>
      <c r="N2" s="78">
        <f t="shared" si="1"/>
        <v>80000</v>
      </c>
      <c r="O2" s="78">
        <f t="shared" si="1"/>
        <v>333333</v>
      </c>
      <c r="P2" s="70"/>
      <c r="Q2" s="79" t="s">
        <v>24</v>
      </c>
      <c r="R2" s="79" t="s">
        <v>44</v>
      </c>
      <c r="S2" s="79" t="s">
        <v>71</v>
      </c>
      <c r="T2" s="79" t="s">
        <v>160</v>
      </c>
      <c r="U2" s="79" t="s">
        <v>161</v>
      </c>
      <c r="V2" s="79" t="s">
        <v>162</v>
      </c>
      <c r="W2" s="79" t="s">
        <v>163</v>
      </c>
      <c r="X2" s="79" t="s">
        <v>164</v>
      </c>
      <c r="Y2" s="79" t="s">
        <v>165</v>
      </c>
      <c r="Z2" s="79" t="s">
        <v>166</v>
      </c>
      <c r="AA2" s="79" t="s">
        <v>167</v>
      </c>
      <c r="AB2" s="79" t="s">
        <v>168</v>
      </c>
      <c r="AC2" s="79" t="s">
        <v>169</v>
      </c>
      <c r="AD2" s="79" t="s">
        <v>170</v>
      </c>
      <c r="AE2" s="79" t="s">
        <v>171</v>
      </c>
      <c r="AF2" s="79" t="s">
        <v>172</v>
      </c>
      <c r="AG2" s="79" t="s">
        <v>173</v>
      </c>
      <c r="AH2" s="79" t="s">
        <v>174</v>
      </c>
      <c r="AI2" s="79" t="s">
        <v>175</v>
      </c>
      <c r="AJ2" s="79" t="s">
        <v>176</v>
      </c>
      <c r="AK2" s="79" t="s">
        <v>177</v>
      </c>
      <c r="AL2" s="79" t="s">
        <v>178</v>
      </c>
      <c r="AM2" s="79" t="s">
        <v>179</v>
      </c>
      <c r="AN2" s="79" t="s">
        <v>180</v>
      </c>
      <c r="AO2" s="79" t="s">
        <v>181</v>
      </c>
      <c r="AP2" s="79" t="s">
        <v>182</v>
      </c>
      <c r="AQ2" s="79" t="s">
        <v>183</v>
      </c>
      <c r="AR2" s="79" t="s">
        <v>184</v>
      </c>
      <c r="AS2" s="79" t="s">
        <v>185</v>
      </c>
      <c r="AT2" s="79" t="s">
        <v>186</v>
      </c>
      <c r="AU2" s="79" t="s">
        <v>187</v>
      </c>
      <c r="AV2" s="79" t="s">
        <v>188</v>
      </c>
      <c r="AW2" s="79" t="s">
        <v>189</v>
      </c>
      <c r="AX2" s="79" t="s">
        <v>190</v>
      </c>
      <c r="AY2" s="79" t="s">
        <v>191</v>
      </c>
      <c r="AZ2" s="79" t="s">
        <v>192</v>
      </c>
      <c r="BA2" s="79" t="s">
        <v>193</v>
      </c>
      <c r="BB2" s="79" t="s">
        <v>194</v>
      </c>
      <c r="BC2" s="79" t="s">
        <v>195</v>
      </c>
      <c r="BD2" s="79" t="s">
        <v>196</v>
      </c>
      <c r="BE2" s="79" t="s">
        <v>197</v>
      </c>
      <c r="BF2" s="79" t="s">
        <v>198</v>
      </c>
      <c r="BG2" s="79" t="s">
        <v>199</v>
      </c>
      <c r="BH2" s="79" t="s">
        <v>200</v>
      </c>
      <c r="BI2" s="79" t="s">
        <v>201</v>
      </c>
      <c r="BJ2" s="79" t="s">
        <v>202</v>
      </c>
      <c r="BK2" s="79" t="s">
        <v>203</v>
      </c>
      <c r="BL2" s="79" t="s">
        <v>204</v>
      </c>
    </row>
    <row r="3" ht="11.25" customHeight="1">
      <c r="A3" s="72" t="str">
        <f>'INSTALAÇÕES'!B9</f>
        <v/>
      </c>
      <c r="B3" s="73" t="str">
        <f>'INSTALAÇÕES'!B13</f>
        <v>Santos</v>
      </c>
      <c r="C3" s="74" t="s">
        <v>27</v>
      </c>
      <c r="D3" s="75" t="s">
        <v>35</v>
      </c>
      <c r="E3" s="75" t="s">
        <v>51</v>
      </c>
      <c r="F3" s="76" t="s">
        <v>26</v>
      </c>
      <c r="G3" s="75" t="s">
        <v>57</v>
      </c>
      <c r="H3" s="77" t="s">
        <v>25</v>
      </c>
      <c r="I3" s="68" t="s">
        <v>40</v>
      </c>
      <c r="J3" s="70"/>
      <c r="K3" s="68" t="s">
        <v>40</v>
      </c>
      <c r="L3" s="71" t="s">
        <v>48</v>
      </c>
      <c r="M3" s="78">
        <f t="shared" ref="M3:O3" si="2">ROUND(M6/VLOOKUP($K3,$K$10:$M$12,3,FALSE),0)</f>
        <v>4000</v>
      </c>
      <c r="N3" s="78">
        <f t="shared" si="2"/>
        <v>96000</v>
      </c>
      <c r="O3" s="78">
        <f t="shared" si="2"/>
        <v>400000</v>
      </c>
      <c r="P3" s="70"/>
      <c r="Q3" s="79" t="s">
        <v>41</v>
      </c>
      <c r="R3" s="79" t="s">
        <v>53</v>
      </c>
      <c r="S3" s="79" t="s">
        <v>72</v>
      </c>
      <c r="T3" s="79" t="s">
        <v>205</v>
      </c>
      <c r="U3" s="79" t="s">
        <v>206</v>
      </c>
      <c r="V3" s="79" t="s">
        <v>207</v>
      </c>
      <c r="W3" s="79" t="s">
        <v>208</v>
      </c>
      <c r="X3" s="79" t="s">
        <v>209</v>
      </c>
      <c r="Y3" s="79" t="s">
        <v>210</v>
      </c>
      <c r="Z3" s="79" t="s">
        <v>211</v>
      </c>
      <c r="AA3" s="79" t="s">
        <v>212</v>
      </c>
      <c r="AB3" s="79" t="s">
        <v>213</v>
      </c>
      <c r="AC3" s="79" t="s">
        <v>214</v>
      </c>
      <c r="AD3" s="79" t="s">
        <v>215</v>
      </c>
      <c r="AE3" s="79" t="s">
        <v>216</v>
      </c>
      <c r="AF3" s="79" t="s">
        <v>217</v>
      </c>
      <c r="AG3" s="79" t="s">
        <v>218</v>
      </c>
      <c r="AH3" s="79" t="s">
        <v>219</v>
      </c>
      <c r="AI3" s="79" t="s">
        <v>220</v>
      </c>
      <c r="AJ3" s="79" t="s">
        <v>221</v>
      </c>
      <c r="AK3" s="79" t="s">
        <v>222</v>
      </c>
      <c r="AL3" s="79" t="s">
        <v>223</v>
      </c>
      <c r="AM3" s="79" t="s">
        <v>224</v>
      </c>
      <c r="AN3" s="79" t="s">
        <v>225</v>
      </c>
      <c r="AO3" s="79" t="s">
        <v>226</v>
      </c>
      <c r="AP3" s="79" t="s">
        <v>227</v>
      </c>
      <c r="AQ3" s="79" t="s">
        <v>228</v>
      </c>
      <c r="AR3" s="79" t="s">
        <v>229</v>
      </c>
      <c r="AS3" s="79" t="s">
        <v>230</v>
      </c>
      <c r="AT3" s="79" t="s">
        <v>231</v>
      </c>
      <c r="AU3" s="79" t="s">
        <v>232</v>
      </c>
      <c r="AV3" s="79" t="s">
        <v>233</v>
      </c>
      <c r="AW3" s="79" t="s">
        <v>234</v>
      </c>
      <c r="AX3" s="79" t="s">
        <v>235</v>
      </c>
      <c r="AY3" s="79" t="s">
        <v>236</v>
      </c>
      <c r="AZ3" s="79" t="s">
        <v>237</v>
      </c>
      <c r="BA3" s="79" t="s">
        <v>238</v>
      </c>
      <c r="BB3" s="79" t="s">
        <v>239</v>
      </c>
      <c r="BC3" s="79" t="s">
        <v>240</v>
      </c>
      <c r="BD3" s="79" t="s">
        <v>241</v>
      </c>
      <c r="BE3" s="79" t="s">
        <v>242</v>
      </c>
      <c r="BF3" s="79" t="s">
        <v>243</v>
      </c>
      <c r="BG3" s="79" t="s">
        <v>244</v>
      </c>
      <c r="BH3" s="79" t="s">
        <v>245</v>
      </c>
      <c r="BI3" s="79" t="s">
        <v>246</v>
      </c>
      <c r="BJ3" s="79" t="s">
        <v>247</v>
      </c>
      <c r="BK3" s="79" t="s">
        <v>248</v>
      </c>
      <c r="BL3" s="79" t="s">
        <v>249</v>
      </c>
    </row>
    <row r="4" ht="11.25" customHeight="1">
      <c r="A4" s="70"/>
      <c r="B4" s="73" t="str">
        <f>'INSTALAÇÕES'!B14</f>
        <v/>
      </c>
      <c r="C4" s="74" t="s">
        <v>35</v>
      </c>
      <c r="D4" s="75" t="s">
        <v>56</v>
      </c>
      <c r="E4" s="75" t="s">
        <v>29</v>
      </c>
      <c r="F4" s="76" t="s">
        <v>30</v>
      </c>
      <c r="G4" s="75" t="s">
        <v>58</v>
      </c>
      <c r="H4" s="77" t="s">
        <v>37</v>
      </c>
      <c r="I4" s="68" t="s">
        <v>42</v>
      </c>
      <c r="J4" s="70"/>
      <c r="K4" s="68" t="s">
        <v>42</v>
      </c>
      <c r="L4" s="71" t="s">
        <v>48</v>
      </c>
      <c r="M4" s="78">
        <f t="shared" ref="M4:O4" si="3">ROUND(M7/VLOOKUP($K4,$K$10:$M$12,3,FALSE),0)</f>
        <v>6667</v>
      </c>
      <c r="N4" s="78">
        <f t="shared" si="3"/>
        <v>160000</v>
      </c>
      <c r="O4" s="78">
        <f t="shared" si="3"/>
        <v>666667</v>
      </c>
      <c r="P4" s="70"/>
      <c r="Q4" s="79" t="s">
        <v>39</v>
      </c>
      <c r="R4" s="79" t="s">
        <v>54</v>
      </c>
      <c r="S4" s="79" t="s">
        <v>73</v>
      </c>
      <c r="T4" s="79" t="s">
        <v>250</v>
      </c>
      <c r="U4" s="79" t="s">
        <v>251</v>
      </c>
      <c r="V4" s="79" t="s">
        <v>252</v>
      </c>
      <c r="W4" s="79" t="s">
        <v>253</v>
      </c>
      <c r="X4" s="79" t="s">
        <v>254</v>
      </c>
      <c r="Y4" s="79" t="s">
        <v>255</v>
      </c>
      <c r="Z4" s="79" t="s">
        <v>256</v>
      </c>
      <c r="AA4" s="79" t="s">
        <v>257</v>
      </c>
      <c r="AB4" s="79" t="s">
        <v>258</v>
      </c>
      <c r="AC4" s="79" t="s">
        <v>259</v>
      </c>
      <c r="AD4" s="79" t="s">
        <v>260</v>
      </c>
      <c r="AE4" s="79" t="s">
        <v>261</v>
      </c>
      <c r="AF4" s="79" t="s">
        <v>262</v>
      </c>
      <c r="AG4" s="79" t="s">
        <v>263</v>
      </c>
      <c r="AH4" s="79" t="s">
        <v>264</v>
      </c>
      <c r="AI4" s="79" t="s">
        <v>265</v>
      </c>
      <c r="AJ4" s="79" t="s">
        <v>266</v>
      </c>
      <c r="AK4" s="79" t="s">
        <v>267</v>
      </c>
      <c r="AL4" s="79" t="s">
        <v>268</v>
      </c>
      <c r="AM4" s="79" t="s">
        <v>269</v>
      </c>
      <c r="AN4" s="79" t="s">
        <v>270</v>
      </c>
      <c r="AO4" s="79" t="s">
        <v>271</v>
      </c>
      <c r="AP4" s="79" t="s">
        <v>272</v>
      </c>
      <c r="AQ4" s="79" t="s">
        <v>273</v>
      </c>
      <c r="AR4" s="79" t="s">
        <v>274</v>
      </c>
      <c r="AS4" s="79" t="s">
        <v>275</v>
      </c>
      <c r="AT4" s="79" t="s">
        <v>276</v>
      </c>
      <c r="AU4" s="79" t="s">
        <v>277</v>
      </c>
      <c r="AV4" s="79" t="s">
        <v>278</v>
      </c>
      <c r="AW4" s="79" t="s">
        <v>279</v>
      </c>
      <c r="AX4" s="79" t="s">
        <v>280</v>
      </c>
      <c r="AY4" s="79" t="s">
        <v>281</v>
      </c>
      <c r="AZ4" s="79" t="s">
        <v>282</v>
      </c>
      <c r="BA4" s="79" t="s">
        <v>283</v>
      </c>
      <c r="BB4" s="79" t="s">
        <v>284</v>
      </c>
      <c r="BC4" s="79" t="s">
        <v>285</v>
      </c>
      <c r="BD4" s="79" t="s">
        <v>286</v>
      </c>
      <c r="BE4" s="79" t="s">
        <v>287</v>
      </c>
      <c r="BF4" s="79" t="s">
        <v>288</v>
      </c>
      <c r="BG4" s="79" t="s">
        <v>289</v>
      </c>
      <c r="BH4" s="79" t="s">
        <v>290</v>
      </c>
      <c r="BI4" s="79" t="s">
        <v>291</v>
      </c>
      <c r="BJ4" s="79" t="s">
        <v>292</v>
      </c>
      <c r="BK4" s="79" t="s">
        <v>293</v>
      </c>
      <c r="BL4" s="79" t="s">
        <v>294</v>
      </c>
    </row>
    <row r="5" ht="11.25" customHeight="1">
      <c r="A5" s="70"/>
      <c r="B5" s="73" t="str">
        <f>'INSTALAÇÕES'!B15</f>
        <v/>
      </c>
      <c r="C5" s="80"/>
      <c r="D5" s="80"/>
      <c r="E5" s="75" t="s">
        <v>52</v>
      </c>
      <c r="F5" s="76" t="s">
        <v>30</v>
      </c>
      <c r="G5" s="75" t="s">
        <v>77</v>
      </c>
      <c r="H5" s="80"/>
      <c r="I5" s="68" t="s">
        <v>26</v>
      </c>
      <c r="J5" s="70"/>
      <c r="K5" s="68" t="s">
        <v>26</v>
      </c>
      <c r="L5" s="71" t="s">
        <v>49</v>
      </c>
      <c r="M5" s="81">
        <v>1.0</v>
      </c>
      <c r="N5" s="81">
        <v>24.0</v>
      </c>
      <c r="O5" s="81">
        <v>100.0</v>
      </c>
      <c r="P5" s="70"/>
      <c r="Q5" s="79" t="s">
        <v>33</v>
      </c>
      <c r="R5" s="79" t="s">
        <v>55</v>
      </c>
      <c r="S5" s="79" t="s">
        <v>74</v>
      </c>
      <c r="T5" s="79" t="s">
        <v>295</v>
      </c>
      <c r="U5" s="79" t="s">
        <v>296</v>
      </c>
      <c r="V5" s="79" t="s">
        <v>297</v>
      </c>
      <c r="W5" s="79" t="s">
        <v>298</v>
      </c>
      <c r="X5" s="79" t="s">
        <v>299</v>
      </c>
      <c r="Y5" s="79" t="s">
        <v>300</v>
      </c>
      <c r="Z5" s="79" t="s">
        <v>301</v>
      </c>
      <c r="AA5" s="79" t="s">
        <v>302</v>
      </c>
      <c r="AB5" s="79" t="s">
        <v>303</v>
      </c>
      <c r="AC5" s="79" t="s">
        <v>304</v>
      </c>
      <c r="AD5" s="79" t="s">
        <v>305</v>
      </c>
      <c r="AE5" s="79" t="s">
        <v>306</v>
      </c>
      <c r="AF5" s="79" t="s">
        <v>307</v>
      </c>
      <c r="AG5" s="79" t="s">
        <v>308</v>
      </c>
      <c r="AH5" s="79" t="s">
        <v>309</v>
      </c>
      <c r="AI5" s="79" t="s">
        <v>310</v>
      </c>
      <c r="AJ5" s="79" t="s">
        <v>311</v>
      </c>
      <c r="AK5" s="79" t="s">
        <v>312</v>
      </c>
      <c r="AL5" s="79" t="s">
        <v>313</v>
      </c>
      <c r="AM5" s="79" t="s">
        <v>314</v>
      </c>
      <c r="AN5" s="79" t="s">
        <v>315</v>
      </c>
      <c r="AO5" s="79" t="s">
        <v>316</v>
      </c>
      <c r="AP5" s="79" t="s">
        <v>317</v>
      </c>
      <c r="AQ5" s="79" t="s">
        <v>318</v>
      </c>
      <c r="AR5" s="79" t="s">
        <v>319</v>
      </c>
      <c r="AS5" s="79" t="s">
        <v>320</v>
      </c>
      <c r="AT5" s="79" t="s">
        <v>321</v>
      </c>
      <c r="AU5" s="79" t="s">
        <v>322</v>
      </c>
      <c r="AV5" s="79" t="s">
        <v>323</v>
      </c>
      <c r="AW5" s="79" t="s">
        <v>324</v>
      </c>
      <c r="AX5" s="79" t="s">
        <v>325</v>
      </c>
      <c r="AY5" s="79" t="s">
        <v>326</v>
      </c>
      <c r="AZ5" s="79" t="s">
        <v>327</v>
      </c>
      <c r="BA5" s="79" t="s">
        <v>328</v>
      </c>
      <c r="BB5" s="79" t="s">
        <v>329</v>
      </c>
      <c r="BC5" s="79" t="s">
        <v>330</v>
      </c>
      <c r="BD5" s="79" t="s">
        <v>331</v>
      </c>
      <c r="BE5" s="79" t="s">
        <v>332</v>
      </c>
      <c r="BF5" s="79" t="s">
        <v>333</v>
      </c>
      <c r="BG5" s="79" t="s">
        <v>334</v>
      </c>
      <c r="BH5" s="79" t="s">
        <v>335</v>
      </c>
      <c r="BI5" s="79" t="s">
        <v>336</v>
      </c>
      <c r="BJ5" s="79" t="s">
        <v>337</v>
      </c>
      <c r="BK5" s="79" t="s">
        <v>338</v>
      </c>
      <c r="BL5" s="79" t="s">
        <v>339</v>
      </c>
    </row>
    <row r="6" ht="11.25" customHeight="1">
      <c r="A6" s="70"/>
      <c r="B6" s="70"/>
      <c r="C6" s="80"/>
      <c r="D6" s="80"/>
      <c r="E6" s="75" t="s">
        <v>28</v>
      </c>
      <c r="F6" s="76" t="s">
        <v>32</v>
      </c>
      <c r="G6" s="75" t="s">
        <v>59</v>
      </c>
      <c r="H6" s="80"/>
      <c r="I6" s="68" t="s">
        <v>30</v>
      </c>
      <c r="J6" s="70"/>
      <c r="K6" s="68" t="s">
        <v>30</v>
      </c>
      <c r="L6" s="71" t="s">
        <v>49</v>
      </c>
      <c r="M6" s="81">
        <v>1.0</v>
      </c>
      <c r="N6" s="81">
        <v>24.0</v>
      </c>
      <c r="O6" s="81">
        <v>100.0</v>
      </c>
      <c r="P6" s="70"/>
      <c r="Q6" s="79" t="s">
        <v>340</v>
      </c>
      <c r="R6" s="79" t="s">
        <v>341</v>
      </c>
      <c r="S6" s="79" t="s">
        <v>79</v>
      </c>
      <c r="T6" s="79" t="s">
        <v>342</v>
      </c>
      <c r="U6" s="79" t="s">
        <v>343</v>
      </c>
      <c r="V6" s="79" t="s">
        <v>344</v>
      </c>
      <c r="W6" s="79" t="s">
        <v>345</v>
      </c>
      <c r="X6" s="79" t="s">
        <v>346</v>
      </c>
      <c r="Y6" s="79" t="s">
        <v>347</v>
      </c>
      <c r="Z6" s="79" t="s">
        <v>348</v>
      </c>
      <c r="AA6" s="79" t="s">
        <v>349</v>
      </c>
      <c r="AB6" s="79" t="s">
        <v>350</v>
      </c>
      <c r="AC6" s="79" t="s">
        <v>351</v>
      </c>
      <c r="AD6" s="79" t="s">
        <v>352</v>
      </c>
      <c r="AE6" s="79" t="s">
        <v>353</v>
      </c>
      <c r="AF6" s="79" t="s">
        <v>354</v>
      </c>
      <c r="AG6" s="79" t="s">
        <v>355</v>
      </c>
      <c r="AH6" s="79" t="s">
        <v>356</v>
      </c>
      <c r="AI6" s="79" t="s">
        <v>357</v>
      </c>
      <c r="AJ6" s="79" t="s">
        <v>358</v>
      </c>
      <c r="AK6" s="79" t="s">
        <v>359</v>
      </c>
      <c r="AL6" s="79" t="s">
        <v>360</v>
      </c>
      <c r="AM6" s="79" t="s">
        <v>361</v>
      </c>
      <c r="AN6" s="79" t="s">
        <v>362</v>
      </c>
      <c r="AO6" s="79" t="s">
        <v>363</v>
      </c>
      <c r="AP6" s="79" t="s">
        <v>364</v>
      </c>
      <c r="AQ6" s="79" t="s">
        <v>365</v>
      </c>
      <c r="AR6" s="79" t="s">
        <v>366</v>
      </c>
      <c r="AS6" s="79" t="s">
        <v>367</v>
      </c>
      <c r="AT6" s="79" t="s">
        <v>368</v>
      </c>
      <c r="AU6" s="79" t="s">
        <v>369</v>
      </c>
      <c r="AV6" s="79" t="s">
        <v>370</v>
      </c>
      <c r="AW6" s="79" t="s">
        <v>371</v>
      </c>
      <c r="AX6" s="79" t="s">
        <v>372</v>
      </c>
      <c r="AY6" s="79" t="s">
        <v>373</v>
      </c>
      <c r="AZ6" s="79" t="s">
        <v>374</v>
      </c>
      <c r="BA6" s="79" t="s">
        <v>375</v>
      </c>
      <c r="BB6" s="79" t="s">
        <v>376</v>
      </c>
      <c r="BC6" s="79" t="s">
        <v>377</v>
      </c>
      <c r="BD6" s="79" t="s">
        <v>378</v>
      </c>
      <c r="BE6" s="79" t="s">
        <v>379</v>
      </c>
      <c r="BF6" s="79" t="s">
        <v>380</v>
      </c>
      <c r="BG6" s="79" t="s">
        <v>381</v>
      </c>
      <c r="BH6" s="79" t="s">
        <v>382</v>
      </c>
      <c r="BI6" s="79" t="s">
        <v>383</v>
      </c>
      <c r="BJ6" s="79" t="s">
        <v>384</v>
      </c>
      <c r="BK6" s="79" t="s">
        <v>385</v>
      </c>
      <c r="BL6" s="79" t="s">
        <v>386</v>
      </c>
    </row>
    <row r="7" ht="11.25" customHeight="1">
      <c r="A7" s="70"/>
      <c r="B7" s="70"/>
      <c r="C7" s="80"/>
      <c r="D7" s="80"/>
      <c r="E7" s="75" t="s">
        <v>31</v>
      </c>
      <c r="F7" s="76" t="s">
        <v>32</v>
      </c>
      <c r="G7" s="75" t="s">
        <v>29</v>
      </c>
      <c r="H7" s="80"/>
      <c r="I7" s="68" t="s">
        <v>32</v>
      </c>
      <c r="J7" s="70"/>
      <c r="K7" s="68" t="s">
        <v>32</v>
      </c>
      <c r="L7" s="71" t="s">
        <v>49</v>
      </c>
      <c r="M7" s="81">
        <v>1.0</v>
      </c>
      <c r="N7" s="81">
        <v>24.0</v>
      </c>
      <c r="O7" s="81">
        <v>100.0</v>
      </c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</row>
    <row r="8" ht="11.25" customHeight="1">
      <c r="A8" s="70"/>
      <c r="B8" s="70"/>
      <c r="C8" s="80"/>
      <c r="D8" s="80"/>
      <c r="E8" s="70"/>
      <c r="F8" s="70"/>
      <c r="G8" s="75" t="s">
        <v>76</v>
      </c>
      <c r="H8" s="8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</row>
    <row r="9" ht="11.25" customHeight="1">
      <c r="A9" s="70"/>
      <c r="B9" s="70"/>
      <c r="C9" s="80"/>
      <c r="D9" s="80"/>
      <c r="E9" s="70"/>
      <c r="F9" s="70"/>
      <c r="G9" s="75" t="s">
        <v>60</v>
      </c>
      <c r="H9" s="80"/>
      <c r="I9" s="70"/>
      <c r="J9" s="70"/>
      <c r="K9" s="70" t="s">
        <v>46</v>
      </c>
      <c r="L9" s="70" t="s">
        <v>387</v>
      </c>
      <c r="M9" s="70" t="s">
        <v>388</v>
      </c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</row>
    <row r="10" ht="11.25" customHeight="1">
      <c r="A10" s="80"/>
      <c r="B10" s="80"/>
      <c r="C10" s="80"/>
      <c r="D10" s="80"/>
      <c r="E10" s="70"/>
      <c r="F10" s="70"/>
      <c r="G10" s="75" t="s">
        <v>61</v>
      </c>
      <c r="H10" s="80"/>
      <c r="I10" s="70"/>
      <c r="J10" s="70"/>
      <c r="K10" s="70" t="s">
        <v>34</v>
      </c>
      <c r="L10" s="82">
        <v>300.0</v>
      </c>
      <c r="M10" s="83">
        <f t="shared" ref="M10:M12" si="4">L10/1000000</f>
        <v>0.0003</v>
      </c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</row>
    <row r="11" ht="11.25" customHeight="1">
      <c r="A11" s="80"/>
      <c r="B11" s="80"/>
      <c r="C11" s="80"/>
      <c r="D11" s="80"/>
      <c r="E11" s="70"/>
      <c r="F11" s="70"/>
      <c r="G11" s="75" t="s">
        <v>62</v>
      </c>
      <c r="H11" s="80"/>
      <c r="I11" s="70"/>
      <c r="J11" s="70"/>
      <c r="K11" s="70" t="s">
        <v>40</v>
      </c>
      <c r="L11" s="82">
        <v>250.0</v>
      </c>
      <c r="M11" s="83">
        <f t="shared" si="4"/>
        <v>0.00025</v>
      </c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</row>
    <row r="12" ht="11.25" customHeight="1">
      <c r="A12" s="70"/>
      <c r="B12" s="70"/>
      <c r="C12" s="70"/>
      <c r="D12" s="70"/>
      <c r="E12" s="70"/>
      <c r="F12" s="70"/>
      <c r="G12" s="75" t="s">
        <v>28</v>
      </c>
      <c r="H12" s="70"/>
      <c r="I12" s="70"/>
      <c r="J12" s="70"/>
      <c r="K12" s="70" t="s">
        <v>42</v>
      </c>
      <c r="L12" s="82">
        <v>150.0</v>
      </c>
      <c r="M12" s="83">
        <f t="shared" si="4"/>
        <v>0.00015</v>
      </c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</row>
    <row r="13" ht="11.25" customHeight="1">
      <c r="A13" s="70"/>
      <c r="B13" s="70"/>
      <c r="C13" s="70"/>
      <c r="D13" s="70"/>
      <c r="E13" s="70"/>
      <c r="F13" s="70"/>
      <c r="G13" s="75" t="s">
        <v>63</v>
      </c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</row>
    <row r="14" ht="11.25" customHeight="1">
      <c r="A14" s="70"/>
      <c r="B14" s="70"/>
      <c r="C14" s="70"/>
      <c r="D14" s="70"/>
      <c r="E14" s="70"/>
      <c r="F14" s="70"/>
      <c r="G14" s="75" t="s">
        <v>23</v>
      </c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</row>
    <row r="15" ht="11.25" customHeight="1">
      <c r="A15" s="70"/>
      <c r="B15" s="70"/>
      <c r="C15" s="70"/>
      <c r="D15" s="70"/>
      <c r="E15" s="70"/>
      <c r="F15" s="70"/>
      <c r="G15" s="75" t="s">
        <v>64</v>
      </c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</row>
    <row r="16" ht="11.25" customHeight="1">
      <c r="A16" s="70"/>
      <c r="B16" s="70"/>
      <c r="C16" s="70"/>
      <c r="D16" s="70"/>
      <c r="E16" s="70"/>
      <c r="F16" s="70"/>
      <c r="G16" s="75" t="s">
        <v>31</v>
      </c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</row>
    <row r="17" ht="11.25" customHeight="1">
      <c r="A17" s="70"/>
      <c r="B17" s="70"/>
      <c r="C17" s="70"/>
      <c r="D17" s="70"/>
      <c r="E17" s="70"/>
      <c r="F17" s="70"/>
      <c r="G17" s="75" t="s">
        <v>65</v>
      </c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</row>
    <row r="18" ht="11.25" customHeight="1">
      <c r="A18" s="70"/>
      <c r="B18" s="70"/>
      <c r="C18" s="70"/>
      <c r="D18" s="70"/>
      <c r="E18" s="70"/>
      <c r="F18" s="70"/>
      <c r="G18" s="75" t="s">
        <v>78</v>
      </c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</row>
    <row r="19" ht="11.25" customHeight="1">
      <c r="A19" s="70"/>
      <c r="B19" s="70"/>
      <c r="C19" s="70"/>
      <c r="D19" s="70"/>
      <c r="E19" s="70"/>
      <c r="F19" s="70"/>
      <c r="G19" s="75" t="s">
        <v>66</v>
      </c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</row>
    <row r="20" ht="11.25" customHeight="1">
      <c r="A20" s="70"/>
      <c r="B20" s="70"/>
      <c r="C20" s="70"/>
      <c r="D20" s="70"/>
      <c r="E20" s="70"/>
      <c r="F20" s="70"/>
      <c r="G20" s="75" t="s">
        <v>67</v>
      </c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</row>
    <row r="21" ht="11.25" customHeight="1">
      <c r="A21" s="70"/>
      <c r="B21" s="70"/>
      <c r="C21" s="70"/>
      <c r="D21" s="70"/>
      <c r="E21" s="70"/>
      <c r="F21" s="70"/>
      <c r="G21" s="75" t="s">
        <v>38</v>
      </c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</row>
    <row r="22" ht="11.25" customHeight="1">
      <c r="A22" s="70"/>
      <c r="B22" s="70"/>
      <c r="C22" s="70"/>
      <c r="D22" s="70"/>
      <c r="E22" s="70"/>
      <c r="F22" s="70"/>
      <c r="G22" s="75" t="s">
        <v>36</v>
      </c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</row>
    <row r="23" ht="11.25" customHeight="1">
      <c r="A23" s="70"/>
      <c r="B23" s="70"/>
      <c r="C23" s="70"/>
      <c r="D23" s="70"/>
      <c r="E23" s="70"/>
      <c r="F23" s="70"/>
      <c r="G23" s="75" t="s">
        <v>75</v>
      </c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</row>
    <row r="24" ht="11.25" customHeight="1">
      <c r="A24" s="70"/>
      <c r="B24" s="70"/>
      <c r="C24" s="70"/>
      <c r="D24" s="70"/>
      <c r="E24" s="70"/>
      <c r="F24" s="70"/>
      <c r="G24" s="75" t="s">
        <v>68</v>
      </c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</row>
    <row r="25" ht="11.25" customHeight="1">
      <c r="A25" s="70"/>
      <c r="B25" s="70"/>
      <c r="C25" s="70"/>
      <c r="D25" s="70"/>
      <c r="E25" s="70"/>
      <c r="F25" s="70"/>
      <c r="G25" s="75" t="s">
        <v>69</v>
      </c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</row>
    <row r="26" ht="11.25" customHeight="1">
      <c r="A26" s="70"/>
      <c r="B26" s="70"/>
      <c r="C26" s="70"/>
      <c r="D26" s="70"/>
      <c r="E26" s="70"/>
      <c r="F26" s="70"/>
      <c r="G26" s="75" t="s">
        <v>52</v>
      </c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</row>
    <row r="27" ht="11.25" customHeight="1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</row>
    <row r="28" ht="11.25" customHeight="1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</row>
    <row r="29" ht="11.25" customHeight="1">
      <c r="A29" s="70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</row>
    <row r="30" ht="11.25" customHeight="1">
      <c r="A30" s="70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</row>
    <row r="31" ht="11.25" customHeight="1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</row>
    <row r="32" ht="11.25" customHeight="1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</row>
    <row r="33" ht="11.25" customHeight="1">
      <c r="A33" s="70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</row>
    <row r="34" ht="11.25" customHeight="1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</row>
    <row r="35" ht="11.25" customHeight="1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</row>
    <row r="36" ht="11.25" customHeight="1">
      <c r="A36" s="70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</row>
    <row r="37" ht="11.25" customHeight="1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</row>
    <row r="38" ht="11.25" customHeight="1">
      <c r="A38" s="70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</row>
    <row r="39" ht="11.25" customHeight="1">
      <c r="A39" s="70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</row>
    <row r="40" ht="11.25" customHeight="1">
      <c r="A40" s="70"/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</row>
    <row r="41" ht="11.25" customHeight="1">
      <c r="A41" s="70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</row>
    <row r="42" ht="11.25" customHeight="1">
      <c r="A42" s="70"/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</row>
    <row r="43" ht="11.25" customHeight="1">
      <c r="A43" s="70"/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</row>
    <row r="44" ht="11.25" customHeight="1">
      <c r="A44" s="70"/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</row>
    <row r="45" ht="11.25" customHeight="1">
      <c r="A45" s="70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</row>
    <row r="46" ht="11.25" customHeight="1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</row>
    <row r="47" ht="11.25" customHeight="1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</row>
    <row r="48" ht="11.25" customHeight="1">
      <c r="A48" s="70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</row>
    <row r="49" ht="11.25" customHeight="1">
      <c r="A49" s="70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</row>
    <row r="50" ht="11.25" customHeight="1">
      <c r="A50" s="70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</row>
    <row r="51" ht="11.25" customHeight="1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</row>
    <row r="52" ht="11.25" customHeight="1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</row>
    <row r="53" ht="11.25" customHeight="1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</row>
    <row r="54" ht="11.25" customHeight="1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</row>
    <row r="55" ht="11.25" customHeight="1">
      <c r="A55" s="70"/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</row>
    <row r="56" ht="11.25" customHeight="1">
      <c r="A56" s="70"/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</row>
    <row r="57" ht="11.25" customHeight="1">
      <c r="A57" s="70"/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</row>
    <row r="58" ht="11.25" customHeight="1">
      <c r="A58" s="70"/>
      <c r="B58" s="70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</row>
    <row r="59" ht="11.25" customHeight="1">
      <c r="A59" s="70"/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</row>
    <row r="60" ht="11.25" customHeight="1">
      <c r="A60" s="70"/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</row>
    <row r="61" ht="11.25" customHeight="1">
      <c r="A61" s="70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</row>
    <row r="62" ht="11.25" customHeight="1">
      <c r="A62" s="70"/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</row>
    <row r="63" ht="11.25" customHeight="1">
      <c r="A63" s="70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</row>
    <row r="64" ht="11.25" customHeight="1">
      <c r="A64" s="70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</row>
    <row r="65" ht="11.25" customHeight="1">
      <c r="A65" s="70"/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</row>
    <row r="66" ht="11.25" customHeight="1">
      <c r="A66" s="70"/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</row>
    <row r="67" ht="11.25" customHeight="1">
      <c r="A67" s="7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</row>
    <row r="68" ht="11.25" customHeight="1">
      <c r="A68" s="70"/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</row>
    <row r="69" ht="11.25" customHeight="1">
      <c r="A69" s="70"/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</row>
    <row r="70" ht="11.25" customHeight="1">
      <c r="A70" s="70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</row>
    <row r="71" ht="11.25" customHeight="1">
      <c r="A71" s="70"/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</row>
    <row r="72" ht="11.25" customHeight="1">
      <c r="A72" s="70"/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</row>
    <row r="73" ht="11.25" customHeight="1">
      <c r="A73" s="7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</row>
    <row r="74" ht="11.25" customHeight="1">
      <c r="A74" s="7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</row>
    <row r="75" ht="11.25" customHeight="1">
      <c r="A75" s="70"/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</row>
    <row r="76" ht="11.25" customHeight="1">
      <c r="A76" s="70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</row>
    <row r="77" ht="11.25" customHeight="1">
      <c r="A77" s="70"/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</row>
    <row r="78" ht="11.25" customHeight="1">
      <c r="A78" s="7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</row>
    <row r="79" ht="11.25" customHeight="1">
      <c r="A79" s="70"/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</row>
    <row r="80" ht="11.25" customHeight="1">
      <c r="A80" s="70"/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</row>
    <row r="81" ht="11.25" customHeight="1">
      <c r="A81" s="70"/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</row>
    <row r="82" ht="11.25" customHeight="1">
      <c r="A82" s="70"/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</row>
    <row r="83" ht="11.25" customHeight="1">
      <c r="A83" s="70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</row>
    <row r="84" ht="11.25" customHeight="1">
      <c r="A84" s="70"/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</row>
    <row r="85" ht="11.25" customHeight="1">
      <c r="A85" s="70"/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</row>
    <row r="86" ht="11.25" customHeight="1">
      <c r="A86" s="70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</row>
    <row r="87" ht="11.25" customHeight="1">
      <c r="A87" s="70"/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</row>
    <row r="88" ht="11.25" customHeight="1">
      <c r="A88" s="70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</row>
    <row r="89" ht="11.25" customHeight="1">
      <c r="A89" s="70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</row>
    <row r="90" ht="11.25" customHeight="1">
      <c r="A90" s="70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</row>
    <row r="91" ht="11.25" customHeight="1">
      <c r="A91" s="70"/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</row>
    <row r="92" ht="11.25" customHeight="1">
      <c r="A92" s="70"/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</row>
    <row r="93" ht="11.25" customHeight="1">
      <c r="A93" s="70"/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</row>
    <row r="94" ht="11.25" customHeight="1">
      <c r="A94" s="70"/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</row>
    <row r="95" ht="11.25" customHeight="1">
      <c r="A95" s="70"/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</row>
    <row r="96" ht="11.25" customHeight="1">
      <c r="A96" s="70"/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</row>
    <row r="97" ht="11.25" customHeight="1">
      <c r="A97" s="70"/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</row>
    <row r="98" ht="11.25" customHeight="1">
      <c r="A98" s="7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</row>
    <row r="99" ht="11.25" customHeight="1">
      <c r="A99" s="70"/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</row>
    <row r="100" ht="11.25" customHeight="1">
      <c r="A100" s="70"/>
      <c r="B100" s="70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</row>
    <row r="101" ht="11.25" customHeight="1">
      <c r="A101" s="70"/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</row>
    <row r="102" ht="11.25" customHeight="1">
      <c r="A102" s="70"/>
      <c r="B102" s="70"/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</row>
    <row r="103" ht="11.25" customHeight="1">
      <c r="A103" s="70"/>
      <c r="B103" s="70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</row>
    <row r="104" ht="11.25" customHeight="1">
      <c r="A104" s="70"/>
      <c r="B104" s="70"/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</row>
    <row r="105" ht="11.25" customHeight="1">
      <c r="A105" s="70"/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</row>
    <row r="106" ht="11.25" customHeight="1">
      <c r="A106" s="70"/>
      <c r="B106" s="70"/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</row>
    <row r="107" ht="11.25" customHeight="1">
      <c r="A107" s="70"/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</row>
    <row r="108" ht="11.25" customHeight="1">
      <c r="A108" s="70"/>
      <c r="B108" s="70"/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</row>
    <row r="109" ht="11.25" customHeight="1">
      <c r="A109" s="70"/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</row>
    <row r="110" ht="11.25" customHeight="1">
      <c r="A110" s="70"/>
      <c r="B110" s="70"/>
      <c r="C110" s="70"/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</row>
    <row r="111" ht="11.25" customHeight="1">
      <c r="A111" s="70"/>
      <c r="B111" s="70"/>
      <c r="C111" s="70"/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</row>
    <row r="112" ht="11.25" customHeight="1">
      <c r="A112" s="70"/>
      <c r="B112" s="70"/>
      <c r="C112" s="70"/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</row>
    <row r="113" ht="11.25" customHeight="1">
      <c r="A113" s="70"/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</row>
    <row r="114" ht="11.25" customHeight="1">
      <c r="A114" s="70"/>
      <c r="B114" s="70"/>
      <c r="C114" s="70"/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</row>
    <row r="115" ht="11.25" customHeight="1">
      <c r="A115" s="70"/>
      <c r="B115" s="70"/>
      <c r="C115" s="70"/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</row>
    <row r="116" ht="11.25" customHeight="1">
      <c r="A116" s="70"/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</row>
    <row r="117" ht="11.25" customHeight="1">
      <c r="A117" s="70"/>
      <c r="B117" s="70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</row>
    <row r="118" ht="11.25" customHeight="1">
      <c r="A118" s="70"/>
      <c r="B118" s="70"/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</row>
    <row r="119" ht="11.25" customHeight="1">
      <c r="A119" s="70"/>
      <c r="B119" s="70"/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</row>
    <row r="120" ht="11.25" customHeight="1">
      <c r="A120" s="70"/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</row>
    <row r="121" ht="11.25" customHeight="1">
      <c r="A121" s="70"/>
      <c r="B121" s="70"/>
      <c r="C121" s="70"/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</row>
    <row r="122" ht="11.25" customHeight="1">
      <c r="A122" s="70"/>
      <c r="B122" s="70"/>
      <c r="C122" s="70"/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</row>
    <row r="123" ht="11.25" customHeight="1">
      <c r="A123" s="70"/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</row>
    <row r="124" ht="11.25" customHeight="1">
      <c r="A124" s="70"/>
      <c r="B124" s="70"/>
      <c r="C124" s="70"/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</row>
    <row r="125" ht="11.25" customHeight="1">
      <c r="A125" s="70"/>
      <c r="B125" s="70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</row>
    <row r="126" ht="11.25" customHeight="1">
      <c r="A126" s="70"/>
      <c r="B126" s="70"/>
      <c r="C126" s="70"/>
      <c r="D126" s="70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</row>
    <row r="127" ht="11.25" customHeight="1">
      <c r="A127" s="70"/>
      <c r="B127" s="70"/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</row>
    <row r="128" ht="11.25" customHeight="1">
      <c r="A128" s="70"/>
      <c r="B128" s="70"/>
      <c r="C128" s="70"/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</row>
    <row r="129" ht="11.25" customHeight="1">
      <c r="A129" s="70"/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</row>
    <row r="130" ht="11.25" customHeight="1">
      <c r="A130" s="70"/>
      <c r="B130" s="70"/>
      <c r="C130" s="70"/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</row>
    <row r="131" ht="11.25" customHeight="1">
      <c r="A131" s="70"/>
      <c r="B131" s="70"/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</row>
    <row r="132" ht="11.25" customHeight="1">
      <c r="A132" s="70"/>
      <c r="B132" s="70"/>
      <c r="C132" s="70"/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</row>
    <row r="133" ht="11.25" customHeight="1">
      <c r="A133" s="70"/>
      <c r="B133" s="70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</row>
    <row r="134" ht="11.25" customHeight="1">
      <c r="A134" s="70"/>
      <c r="B134" s="70"/>
      <c r="C134" s="70"/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</row>
    <row r="135" ht="11.25" customHeight="1">
      <c r="A135" s="70"/>
      <c r="B135" s="70"/>
      <c r="C135" s="70"/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</row>
    <row r="136" ht="11.25" customHeight="1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</row>
    <row r="137" ht="11.25" customHeight="1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</row>
    <row r="138" ht="11.25" customHeight="1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</row>
    <row r="139" ht="11.25" customHeight="1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</row>
    <row r="140" ht="11.25" customHeight="1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</row>
    <row r="141" ht="11.25" customHeight="1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</row>
    <row r="142" ht="11.25" customHeight="1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</row>
    <row r="143" ht="11.25" customHeight="1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</row>
    <row r="144" ht="11.25" customHeight="1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</row>
    <row r="145" ht="11.25" customHeight="1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</row>
    <row r="146" ht="11.25" customHeight="1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</row>
    <row r="147" ht="11.25" customHeight="1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</row>
    <row r="148" ht="11.25" customHeight="1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</row>
    <row r="149" ht="11.25" customHeight="1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</row>
    <row r="150" ht="11.25" customHeight="1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</row>
    <row r="151" ht="11.25" customHeight="1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</row>
    <row r="152" ht="11.25" customHeight="1">
      <c r="A152" s="70"/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</row>
    <row r="153" ht="11.25" customHeight="1">
      <c r="A153" s="70"/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</row>
    <row r="154" ht="11.25" customHeight="1">
      <c r="A154" s="70"/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</row>
    <row r="155" ht="11.25" customHeight="1">
      <c r="A155" s="70"/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</row>
    <row r="156" ht="11.25" customHeight="1">
      <c r="A156" s="70"/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</row>
    <row r="157" ht="11.25" customHeight="1">
      <c r="A157" s="70"/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</row>
    <row r="158" ht="11.25" customHeight="1">
      <c r="A158" s="70"/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</row>
    <row r="159" ht="11.25" customHeight="1">
      <c r="A159" s="70"/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</row>
    <row r="160" ht="11.25" customHeight="1">
      <c r="A160" s="70"/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</row>
    <row r="161" ht="11.25" customHeight="1">
      <c r="A161" s="70"/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</row>
    <row r="162" ht="11.25" customHeight="1">
      <c r="A162" s="70"/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</row>
    <row r="163" ht="11.25" customHeight="1">
      <c r="A163" s="70"/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</row>
    <row r="164" ht="11.25" customHeight="1">
      <c r="A164" s="70"/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</row>
    <row r="165" ht="11.25" customHeight="1">
      <c r="A165" s="70"/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</row>
    <row r="166" ht="11.25" customHeight="1">
      <c r="A166" s="70"/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</row>
    <row r="167" ht="11.25" customHeight="1">
      <c r="A167" s="70"/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</row>
    <row r="168" ht="11.25" customHeight="1">
      <c r="A168" s="70"/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70"/>
      <c r="BB168" s="70"/>
      <c r="BC168" s="70"/>
      <c r="BD168" s="70"/>
      <c r="BE168" s="70"/>
      <c r="BF168" s="70"/>
      <c r="BG168" s="70"/>
      <c r="BH168" s="70"/>
      <c r="BI168" s="70"/>
      <c r="BJ168" s="70"/>
      <c r="BK168" s="70"/>
      <c r="BL168" s="70"/>
    </row>
    <row r="169" ht="11.25" customHeight="1">
      <c r="A169" s="70"/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  <c r="BH169" s="70"/>
      <c r="BI169" s="70"/>
      <c r="BJ169" s="70"/>
      <c r="BK169" s="70"/>
      <c r="BL169" s="70"/>
    </row>
    <row r="170" ht="11.25" customHeight="1">
      <c r="A170" s="70"/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70"/>
      <c r="BC170" s="70"/>
      <c r="BD170" s="70"/>
      <c r="BE170" s="70"/>
      <c r="BF170" s="70"/>
      <c r="BG170" s="70"/>
      <c r="BH170" s="70"/>
      <c r="BI170" s="70"/>
      <c r="BJ170" s="70"/>
      <c r="BK170" s="70"/>
      <c r="BL170" s="70"/>
    </row>
    <row r="171" ht="11.25" customHeight="1">
      <c r="A171" s="70"/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70"/>
      <c r="BC171" s="70"/>
      <c r="BD171" s="70"/>
      <c r="BE171" s="70"/>
      <c r="BF171" s="70"/>
      <c r="BG171" s="70"/>
      <c r="BH171" s="70"/>
      <c r="BI171" s="70"/>
      <c r="BJ171" s="70"/>
      <c r="BK171" s="70"/>
      <c r="BL171" s="70"/>
    </row>
    <row r="172" ht="11.25" customHeight="1">
      <c r="A172" s="70"/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70"/>
      <c r="BC172" s="70"/>
      <c r="BD172" s="70"/>
      <c r="BE172" s="70"/>
      <c r="BF172" s="70"/>
      <c r="BG172" s="70"/>
      <c r="BH172" s="70"/>
      <c r="BI172" s="70"/>
      <c r="BJ172" s="70"/>
      <c r="BK172" s="70"/>
      <c r="BL172" s="70"/>
    </row>
    <row r="173" ht="11.25" customHeight="1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70"/>
      <c r="BB173" s="70"/>
      <c r="BC173" s="70"/>
      <c r="BD173" s="70"/>
      <c r="BE173" s="70"/>
      <c r="BF173" s="70"/>
      <c r="BG173" s="70"/>
      <c r="BH173" s="70"/>
      <c r="BI173" s="70"/>
      <c r="BJ173" s="70"/>
      <c r="BK173" s="70"/>
      <c r="BL173" s="70"/>
    </row>
    <row r="174" ht="11.25" customHeight="1">
      <c r="A174" s="70"/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70"/>
      <c r="BB174" s="70"/>
      <c r="BC174" s="70"/>
      <c r="BD174" s="70"/>
      <c r="BE174" s="70"/>
      <c r="BF174" s="70"/>
      <c r="BG174" s="70"/>
      <c r="BH174" s="70"/>
      <c r="BI174" s="70"/>
      <c r="BJ174" s="70"/>
      <c r="BK174" s="70"/>
      <c r="BL174" s="70"/>
    </row>
    <row r="175" ht="11.25" customHeight="1">
      <c r="A175" s="70"/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70"/>
      <c r="AV175" s="70"/>
      <c r="AW175" s="70"/>
      <c r="AX175" s="70"/>
      <c r="AY175" s="70"/>
      <c r="AZ175" s="70"/>
      <c r="BA175" s="70"/>
      <c r="BB175" s="70"/>
      <c r="BC175" s="70"/>
      <c r="BD175" s="70"/>
      <c r="BE175" s="70"/>
      <c r="BF175" s="70"/>
      <c r="BG175" s="70"/>
      <c r="BH175" s="70"/>
      <c r="BI175" s="70"/>
      <c r="BJ175" s="70"/>
      <c r="BK175" s="70"/>
      <c r="BL175" s="70"/>
    </row>
    <row r="176" ht="11.25" customHeight="1">
      <c r="A176" s="70"/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70"/>
      <c r="BB176" s="70"/>
      <c r="BC176" s="70"/>
      <c r="BD176" s="70"/>
      <c r="BE176" s="70"/>
      <c r="BF176" s="70"/>
      <c r="BG176" s="70"/>
      <c r="BH176" s="70"/>
      <c r="BI176" s="70"/>
      <c r="BJ176" s="70"/>
      <c r="BK176" s="70"/>
      <c r="BL176" s="70"/>
    </row>
    <row r="177" ht="11.25" customHeight="1">
      <c r="A177" s="70"/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70"/>
      <c r="AV177" s="70"/>
      <c r="AW177" s="70"/>
      <c r="AX177" s="70"/>
      <c r="AY177" s="70"/>
      <c r="AZ177" s="70"/>
      <c r="BA177" s="70"/>
      <c r="BB177" s="70"/>
      <c r="BC177" s="70"/>
      <c r="BD177" s="70"/>
      <c r="BE177" s="70"/>
      <c r="BF177" s="70"/>
      <c r="BG177" s="70"/>
      <c r="BH177" s="70"/>
      <c r="BI177" s="70"/>
      <c r="BJ177" s="70"/>
      <c r="BK177" s="70"/>
      <c r="BL177" s="70"/>
    </row>
    <row r="178" ht="11.25" customHeight="1">
      <c r="A178" s="70"/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  <c r="BA178" s="70"/>
      <c r="BB178" s="70"/>
      <c r="BC178" s="70"/>
      <c r="BD178" s="70"/>
      <c r="BE178" s="70"/>
      <c r="BF178" s="70"/>
      <c r="BG178" s="70"/>
      <c r="BH178" s="70"/>
      <c r="BI178" s="70"/>
      <c r="BJ178" s="70"/>
      <c r="BK178" s="70"/>
      <c r="BL178" s="70"/>
    </row>
    <row r="179" ht="11.25" customHeight="1">
      <c r="A179" s="70"/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0"/>
      <c r="AI179" s="70"/>
      <c r="AJ179" s="70"/>
      <c r="AK179" s="70"/>
      <c r="AL179" s="70"/>
      <c r="AM179" s="70"/>
      <c r="AN179" s="70"/>
      <c r="AO179" s="70"/>
      <c r="AP179" s="70"/>
      <c r="AQ179" s="70"/>
      <c r="AR179" s="70"/>
      <c r="AS179" s="70"/>
      <c r="AT179" s="70"/>
      <c r="AU179" s="70"/>
      <c r="AV179" s="70"/>
      <c r="AW179" s="70"/>
      <c r="AX179" s="70"/>
      <c r="AY179" s="70"/>
      <c r="AZ179" s="70"/>
      <c r="BA179" s="70"/>
      <c r="BB179" s="70"/>
      <c r="BC179" s="70"/>
      <c r="BD179" s="70"/>
      <c r="BE179" s="70"/>
      <c r="BF179" s="70"/>
      <c r="BG179" s="70"/>
      <c r="BH179" s="70"/>
      <c r="BI179" s="70"/>
      <c r="BJ179" s="70"/>
      <c r="BK179" s="70"/>
      <c r="BL179" s="70"/>
    </row>
    <row r="180" ht="11.25" customHeight="1">
      <c r="A180" s="70"/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  <c r="AE180" s="70"/>
      <c r="AF180" s="70"/>
      <c r="AG180" s="70"/>
      <c r="AH180" s="70"/>
      <c r="AI180" s="70"/>
      <c r="AJ180" s="70"/>
      <c r="AK180" s="70"/>
      <c r="AL180" s="70"/>
      <c r="AM180" s="70"/>
      <c r="AN180" s="70"/>
      <c r="AO180" s="70"/>
      <c r="AP180" s="70"/>
      <c r="AQ180" s="70"/>
      <c r="AR180" s="70"/>
      <c r="AS180" s="70"/>
      <c r="AT180" s="70"/>
      <c r="AU180" s="70"/>
      <c r="AV180" s="70"/>
      <c r="AW180" s="70"/>
      <c r="AX180" s="70"/>
      <c r="AY180" s="70"/>
      <c r="AZ180" s="70"/>
      <c r="BA180" s="70"/>
      <c r="BB180" s="70"/>
      <c r="BC180" s="70"/>
      <c r="BD180" s="70"/>
      <c r="BE180" s="70"/>
      <c r="BF180" s="70"/>
      <c r="BG180" s="70"/>
      <c r="BH180" s="70"/>
      <c r="BI180" s="70"/>
      <c r="BJ180" s="70"/>
      <c r="BK180" s="70"/>
      <c r="BL180" s="70"/>
    </row>
    <row r="181" ht="11.25" customHeight="1">
      <c r="A181" s="70"/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  <c r="AJ181" s="70"/>
      <c r="AK181" s="70"/>
      <c r="AL181" s="70"/>
      <c r="AM181" s="70"/>
      <c r="AN181" s="70"/>
      <c r="AO181" s="70"/>
      <c r="AP181" s="70"/>
      <c r="AQ181" s="70"/>
      <c r="AR181" s="70"/>
      <c r="AS181" s="70"/>
      <c r="AT181" s="70"/>
      <c r="AU181" s="70"/>
      <c r="AV181" s="70"/>
      <c r="AW181" s="70"/>
      <c r="AX181" s="70"/>
      <c r="AY181" s="70"/>
      <c r="AZ181" s="70"/>
      <c r="BA181" s="70"/>
      <c r="BB181" s="70"/>
      <c r="BC181" s="70"/>
      <c r="BD181" s="70"/>
      <c r="BE181" s="70"/>
      <c r="BF181" s="70"/>
      <c r="BG181" s="70"/>
      <c r="BH181" s="70"/>
      <c r="BI181" s="70"/>
      <c r="BJ181" s="70"/>
      <c r="BK181" s="70"/>
      <c r="BL181" s="70"/>
    </row>
    <row r="182" ht="11.25" customHeight="1">
      <c r="A182" s="70"/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70"/>
      <c r="AG182" s="70"/>
      <c r="AH182" s="70"/>
      <c r="AI182" s="70"/>
      <c r="AJ182" s="70"/>
      <c r="AK182" s="70"/>
      <c r="AL182" s="70"/>
      <c r="AM182" s="70"/>
      <c r="AN182" s="70"/>
      <c r="AO182" s="70"/>
      <c r="AP182" s="70"/>
      <c r="AQ182" s="70"/>
      <c r="AR182" s="70"/>
      <c r="AS182" s="70"/>
      <c r="AT182" s="70"/>
      <c r="AU182" s="70"/>
      <c r="AV182" s="70"/>
      <c r="AW182" s="70"/>
      <c r="AX182" s="70"/>
      <c r="AY182" s="70"/>
      <c r="AZ182" s="70"/>
      <c r="BA182" s="70"/>
      <c r="BB182" s="70"/>
      <c r="BC182" s="70"/>
      <c r="BD182" s="70"/>
      <c r="BE182" s="70"/>
      <c r="BF182" s="70"/>
      <c r="BG182" s="70"/>
      <c r="BH182" s="70"/>
      <c r="BI182" s="70"/>
      <c r="BJ182" s="70"/>
      <c r="BK182" s="70"/>
      <c r="BL182" s="70"/>
    </row>
    <row r="183" ht="11.25" customHeight="1">
      <c r="A183" s="70"/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70"/>
      <c r="AG183" s="70"/>
      <c r="AH183" s="70"/>
      <c r="AI183" s="70"/>
      <c r="AJ183" s="70"/>
      <c r="AK183" s="70"/>
      <c r="AL183" s="70"/>
      <c r="AM183" s="70"/>
      <c r="AN183" s="70"/>
      <c r="AO183" s="70"/>
      <c r="AP183" s="70"/>
      <c r="AQ183" s="70"/>
      <c r="AR183" s="70"/>
      <c r="AS183" s="70"/>
      <c r="AT183" s="70"/>
      <c r="AU183" s="70"/>
      <c r="AV183" s="70"/>
      <c r="AW183" s="70"/>
      <c r="AX183" s="70"/>
      <c r="AY183" s="70"/>
      <c r="AZ183" s="70"/>
      <c r="BA183" s="70"/>
      <c r="BB183" s="70"/>
      <c r="BC183" s="70"/>
      <c r="BD183" s="70"/>
      <c r="BE183" s="70"/>
      <c r="BF183" s="70"/>
      <c r="BG183" s="70"/>
      <c r="BH183" s="70"/>
      <c r="BI183" s="70"/>
      <c r="BJ183" s="70"/>
      <c r="BK183" s="70"/>
      <c r="BL183" s="70"/>
    </row>
    <row r="184" ht="11.25" customHeight="1">
      <c r="A184" s="70"/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  <c r="AE184" s="70"/>
      <c r="AF184" s="70"/>
      <c r="AG184" s="70"/>
      <c r="AH184" s="70"/>
      <c r="AI184" s="70"/>
      <c r="AJ184" s="70"/>
      <c r="AK184" s="70"/>
      <c r="AL184" s="70"/>
      <c r="AM184" s="70"/>
      <c r="AN184" s="70"/>
      <c r="AO184" s="70"/>
      <c r="AP184" s="70"/>
      <c r="AQ184" s="70"/>
      <c r="AR184" s="70"/>
      <c r="AS184" s="70"/>
      <c r="AT184" s="70"/>
      <c r="AU184" s="70"/>
      <c r="AV184" s="70"/>
      <c r="AW184" s="70"/>
      <c r="AX184" s="70"/>
      <c r="AY184" s="70"/>
      <c r="AZ184" s="70"/>
      <c r="BA184" s="70"/>
      <c r="BB184" s="70"/>
      <c r="BC184" s="70"/>
      <c r="BD184" s="70"/>
      <c r="BE184" s="70"/>
      <c r="BF184" s="70"/>
      <c r="BG184" s="70"/>
      <c r="BH184" s="70"/>
      <c r="BI184" s="70"/>
      <c r="BJ184" s="70"/>
      <c r="BK184" s="70"/>
      <c r="BL184" s="70"/>
    </row>
    <row r="185" ht="11.25" customHeight="1">
      <c r="A185" s="70"/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  <c r="AA185" s="70"/>
      <c r="AB185" s="70"/>
      <c r="AC185" s="70"/>
      <c r="AD185" s="70"/>
      <c r="AE185" s="70"/>
      <c r="AF185" s="70"/>
      <c r="AG185" s="70"/>
      <c r="AH185" s="70"/>
      <c r="AI185" s="70"/>
      <c r="AJ185" s="70"/>
      <c r="AK185" s="70"/>
      <c r="AL185" s="70"/>
      <c r="AM185" s="70"/>
      <c r="AN185" s="70"/>
      <c r="AO185" s="70"/>
      <c r="AP185" s="70"/>
      <c r="AQ185" s="70"/>
      <c r="AR185" s="70"/>
      <c r="AS185" s="70"/>
      <c r="AT185" s="70"/>
      <c r="AU185" s="70"/>
      <c r="AV185" s="70"/>
      <c r="AW185" s="70"/>
      <c r="AX185" s="70"/>
      <c r="AY185" s="70"/>
      <c r="AZ185" s="70"/>
      <c r="BA185" s="70"/>
      <c r="BB185" s="70"/>
      <c r="BC185" s="70"/>
      <c r="BD185" s="70"/>
      <c r="BE185" s="70"/>
      <c r="BF185" s="70"/>
      <c r="BG185" s="70"/>
      <c r="BH185" s="70"/>
      <c r="BI185" s="70"/>
      <c r="BJ185" s="70"/>
      <c r="BK185" s="70"/>
      <c r="BL185" s="70"/>
    </row>
    <row r="186" ht="11.25" customHeight="1">
      <c r="A186" s="70"/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70"/>
      <c r="AC186" s="70"/>
      <c r="AD186" s="70"/>
      <c r="AE186" s="70"/>
      <c r="AF186" s="70"/>
      <c r="AG186" s="70"/>
      <c r="AH186" s="70"/>
      <c r="AI186" s="70"/>
      <c r="AJ186" s="70"/>
      <c r="AK186" s="70"/>
      <c r="AL186" s="70"/>
      <c r="AM186" s="70"/>
      <c r="AN186" s="70"/>
      <c r="AO186" s="70"/>
      <c r="AP186" s="70"/>
      <c r="AQ186" s="70"/>
      <c r="AR186" s="70"/>
      <c r="AS186" s="70"/>
      <c r="AT186" s="70"/>
      <c r="AU186" s="70"/>
      <c r="AV186" s="70"/>
      <c r="AW186" s="70"/>
      <c r="AX186" s="70"/>
      <c r="AY186" s="70"/>
      <c r="AZ186" s="70"/>
      <c r="BA186" s="70"/>
      <c r="BB186" s="70"/>
      <c r="BC186" s="70"/>
      <c r="BD186" s="70"/>
      <c r="BE186" s="70"/>
      <c r="BF186" s="70"/>
      <c r="BG186" s="70"/>
      <c r="BH186" s="70"/>
      <c r="BI186" s="70"/>
      <c r="BJ186" s="70"/>
      <c r="BK186" s="70"/>
      <c r="BL186" s="70"/>
    </row>
    <row r="187" ht="11.25" customHeight="1">
      <c r="A187" s="70"/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70"/>
      <c r="AC187" s="70"/>
      <c r="AD187" s="70"/>
      <c r="AE187" s="70"/>
      <c r="AF187" s="70"/>
      <c r="AG187" s="70"/>
      <c r="AH187" s="70"/>
      <c r="AI187" s="70"/>
      <c r="AJ187" s="70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70"/>
      <c r="AV187" s="70"/>
      <c r="AW187" s="70"/>
      <c r="AX187" s="70"/>
      <c r="AY187" s="70"/>
      <c r="AZ187" s="70"/>
      <c r="BA187" s="70"/>
      <c r="BB187" s="70"/>
      <c r="BC187" s="70"/>
      <c r="BD187" s="70"/>
      <c r="BE187" s="70"/>
      <c r="BF187" s="70"/>
      <c r="BG187" s="70"/>
      <c r="BH187" s="70"/>
      <c r="BI187" s="70"/>
      <c r="BJ187" s="70"/>
      <c r="BK187" s="70"/>
      <c r="BL187" s="70"/>
    </row>
    <row r="188" ht="11.25" customHeight="1">
      <c r="A188" s="70"/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0"/>
      <c r="AE188" s="70"/>
      <c r="AF188" s="70"/>
      <c r="AG188" s="70"/>
      <c r="AH188" s="70"/>
      <c r="AI188" s="70"/>
      <c r="AJ188" s="70"/>
      <c r="AK188" s="70"/>
      <c r="AL188" s="70"/>
      <c r="AM188" s="70"/>
      <c r="AN188" s="70"/>
      <c r="AO188" s="70"/>
      <c r="AP188" s="70"/>
      <c r="AQ188" s="70"/>
      <c r="AR188" s="70"/>
      <c r="AS188" s="70"/>
      <c r="AT188" s="70"/>
      <c r="AU188" s="70"/>
      <c r="AV188" s="70"/>
      <c r="AW188" s="70"/>
      <c r="AX188" s="70"/>
      <c r="AY188" s="70"/>
      <c r="AZ188" s="70"/>
      <c r="BA188" s="70"/>
      <c r="BB188" s="70"/>
      <c r="BC188" s="70"/>
      <c r="BD188" s="70"/>
      <c r="BE188" s="70"/>
      <c r="BF188" s="70"/>
      <c r="BG188" s="70"/>
      <c r="BH188" s="70"/>
      <c r="BI188" s="70"/>
      <c r="BJ188" s="70"/>
      <c r="BK188" s="70"/>
      <c r="BL188" s="70"/>
    </row>
    <row r="189" ht="11.25" customHeight="1">
      <c r="A189" s="70"/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  <c r="AG189" s="70"/>
      <c r="AH189" s="70"/>
      <c r="AI189" s="70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70"/>
      <c r="AV189" s="70"/>
      <c r="AW189" s="70"/>
      <c r="AX189" s="70"/>
      <c r="AY189" s="70"/>
      <c r="AZ189" s="70"/>
      <c r="BA189" s="70"/>
      <c r="BB189" s="70"/>
      <c r="BC189" s="70"/>
      <c r="BD189" s="70"/>
      <c r="BE189" s="70"/>
      <c r="BF189" s="70"/>
      <c r="BG189" s="70"/>
      <c r="BH189" s="70"/>
      <c r="BI189" s="70"/>
      <c r="BJ189" s="70"/>
      <c r="BK189" s="70"/>
      <c r="BL189" s="70"/>
    </row>
    <row r="190" ht="11.25" customHeight="1">
      <c r="A190" s="70"/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  <c r="AA190" s="70"/>
      <c r="AB190" s="70"/>
      <c r="AC190" s="70"/>
      <c r="AD190" s="70"/>
      <c r="AE190" s="70"/>
      <c r="AF190" s="70"/>
      <c r="AG190" s="70"/>
      <c r="AH190" s="70"/>
      <c r="AI190" s="70"/>
      <c r="AJ190" s="70"/>
      <c r="AK190" s="70"/>
      <c r="AL190" s="70"/>
      <c r="AM190" s="70"/>
      <c r="AN190" s="70"/>
      <c r="AO190" s="70"/>
      <c r="AP190" s="70"/>
      <c r="AQ190" s="70"/>
      <c r="AR190" s="70"/>
      <c r="AS190" s="70"/>
      <c r="AT190" s="70"/>
      <c r="AU190" s="70"/>
      <c r="AV190" s="70"/>
      <c r="AW190" s="70"/>
      <c r="AX190" s="70"/>
      <c r="AY190" s="70"/>
      <c r="AZ190" s="70"/>
      <c r="BA190" s="70"/>
      <c r="BB190" s="70"/>
      <c r="BC190" s="70"/>
      <c r="BD190" s="70"/>
      <c r="BE190" s="70"/>
      <c r="BF190" s="70"/>
      <c r="BG190" s="70"/>
      <c r="BH190" s="70"/>
      <c r="BI190" s="70"/>
      <c r="BJ190" s="70"/>
      <c r="BK190" s="70"/>
      <c r="BL190" s="70"/>
    </row>
    <row r="191" ht="11.25" customHeight="1">
      <c r="A191" s="70"/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  <c r="AA191" s="70"/>
      <c r="AB191" s="70"/>
      <c r="AC191" s="70"/>
      <c r="AD191" s="70"/>
      <c r="AE191" s="70"/>
      <c r="AF191" s="70"/>
      <c r="AG191" s="70"/>
      <c r="AH191" s="70"/>
      <c r="AI191" s="70"/>
      <c r="AJ191" s="70"/>
      <c r="AK191" s="70"/>
      <c r="AL191" s="70"/>
      <c r="AM191" s="70"/>
      <c r="AN191" s="70"/>
      <c r="AO191" s="70"/>
      <c r="AP191" s="70"/>
      <c r="AQ191" s="70"/>
      <c r="AR191" s="70"/>
      <c r="AS191" s="70"/>
      <c r="AT191" s="70"/>
      <c r="AU191" s="70"/>
      <c r="AV191" s="70"/>
      <c r="AW191" s="70"/>
      <c r="AX191" s="70"/>
      <c r="AY191" s="70"/>
      <c r="AZ191" s="70"/>
      <c r="BA191" s="70"/>
      <c r="BB191" s="70"/>
      <c r="BC191" s="70"/>
      <c r="BD191" s="70"/>
      <c r="BE191" s="70"/>
      <c r="BF191" s="70"/>
      <c r="BG191" s="70"/>
      <c r="BH191" s="70"/>
      <c r="BI191" s="70"/>
      <c r="BJ191" s="70"/>
      <c r="BK191" s="70"/>
      <c r="BL191" s="70"/>
    </row>
    <row r="192" ht="11.25" customHeight="1">
      <c r="A192" s="70"/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70"/>
      <c r="AC192" s="70"/>
      <c r="AD192" s="70"/>
      <c r="AE192" s="70"/>
      <c r="AF192" s="70"/>
      <c r="AG192" s="70"/>
      <c r="AH192" s="70"/>
      <c r="AI192" s="70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  <c r="AT192" s="70"/>
      <c r="AU192" s="70"/>
      <c r="AV192" s="70"/>
      <c r="AW192" s="70"/>
      <c r="AX192" s="70"/>
      <c r="AY192" s="70"/>
      <c r="AZ192" s="70"/>
      <c r="BA192" s="70"/>
      <c r="BB192" s="70"/>
      <c r="BC192" s="70"/>
      <c r="BD192" s="70"/>
      <c r="BE192" s="70"/>
      <c r="BF192" s="70"/>
      <c r="BG192" s="70"/>
      <c r="BH192" s="70"/>
      <c r="BI192" s="70"/>
      <c r="BJ192" s="70"/>
      <c r="BK192" s="70"/>
      <c r="BL192" s="70"/>
    </row>
    <row r="193" ht="11.25" customHeight="1">
      <c r="A193" s="70"/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  <c r="AE193" s="70"/>
      <c r="AF193" s="70"/>
      <c r="AG193" s="70"/>
      <c r="AH193" s="70"/>
      <c r="AI193" s="70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AX193" s="70"/>
      <c r="AY193" s="70"/>
      <c r="AZ193" s="70"/>
      <c r="BA193" s="70"/>
      <c r="BB193" s="70"/>
      <c r="BC193" s="70"/>
      <c r="BD193" s="70"/>
      <c r="BE193" s="70"/>
      <c r="BF193" s="70"/>
      <c r="BG193" s="70"/>
      <c r="BH193" s="70"/>
      <c r="BI193" s="70"/>
      <c r="BJ193" s="70"/>
      <c r="BK193" s="70"/>
      <c r="BL193" s="70"/>
    </row>
    <row r="194" ht="11.25" customHeight="1">
      <c r="A194" s="70"/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  <c r="AA194" s="70"/>
      <c r="AB194" s="70"/>
      <c r="AC194" s="70"/>
      <c r="AD194" s="70"/>
      <c r="AE194" s="70"/>
      <c r="AF194" s="70"/>
      <c r="AG194" s="70"/>
      <c r="AH194" s="70"/>
      <c r="AI194" s="70"/>
      <c r="AJ194" s="70"/>
      <c r="AK194" s="70"/>
      <c r="AL194" s="70"/>
      <c r="AM194" s="70"/>
      <c r="AN194" s="70"/>
      <c r="AO194" s="70"/>
      <c r="AP194" s="70"/>
      <c r="AQ194" s="70"/>
      <c r="AR194" s="70"/>
      <c r="AS194" s="70"/>
      <c r="AT194" s="70"/>
      <c r="AU194" s="70"/>
      <c r="AV194" s="70"/>
      <c r="AW194" s="70"/>
      <c r="AX194" s="70"/>
      <c r="AY194" s="70"/>
      <c r="AZ194" s="70"/>
      <c r="BA194" s="70"/>
      <c r="BB194" s="70"/>
      <c r="BC194" s="70"/>
      <c r="BD194" s="70"/>
      <c r="BE194" s="70"/>
      <c r="BF194" s="70"/>
      <c r="BG194" s="70"/>
      <c r="BH194" s="70"/>
      <c r="BI194" s="70"/>
      <c r="BJ194" s="70"/>
      <c r="BK194" s="70"/>
      <c r="BL194" s="70"/>
    </row>
    <row r="195" ht="11.25" customHeight="1">
      <c r="A195" s="70"/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70"/>
      <c r="AC195" s="70"/>
      <c r="AD195" s="70"/>
      <c r="AE195" s="70"/>
      <c r="AF195" s="70"/>
      <c r="AG195" s="70"/>
      <c r="AH195" s="70"/>
      <c r="AI195" s="70"/>
      <c r="AJ195" s="70"/>
      <c r="AK195" s="70"/>
      <c r="AL195" s="70"/>
      <c r="AM195" s="70"/>
      <c r="AN195" s="70"/>
      <c r="AO195" s="70"/>
      <c r="AP195" s="70"/>
      <c r="AQ195" s="70"/>
      <c r="AR195" s="70"/>
      <c r="AS195" s="70"/>
      <c r="AT195" s="70"/>
      <c r="AU195" s="70"/>
      <c r="AV195" s="70"/>
      <c r="AW195" s="70"/>
      <c r="AX195" s="70"/>
      <c r="AY195" s="70"/>
      <c r="AZ195" s="70"/>
      <c r="BA195" s="70"/>
      <c r="BB195" s="70"/>
      <c r="BC195" s="70"/>
      <c r="BD195" s="70"/>
      <c r="BE195" s="70"/>
      <c r="BF195" s="70"/>
      <c r="BG195" s="70"/>
      <c r="BH195" s="70"/>
      <c r="BI195" s="70"/>
      <c r="BJ195" s="70"/>
      <c r="BK195" s="70"/>
      <c r="BL195" s="70"/>
    </row>
    <row r="196" ht="11.25" customHeight="1">
      <c r="A196" s="70"/>
      <c r="B196" s="70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  <c r="AE196" s="70"/>
      <c r="AF196" s="70"/>
      <c r="AG196" s="70"/>
      <c r="AH196" s="70"/>
      <c r="AI196" s="70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  <c r="AT196" s="70"/>
      <c r="AU196" s="70"/>
      <c r="AV196" s="70"/>
      <c r="AW196" s="70"/>
      <c r="AX196" s="70"/>
      <c r="AY196" s="70"/>
      <c r="AZ196" s="70"/>
      <c r="BA196" s="70"/>
      <c r="BB196" s="70"/>
      <c r="BC196" s="70"/>
      <c r="BD196" s="70"/>
      <c r="BE196" s="70"/>
      <c r="BF196" s="70"/>
      <c r="BG196" s="70"/>
      <c r="BH196" s="70"/>
      <c r="BI196" s="70"/>
      <c r="BJ196" s="70"/>
      <c r="BK196" s="70"/>
      <c r="BL196" s="70"/>
    </row>
    <row r="197" ht="11.25" customHeight="1">
      <c r="A197" s="70"/>
      <c r="B197" s="70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  <c r="AA197" s="70"/>
      <c r="AB197" s="70"/>
      <c r="AC197" s="70"/>
      <c r="AD197" s="70"/>
      <c r="AE197" s="70"/>
      <c r="AF197" s="70"/>
      <c r="AG197" s="70"/>
      <c r="AH197" s="70"/>
      <c r="AI197" s="70"/>
      <c r="AJ197" s="70"/>
      <c r="AK197" s="70"/>
      <c r="AL197" s="70"/>
      <c r="AM197" s="70"/>
      <c r="AN197" s="70"/>
      <c r="AO197" s="70"/>
      <c r="AP197" s="70"/>
      <c r="AQ197" s="70"/>
      <c r="AR197" s="70"/>
      <c r="AS197" s="70"/>
      <c r="AT197" s="70"/>
      <c r="AU197" s="70"/>
      <c r="AV197" s="70"/>
      <c r="AW197" s="70"/>
      <c r="AX197" s="70"/>
      <c r="AY197" s="70"/>
      <c r="AZ197" s="70"/>
      <c r="BA197" s="70"/>
      <c r="BB197" s="70"/>
      <c r="BC197" s="70"/>
      <c r="BD197" s="70"/>
      <c r="BE197" s="70"/>
      <c r="BF197" s="70"/>
      <c r="BG197" s="70"/>
      <c r="BH197" s="70"/>
      <c r="BI197" s="70"/>
      <c r="BJ197" s="70"/>
      <c r="BK197" s="70"/>
      <c r="BL197" s="70"/>
    </row>
    <row r="198" ht="11.25" customHeight="1">
      <c r="A198" s="70"/>
      <c r="B198" s="70"/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70"/>
      <c r="N198" s="70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  <c r="AA198" s="70"/>
      <c r="AB198" s="70"/>
      <c r="AC198" s="70"/>
      <c r="AD198" s="70"/>
      <c r="AE198" s="70"/>
      <c r="AF198" s="70"/>
      <c r="AG198" s="70"/>
      <c r="AH198" s="70"/>
      <c r="AI198" s="70"/>
      <c r="AJ198" s="70"/>
      <c r="AK198" s="70"/>
      <c r="AL198" s="70"/>
      <c r="AM198" s="70"/>
      <c r="AN198" s="70"/>
      <c r="AO198" s="70"/>
      <c r="AP198" s="70"/>
      <c r="AQ198" s="70"/>
      <c r="AR198" s="70"/>
      <c r="AS198" s="70"/>
      <c r="AT198" s="70"/>
      <c r="AU198" s="70"/>
      <c r="AV198" s="70"/>
      <c r="AW198" s="70"/>
      <c r="AX198" s="70"/>
      <c r="AY198" s="70"/>
      <c r="AZ198" s="70"/>
      <c r="BA198" s="70"/>
      <c r="BB198" s="70"/>
      <c r="BC198" s="70"/>
      <c r="BD198" s="70"/>
      <c r="BE198" s="70"/>
      <c r="BF198" s="70"/>
      <c r="BG198" s="70"/>
      <c r="BH198" s="70"/>
      <c r="BI198" s="70"/>
      <c r="BJ198" s="70"/>
      <c r="BK198" s="70"/>
      <c r="BL198" s="70"/>
    </row>
    <row r="199" ht="11.25" customHeight="1">
      <c r="A199" s="70"/>
      <c r="B199" s="70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70"/>
      <c r="AC199" s="70"/>
      <c r="AD199" s="70"/>
      <c r="AE199" s="70"/>
      <c r="AF199" s="70"/>
      <c r="AG199" s="70"/>
      <c r="AH199" s="70"/>
      <c r="AI199" s="70"/>
      <c r="AJ199" s="70"/>
      <c r="AK199" s="70"/>
      <c r="AL199" s="70"/>
      <c r="AM199" s="70"/>
      <c r="AN199" s="70"/>
      <c r="AO199" s="70"/>
      <c r="AP199" s="70"/>
      <c r="AQ199" s="70"/>
      <c r="AR199" s="70"/>
      <c r="AS199" s="70"/>
      <c r="AT199" s="70"/>
      <c r="AU199" s="70"/>
      <c r="AV199" s="70"/>
      <c r="AW199" s="70"/>
      <c r="AX199" s="70"/>
      <c r="AY199" s="70"/>
      <c r="AZ199" s="70"/>
      <c r="BA199" s="70"/>
      <c r="BB199" s="70"/>
      <c r="BC199" s="70"/>
      <c r="BD199" s="70"/>
      <c r="BE199" s="70"/>
      <c r="BF199" s="70"/>
      <c r="BG199" s="70"/>
      <c r="BH199" s="70"/>
      <c r="BI199" s="70"/>
      <c r="BJ199" s="70"/>
      <c r="BK199" s="70"/>
      <c r="BL199" s="70"/>
    </row>
    <row r="200" ht="11.25" customHeight="1">
      <c r="A200" s="70"/>
      <c r="B200" s="70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  <c r="AA200" s="70"/>
      <c r="AB200" s="70"/>
      <c r="AC200" s="70"/>
      <c r="AD200" s="70"/>
      <c r="AE200" s="70"/>
      <c r="AF200" s="70"/>
      <c r="AG200" s="70"/>
      <c r="AH200" s="70"/>
      <c r="AI200" s="70"/>
      <c r="AJ200" s="70"/>
      <c r="AK200" s="70"/>
      <c r="AL200" s="70"/>
      <c r="AM200" s="70"/>
      <c r="AN200" s="70"/>
      <c r="AO200" s="70"/>
      <c r="AP200" s="70"/>
      <c r="AQ200" s="70"/>
      <c r="AR200" s="70"/>
      <c r="AS200" s="70"/>
      <c r="AT200" s="70"/>
      <c r="AU200" s="70"/>
      <c r="AV200" s="70"/>
      <c r="AW200" s="70"/>
      <c r="AX200" s="70"/>
      <c r="AY200" s="70"/>
      <c r="AZ200" s="70"/>
      <c r="BA200" s="70"/>
      <c r="BB200" s="70"/>
      <c r="BC200" s="70"/>
      <c r="BD200" s="70"/>
      <c r="BE200" s="70"/>
      <c r="BF200" s="70"/>
      <c r="BG200" s="70"/>
      <c r="BH200" s="70"/>
      <c r="BI200" s="70"/>
      <c r="BJ200" s="70"/>
      <c r="BK200" s="70"/>
      <c r="BL200" s="70"/>
    </row>
    <row r="201" ht="11.25" customHeight="1">
      <c r="A201" s="70"/>
      <c r="B201" s="70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  <c r="AA201" s="70"/>
      <c r="AB201" s="70"/>
      <c r="AC201" s="70"/>
      <c r="AD201" s="70"/>
      <c r="AE201" s="70"/>
      <c r="AF201" s="70"/>
      <c r="AG201" s="70"/>
      <c r="AH201" s="70"/>
      <c r="AI201" s="70"/>
      <c r="AJ201" s="70"/>
      <c r="AK201" s="70"/>
      <c r="AL201" s="70"/>
      <c r="AM201" s="70"/>
      <c r="AN201" s="70"/>
      <c r="AO201" s="70"/>
      <c r="AP201" s="70"/>
      <c r="AQ201" s="70"/>
      <c r="AR201" s="70"/>
      <c r="AS201" s="70"/>
      <c r="AT201" s="70"/>
      <c r="AU201" s="70"/>
      <c r="AV201" s="70"/>
      <c r="AW201" s="70"/>
      <c r="AX201" s="70"/>
      <c r="AY201" s="70"/>
      <c r="AZ201" s="70"/>
      <c r="BA201" s="70"/>
      <c r="BB201" s="70"/>
      <c r="BC201" s="70"/>
      <c r="BD201" s="70"/>
      <c r="BE201" s="70"/>
      <c r="BF201" s="70"/>
      <c r="BG201" s="70"/>
      <c r="BH201" s="70"/>
      <c r="BI201" s="70"/>
      <c r="BJ201" s="70"/>
      <c r="BK201" s="70"/>
      <c r="BL201" s="70"/>
    </row>
    <row r="202" ht="11.25" customHeight="1">
      <c r="A202" s="70"/>
      <c r="B202" s="70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  <c r="AA202" s="70"/>
      <c r="AB202" s="70"/>
      <c r="AC202" s="70"/>
      <c r="AD202" s="70"/>
      <c r="AE202" s="70"/>
      <c r="AF202" s="70"/>
      <c r="AG202" s="70"/>
      <c r="AH202" s="70"/>
      <c r="AI202" s="70"/>
      <c r="AJ202" s="70"/>
      <c r="AK202" s="70"/>
      <c r="AL202" s="70"/>
      <c r="AM202" s="70"/>
      <c r="AN202" s="70"/>
      <c r="AO202" s="70"/>
      <c r="AP202" s="70"/>
      <c r="AQ202" s="70"/>
      <c r="AR202" s="70"/>
      <c r="AS202" s="70"/>
      <c r="AT202" s="70"/>
      <c r="AU202" s="70"/>
      <c r="AV202" s="70"/>
      <c r="AW202" s="70"/>
      <c r="AX202" s="70"/>
      <c r="AY202" s="70"/>
      <c r="AZ202" s="70"/>
      <c r="BA202" s="70"/>
      <c r="BB202" s="70"/>
      <c r="BC202" s="70"/>
      <c r="BD202" s="70"/>
      <c r="BE202" s="70"/>
      <c r="BF202" s="70"/>
      <c r="BG202" s="70"/>
      <c r="BH202" s="70"/>
      <c r="BI202" s="70"/>
      <c r="BJ202" s="70"/>
      <c r="BK202" s="70"/>
      <c r="BL202" s="70"/>
    </row>
    <row r="203" ht="11.25" customHeight="1">
      <c r="A203" s="70"/>
      <c r="B203" s="70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  <c r="AA203" s="70"/>
      <c r="AB203" s="70"/>
      <c r="AC203" s="70"/>
      <c r="AD203" s="70"/>
      <c r="AE203" s="70"/>
      <c r="AF203" s="70"/>
      <c r="AG203" s="70"/>
      <c r="AH203" s="70"/>
      <c r="AI203" s="70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  <c r="BA203" s="70"/>
      <c r="BB203" s="70"/>
      <c r="BC203" s="70"/>
      <c r="BD203" s="70"/>
      <c r="BE203" s="70"/>
      <c r="BF203" s="70"/>
      <c r="BG203" s="70"/>
      <c r="BH203" s="70"/>
      <c r="BI203" s="70"/>
      <c r="BJ203" s="70"/>
      <c r="BK203" s="70"/>
      <c r="BL203" s="70"/>
    </row>
    <row r="204" ht="11.25" customHeight="1">
      <c r="A204" s="70"/>
      <c r="B204" s="70"/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/>
      <c r="AC204" s="70"/>
      <c r="AD204" s="70"/>
      <c r="AE204" s="70"/>
      <c r="AF204" s="70"/>
      <c r="AG204" s="70"/>
      <c r="AH204" s="70"/>
      <c r="AI204" s="70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  <c r="BA204" s="70"/>
      <c r="BB204" s="70"/>
      <c r="BC204" s="70"/>
      <c r="BD204" s="70"/>
      <c r="BE204" s="70"/>
      <c r="BF204" s="70"/>
      <c r="BG204" s="70"/>
      <c r="BH204" s="70"/>
      <c r="BI204" s="70"/>
      <c r="BJ204" s="70"/>
      <c r="BK204" s="70"/>
      <c r="BL204" s="70"/>
    </row>
    <row r="205" ht="11.25" customHeight="1">
      <c r="A205" s="70"/>
      <c r="B205" s="70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  <c r="AA205" s="70"/>
      <c r="AB205" s="70"/>
      <c r="AC205" s="70"/>
      <c r="AD205" s="70"/>
      <c r="AE205" s="70"/>
      <c r="AF205" s="70"/>
      <c r="AG205" s="70"/>
      <c r="AH205" s="70"/>
      <c r="AI205" s="70"/>
      <c r="AJ205" s="70"/>
      <c r="AK205" s="70"/>
      <c r="AL205" s="70"/>
      <c r="AM205" s="70"/>
      <c r="AN205" s="70"/>
      <c r="AO205" s="70"/>
      <c r="AP205" s="70"/>
      <c r="AQ205" s="70"/>
      <c r="AR205" s="70"/>
      <c r="AS205" s="70"/>
      <c r="AT205" s="70"/>
      <c r="AU205" s="70"/>
      <c r="AV205" s="70"/>
      <c r="AW205" s="70"/>
      <c r="AX205" s="70"/>
      <c r="AY205" s="70"/>
      <c r="AZ205" s="70"/>
      <c r="BA205" s="70"/>
      <c r="BB205" s="70"/>
      <c r="BC205" s="70"/>
      <c r="BD205" s="70"/>
      <c r="BE205" s="70"/>
      <c r="BF205" s="70"/>
      <c r="BG205" s="70"/>
      <c r="BH205" s="70"/>
      <c r="BI205" s="70"/>
      <c r="BJ205" s="70"/>
      <c r="BK205" s="70"/>
      <c r="BL205" s="70"/>
    </row>
    <row r="206" ht="11.25" customHeight="1">
      <c r="A206" s="70"/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  <c r="AA206" s="70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  <c r="AL206" s="70"/>
      <c r="AM206" s="70"/>
      <c r="AN206" s="70"/>
      <c r="AO206" s="70"/>
      <c r="AP206" s="70"/>
      <c r="AQ206" s="70"/>
      <c r="AR206" s="70"/>
      <c r="AS206" s="70"/>
      <c r="AT206" s="70"/>
      <c r="AU206" s="70"/>
      <c r="AV206" s="70"/>
      <c r="AW206" s="70"/>
      <c r="AX206" s="70"/>
      <c r="AY206" s="70"/>
      <c r="AZ206" s="70"/>
      <c r="BA206" s="70"/>
      <c r="BB206" s="70"/>
      <c r="BC206" s="70"/>
      <c r="BD206" s="70"/>
      <c r="BE206" s="70"/>
      <c r="BF206" s="70"/>
      <c r="BG206" s="70"/>
      <c r="BH206" s="70"/>
      <c r="BI206" s="70"/>
      <c r="BJ206" s="70"/>
      <c r="BK206" s="70"/>
      <c r="BL206" s="70"/>
    </row>
    <row r="207" ht="11.25" customHeight="1">
      <c r="A207" s="70"/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  <c r="AA207" s="70"/>
      <c r="AB207" s="70"/>
      <c r="AC207" s="70"/>
      <c r="AD207" s="70"/>
      <c r="AE207" s="70"/>
      <c r="AF207" s="70"/>
      <c r="AG207" s="70"/>
      <c r="AH207" s="70"/>
      <c r="AI207" s="70"/>
      <c r="AJ207" s="70"/>
      <c r="AK207" s="70"/>
      <c r="AL207" s="70"/>
      <c r="AM207" s="70"/>
      <c r="AN207" s="70"/>
      <c r="AO207" s="70"/>
      <c r="AP207" s="70"/>
      <c r="AQ207" s="70"/>
      <c r="AR207" s="70"/>
      <c r="AS207" s="70"/>
      <c r="AT207" s="70"/>
      <c r="AU207" s="70"/>
      <c r="AV207" s="70"/>
      <c r="AW207" s="70"/>
      <c r="AX207" s="70"/>
      <c r="AY207" s="70"/>
      <c r="AZ207" s="70"/>
      <c r="BA207" s="70"/>
      <c r="BB207" s="70"/>
      <c r="BC207" s="70"/>
      <c r="BD207" s="70"/>
      <c r="BE207" s="70"/>
      <c r="BF207" s="70"/>
      <c r="BG207" s="70"/>
      <c r="BH207" s="70"/>
      <c r="BI207" s="70"/>
      <c r="BJ207" s="70"/>
      <c r="BK207" s="70"/>
      <c r="BL207" s="70"/>
    </row>
    <row r="208" ht="11.25" customHeight="1">
      <c r="A208" s="70"/>
      <c r="B208" s="70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70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  <c r="AA208" s="70"/>
      <c r="AB208" s="70"/>
      <c r="AC208" s="70"/>
      <c r="AD208" s="70"/>
      <c r="AE208" s="70"/>
      <c r="AF208" s="70"/>
      <c r="AG208" s="70"/>
      <c r="AH208" s="70"/>
      <c r="AI208" s="70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  <c r="AT208" s="70"/>
      <c r="AU208" s="70"/>
      <c r="AV208" s="70"/>
      <c r="AW208" s="70"/>
      <c r="AX208" s="70"/>
      <c r="AY208" s="70"/>
      <c r="AZ208" s="70"/>
      <c r="BA208" s="70"/>
      <c r="BB208" s="70"/>
      <c r="BC208" s="70"/>
      <c r="BD208" s="70"/>
      <c r="BE208" s="70"/>
      <c r="BF208" s="70"/>
      <c r="BG208" s="70"/>
      <c r="BH208" s="70"/>
      <c r="BI208" s="70"/>
      <c r="BJ208" s="70"/>
      <c r="BK208" s="70"/>
      <c r="BL208" s="70"/>
    </row>
    <row r="209" ht="11.25" customHeight="1">
      <c r="A209" s="70"/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  <c r="AA209" s="70"/>
      <c r="AB209" s="70"/>
      <c r="AC209" s="70"/>
      <c r="AD209" s="70"/>
      <c r="AE209" s="70"/>
      <c r="AF209" s="70"/>
      <c r="AG209" s="70"/>
      <c r="AH209" s="70"/>
      <c r="AI209" s="70"/>
      <c r="AJ209" s="70"/>
      <c r="AK209" s="70"/>
      <c r="AL209" s="70"/>
      <c r="AM209" s="70"/>
      <c r="AN209" s="70"/>
      <c r="AO209" s="70"/>
      <c r="AP209" s="70"/>
      <c r="AQ209" s="70"/>
      <c r="AR209" s="70"/>
      <c r="AS209" s="70"/>
      <c r="AT209" s="70"/>
      <c r="AU209" s="70"/>
      <c r="AV209" s="70"/>
      <c r="AW209" s="70"/>
      <c r="AX209" s="70"/>
      <c r="AY209" s="70"/>
      <c r="AZ209" s="70"/>
      <c r="BA209" s="70"/>
      <c r="BB209" s="70"/>
      <c r="BC209" s="70"/>
      <c r="BD209" s="70"/>
      <c r="BE209" s="70"/>
      <c r="BF209" s="70"/>
      <c r="BG209" s="70"/>
      <c r="BH209" s="70"/>
      <c r="BI209" s="70"/>
      <c r="BJ209" s="70"/>
      <c r="BK209" s="70"/>
      <c r="BL209" s="70"/>
    </row>
    <row r="210" ht="11.25" customHeight="1">
      <c r="A210" s="70"/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  <c r="AA210" s="70"/>
      <c r="AB210" s="70"/>
      <c r="AC210" s="70"/>
      <c r="AD210" s="70"/>
      <c r="AE210" s="70"/>
      <c r="AF210" s="70"/>
      <c r="AG210" s="70"/>
      <c r="AH210" s="70"/>
      <c r="AI210" s="70"/>
      <c r="AJ210" s="70"/>
      <c r="AK210" s="70"/>
      <c r="AL210" s="70"/>
      <c r="AM210" s="70"/>
      <c r="AN210" s="70"/>
      <c r="AO210" s="70"/>
      <c r="AP210" s="70"/>
      <c r="AQ210" s="70"/>
      <c r="AR210" s="70"/>
      <c r="AS210" s="70"/>
      <c r="AT210" s="70"/>
      <c r="AU210" s="70"/>
      <c r="AV210" s="70"/>
      <c r="AW210" s="70"/>
      <c r="AX210" s="70"/>
      <c r="AY210" s="70"/>
      <c r="AZ210" s="70"/>
      <c r="BA210" s="70"/>
      <c r="BB210" s="70"/>
      <c r="BC210" s="70"/>
      <c r="BD210" s="70"/>
      <c r="BE210" s="70"/>
      <c r="BF210" s="70"/>
      <c r="BG210" s="70"/>
      <c r="BH210" s="70"/>
      <c r="BI210" s="70"/>
      <c r="BJ210" s="70"/>
      <c r="BK210" s="70"/>
      <c r="BL210" s="70"/>
    </row>
    <row r="211" ht="11.25" customHeight="1">
      <c r="A211" s="70"/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  <c r="AA211" s="70"/>
      <c r="AB211" s="70"/>
      <c r="AC211" s="70"/>
      <c r="AD211" s="70"/>
      <c r="AE211" s="70"/>
      <c r="AF211" s="70"/>
      <c r="AG211" s="70"/>
      <c r="AH211" s="70"/>
      <c r="AI211" s="70"/>
      <c r="AJ211" s="70"/>
      <c r="AK211" s="70"/>
      <c r="AL211" s="70"/>
      <c r="AM211" s="70"/>
      <c r="AN211" s="70"/>
      <c r="AO211" s="70"/>
      <c r="AP211" s="70"/>
      <c r="AQ211" s="70"/>
      <c r="AR211" s="70"/>
      <c r="AS211" s="70"/>
      <c r="AT211" s="70"/>
      <c r="AU211" s="70"/>
      <c r="AV211" s="70"/>
      <c r="AW211" s="70"/>
      <c r="AX211" s="70"/>
      <c r="AY211" s="70"/>
      <c r="AZ211" s="70"/>
      <c r="BA211" s="70"/>
      <c r="BB211" s="70"/>
      <c r="BC211" s="70"/>
      <c r="BD211" s="70"/>
      <c r="BE211" s="70"/>
      <c r="BF211" s="70"/>
      <c r="BG211" s="70"/>
      <c r="BH211" s="70"/>
      <c r="BI211" s="70"/>
      <c r="BJ211" s="70"/>
      <c r="BK211" s="70"/>
      <c r="BL211" s="70"/>
    </row>
    <row r="212" ht="11.25" customHeight="1">
      <c r="A212" s="70"/>
      <c r="B212" s="70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  <c r="AA212" s="70"/>
      <c r="AB212" s="70"/>
      <c r="AC212" s="70"/>
      <c r="AD212" s="70"/>
      <c r="AE212" s="70"/>
      <c r="AF212" s="70"/>
      <c r="AG212" s="70"/>
      <c r="AH212" s="70"/>
      <c r="AI212" s="70"/>
      <c r="AJ212" s="70"/>
      <c r="AK212" s="70"/>
      <c r="AL212" s="70"/>
      <c r="AM212" s="70"/>
      <c r="AN212" s="70"/>
      <c r="AO212" s="70"/>
      <c r="AP212" s="70"/>
      <c r="AQ212" s="70"/>
      <c r="AR212" s="70"/>
      <c r="AS212" s="70"/>
      <c r="AT212" s="70"/>
      <c r="AU212" s="70"/>
      <c r="AV212" s="70"/>
      <c r="AW212" s="70"/>
      <c r="AX212" s="70"/>
      <c r="AY212" s="70"/>
      <c r="AZ212" s="70"/>
      <c r="BA212" s="70"/>
      <c r="BB212" s="70"/>
      <c r="BC212" s="70"/>
      <c r="BD212" s="70"/>
      <c r="BE212" s="70"/>
      <c r="BF212" s="70"/>
      <c r="BG212" s="70"/>
      <c r="BH212" s="70"/>
      <c r="BI212" s="70"/>
      <c r="BJ212" s="70"/>
      <c r="BK212" s="70"/>
      <c r="BL212" s="70"/>
    </row>
    <row r="213" ht="11.25" customHeight="1">
      <c r="A213" s="70"/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  <c r="AA213" s="70"/>
      <c r="AB213" s="70"/>
      <c r="AC213" s="70"/>
      <c r="AD213" s="70"/>
      <c r="AE213" s="70"/>
      <c r="AF213" s="70"/>
      <c r="AG213" s="70"/>
      <c r="AH213" s="70"/>
      <c r="AI213" s="70"/>
      <c r="AJ213" s="70"/>
      <c r="AK213" s="70"/>
      <c r="AL213" s="70"/>
      <c r="AM213" s="70"/>
      <c r="AN213" s="70"/>
      <c r="AO213" s="70"/>
      <c r="AP213" s="70"/>
      <c r="AQ213" s="70"/>
      <c r="AR213" s="70"/>
      <c r="AS213" s="70"/>
      <c r="AT213" s="70"/>
      <c r="AU213" s="70"/>
      <c r="AV213" s="70"/>
      <c r="AW213" s="70"/>
      <c r="AX213" s="70"/>
      <c r="AY213" s="70"/>
      <c r="AZ213" s="70"/>
      <c r="BA213" s="70"/>
      <c r="BB213" s="70"/>
      <c r="BC213" s="70"/>
      <c r="BD213" s="70"/>
      <c r="BE213" s="70"/>
      <c r="BF213" s="70"/>
      <c r="BG213" s="70"/>
      <c r="BH213" s="70"/>
      <c r="BI213" s="70"/>
      <c r="BJ213" s="70"/>
      <c r="BK213" s="70"/>
      <c r="BL213" s="70"/>
    </row>
    <row r="214" ht="11.25" customHeight="1">
      <c r="A214" s="70"/>
      <c r="B214" s="70"/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  <c r="AA214" s="70"/>
      <c r="AB214" s="70"/>
      <c r="AC214" s="70"/>
      <c r="AD214" s="70"/>
      <c r="AE214" s="70"/>
      <c r="AF214" s="70"/>
      <c r="AG214" s="70"/>
      <c r="AH214" s="70"/>
      <c r="AI214" s="70"/>
      <c r="AJ214" s="70"/>
      <c r="AK214" s="70"/>
      <c r="AL214" s="70"/>
      <c r="AM214" s="70"/>
      <c r="AN214" s="70"/>
      <c r="AO214" s="70"/>
      <c r="AP214" s="70"/>
      <c r="AQ214" s="70"/>
      <c r="AR214" s="70"/>
      <c r="AS214" s="70"/>
      <c r="AT214" s="70"/>
      <c r="AU214" s="70"/>
      <c r="AV214" s="70"/>
      <c r="AW214" s="70"/>
      <c r="AX214" s="70"/>
      <c r="AY214" s="70"/>
      <c r="AZ214" s="70"/>
      <c r="BA214" s="70"/>
      <c r="BB214" s="70"/>
      <c r="BC214" s="70"/>
      <c r="BD214" s="70"/>
      <c r="BE214" s="70"/>
      <c r="BF214" s="70"/>
      <c r="BG214" s="70"/>
      <c r="BH214" s="70"/>
      <c r="BI214" s="70"/>
      <c r="BJ214" s="70"/>
      <c r="BK214" s="70"/>
      <c r="BL214" s="70"/>
    </row>
    <row r="215" ht="11.25" customHeight="1">
      <c r="A215" s="70"/>
      <c r="B215" s="70"/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  <c r="AA215" s="70"/>
      <c r="AB215" s="70"/>
      <c r="AC215" s="70"/>
      <c r="AD215" s="70"/>
      <c r="AE215" s="70"/>
      <c r="AF215" s="70"/>
      <c r="AG215" s="70"/>
      <c r="AH215" s="70"/>
      <c r="AI215" s="70"/>
      <c r="AJ215" s="70"/>
      <c r="AK215" s="70"/>
      <c r="AL215" s="70"/>
      <c r="AM215" s="70"/>
      <c r="AN215" s="70"/>
      <c r="AO215" s="70"/>
      <c r="AP215" s="70"/>
      <c r="AQ215" s="70"/>
      <c r="AR215" s="70"/>
      <c r="AS215" s="70"/>
      <c r="AT215" s="70"/>
      <c r="AU215" s="70"/>
      <c r="AV215" s="70"/>
      <c r="AW215" s="70"/>
      <c r="AX215" s="70"/>
      <c r="AY215" s="70"/>
      <c r="AZ215" s="70"/>
      <c r="BA215" s="70"/>
      <c r="BB215" s="70"/>
      <c r="BC215" s="70"/>
      <c r="BD215" s="70"/>
      <c r="BE215" s="70"/>
      <c r="BF215" s="70"/>
      <c r="BG215" s="70"/>
      <c r="BH215" s="70"/>
      <c r="BI215" s="70"/>
      <c r="BJ215" s="70"/>
      <c r="BK215" s="70"/>
      <c r="BL215" s="70"/>
    </row>
    <row r="216" ht="11.25" customHeight="1">
      <c r="A216" s="70"/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  <c r="AA216" s="70"/>
      <c r="AB216" s="70"/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  <c r="BA216" s="70"/>
      <c r="BB216" s="70"/>
      <c r="BC216" s="70"/>
      <c r="BD216" s="70"/>
      <c r="BE216" s="70"/>
      <c r="BF216" s="70"/>
      <c r="BG216" s="70"/>
      <c r="BH216" s="70"/>
      <c r="BI216" s="70"/>
      <c r="BJ216" s="70"/>
      <c r="BK216" s="70"/>
      <c r="BL216" s="70"/>
    </row>
    <row r="217" ht="11.25" customHeight="1">
      <c r="A217" s="70"/>
      <c r="B217" s="70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  <c r="AA217" s="70"/>
      <c r="AB217" s="70"/>
      <c r="AC217" s="70"/>
      <c r="AD217" s="70"/>
      <c r="AE217" s="70"/>
      <c r="AF217" s="70"/>
      <c r="AG217" s="70"/>
      <c r="AH217" s="70"/>
      <c r="AI217" s="70"/>
      <c r="AJ217" s="70"/>
      <c r="AK217" s="70"/>
      <c r="AL217" s="70"/>
      <c r="AM217" s="70"/>
      <c r="AN217" s="70"/>
      <c r="AO217" s="70"/>
      <c r="AP217" s="70"/>
      <c r="AQ217" s="70"/>
      <c r="AR217" s="70"/>
      <c r="AS217" s="70"/>
      <c r="AT217" s="70"/>
      <c r="AU217" s="70"/>
      <c r="AV217" s="70"/>
      <c r="AW217" s="70"/>
      <c r="AX217" s="70"/>
      <c r="AY217" s="70"/>
      <c r="AZ217" s="70"/>
      <c r="BA217" s="70"/>
      <c r="BB217" s="70"/>
      <c r="BC217" s="70"/>
      <c r="BD217" s="70"/>
      <c r="BE217" s="70"/>
      <c r="BF217" s="70"/>
      <c r="BG217" s="70"/>
      <c r="BH217" s="70"/>
      <c r="BI217" s="70"/>
      <c r="BJ217" s="70"/>
      <c r="BK217" s="70"/>
      <c r="BL217" s="70"/>
    </row>
    <row r="218" ht="11.25" customHeight="1">
      <c r="A218" s="70"/>
      <c r="B218" s="70"/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  <c r="AA218" s="70"/>
      <c r="AB218" s="70"/>
      <c r="AC218" s="70"/>
      <c r="AD218" s="70"/>
      <c r="AE218" s="70"/>
      <c r="AF218" s="70"/>
      <c r="AG218" s="70"/>
      <c r="AH218" s="70"/>
      <c r="AI218" s="70"/>
      <c r="AJ218" s="70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70"/>
      <c r="AV218" s="70"/>
      <c r="AW218" s="70"/>
      <c r="AX218" s="70"/>
      <c r="AY218" s="70"/>
      <c r="AZ218" s="70"/>
      <c r="BA218" s="70"/>
      <c r="BB218" s="70"/>
      <c r="BC218" s="70"/>
      <c r="BD218" s="70"/>
      <c r="BE218" s="70"/>
      <c r="BF218" s="70"/>
      <c r="BG218" s="70"/>
      <c r="BH218" s="70"/>
      <c r="BI218" s="70"/>
      <c r="BJ218" s="70"/>
      <c r="BK218" s="70"/>
      <c r="BL218" s="70"/>
    </row>
    <row r="219" ht="11.25" customHeight="1">
      <c r="A219" s="70"/>
      <c r="B219" s="70"/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0"/>
      <c r="AN219" s="70"/>
      <c r="AO219" s="70"/>
      <c r="AP219" s="70"/>
      <c r="AQ219" s="70"/>
      <c r="AR219" s="70"/>
      <c r="AS219" s="70"/>
      <c r="AT219" s="70"/>
      <c r="AU219" s="70"/>
      <c r="AV219" s="70"/>
      <c r="AW219" s="70"/>
      <c r="AX219" s="70"/>
      <c r="AY219" s="70"/>
      <c r="AZ219" s="70"/>
      <c r="BA219" s="70"/>
      <c r="BB219" s="70"/>
      <c r="BC219" s="70"/>
      <c r="BD219" s="70"/>
      <c r="BE219" s="70"/>
      <c r="BF219" s="70"/>
      <c r="BG219" s="70"/>
      <c r="BH219" s="70"/>
      <c r="BI219" s="70"/>
      <c r="BJ219" s="70"/>
      <c r="BK219" s="70"/>
      <c r="BL219" s="70"/>
    </row>
    <row r="220" ht="11.25" customHeight="1">
      <c r="A220" s="70"/>
      <c r="B220" s="70"/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70"/>
      <c r="AV220" s="70"/>
      <c r="AW220" s="70"/>
      <c r="AX220" s="70"/>
      <c r="AY220" s="70"/>
      <c r="AZ220" s="70"/>
      <c r="BA220" s="70"/>
      <c r="BB220" s="70"/>
      <c r="BC220" s="70"/>
      <c r="BD220" s="70"/>
      <c r="BE220" s="70"/>
      <c r="BF220" s="70"/>
      <c r="BG220" s="70"/>
      <c r="BH220" s="70"/>
      <c r="BI220" s="70"/>
      <c r="BJ220" s="70"/>
      <c r="BK220" s="70"/>
      <c r="BL220" s="70"/>
    </row>
    <row r="221" ht="11.25" customHeight="1">
      <c r="A221" s="70"/>
      <c r="B221" s="70"/>
      <c r="C221" s="70"/>
      <c r="D221" s="70"/>
      <c r="E221" s="70"/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  <c r="AA221" s="70"/>
      <c r="AB221" s="70"/>
      <c r="AC221" s="70"/>
      <c r="AD221" s="70"/>
      <c r="AE221" s="70"/>
      <c r="AF221" s="70"/>
      <c r="AG221" s="70"/>
      <c r="AH221" s="70"/>
      <c r="AI221" s="70"/>
      <c r="AJ221" s="70"/>
      <c r="AK221" s="70"/>
      <c r="AL221" s="70"/>
      <c r="AM221" s="70"/>
      <c r="AN221" s="70"/>
      <c r="AO221" s="70"/>
      <c r="AP221" s="70"/>
      <c r="AQ221" s="70"/>
      <c r="AR221" s="70"/>
      <c r="AS221" s="70"/>
      <c r="AT221" s="70"/>
      <c r="AU221" s="70"/>
      <c r="AV221" s="70"/>
      <c r="AW221" s="70"/>
      <c r="AX221" s="70"/>
      <c r="AY221" s="70"/>
      <c r="AZ221" s="70"/>
      <c r="BA221" s="70"/>
      <c r="BB221" s="70"/>
      <c r="BC221" s="70"/>
      <c r="BD221" s="70"/>
      <c r="BE221" s="70"/>
      <c r="BF221" s="70"/>
      <c r="BG221" s="70"/>
      <c r="BH221" s="70"/>
      <c r="BI221" s="70"/>
      <c r="BJ221" s="70"/>
      <c r="BK221" s="70"/>
      <c r="BL221" s="70"/>
    </row>
    <row r="222" ht="11.25" customHeight="1">
      <c r="A222" s="70"/>
      <c r="B222" s="70"/>
      <c r="C222" s="70"/>
      <c r="D222" s="70"/>
      <c r="E222" s="70"/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  <c r="AA222" s="70"/>
      <c r="AB222" s="70"/>
      <c r="AC222" s="70"/>
      <c r="AD222" s="70"/>
      <c r="AE222" s="70"/>
      <c r="AF222" s="70"/>
      <c r="AG222" s="70"/>
      <c r="AH222" s="70"/>
      <c r="AI222" s="70"/>
      <c r="AJ222" s="70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70"/>
      <c r="AV222" s="70"/>
      <c r="AW222" s="70"/>
      <c r="AX222" s="70"/>
      <c r="AY222" s="70"/>
      <c r="AZ222" s="70"/>
      <c r="BA222" s="70"/>
      <c r="BB222" s="70"/>
      <c r="BC222" s="70"/>
      <c r="BD222" s="70"/>
      <c r="BE222" s="70"/>
      <c r="BF222" s="70"/>
      <c r="BG222" s="70"/>
      <c r="BH222" s="70"/>
      <c r="BI222" s="70"/>
      <c r="BJ222" s="70"/>
      <c r="BK222" s="70"/>
      <c r="BL222" s="70"/>
    </row>
    <row r="223" ht="11.25" customHeight="1">
      <c r="A223" s="70"/>
      <c r="B223" s="70"/>
      <c r="C223" s="70"/>
      <c r="D223" s="70"/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70"/>
      <c r="AC223" s="70"/>
      <c r="AD223" s="70"/>
      <c r="AE223" s="70"/>
      <c r="AF223" s="70"/>
      <c r="AG223" s="70"/>
      <c r="AH223" s="70"/>
      <c r="AI223" s="70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  <c r="AX223" s="70"/>
      <c r="AY223" s="70"/>
      <c r="AZ223" s="70"/>
      <c r="BA223" s="70"/>
      <c r="BB223" s="70"/>
      <c r="BC223" s="70"/>
      <c r="BD223" s="70"/>
      <c r="BE223" s="70"/>
      <c r="BF223" s="70"/>
      <c r="BG223" s="70"/>
      <c r="BH223" s="70"/>
      <c r="BI223" s="70"/>
      <c r="BJ223" s="70"/>
      <c r="BK223" s="70"/>
      <c r="BL223" s="70"/>
    </row>
    <row r="224" ht="11.25" customHeight="1">
      <c r="A224" s="70"/>
      <c r="B224" s="70"/>
      <c r="C224" s="70"/>
      <c r="D224" s="70"/>
      <c r="E224" s="70"/>
      <c r="F224" s="70"/>
      <c r="G224" s="70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/>
      <c r="Y224" s="70"/>
      <c r="Z224" s="70"/>
      <c r="AA224" s="70"/>
      <c r="AB224" s="70"/>
      <c r="AC224" s="70"/>
      <c r="AD224" s="70"/>
      <c r="AE224" s="70"/>
      <c r="AF224" s="70"/>
      <c r="AG224" s="70"/>
      <c r="AH224" s="70"/>
      <c r="AI224" s="70"/>
      <c r="AJ224" s="70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70"/>
      <c r="AV224" s="70"/>
      <c r="AW224" s="70"/>
      <c r="AX224" s="70"/>
      <c r="AY224" s="70"/>
      <c r="AZ224" s="70"/>
      <c r="BA224" s="70"/>
      <c r="BB224" s="70"/>
      <c r="BC224" s="70"/>
      <c r="BD224" s="70"/>
      <c r="BE224" s="70"/>
      <c r="BF224" s="70"/>
      <c r="BG224" s="70"/>
      <c r="BH224" s="70"/>
      <c r="BI224" s="70"/>
      <c r="BJ224" s="70"/>
      <c r="BK224" s="70"/>
      <c r="BL224" s="70"/>
    </row>
    <row r="225" ht="11.25" customHeight="1">
      <c r="A225" s="70"/>
      <c r="B225" s="70"/>
      <c r="C225" s="70"/>
      <c r="D225" s="70"/>
      <c r="E225" s="70"/>
      <c r="F225" s="70"/>
      <c r="G225" s="70"/>
      <c r="H225" s="70"/>
      <c r="I225" s="70"/>
      <c r="J225" s="70"/>
      <c r="K225" s="70"/>
      <c r="L225" s="70"/>
      <c r="M225" s="70"/>
      <c r="N225" s="70"/>
      <c r="O225" s="70"/>
      <c r="P225" s="70"/>
      <c r="Q225" s="70"/>
      <c r="R225" s="70"/>
      <c r="S225" s="70"/>
      <c r="T225" s="70"/>
      <c r="U225" s="70"/>
      <c r="V225" s="70"/>
      <c r="W225" s="70"/>
      <c r="X225" s="70"/>
      <c r="Y225" s="70"/>
      <c r="Z225" s="70"/>
      <c r="AA225" s="70"/>
      <c r="AB225" s="70"/>
      <c r="AC225" s="70"/>
      <c r="AD225" s="70"/>
      <c r="AE225" s="70"/>
      <c r="AF225" s="70"/>
      <c r="AG225" s="70"/>
      <c r="AH225" s="70"/>
      <c r="AI225" s="70"/>
      <c r="AJ225" s="70"/>
      <c r="AK225" s="70"/>
      <c r="AL225" s="70"/>
      <c r="AM225" s="70"/>
      <c r="AN225" s="70"/>
      <c r="AO225" s="70"/>
      <c r="AP225" s="70"/>
      <c r="AQ225" s="70"/>
      <c r="AR225" s="70"/>
      <c r="AS225" s="70"/>
      <c r="AT225" s="70"/>
      <c r="AU225" s="70"/>
      <c r="AV225" s="70"/>
      <c r="AW225" s="70"/>
      <c r="AX225" s="70"/>
      <c r="AY225" s="70"/>
      <c r="AZ225" s="70"/>
      <c r="BA225" s="70"/>
      <c r="BB225" s="70"/>
      <c r="BC225" s="70"/>
      <c r="BD225" s="70"/>
      <c r="BE225" s="70"/>
      <c r="BF225" s="70"/>
      <c r="BG225" s="70"/>
      <c r="BH225" s="70"/>
      <c r="BI225" s="70"/>
      <c r="BJ225" s="70"/>
      <c r="BK225" s="70"/>
      <c r="BL225" s="70"/>
    </row>
    <row r="226" ht="11.25" customHeight="1">
      <c r="A226" s="70"/>
      <c r="B226" s="70"/>
      <c r="C226" s="70"/>
      <c r="D226" s="70"/>
      <c r="E226" s="70"/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  <c r="AA226" s="70"/>
      <c r="AB226" s="70"/>
      <c r="AC226" s="70"/>
      <c r="AD226" s="70"/>
      <c r="AE226" s="70"/>
      <c r="AF226" s="70"/>
      <c r="AG226" s="70"/>
      <c r="AH226" s="70"/>
      <c r="AI226" s="70"/>
      <c r="AJ226" s="70"/>
      <c r="AK226" s="70"/>
      <c r="AL226" s="70"/>
      <c r="AM226" s="70"/>
      <c r="AN226" s="70"/>
      <c r="AO226" s="70"/>
      <c r="AP226" s="70"/>
      <c r="AQ226" s="70"/>
      <c r="AR226" s="70"/>
      <c r="AS226" s="70"/>
      <c r="AT226" s="70"/>
      <c r="AU226" s="70"/>
      <c r="AV226" s="70"/>
      <c r="AW226" s="70"/>
      <c r="AX226" s="70"/>
      <c r="AY226" s="70"/>
      <c r="AZ226" s="70"/>
      <c r="BA226" s="70"/>
      <c r="BB226" s="70"/>
      <c r="BC226" s="70"/>
      <c r="BD226" s="70"/>
      <c r="BE226" s="70"/>
      <c r="BF226" s="70"/>
      <c r="BG226" s="70"/>
      <c r="BH226" s="70"/>
      <c r="BI226" s="70"/>
      <c r="BJ226" s="70"/>
      <c r="BK226" s="70"/>
      <c r="BL226" s="70"/>
    </row>
    <row r="227" ht="15.7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  <c r="AZ227" s="31"/>
      <c r="BA227" s="31"/>
      <c r="BB227" s="31"/>
      <c r="BC227" s="31"/>
      <c r="BD227" s="31"/>
      <c r="BE227" s="31"/>
      <c r="BF227" s="31"/>
      <c r="BG227" s="31"/>
      <c r="BH227" s="31"/>
      <c r="BI227" s="31"/>
      <c r="BJ227" s="31"/>
      <c r="BK227" s="31"/>
      <c r="BL227" s="31"/>
    </row>
    <row r="228" ht="15.7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  <c r="AZ228" s="31"/>
      <c r="BA228" s="31"/>
      <c r="BB228" s="31"/>
      <c r="BC228" s="31"/>
      <c r="BD228" s="31"/>
      <c r="BE228" s="31"/>
      <c r="BF228" s="31"/>
      <c r="BG228" s="31"/>
      <c r="BH228" s="31"/>
      <c r="BI228" s="31"/>
      <c r="BJ228" s="31"/>
      <c r="BK228" s="31"/>
      <c r="BL228" s="31"/>
    </row>
    <row r="229" ht="15.7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  <c r="AZ229" s="31"/>
      <c r="BA229" s="31"/>
      <c r="BB229" s="31"/>
      <c r="BC229" s="31"/>
      <c r="BD229" s="31"/>
      <c r="BE229" s="31"/>
      <c r="BF229" s="31"/>
      <c r="BG229" s="31"/>
      <c r="BH229" s="31"/>
      <c r="BI229" s="31"/>
      <c r="BJ229" s="31"/>
      <c r="BK229" s="31"/>
      <c r="BL229" s="31"/>
    </row>
    <row r="230" ht="15.7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  <c r="AZ230" s="31"/>
      <c r="BA230" s="31"/>
      <c r="BB230" s="31"/>
      <c r="BC230" s="31"/>
      <c r="BD230" s="31"/>
      <c r="BE230" s="31"/>
      <c r="BF230" s="31"/>
      <c r="BG230" s="31"/>
      <c r="BH230" s="31"/>
      <c r="BI230" s="31"/>
      <c r="BJ230" s="31"/>
      <c r="BK230" s="31"/>
      <c r="BL230" s="31"/>
    </row>
    <row r="231" ht="15.7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  <c r="AZ231" s="31"/>
      <c r="BA231" s="31"/>
      <c r="BB231" s="31"/>
      <c r="BC231" s="31"/>
      <c r="BD231" s="31"/>
      <c r="BE231" s="31"/>
      <c r="BF231" s="31"/>
      <c r="BG231" s="31"/>
      <c r="BH231" s="31"/>
      <c r="BI231" s="31"/>
      <c r="BJ231" s="31"/>
      <c r="BK231" s="31"/>
      <c r="BL231" s="31"/>
    </row>
    <row r="232" ht="15.7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  <c r="AZ232" s="31"/>
      <c r="BA232" s="31"/>
      <c r="BB232" s="31"/>
      <c r="BC232" s="31"/>
      <c r="BD232" s="31"/>
      <c r="BE232" s="31"/>
      <c r="BF232" s="31"/>
      <c r="BG232" s="31"/>
      <c r="BH232" s="31"/>
      <c r="BI232" s="31"/>
      <c r="BJ232" s="31"/>
      <c r="BK232" s="31"/>
      <c r="BL232" s="31"/>
    </row>
    <row r="233" ht="15.7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  <c r="AZ233" s="31"/>
      <c r="BA233" s="31"/>
      <c r="BB233" s="31"/>
      <c r="BC233" s="31"/>
      <c r="BD233" s="31"/>
      <c r="BE233" s="31"/>
      <c r="BF233" s="31"/>
      <c r="BG233" s="31"/>
      <c r="BH233" s="31"/>
      <c r="BI233" s="31"/>
      <c r="BJ233" s="31"/>
      <c r="BK233" s="31"/>
      <c r="BL233" s="31"/>
    </row>
    <row r="234" ht="15.7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  <c r="AZ234" s="31"/>
      <c r="BA234" s="31"/>
      <c r="BB234" s="31"/>
      <c r="BC234" s="31"/>
      <c r="BD234" s="31"/>
      <c r="BE234" s="31"/>
      <c r="BF234" s="31"/>
      <c r="BG234" s="31"/>
      <c r="BH234" s="31"/>
      <c r="BI234" s="31"/>
      <c r="BJ234" s="31"/>
      <c r="BK234" s="31"/>
      <c r="BL234" s="31"/>
    </row>
    <row r="235" ht="15.7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  <c r="AZ235" s="31"/>
      <c r="BA235" s="31"/>
      <c r="BB235" s="31"/>
      <c r="BC235" s="31"/>
      <c r="BD235" s="31"/>
      <c r="BE235" s="31"/>
      <c r="BF235" s="31"/>
      <c r="BG235" s="31"/>
      <c r="BH235" s="31"/>
      <c r="BI235" s="31"/>
      <c r="BJ235" s="31"/>
      <c r="BK235" s="31"/>
      <c r="BL235" s="31"/>
    </row>
    <row r="236" ht="15.7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  <c r="AZ236" s="31"/>
      <c r="BA236" s="31"/>
      <c r="BB236" s="31"/>
      <c r="BC236" s="31"/>
      <c r="BD236" s="31"/>
      <c r="BE236" s="31"/>
      <c r="BF236" s="31"/>
      <c r="BG236" s="31"/>
      <c r="BH236" s="31"/>
      <c r="BI236" s="31"/>
      <c r="BJ236" s="31"/>
      <c r="BK236" s="31"/>
      <c r="BL236" s="31"/>
    </row>
    <row r="237" ht="15.7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  <c r="AZ237" s="31"/>
      <c r="BA237" s="31"/>
      <c r="BB237" s="31"/>
      <c r="BC237" s="31"/>
      <c r="BD237" s="31"/>
      <c r="BE237" s="31"/>
      <c r="BF237" s="31"/>
      <c r="BG237" s="31"/>
      <c r="BH237" s="31"/>
      <c r="BI237" s="31"/>
      <c r="BJ237" s="31"/>
      <c r="BK237" s="31"/>
      <c r="BL237" s="31"/>
    </row>
    <row r="238" ht="15.7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  <c r="AZ238" s="31"/>
      <c r="BA238" s="31"/>
      <c r="BB238" s="31"/>
      <c r="BC238" s="31"/>
      <c r="BD238" s="31"/>
      <c r="BE238" s="31"/>
      <c r="BF238" s="31"/>
      <c r="BG238" s="31"/>
      <c r="BH238" s="31"/>
      <c r="BI238" s="31"/>
      <c r="BJ238" s="31"/>
      <c r="BK238" s="31"/>
      <c r="BL238" s="31"/>
    </row>
    <row r="239" ht="15.7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  <c r="AZ239" s="31"/>
      <c r="BA239" s="31"/>
      <c r="BB239" s="31"/>
      <c r="BC239" s="31"/>
      <c r="BD239" s="31"/>
      <c r="BE239" s="31"/>
      <c r="BF239" s="31"/>
      <c r="BG239" s="31"/>
      <c r="BH239" s="31"/>
      <c r="BI239" s="31"/>
      <c r="BJ239" s="31"/>
      <c r="BK239" s="31"/>
      <c r="BL239" s="31"/>
    </row>
    <row r="240" ht="15.7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  <c r="AZ240" s="31"/>
      <c r="BA240" s="31"/>
      <c r="BB240" s="31"/>
      <c r="BC240" s="31"/>
      <c r="BD240" s="31"/>
      <c r="BE240" s="31"/>
      <c r="BF240" s="31"/>
      <c r="BG240" s="31"/>
      <c r="BH240" s="31"/>
      <c r="BI240" s="31"/>
      <c r="BJ240" s="31"/>
      <c r="BK240" s="31"/>
      <c r="BL240" s="31"/>
    </row>
    <row r="241" ht="15.7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  <c r="AZ241" s="31"/>
      <c r="BA241" s="31"/>
      <c r="BB241" s="31"/>
      <c r="BC241" s="31"/>
      <c r="BD241" s="31"/>
      <c r="BE241" s="31"/>
      <c r="BF241" s="31"/>
      <c r="BG241" s="31"/>
      <c r="BH241" s="31"/>
      <c r="BI241" s="31"/>
      <c r="BJ241" s="31"/>
      <c r="BK241" s="31"/>
      <c r="BL241" s="31"/>
    </row>
    <row r="242" ht="15.7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  <c r="AZ242" s="31"/>
      <c r="BA242" s="31"/>
      <c r="BB242" s="31"/>
      <c r="BC242" s="31"/>
      <c r="BD242" s="31"/>
      <c r="BE242" s="31"/>
      <c r="BF242" s="31"/>
      <c r="BG242" s="31"/>
      <c r="BH242" s="31"/>
      <c r="BI242" s="31"/>
      <c r="BJ242" s="31"/>
      <c r="BK242" s="31"/>
      <c r="BL242" s="31"/>
    </row>
    <row r="243" ht="15.7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  <c r="AZ243" s="31"/>
      <c r="BA243" s="31"/>
      <c r="BB243" s="31"/>
      <c r="BC243" s="31"/>
      <c r="BD243" s="31"/>
      <c r="BE243" s="31"/>
      <c r="BF243" s="31"/>
      <c r="BG243" s="31"/>
      <c r="BH243" s="31"/>
      <c r="BI243" s="31"/>
      <c r="BJ243" s="31"/>
      <c r="BK243" s="31"/>
      <c r="BL243" s="31"/>
    </row>
    <row r="244" ht="15.7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  <c r="AZ244" s="31"/>
      <c r="BA244" s="31"/>
      <c r="BB244" s="31"/>
      <c r="BC244" s="31"/>
      <c r="BD244" s="31"/>
      <c r="BE244" s="31"/>
      <c r="BF244" s="31"/>
      <c r="BG244" s="31"/>
      <c r="BH244" s="31"/>
      <c r="BI244" s="31"/>
      <c r="BJ244" s="31"/>
      <c r="BK244" s="31"/>
      <c r="BL244" s="31"/>
    </row>
    <row r="245" ht="15.7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  <c r="AZ245" s="31"/>
      <c r="BA245" s="31"/>
      <c r="BB245" s="31"/>
      <c r="BC245" s="31"/>
      <c r="BD245" s="31"/>
      <c r="BE245" s="31"/>
      <c r="BF245" s="31"/>
      <c r="BG245" s="31"/>
      <c r="BH245" s="31"/>
      <c r="BI245" s="31"/>
      <c r="BJ245" s="31"/>
      <c r="BK245" s="31"/>
      <c r="BL245" s="31"/>
    </row>
    <row r="246" ht="15.7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  <c r="AZ246" s="31"/>
      <c r="BA246" s="31"/>
      <c r="BB246" s="31"/>
      <c r="BC246" s="31"/>
      <c r="BD246" s="31"/>
      <c r="BE246" s="31"/>
      <c r="BF246" s="31"/>
      <c r="BG246" s="31"/>
      <c r="BH246" s="31"/>
      <c r="BI246" s="31"/>
      <c r="BJ246" s="31"/>
      <c r="BK246" s="31"/>
      <c r="BL246" s="31"/>
    </row>
    <row r="247" ht="15.7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  <c r="AZ247" s="31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1"/>
      <c r="BL247" s="31"/>
    </row>
    <row r="248" ht="15.7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  <c r="AZ248" s="31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1"/>
      <c r="BL248" s="31"/>
    </row>
    <row r="249" ht="15.7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  <c r="AZ249" s="31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1"/>
      <c r="BL249" s="31"/>
    </row>
    <row r="250" ht="15.7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  <c r="AZ250" s="31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  <c r="BK250" s="31"/>
      <c r="BL250" s="31"/>
    </row>
    <row r="251" ht="15.7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  <c r="AZ251" s="31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  <c r="BK251" s="31"/>
      <c r="BL251" s="31"/>
    </row>
    <row r="252" ht="15.7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  <c r="AZ252" s="31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  <c r="BK252" s="31"/>
      <c r="BL252" s="31"/>
    </row>
    <row r="253" ht="15.7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  <c r="AZ253" s="31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  <c r="BK253" s="31"/>
      <c r="BL253" s="31"/>
    </row>
    <row r="254" ht="15.7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  <c r="AZ254" s="31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  <c r="BK254" s="31"/>
      <c r="BL254" s="31"/>
    </row>
    <row r="255" ht="15.7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  <c r="AZ255" s="31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1"/>
      <c r="BL255" s="31"/>
    </row>
    <row r="256" ht="15.7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  <c r="BL256" s="31"/>
    </row>
    <row r="257" ht="15.7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  <c r="AZ257" s="31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1"/>
      <c r="BL257" s="31"/>
    </row>
    <row r="258" ht="15.7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  <c r="AZ258" s="31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1"/>
      <c r="BL258" s="31"/>
    </row>
    <row r="259" ht="15.7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  <c r="AZ259" s="31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  <c r="BK259" s="31"/>
      <c r="BL259" s="31"/>
    </row>
    <row r="260" ht="15.7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1"/>
      <c r="BL260" s="31"/>
    </row>
    <row r="261" ht="15.7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  <c r="AZ261" s="31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  <c r="BK261" s="31"/>
      <c r="BL261" s="31"/>
    </row>
    <row r="262" ht="15.7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  <c r="AZ262" s="31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1"/>
      <c r="BL262" s="31"/>
    </row>
    <row r="263" ht="15.7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  <c r="AZ263" s="31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  <c r="BK263" s="31"/>
      <c r="BL263" s="31"/>
    </row>
    <row r="264" ht="15.7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  <c r="AZ264" s="31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  <c r="BK264" s="31"/>
      <c r="BL264" s="31"/>
    </row>
    <row r="265" ht="15.7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  <c r="AZ265" s="31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  <c r="BK265" s="31"/>
      <c r="BL265" s="31"/>
    </row>
    <row r="266" ht="15.7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1"/>
      <c r="BL266" s="31"/>
    </row>
    <row r="267" ht="15.7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  <c r="AZ267" s="31"/>
      <c r="BA267" s="31"/>
      <c r="BB267" s="31"/>
      <c r="BC267" s="31"/>
      <c r="BD267" s="31"/>
      <c r="BE267" s="31"/>
      <c r="BF267" s="31"/>
      <c r="BG267" s="31"/>
      <c r="BH267" s="31"/>
      <c r="BI267" s="31"/>
      <c r="BJ267" s="31"/>
      <c r="BK267" s="31"/>
      <c r="BL267" s="31"/>
    </row>
    <row r="268" ht="15.7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  <c r="AZ268" s="31"/>
      <c r="BA268" s="31"/>
      <c r="BB268" s="31"/>
      <c r="BC268" s="31"/>
      <c r="BD268" s="31"/>
      <c r="BE268" s="31"/>
      <c r="BF268" s="31"/>
      <c r="BG268" s="31"/>
      <c r="BH268" s="31"/>
      <c r="BI268" s="31"/>
      <c r="BJ268" s="31"/>
      <c r="BK268" s="31"/>
      <c r="BL268" s="31"/>
    </row>
    <row r="269" ht="15.7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  <c r="AZ269" s="31"/>
      <c r="BA269" s="31"/>
      <c r="BB269" s="31"/>
      <c r="BC269" s="31"/>
      <c r="BD269" s="31"/>
      <c r="BE269" s="31"/>
      <c r="BF269" s="31"/>
      <c r="BG269" s="31"/>
      <c r="BH269" s="31"/>
      <c r="BI269" s="31"/>
      <c r="BJ269" s="31"/>
      <c r="BK269" s="31"/>
      <c r="BL269" s="31"/>
    </row>
    <row r="270" ht="15.7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  <c r="AZ270" s="31"/>
      <c r="BA270" s="31"/>
      <c r="BB270" s="31"/>
      <c r="BC270" s="31"/>
      <c r="BD270" s="31"/>
      <c r="BE270" s="31"/>
      <c r="BF270" s="31"/>
      <c r="BG270" s="31"/>
      <c r="BH270" s="31"/>
      <c r="BI270" s="31"/>
      <c r="BJ270" s="31"/>
      <c r="BK270" s="31"/>
      <c r="BL270" s="31"/>
    </row>
    <row r="271" ht="15.7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  <c r="AZ271" s="31"/>
      <c r="BA271" s="31"/>
      <c r="BB271" s="31"/>
      <c r="BC271" s="31"/>
      <c r="BD271" s="31"/>
      <c r="BE271" s="31"/>
      <c r="BF271" s="31"/>
      <c r="BG271" s="31"/>
      <c r="BH271" s="31"/>
      <c r="BI271" s="31"/>
      <c r="BJ271" s="31"/>
      <c r="BK271" s="31"/>
      <c r="BL271" s="31"/>
    </row>
    <row r="272" ht="15.7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  <c r="AZ272" s="31"/>
      <c r="BA272" s="31"/>
      <c r="BB272" s="31"/>
      <c r="BC272" s="31"/>
      <c r="BD272" s="31"/>
      <c r="BE272" s="31"/>
      <c r="BF272" s="31"/>
      <c r="BG272" s="31"/>
      <c r="BH272" s="31"/>
      <c r="BI272" s="31"/>
      <c r="BJ272" s="31"/>
      <c r="BK272" s="31"/>
      <c r="BL272" s="31"/>
    </row>
    <row r="273" ht="15.7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  <c r="AZ273" s="31"/>
      <c r="BA273" s="31"/>
      <c r="BB273" s="31"/>
      <c r="BC273" s="31"/>
      <c r="BD273" s="31"/>
      <c r="BE273" s="31"/>
      <c r="BF273" s="31"/>
      <c r="BG273" s="31"/>
      <c r="BH273" s="31"/>
      <c r="BI273" s="31"/>
      <c r="BJ273" s="31"/>
      <c r="BK273" s="31"/>
      <c r="BL273" s="31"/>
    </row>
    <row r="274" ht="15.7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  <c r="AZ274" s="31"/>
      <c r="BA274" s="31"/>
      <c r="BB274" s="31"/>
      <c r="BC274" s="31"/>
      <c r="BD274" s="31"/>
      <c r="BE274" s="31"/>
      <c r="BF274" s="31"/>
      <c r="BG274" s="31"/>
      <c r="BH274" s="31"/>
      <c r="BI274" s="31"/>
      <c r="BJ274" s="31"/>
      <c r="BK274" s="31"/>
      <c r="BL274" s="31"/>
    </row>
    <row r="275" ht="15.7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  <c r="AZ275" s="31"/>
      <c r="BA275" s="31"/>
      <c r="BB275" s="31"/>
      <c r="BC275" s="31"/>
      <c r="BD275" s="31"/>
      <c r="BE275" s="31"/>
      <c r="BF275" s="31"/>
      <c r="BG275" s="31"/>
      <c r="BH275" s="31"/>
      <c r="BI275" s="31"/>
      <c r="BJ275" s="31"/>
      <c r="BK275" s="31"/>
      <c r="BL275" s="31"/>
    </row>
    <row r="276" ht="15.7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  <c r="AZ276" s="31"/>
      <c r="BA276" s="31"/>
      <c r="BB276" s="31"/>
      <c r="BC276" s="31"/>
      <c r="BD276" s="31"/>
      <c r="BE276" s="31"/>
      <c r="BF276" s="31"/>
      <c r="BG276" s="31"/>
      <c r="BH276" s="31"/>
      <c r="BI276" s="31"/>
      <c r="BJ276" s="31"/>
      <c r="BK276" s="31"/>
      <c r="BL276" s="31"/>
    </row>
    <row r="277" ht="15.7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  <c r="AZ277" s="31"/>
      <c r="BA277" s="31"/>
      <c r="BB277" s="31"/>
      <c r="BC277" s="31"/>
      <c r="BD277" s="31"/>
      <c r="BE277" s="31"/>
      <c r="BF277" s="31"/>
      <c r="BG277" s="31"/>
      <c r="BH277" s="31"/>
      <c r="BI277" s="31"/>
      <c r="BJ277" s="31"/>
      <c r="BK277" s="31"/>
      <c r="BL277" s="31"/>
    </row>
    <row r="278" ht="15.7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  <c r="AZ278" s="31"/>
      <c r="BA278" s="31"/>
      <c r="BB278" s="31"/>
      <c r="BC278" s="31"/>
      <c r="BD278" s="31"/>
      <c r="BE278" s="31"/>
      <c r="BF278" s="31"/>
      <c r="BG278" s="31"/>
      <c r="BH278" s="31"/>
      <c r="BI278" s="31"/>
      <c r="BJ278" s="31"/>
      <c r="BK278" s="31"/>
      <c r="BL278" s="31"/>
    </row>
    <row r="279" ht="15.7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  <c r="AZ279" s="31"/>
      <c r="BA279" s="31"/>
      <c r="BB279" s="31"/>
      <c r="BC279" s="31"/>
      <c r="BD279" s="31"/>
      <c r="BE279" s="31"/>
      <c r="BF279" s="31"/>
      <c r="BG279" s="31"/>
      <c r="BH279" s="31"/>
      <c r="BI279" s="31"/>
      <c r="BJ279" s="31"/>
      <c r="BK279" s="31"/>
      <c r="BL279" s="31"/>
    </row>
    <row r="280" ht="15.7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  <c r="AZ280" s="31"/>
      <c r="BA280" s="31"/>
      <c r="BB280" s="31"/>
      <c r="BC280" s="31"/>
      <c r="BD280" s="31"/>
      <c r="BE280" s="31"/>
      <c r="BF280" s="31"/>
      <c r="BG280" s="31"/>
      <c r="BH280" s="31"/>
      <c r="BI280" s="31"/>
      <c r="BJ280" s="31"/>
      <c r="BK280" s="31"/>
      <c r="BL280" s="31"/>
    </row>
    <row r="281" ht="15.7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  <c r="AZ281" s="31"/>
      <c r="BA281" s="31"/>
      <c r="BB281" s="31"/>
      <c r="BC281" s="31"/>
      <c r="BD281" s="31"/>
      <c r="BE281" s="31"/>
      <c r="BF281" s="31"/>
      <c r="BG281" s="31"/>
      <c r="BH281" s="31"/>
      <c r="BI281" s="31"/>
      <c r="BJ281" s="31"/>
      <c r="BK281" s="31"/>
      <c r="BL281" s="31"/>
    </row>
    <row r="282" ht="15.7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  <c r="AZ282" s="31"/>
      <c r="BA282" s="31"/>
      <c r="BB282" s="31"/>
      <c r="BC282" s="31"/>
      <c r="BD282" s="31"/>
      <c r="BE282" s="31"/>
      <c r="BF282" s="31"/>
      <c r="BG282" s="31"/>
      <c r="BH282" s="31"/>
      <c r="BI282" s="31"/>
      <c r="BJ282" s="31"/>
      <c r="BK282" s="31"/>
      <c r="BL282" s="31"/>
    </row>
    <row r="283" ht="15.7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  <c r="AZ283" s="31"/>
      <c r="BA283" s="31"/>
      <c r="BB283" s="31"/>
      <c r="BC283" s="31"/>
      <c r="BD283" s="31"/>
      <c r="BE283" s="31"/>
      <c r="BF283" s="31"/>
      <c r="BG283" s="31"/>
      <c r="BH283" s="31"/>
      <c r="BI283" s="31"/>
      <c r="BJ283" s="31"/>
      <c r="BK283" s="31"/>
      <c r="BL283" s="31"/>
    </row>
    <row r="284" ht="15.7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  <c r="AZ284" s="31"/>
      <c r="BA284" s="31"/>
      <c r="BB284" s="31"/>
      <c r="BC284" s="31"/>
      <c r="BD284" s="31"/>
      <c r="BE284" s="31"/>
      <c r="BF284" s="31"/>
      <c r="BG284" s="31"/>
      <c r="BH284" s="31"/>
      <c r="BI284" s="31"/>
      <c r="BJ284" s="31"/>
      <c r="BK284" s="31"/>
      <c r="BL284" s="31"/>
    </row>
    <row r="285" ht="15.7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  <c r="AZ285" s="31"/>
      <c r="BA285" s="31"/>
      <c r="BB285" s="31"/>
      <c r="BC285" s="31"/>
      <c r="BD285" s="31"/>
      <c r="BE285" s="31"/>
      <c r="BF285" s="31"/>
      <c r="BG285" s="31"/>
      <c r="BH285" s="31"/>
      <c r="BI285" s="31"/>
      <c r="BJ285" s="31"/>
      <c r="BK285" s="31"/>
      <c r="BL285" s="31"/>
    </row>
    <row r="286" ht="15.7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  <c r="AZ286" s="31"/>
      <c r="BA286" s="31"/>
      <c r="BB286" s="31"/>
      <c r="BC286" s="31"/>
      <c r="BD286" s="31"/>
      <c r="BE286" s="31"/>
      <c r="BF286" s="31"/>
      <c r="BG286" s="31"/>
      <c r="BH286" s="31"/>
      <c r="BI286" s="31"/>
      <c r="BJ286" s="31"/>
      <c r="BK286" s="31"/>
      <c r="BL286" s="31"/>
    </row>
    <row r="287" ht="15.7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  <c r="AZ287" s="31"/>
      <c r="BA287" s="31"/>
      <c r="BB287" s="31"/>
      <c r="BC287" s="31"/>
      <c r="BD287" s="31"/>
      <c r="BE287" s="31"/>
      <c r="BF287" s="31"/>
      <c r="BG287" s="31"/>
      <c r="BH287" s="31"/>
      <c r="BI287" s="31"/>
      <c r="BJ287" s="31"/>
      <c r="BK287" s="31"/>
      <c r="BL287" s="31"/>
    </row>
    <row r="288" ht="15.7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  <c r="BL288" s="31"/>
    </row>
    <row r="289" ht="15.7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  <c r="AZ289" s="31"/>
      <c r="BA289" s="31"/>
      <c r="BB289" s="31"/>
      <c r="BC289" s="31"/>
      <c r="BD289" s="31"/>
      <c r="BE289" s="31"/>
      <c r="BF289" s="31"/>
      <c r="BG289" s="31"/>
      <c r="BH289" s="31"/>
      <c r="BI289" s="31"/>
      <c r="BJ289" s="31"/>
      <c r="BK289" s="31"/>
      <c r="BL289" s="31"/>
    </row>
    <row r="290" ht="15.7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  <c r="AZ290" s="31"/>
      <c r="BA290" s="31"/>
      <c r="BB290" s="31"/>
      <c r="BC290" s="31"/>
      <c r="BD290" s="31"/>
      <c r="BE290" s="31"/>
      <c r="BF290" s="31"/>
      <c r="BG290" s="31"/>
      <c r="BH290" s="31"/>
      <c r="BI290" s="31"/>
      <c r="BJ290" s="31"/>
      <c r="BK290" s="31"/>
      <c r="BL290" s="31"/>
    </row>
    <row r="291" ht="15.7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  <c r="AZ291" s="31"/>
      <c r="BA291" s="31"/>
      <c r="BB291" s="31"/>
      <c r="BC291" s="31"/>
      <c r="BD291" s="31"/>
      <c r="BE291" s="31"/>
      <c r="BF291" s="31"/>
      <c r="BG291" s="31"/>
      <c r="BH291" s="31"/>
      <c r="BI291" s="31"/>
      <c r="BJ291" s="31"/>
      <c r="BK291" s="31"/>
      <c r="BL291" s="31"/>
    </row>
    <row r="292" ht="15.7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  <c r="AZ292" s="31"/>
      <c r="BA292" s="31"/>
      <c r="BB292" s="31"/>
      <c r="BC292" s="31"/>
      <c r="BD292" s="31"/>
      <c r="BE292" s="31"/>
      <c r="BF292" s="31"/>
      <c r="BG292" s="31"/>
      <c r="BH292" s="31"/>
      <c r="BI292" s="31"/>
      <c r="BJ292" s="31"/>
      <c r="BK292" s="31"/>
      <c r="BL292" s="31"/>
    </row>
    <row r="293" ht="15.7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  <c r="AZ293" s="31"/>
      <c r="BA293" s="31"/>
      <c r="BB293" s="31"/>
      <c r="BC293" s="31"/>
      <c r="BD293" s="31"/>
      <c r="BE293" s="31"/>
      <c r="BF293" s="31"/>
      <c r="BG293" s="31"/>
      <c r="BH293" s="31"/>
      <c r="BI293" s="31"/>
      <c r="BJ293" s="31"/>
      <c r="BK293" s="31"/>
      <c r="BL293" s="31"/>
    </row>
    <row r="294" ht="15.7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  <c r="AZ294" s="31"/>
      <c r="BA294" s="31"/>
      <c r="BB294" s="31"/>
      <c r="BC294" s="31"/>
      <c r="BD294" s="31"/>
      <c r="BE294" s="31"/>
      <c r="BF294" s="31"/>
      <c r="BG294" s="31"/>
      <c r="BH294" s="31"/>
      <c r="BI294" s="31"/>
      <c r="BJ294" s="31"/>
      <c r="BK294" s="31"/>
      <c r="BL294" s="31"/>
    </row>
    <row r="295" ht="15.7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  <c r="AZ295" s="31"/>
      <c r="BA295" s="31"/>
      <c r="BB295" s="31"/>
      <c r="BC295" s="31"/>
      <c r="BD295" s="31"/>
      <c r="BE295" s="31"/>
      <c r="BF295" s="31"/>
      <c r="BG295" s="31"/>
      <c r="BH295" s="31"/>
      <c r="BI295" s="31"/>
      <c r="BJ295" s="31"/>
      <c r="BK295" s="31"/>
      <c r="BL295" s="31"/>
    </row>
    <row r="296" ht="15.7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  <c r="AZ296" s="31"/>
      <c r="BA296" s="31"/>
      <c r="BB296" s="31"/>
      <c r="BC296" s="31"/>
      <c r="BD296" s="31"/>
      <c r="BE296" s="31"/>
      <c r="BF296" s="31"/>
      <c r="BG296" s="31"/>
      <c r="BH296" s="31"/>
      <c r="BI296" s="31"/>
      <c r="BJ296" s="31"/>
      <c r="BK296" s="31"/>
      <c r="BL296" s="31"/>
    </row>
    <row r="297" ht="15.7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  <c r="AZ297" s="31"/>
      <c r="BA297" s="31"/>
      <c r="BB297" s="31"/>
      <c r="BC297" s="31"/>
      <c r="BD297" s="31"/>
      <c r="BE297" s="31"/>
      <c r="BF297" s="31"/>
      <c r="BG297" s="31"/>
      <c r="BH297" s="31"/>
      <c r="BI297" s="31"/>
      <c r="BJ297" s="31"/>
      <c r="BK297" s="31"/>
      <c r="BL297" s="31"/>
    </row>
    <row r="298" ht="15.7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  <c r="AZ298" s="31"/>
      <c r="BA298" s="31"/>
      <c r="BB298" s="31"/>
      <c r="BC298" s="31"/>
      <c r="BD298" s="31"/>
      <c r="BE298" s="31"/>
      <c r="BF298" s="31"/>
      <c r="BG298" s="31"/>
      <c r="BH298" s="31"/>
      <c r="BI298" s="31"/>
      <c r="BJ298" s="31"/>
      <c r="BK298" s="31"/>
      <c r="BL298" s="31"/>
    </row>
    <row r="299" ht="15.7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  <c r="AZ299" s="31"/>
      <c r="BA299" s="31"/>
      <c r="BB299" s="31"/>
      <c r="BC299" s="31"/>
      <c r="BD299" s="31"/>
      <c r="BE299" s="31"/>
      <c r="BF299" s="31"/>
      <c r="BG299" s="31"/>
      <c r="BH299" s="31"/>
      <c r="BI299" s="31"/>
      <c r="BJ299" s="31"/>
      <c r="BK299" s="31"/>
      <c r="BL299" s="31"/>
    </row>
    <row r="300" ht="15.7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  <c r="AZ300" s="31"/>
      <c r="BA300" s="31"/>
      <c r="BB300" s="31"/>
      <c r="BC300" s="31"/>
      <c r="BD300" s="31"/>
      <c r="BE300" s="31"/>
      <c r="BF300" s="31"/>
      <c r="BG300" s="31"/>
      <c r="BH300" s="31"/>
      <c r="BI300" s="31"/>
      <c r="BJ300" s="31"/>
      <c r="BK300" s="31"/>
      <c r="BL300" s="31"/>
    </row>
    <row r="301" ht="15.7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</row>
    <row r="302" ht="15.7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</row>
    <row r="303" ht="15.7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</row>
    <row r="304" ht="15.7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</row>
    <row r="305" ht="15.7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</row>
    <row r="306" ht="15.7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</row>
    <row r="307" ht="15.7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</row>
    <row r="308" ht="15.7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</row>
    <row r="309" ht="15.7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</row>
    <row r="310" ht="15.7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</row>
    <row r="311" ht="15.7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</row>
    <row r="312" ht="15.7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</row>
    <row r="313" ht="15.7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</row>
    <row r="314" ht="15.7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</row>
    <row r="315" ht="15.7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</row>
    <row r="316" ht="15.7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</row>
    <row r="317" ht="15.7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</row>
    <row r="318" ht="15.7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</row>
    <row r="319" ht="15.7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</row>
    <row r="320" ht="15.7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</row>
    <row r="321" ht="15.7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</row>
    <row r="322" ht="15.7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</row>
    <row r="323" ht="15.7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</row>
    <row r="324" ht="15.7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</row>
    <row r="325" ht="15.7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</row>
    <row r="326" ht="15.7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</row>
    <row r="327" ht="15.7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</row>
    <row r="328" ht="15.7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</row>
    <row r="329" ht="15.7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</row>
    <row r="330" ht="15.7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</row>
    <row r="331" ht="15.7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</row>
    <row r="332" ht="15.7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</row>
    <row r="333" ht="15.7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</row>
    <row r="334" ht="15.7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</row>
    <row r="335" ht="15.7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</row>
    <row r="336" ht="15.7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</row>
    <row r="337" ht="15.7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</row>
    <row r="338" ht="15.7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</row>
    <row r="339" ht="15.7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</row>
    <row r="340" ht="15.7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</row>
    <row r="341" ht="15.7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</row>
    <row r="342" ht="15.7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</row>
    <row r="343" ht="15.7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</row>
    <row r="344" ht="15.7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</row>
    <row r="345" ht="15.7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</row>
    <row r="346" ht="15.7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</row>
    <row r="347" ht="15.7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</row>
    <row r="348" ht="15.7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</row>
    <row r="349" ht="15.7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</row>
    <row r="350" ht="15.7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</row>
    <row r="351" ht="15.7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</row>
    <row r="352" ht="15.7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</row>
    <row r="353" ht="15.7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</row>
    <row r="354" ht="15.7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</row>
    <row r="355" ht="15.7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</row>
    <row r="356" ht="15.7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</row>
    <row r="357" ht="15.7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</row>
    <row r="358" ht="15.7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</row>
    <row r="359" ht="15.7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</row>
    <row r="360" ht="15.7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</row>
    <row r="361" ht="15.7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</row>
    <row r="362" ht="15.7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</row>
    <row r="363" ht="15.7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</row>
    <row r="364" ht="15.7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</row>
    <row r="365" ht="15.7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</row>
    <row r="366" ht="15.7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</row>
    <row r="367" ht="15.7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</row>
    <row r="368" ht="15.7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</row>
    <row r="369" ht="15.7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</row>
    <row r="370" ht="15.7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</row>
    <row r="371" ht="15.7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</row>
    <row r="372" ht="15.7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</row>
    <row r="373" ht="15.7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</row>
    <row r="374" ht="15.7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</row>
    <row r="375" ht="15.7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</row>
    <row r="376" ht="15.7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</row>
    <row r="377" ht="15.7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</row>
    <row r="378" ht="15.7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</row>
    <row r="379" ht="15.7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</row>
    <row r="380" ht="15.7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</row>
    <row r="381" ht="15.7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</row>
    <row r="382" ht="15.7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</row>
    <row r="383" ht="15.7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</row>
    <row r="384" ht="15.7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</row>
    <row r="385" ht="15.7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</row>
    <row r="386" ht="15.7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</row>
    <row r="387" ht="15.7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</row>
    <row r="388" ht="15.7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</row>
    <row r="389" ht="15.7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</row>
    <row r="390" ht="15.7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</row>
    <row r="391" ht="15.7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</row>
    <row r="392" ht="15.7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</row>
    <row r="393" ht="15.7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</row>
    <row r="394" ht="15.7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</row>
    <row r="395" ht="15.7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</row>
    <row r="396" ht="15.7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</row>
    <row r="397" ht="15.7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</row>
    <row r="398" ht="15.7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</row>
    <row r="399" ht="15.7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</row>
    <row r="400" ht="15.7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</row>
    <row r="401" ht="15.7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  <c r="AZ401" s="31"/>
      <c r="BA401" s="31"/>
      <c r="BB401" s="31"/>
      <c r="BC401" s="31"/>
      <c r="BD401" s="31"/>
      <c r="BE401" s="31"/>
      <c r="BF401" s="31"/>
      <c r="BG401" s="31"/>
      <c r="BH401" s="31"/>
      <c r="BI401" s="31"/>
      <c r="BJ401" s="31"/>
      <c r="BK401" s="31"/>
      <c r="BL401" s="31"/>
    </row>
    <row r="402" ht="15.7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  <c r="AZ402" s="31"/>
      <c r="BA402" s="31"/>
      <c r="BB402" s="31"/>
      <c r="BC402" s="31"/>
      <c r="BD402" s="31"/>
      <c r="BE402" s="31"/>
      <c r="BF402" s="31"/>
      <c r="BG402" s="31"/>
      <c r="BH402" s="31"/>
      <c r="BI402" s="31"/>
      <c r="BJ402" s="31"/>
      <c r="BK402" s="31"/>
      <c r="BL402" s="31"/>
    </row>
    <row r="403" ht="15.7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  <c r="AZ403" s="31"/>
      <c r="BA403" s="31"/>
      <c r="BB403" s="31"/>
      <c r="BC403" s="31"/>
      <c r="BD403" s="31"/>
      <c r="BE403" s="31"/>
      <c r="BF403" s="31"/>
      <c r="BG403" s="31"/>
      <c r="BH403" s="31"/>
      <c r="BI403" s="31"/>
      <c r="BJ403" s="31"/>
      <c r="BK403" s="31"/>
      <c r="BL403" s="31"/>
    </row>
    <row r="404" ht="15.7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  <c r="AZ404" s="31"/>
      <c r="BA404" s="31"/>
      <c r="BB404" s="31"/>
      <c r="BC404" s="31"/>
      <c r="BD404" s="31"/>
      <c r="BE404" s="31"/>
      <c r="BF404" s="31"/>
      <c r="BG404" s="31"/>
      <c r="BH404" s="31"/>
      <c r="BI404" s="31"/>
      <c r="BJ404" s="31"/>
      <c r="BK404" s="31"/>
      <c r="BL404" s="31"/>
    </row>
    <row r="405" ht="15.7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  <c r="AZ405" s="31"/>
      <c r="BA405" s="31"/>
      <c r="BB405" s="31"/>
      <c r="BC405" s="31"/>
      <c r="BD405" s="31"/>
      <c r="BE405" s="31"/>
      <c r="BF405" s="31"/>
      <c r="BG405" s="31"/>
      <c r="BH405" s="31"/>
      <c r="BI405" s="31"/>
      <c r="BJ405" s="31"/>
      <c r="BK405" s="31"/>
      <c r="BL405" s="31"/>
    </row>
    <row r="406" ht="15.7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  <c r="AZ406" s="31"/>
      <c r="BA406" s="31"/>
      <c r="BB406" s="31"/>
      <c r="BC406" s="31"/>
      <c r="BD406" s="31"/>
      <c r="BE406" s="31"/>
      <c r="BF406" s="31"/>
      <c r="BG406" s="31"/>
      <c r="BH406" s="31"/>
      <c r="BI406" s="31"/>
      <c r="BJ406" s="31"/>
      <c r="BK406" s="31"/>
      <c r="BL406" s="31"/>
    </row>
    <row r="407" ht="15.7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  <c r="AZ407" s="31"/>
      <c r="BA407" s="31"/>
      <c r="BB407" s="31"/>
      <c r="BC407" s="31"/>
      <c r="BD407" s="31"/>
      <c r="BE407" s="31"/>
      <c r="BF407" s="31"/>
      <c r="BG407" s="31"/>
      <c r="BH407" s="31"/>
      <c r="BI407" s="31"/>
      <c r="BJ407" s="31"/>
      <c r="BK407" s="31"/>
      <c r="BL407" s="31"/>
    </row>
    <row r="408" ht="15.7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  <c r="AZ408" s="31"/>
      <c r="BA408" s="31"/>
      <c r="BB408" s="31"/>
      <c r="BC408" s="31"/>
      <c r="BD408" s="31"/>
      <c r="BE408" s="31"/>
      <c r="BF408" s="31"/>
      <c r="BG408" s="31"/>
      <c r="BH408" s="31"/>
      <c r="BI408" s="31"/>
      <c r="BJ408" s="31"/>
      <c r="BK408" s="31"/>
      <c r="BL408" s="31"/>
    </row>
    <row r="409" ht="15.7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  <c r="AZ409" s="31"/>
      <c r="BA409" s="31"/>
      <c r="BB409" s="31"/>
      <c r="BC409" s="31"/>
      <c r="BD409" s="31"/>
      <c r="BE409" s="31"/>
      <c r="BF409" s="31"/>
      <c r="BG409" s="31"/>
      <c r="BH409" s="31"/>
      <c r="BI409" s="31"/>
      <c r="BJ409" s="31"/>
      <c r="BK409" s="31"/>
      <c r="BL409" s="31"/>
    </row>
    <row r="410" ht="15.7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  <c r="AZ410" s="31"/>
      <c r="BA410" s="31"/>
      <c r="BB410" s="31"/>
      <c r="BC410" s="31"/>
      <c r="BD410" s="31"/>
      <c r="BE410" s="31"/>
      <c r="BF410" s="31"/>
      <c r="BG410" s="31"/>
      <c r="BH410" s="31"/>
      <c r="BI410" s="31"/>
      <c r="BJ410" s="31"/>
      <c r="BK410" s="31"/>
      <c r="BL410" s="31"/>
    </row>
    <row r="411" ht="15.7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  <c r="AZ411" s="31"/>
      <c r="BA411" s="31"/>
      <c r="BB411" s="31"/>
      <c r="BC411" s="31"/>
      <c r="BD411" s="31"/>
      <c r="BE411" s="31"/>
      <c r="BF411" s="31"/>
      <c r="BG411" s="31"/>
      <c r="BH411" s="31"/>
      <c r="BI411" s="31"/>
      <c r="BJ411" s="31"/>
      <c r="BK411" s="31"/>
      <c r="BL411" s="31"/>
    </row>
    <row r="412" ht="15.7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  <c r="AZ412" s="31"/>
      <c r="BA412" s="31"/>
      <c r="BB412" s="31"/>
      <c r="BC412" s="31"/>
      <c r="BD412" s="31"/>
      <c r="BE412" s="31"/>
      <c r="BF412" s="31"/>
      <c r="BG412" s="31"/>
      <c r="BH412" s="31"/>
      <c r="BI412" s="31"/>
      <c r="BJ412" s="31"/>
      <c r="BK412" s="31"/>
      <c r="BL412" s="31"/>
    </row>
    <row r="413" ht="15.7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  <c r="AZ413" s="31"/>
      <c r="BA413" s="31"/>
      <c r="BB413" s="31"/>
      <c r="BC413" s="31"/>
      <c r="BD413" s="31"/>
      <c r="BE413" s="31"/>
      <c r="BF413" s="31"/>
      <c r="BG413" s="31"/>
      <c r="BH413" s="31"/>
      <c r="BI413" s="31"/>
      <c r="BJ413" s="31"/>
      <c r="BK413" s="31"/>
      <c r="BL413" s="31"/>
    </row>
    <row r="414" ht="15.7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  <c r="AZ414" s="31"/>
      <c r="BA414" s="31"/>
      <c r="BB414" s="31"/>
      <c r="BC414" s="31"/>
      <c r="BD414" s="31"/>
      <c r="BE414" s="31"/>
      <c r="BF414" s="31"/>
      <c r="BG414" s="31"/>
      <c r="BH414" s="31"/>
      <c r="BI414" s="31"/>
      <c r="BJ414" s="31"/>
      <c r="BK414" s="31"/>
      <c r="BL414" s="31"/>
    </row>
    <row r="415" ht="15.7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  <c r="AZ415" s="31"/>
      <c r="BA415" s="31"/>
      <c r="BB415" s="31"/>
      <c r="BC415" s="31"/>
      <c r="BD415" s="31"/>
      <c r="BE415" s="31"/>
      <c r="BF415" s="31"/>
      <c r="BG415" s="31"/>
      <c r="BH415" s="31"/>
      <c r="BI415" s="31"/>
      <c r="BJ415" s="31"/>
      <c r="BK415" s="31"/>
      <c r="BL415" s="31"/>
    </row>
    <row r="416" ht="15.7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  <c r="BL416" s="31"/>
    </row>
    <row r="417" ht="15.7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  <c r="AZ417" s="31"/>
      <c r="BA417" s="31"/>
      <c r="BB417" s="31"/>
      <c r="BC417" s="31"/>
      <c r="BD417" s="31"/>
      <c r="BE417" s="31"/>
      <c r="BF417" s="31"/>
      <c r="BG417" s="31"/>
      <c r="BH417" s="31"/>
      <c r="BI417" s="31"/>
      <c r="BJ417" s="31"/>
      <c r="BK417" s="31"/>
      <c r="BL417" s="31"/>
    </row>
    <row r="418" ht="15.7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  <c r="AZ418" s="31"/>
      <c r="BA418" s="31"/>
      <c r="BB418" s="31"/>
      <c r="BC418" s="31"/>
      <c r="BD418" s="31"/>
      <c r="BE418" s="31"/>
      <c r="BF418" s="31"/>
      <c r="BG418" s="31"/>
      <c r="BH418" s="31"/>
      <c r="BI418" s="31"/>
      <c r="BJ418" s="31"/>
      <c r="BK418" s="31"/>
      <c r="BL418" s="31"/>
    </row>
    <row r="419" ht="15.7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  <c r="AZ419" s="31"/>
      <c r="BA419" s="31"/>
      <c r="BB419" s="31"/>
      <c r="BC419" s="31"/>
      <c r="BD419" s="31"/>
      <c r="BE419" s="31"/>
      <c r="BF419" s="31"/>
      <c r="BG419" s="31"/>
      <c r="BH419" s="31"/>
      <c r="BI419" s="31"/>
      <c r="BJ419" s="31"/>
      <c r="BK419" s="31"/>
      <c r="BL419" s="31"/>
    </row>
    <row r="420" ht="15.7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  <c r="AZ420" s="31"/>
      <c r="BA420" s="31"/>
      <c r="BB420" s="31"/>
      <c r="BC420" s="31"/>
      <c r="BD420" s="31"/>
      <c r="BE420" s="31"/>
      <c r="BF420" s="31"/>
      <c r="BG420" s="31"/>
      <c r="BH420" s="31"/>
      <c r="BI420" s="31"/>
      <c r="BJ420" s="31"/>
      <c r="BK420" s="31"/>
      <c r="BL420" s="31"/>
    </row>
    <row r="421" ht="15.7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  <c r="AZ421" s="31"/>
      <c r="BA421" s="31"/>
      <c r="BB421" s="31"/>
      <c r="BC421" s="31"/>
      <c r="BD421" s="31"/>
      <c r="BE421" s="31"/>
      <c r="BF421" s="31"/>
      <c r="BG421" s="31"/>
      <c r="BH421" s="31"/>
      <c r="BI421" s="31"/>
      <c r="BJ421" s="31"/>
      <c r="BK421" s="31"/>
      <c r="BL421" s="31"/>
    </row>
    <row r="422" ht="15.7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  <c r="AZ422" s="31"/>
      <c r="BA422" s="31"/>
      <c r="BB422" s="31"/>
      <c r="BC422" s="31"/>
      <c r="BD422" s="31"/>
      <c r="BE422" s="31"/>
      <c r="BF422" s="31"/>
      <c r="BG422" s="31"/>
      <c r="BH422" s="31"/>
      <c r="BI422" s="31"/>
      <c r="BJ422" s="31"/>
      <c r="BK422" s="31"/>
      <c r="BL422" s="31"/>
    </row>
    <row r="423" ht="15.7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  <c r="AZ423" s="31"/>
      <c r="BA423" s="31"/>
      <c r="BB423" s="31"/>
      <c r="BC423" s="31"/>
      <c r="BD423" s="31"/>
      <c r="BE423" s="31"/>
      <c r="BF423" s="31"/>
      <c r="BG423" s="31"/>
      <c r="BH423" s="31"/>
      <c r="BI423" s="31"/>
      <c r="BJ423" s="31"/>
      <c r="BK423" s="31"/>
      <c r="BL423" s="31"/>
    </row>
    <row r="424" ht="15.7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  <c r="AZ424" s="31"/>
      <c r="BA424" s="31"/>
      <c r="BB424" s="31"/>
      <c r="BC424" s="31"/>
      <c r="BD424" s="31"/>
      <c r="BE424" s="31"/>
      <c r="BF424" s="31"/>
      <c r="BG424" s="31"/>
      <c r="BH424" s="31"/>
      <c r="BI424" s="31"/>
      <c r="BJ424" s="31"/>
      <c r="BK424" s="31"/>
      <c r="BL424" s="31"/>
    </row>
    <row r="425" ht="15.7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  <c r="AZ425" s="31"/>
      <c r="BA425" s="31"/>
      <c r="BB425" s="31"/>
      <c r="BC425" s="31"/>
      <c r="BD425" s="31"/>
      <c r="BE425" s="31"/>
      <c r="BF425" s="31"/>
      <c r="BG425" s="31"/>
      <c r="BH425" s="31"/>
      <c r="BI425" s="31"/>
      <c r="BJ425" s="31"/>
      <c r="BK425" s="31"/>
      <c r="BL425" s="31"/>
    </row>
    <row r="426" ht="15.7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  <c r="AZ426" s="31"/>
      <c r="BA426" s="31"/>
      <c r="BB426" s="31"/>
      <c r="BC426" s="31"/>
      <c r="BD426" s="31"/>
      <c r="BE426" s="31"/>
      <c r="BF426" s="31"/>
      <c r="BG426" s="31"/>
      <c r="BH426" s="31"/>
      <c r="BI426" s="31"/>
      <c r="BJ426" s="31"/>
      <c r="BK426" s="31"/>
      <c r="BL426" s="31"/>
    </row>
    <row r="427" ht="15.7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  <c r="AZ427" s="31"/>
      <c r="BA427" s="31"/>
      <c r="BB427" s="31"/>
      <c r="BC427" s="31"/>
      <c r="BD427" s="31"/>
      <c r="BE427" s="31"/>
      <c r="BF427" s="31"/>
      <c r="BG427" s="31"/>
      <c r="BH427" s="31"/>
      <c r="BI427" s="31"/>
      <c r="BJ427" s="31"/>
      <c r="BK427" s="31"/>
      <c r="BL427" s="31"/>
    </row>
    <row r="428" ht="15.7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  <c r="AZ428" s="31"/>
      <c r="BA428" s="31"/>
      <c r="BB428" s="31"/>
      <c r="BC428" s="31"/>
      <c r="BD428" s="31"/>
      <c r="BE428" s="31"/>
      <c r="BF428" s="31"/>
      <c r="BG428" s="31"/>
      <c r="BH428" s="31"/>
      <c r="BI428" s="31"/>
      <c r="BJ428" s="31"/>
      <c r="BK428" s="31"/>
      <c r="BL428" s="31"/>
    </row>
    <row r="429" ht="15.7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  <c r="AZ429" s="31"/>
      <c r="BA429" s="31"/>
      <c r="BB429" s="31"/>
      <c r="BC429" s="31"/>
      <c r="BD429" s="31"/>
      <c r="BE429" s="31"/>
      <c r="BF429" s="31"/>
      <c r="BG429" s="31"/>
      <c r="BH429" s="31"/>
      <c r="BI429" s="31"/>
      <c r="BJ429" s="31"/>
      <c r="BK429" s="31"/>
      <c r="BL429" s="31"/>
    </row>
    <row r="430" ht="15.7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  <c r="AZ430" s="31"/>
      <c r="BA430" s="31"/>
      <c r="BB430" s="31"/>
      <c r="BC430" s="31"/>
      <c r="BD430" s="31"/>
      <c r="BE430" s="31"/>
      <c r="BF430" s="31"/>
      <c r="BG430" s="31"/>
      <c r="BH430" s="31"/>
      <c r="BI430" s="31"/>
      <c r="BJ430" s="31"/>
      <c r="BK430" s="31"/>
      <c r="BL430" s="31"/>
    </row>
    <row r="431" ht="15.7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  <c r="AZ431" s="31"/>
      <c r="BA431" s="31"/>
      <c r="BB431" s="31"/>
      <c r="BC431" s="31"/>
      <c r="BD431" s="31"/>
      <c r="BE431" s="31"/>
      <c r="BF431" s="31"/>
      <c r="BG431" s="31"/>
      <c r="BH431" s="31"/>
      <c r="BI431" s="31"/>
      <c r="BJ431" s="31"/>
      <c r="BK431" s="31"/>
      <c r="BL431" s="31"/>
    </row>
    <row r="432" ht="15.7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  <c r="AZ432" s="31"/>
      <c r="BA432" s="31"/>
      <c r="BB432" s="31"/>
      <c r="BC432" s="31"/>
      <c r="BD432" s="31"/>
      <c r="BE432" s="31"/>
      <c r="BF432" s="31"/>
      <c r="BG432" s="31"/>
      <c r="BH432" s="31"/>
      <c r="BI432" s="31"/>
      <c r="BJ432" s="31"/>
      <c r="BK432" s="31"/>
      <c r="BL432" s="31"/>
    </row>
    <row r="433" ht="15.7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  <c r="AZ433" s="31"/>
      <c r="BA433" s="31"/>
      <c r="BB433" s="31"/>
      <c r="BC433" s="31"/>
      <c r="BD433" s="31"/>
      <c r="BE433" s="31"/>
      <c r="BF433" s="31"/>
      <c r="BG433" s="31"/>
      <c r="BH433" s="31"/>
      <c r="BI433" s="31"/>
      <c r="BJ433" s="31"/>
      <c r="BK433" s="31"/>
      <c r="BL433" s="31"/>
    </row>
    <row r="434" ht="15.7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  <c r="AZ434" s="31"/>
      <c r="BA434" s="31"/>
      <c r="BB434" s="31"/>
      <c r="BC434" s="31"/>
      <c r="BD434" s="31"/>
      <c r="BE434" s="31"/>
      <c r="BF434" s="31"/>
      <c r="BG434" s="31"/>
      <c r="BH434" s="31"/>
      <c r="BI434" s="31"/>
      <c r="BJ434" s="31"/>
      <c r="BK434" s="31"/>
      <c r="BL434" s="31"/>
    </row>
    <row r="435" ht="15.7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  <c r="AZ435" s="31"/>
      <c r="BA435" s="31"/>
      <c r="BB435" s="31"/>
      <c r="BC435" s="31"/>
      <c r="BD435" s="31"/>
      <c r="BE435" s="31"/>
      <c r="BF435" s="31"/>
      <c r="BG435" s="31"/>
      <c r="BH435" s="31"/>
      <c r="BI435" s="31"/>
      <c r="BJ435" s="31"/>
      <c r="BK435" s="31"/>
      <c r="BL435" s="31"/>
    </row>
    <row r="436" ht="15.7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  <c r="AZ436" s="31"/>
      <c r="BA436" s="31"/>
      <c r="BB436" s="31"/>
      <c r="BC436" s="31"/>
      <c r="BD436" s="31"/>
      <c r="BE436" s="31"/>
      <c r="BF436" s="31"/>
      <c r="BG436" s="31"/>
      <c r="BH436" s="31"/>
      <c r="BI436" s="31"/>
      <c r="BJ436" s="31"/>
      <c r="BK436" s="31"/>
      <c r="BL436" s="31"/>
    </row>
    <row r="437" ht="15.7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  <c r="AZ437" s="31"/>
      <c r="BA437" s="31"/>
      <c r="BB437" s="31"/>
      <c r="BC437" s="31"/>
      <c r="BD437" s="31"/>
      <c r="BE437" s="31"/>
      <c r="BF437" s="31"/>
      <c r="BG437" s="31"/>
      <c r="BH437" s="31"/>
      <c r="BI437" s="31"/>
      <c r="BJ437" s="31"/>
      <c r="BK437" s="31"/>
      <c r="BL437" s="31"/>
    </row>
    <row r="438" ht="15.7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  <c r="AZ438" s="31"/>
      <c r="BA438" s="31"/>
      <c r="BB438" s="31"/>
      <c r="BC438" s="31"/>
      <c r="BD438" s="31"/>
      <c r="BE438" s="31"/>
      <c r="BF438" s="31"/>
      <c r="BG438" s="31"/>
      <c r="BH438" s="31"/>
      <c r="BI438" s="31"/>
      <c r="BJ438" s="31"/>
      <c r="BK438" s="31"/>
      <c r="BL438" s="31"/>
    </row>
    <row r="439" ht="15.7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  <c r="AZ439" s="31"/>
      <c r="BA439" s="31"/>
      <c r="BB439" s="31"/>
      <c r="BC439" s="31"/>
      <c r="BD439" s="31"/>
      <c r="BE439" s="31"/>
      <c r="BF439" s="31"/>
      <c r="BG439" s="31"/>
      <c r="BH439" s="31"/>
      <c r="BI439" s="31"/>
      <c r="BJ439" s="31"/>
      <c r="BK439" s="31"/>
      <c r="BL439" s="31"/>
    </row>
    <row r="440" ht="15.7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  <c r="AZ440" s="31"/>
      <c r="BA440" s="31"/>
      <c r="BB440" s="31"/>
      <c r="BC440" s="31"/>
      <c r="BD440" s="31"/>
      <c r="BE440" s="31"/>
      <c r="BF440" s="31"/>
      <c r="BG440" s="31"/>
      <c r="BH440" s="31"/>
      <c r="BI440" s="31"/>
      <c r="BJ440" s="31"/>
      <c r="BK440" s="31"/>
      <c r="BL440" s="31"/>
    </row>
    <row r="441" ht="15.7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  <c r="AZ441" s="31"/>
      <c r="BA441" s="31"/>
      <c r="BB441" s="31"/>
      <c r="BC441" s="31"/>
      <c r="BD441" s="31"/>
      <c r="BE441" s="31"/>
      <c r="BF441" s="31"/>
      <c r="BG441" s="31"/>
      <c r="BH441" s="31"/>
      <c r="BI441" s="31"/>
      <c r="BJ441" s="31"/>
      <c r="BK441" s="31"/>
      <c r="BL441" s="31"/>
    </row>
    <row r="442" ht="15.7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  <c r="AZ442" s="31"/>
      <c r="BA442" s="31"/>
      <c r="BB442" s="31"/>
      <c r="BC442" s="31"/>
      <c r="BD442" s="31"/>
      <c r="BE442" s="31"/>
      <c r="BF442" s="31"/>
      <c r="BG442" s="31"/>
      <c r="BH442" s="31"/>
      <c r="BI442" s="31"/>
      <c r="BJ442" s="31"/>
      <c r="BK442" s="31"/>
      <c r="BL442" s="31"/>
    </row>
    <row r="443" ht="15.7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  <c r="AZ443" s="31"/>
      <c r="BA443" s="31"/>
      <c r="BB443" s="31"/>
      <c r="BC443" s="31"/>
      <c r="BD443" s="31"/>
      <c r="BE443" s="31"/>
      <c r="BF443" s="31"/>
      <c r="BG443" s="31"/>
      <c r="BH443" s="31"/>
      <c r="BI443" s="31"/>
      <c r="BJ443" s="31"/>
      <c r="BK443" s="31"/>
      <c r="BL443" s="31"/>
    </row>
    <row r="444" ht="15.7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  <c r="AZ444" s="31"/>
      <c r="BA444" s="31"/>
      <c r="BB444" s="31"/>
      <c r="BC444" s="31"/>
      <c r="BD444" s="31"/>
      <c r="BE444" s="31"/>
      <c r="BF444" s="31"/>
      <c r="BG444" s="31"/>
      <c r="BH444" s="31"/>
      <c r="BI444" s="31"/>
      <c r="BJ444" s="31"/>
      <c r="BK444" s="31"/>
      <c r="BL444" s="31"/>
    </row>
    <row r="445" ht="15.7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  <c r="AZ445" s="31"/>
      <c r="BA445" s="31"/>
      <c r="BB445" s="31"/>
      <c r="BC445" s="31"/>
      <c r="BD445" s="31"/>
      <c r="BE445" s="31"/>
      <c r="BF445" s="31"/>
      <c r="BG445" s="31"/>
      <c r="BH445" s="31"/>
      <c r="BI445" s="31"/>
      <c r="BJ445" s="31"/>
      <c r="BK445" s="31"/>
      <c r="BL445" s="31"/>
    </row>
    <row r="446" ht="15.7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  <c r="AZ446" s="31"/>
      <c r="BA446" s="31"/>
      <c r="BB446" s="31"/>
      <c r="BC446" s="31"/>
      <c r="BD446" s="31"/>
      <c r="BE446" s="31"/>
      <c r="BF446" s="31"/>
      <c r="BG446" s="31"/>
      <c r="BH446" s="31"/>
      <c r="BI446" s="31"/>
      <c r="BJ446" s="31"/>
      <c r="BK446" s="31"/>
      <c r="BL446" s="31"/>
    </row>
    <row r="447" ht="15.7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  <c r="AZ447" s="31"/>
      <c r="BA447" s="31"/>
      <c r="BB447" s="31"/>
      <c r="BC447" s="31"/>
      <c r="BD447" s="31"/>
      <c r="BE447" s="31"/>
      <c r="BF447" s="31"/>
      <c r="BG447" s="31"/>
      <c r="BH447" s="31"/>
      <c r="BI447" s="31"/>
      <c r="BJ447" s="31"/>
      <c r="BK447" s="31"/>
      <c r="BL447" s="31"/>
    </row>
    <row r="448" ht="15.7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s="31"/>
      <c r="BD448" s="31"/>
      <c r="BE448" s="31"/>
      <c r="BF448" s="31"/>
      <c r="BG448" s="31"/>
      <c r="BH448" s="31"/>
      <c r="BI448" s="31"/>
      <c r="BJ448" s="31"/>
      <c r="BK448" s="31"/>
      <c r="BL448" s="31"/>
    </row>
    <row r="449" ht="15.7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  <c r="AZ449" s="31"/>
      <c r="BA449" s="31"/>
      <c r="BB449" s="31"/>
      <c r="BC449" s="31"/>
      <c r="BD449" s="31"/>
      <c r="BE449" s="31"/>
      <c r="BF449" s="31"/>
      <c r="BG449" s="31"/>
      <c r="BH449" s="31"/>
      <c r="BI449" s="31"/>
      <c r="BJ449" s="31"/>
      <c r="BK449" s="31"/>
      <c r="BL449" s="31"/>
    </row>
    <row r="450" ht="15.7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  <c r="AZ450" s="31"/>
      <c r="BA450" s="31"/>
      <c r="BB450" s="31"/>
      <c r="BC450" s="31"/>
      <c r="BD450" s="31"/>
      <c r="BE450" s="31"/>
      <c r="BF450" s="31"/>
      <c r="BG450" s="31"/>
      <c r="BH450" s="31"/>
      <c r="BI450" s="31"/>
      <c r="BJ450" s="31"/>
      <c r="BK450" s="31"/>
      <c r="BL450" s="31"/>
    </row>
    <row r="451" ht="15.7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  <c r="AZ451" s="31"/>
      <c r="BA451" s="31"/>
      <c r="BB451" s="31"/>
      <c r="BC451" s="31"/>
      <c r="BD451" s="31"/>
      <c r="BE451" s="31"/>
      <c r="BF451" s="31"/>
      <c r="BG451" s="31"/>
      <c r="BH451" s="31"/>
      <c r="BI451" s="31"/>
      <c r="BJ451" s="31"/>
      <c r="BK451" s="31"/>
      <c r="BL451" s="31"/>
    </row>
    <row r="452" ht="15.7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  <c r="AZ452" s="31"/>
      <c r="BA452" s="31"/>
      <c r="BB452" s="31"/>
      <c r="BC452" s="31"/>
      <c r="BD452" s="31"/>
      <c r="BE452" s="31"/>
      <c r="BF452" s="31"/>
      <c r="BG452" s="31"/>
      <c r="BH452" s="31"/>
      <c r="BI452" s="31"/>
      <c r="BJ452" s="31"/>
      <c r="BK452" s="31"/>
      <c r="BL452" s="31"/>
    </row>
    <row r="453" ht="15.7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  <c r="AZ453" s="31"/>
      <c r="BA453" s="31"/>
      <c r="BB453" s="31"/>
      <c r="BC453" s="31"/>
      <c r="BD453" s="31"/>
      <c r="BE453" s="31"/>
      <c r="BF453" s="31"/>
      <c r="BG453" s="31"/>
      <c r="BH453" s="31"/>
      <c r="BI453" s="31"/>
      <c r="BJ453" s="31"/>
      <c r="BK453" s="31"/>
      <c r="BL453" s="31"/>
    </row>
    <row r="454" ht="15.7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  <c r="AZ454" s="31"/>
      <c r="BA454" s="31"/>
      <c r="BB454" s="31"/>
      <c r="BC454" s="31"/>
      <c r="BD454" s="31"/>
      <c r="BE454" s="31"/>
      <c r="BF454" s="31"/>
      <c r="BG454" s="31"/>
      <c r="BH454" s="31"/>
      <c r="BI454" s="31"/>
      <c r="BJ454" s="31"/>
      <c r="BK454" s="31"/>
      <c r="BL454" s="31"/>
    </row>
    <row r="455" ht="15.7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31"/>
      <c r="AQ455" s="31"/>
      <c r="AR455" s="31"/>
      <c r="AS455" s="31"/>
      <c r="AT455" s="31"/>
      <c r="AU455" s="31"/>
      <c r="AV455" s="31"/>
      <c r="AW455" s="31"/>
      <c r="AX455" s="31"/>
      <c r="AY455" s="31"/>
      <c r="AZ455" s="31"/>
      <c r="BA455" s="31"/>
      <c r="BB455" s="31"/>
      <c r="BC455" s="31"/>
      <c r="BD455" s="31"/>
      <c r="BE455" s="31"/>
      <c r="BF455" s="31"/>
      <c r="BG455" s="31"/>
      <c r="BH455" s="31"/>
      <c r="BI455" s="31"/>
      <c r="BJ455" s="31"/>
      <c r="BK455" s="31"/>
      <c r="BL455" s="31"/>
    </row>
    <row r="456" ht="15.7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31"/>
      <c r="AQ456" s="31"/>
      <c r="AR456" s="31"/>
      <c r="AS456" s="31"/>
      <c r="AT456" s="31"/>
      <c r="AU456" s="31"/>
      <c r="AV456" s="31"/>
      <c r="AW456" s="31"/>
      <c r="AX456" s="31"/>
      <c r="AY456" s="31"/>
      <c r="AZ456" s="31"/>
      <c r="BA456" s="31"/>
      <c r="BB456" s="31"/>
      <c r="BC456" s="31"/>
      <c r="BD456" s="31"/>
      <c r="BE456" s="31"/>
      <c r="BF456" s="31"/>
      <c r="BG456" s="31"/>
      <c r="BH456" s="31"/>
      <c r="BI456" s="31"/>
      <c r="BJ456" s="31"/>
      <c r="BK456" s="31"/>
      <c r="BL456" s="31"/>
    </row>
    <row r="457" ht="15.7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31"/>
      <c r="AQ457" s="31"/>
      <c r="AR457" s="31"/>
      <c r="AS457" s="31"/>
      <c r="AT457" s="31"/>
      <c r="AU457" s="31"/>
      <c r="AV457" s="31"/>
      <c r="AW457" s="31"/>
      <c r="AX457" s="31"/>
      <c r="AY457" s="31"/>
      <c r="AZ457" s="31"/>
      <c r="BA457" s="31"/>
      <c r="BB457" s="31"/>
      <c r="BC457" s="31"/>
      <c r="BD457" s="31"/>
      <c r="BE457" s="31"/>
      <c r="BF457" s="31"/>
      <c r="BG457" s="31"/>
      <c r="BH457" s="31"/>
      <c r="BI457" s="31"/>
      <c r="BJ457" s="31"/>
      <c r="BK457" s="31"/>
      <c r="BL457" s="31"/>
    </row>
    <row r="458" ht="15.7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31"/>
      <c r="AQ458" s="31"/>
      <c r="AR458" s="31"/>
      <c r="AS458" s="31"/>
      <c r="AT458" s="31"/>
      <c r="AU458" s="31"/>
      <c r="AV458" s="31"/>
      <c r="AW458" s="31"/>
      <c r="AX458" s="31"/>
      <c r="AY458" s="31"/>
      <c r="AZ458" s="31"/>
      <c r="BA458" s="31"/>
      <c r="BB458" s="31"/>
      <c r="BC458" s="31"/>
      <c r="BD458" s="31"/>
      <c r="BE458" s="31"/>
      <c r="BF458" s="31"/>
      <c r="BG458" s="31"/>
      <c r="BH458" s="31"/>
      <c r="BI458" s="31"/>
      <c r="BJ458" s="31"/>
      <c r="BK458" s="31"/>
      <c r="BL458" s="31"/>
    </row>
    <row r="459" ht="15.7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31"/>
      <c r="AQ459" s="31"/>
      <c r="AR459" s="31"/>
      <c r="AS459" s="31"/>
      <c r="AT459" s="31"/>
      <c r="AU459" s="31"/>
      <c r="AV459" s="31"/>
      <c r="AW459" s="31"/>
      <c r="AX459" s="31"/>
      <c r="AY459" s="31"/>
      <c r="AZ459" s="31"/>
      <c r="BA459" s="31"/>
      <c r="BB459" s="31"/>
      <c r="BC459" s="31"/>
      <c r="BD459" s="31"/>
      <c r="BE459" s="31"/>
      <c r="BF459" s="31"/>
      <c r="BG459" s="31"/>
      <c r="BH459" s="31"/>
      <c r="BI459" s="31"/>
      <c r="BJ459" s="31"/>
      <c r="BK459" s="31"/>
      <c r="BL459" s="31"/>
    </row>
    <row r="460" ht="15.7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31"/>
      <c r="AQ460" s="31"/>
      <c r="AR460" s="31"/>
      <c r="AS460" s="31"/>
      <c r="AT460" s="31"/>
      <c r="AU460" s="31"/>
      <c r="AV460" s="31"/>
      <c r="AW460" s="31"/>
      <c r="AX460" s="31"/>
      <c r="AY460" s="31"/>
      <c r="AZ460" s="31"/>
      <c r="BA460" s="31"/>
      <c r="BB460" s="31"/>
      <c r="BC460" s="31"/>
      <c r="BD460" s="31"/>
      <c r="BE460" s="31"/>
      <c r="BF460" s="31"/>
      <c r="BG460" s="31"/>
      <c r="BH460" s="31"/>
      <c r="BI460" s="31"/>
      <c r="BJ460" s="31"/>
      <c r="BK460" s="31"/>
      <c r="BL460" s="31"/>
    </row>
    <row r="461" ht="15.7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31"/>
      <c r="AQ461" s="31"/>
      <c r="AR461" s="31"/>
      <c r="AS461" s="31"/>
      <c r="AT461" s="31"/>
      <c r="AU461" s="31"/>
      <c r="AV461" s="31"/>
      <c r="AW461" s="31"/>
      <c r="AX461" s="31"/>
      <c r="AY461" s="31"/>
      <c r="AZ461" s="31"/>
      <c r="BA461" s="31"/>
      <c r="BB461" s="31"/>
      <c r="BC461" s="31"/>
      <c r="BD461" s="31"/>
      <c r="BE461" s="31"/>
      <c r="BF461" s="31"/>
      <c r="BG461" s="31"/>
      <c r="BH461" s="31"/>
      <c r="BI461" s="31"/>
      <c r="BJ461" s="31"/>
      <c r="BK461" s="31"/>
      <c r="BL461" s="31"/>
    </row>
    <row r="462" ht="15.7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31"/>
      <c r="AQ462" s="31"/>
      <c r="AR462" s="31"/>
      <c r="AS462" s="31"/>
      <c r="AT462" s="31"/>
      <c r="AU462" s="31"/>
      <c r="AV462" s="31"/>
      <c r="AW462" s="31"/>
      <c r="AX462" s="31"/>
      <c r="AY462" s="31"/>
      <c r="AZ462" s="31"/>
      <c r="BA462" s="31"/>
      <c r="BB462" s="31"/>
      <c r="BC462" s="31"/>
      <c r="BD462" s="31"/>
      <c r="BE462" s="31"/>
      <c r="BF462" s="31"/>
      <c r="BG462" s="31"/>
      <c r="BH462" s="31"/>
      <c r="BI462" s="31"/>
      <c r="BJ462" s="31"/>
      <c r="BK462" s="31"/>
      <c r="BL462" s="31"/>
    </row>
    <row r="463" ht="15.7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31"/>
      <c r="AQ463" s="31"/>
      <c r="AR463" s="31"/>
      <c r="AS463" s="31"/>
      <c r="AT463" s="31"/>
      <c r="AU463" s="31"/>
      <c r="AV463" s="31"/>
      <c r="AW463" s="31"/>
      <c r="AX463" s="31"/>
      <c r="AY463" s="31"/>
      <c r="AZ463" s="31"/>
      <c r="BA463" s="31"/>
      <c r="BB463" s="31"/>
      <c r="BC463" s="31"/>
      <c r="BD463" s="31"/>
      <c r="BE463" s="31"/>
      <c r="BF463" s="31"/>
      <c r="BG463" s="31"/>
      <c r="BH463" s="31"/>
      <c r="BI463" s="31"/>
      <c r="BJ463" s="31"/>
      <c r="BK463" s="31"/>
      <c r="BL463" s="31"/>
    </row>
    <row r="464" ht="15.7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31"/>
      <c r="AQ464" s="31"/>
      <c r="AR464" s="31"/>
      <c r="AS464" s="31"/>
      <c r="AT464" s="31"/>
      <c r="AU464" s="31"/>
      <c r="AV464" s="31"/>
      <c r="AW464" s="31"/>
      <c r="AX464" s="31"/>
      <c r="AY464" s="31"/>
      <c r="AZ464" s="31"/>
      <c r="BA464" s="31"/>
      <c r="BB464" s="31"/>
      <c r="BC464" s="31"/>
      <c r="BD464" s="31"/>
      <c r="BE464" s="31"/>
      <c r="BF464" s="31"/>
      <c r="BG464" s="31"/>
      <c r="BH464" s="31"/>
      <c r="BI464" s="31"/>
      <c r="BJ464" s="31"/>
      <c r="BK464" s="31"/>
      <c r="BL464" s="31"/>
    </row>
    <row r="465" ht="15.7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31"/>
      <c r="AQ465" s="31"/>
      <c r="AR465" s="31"/>
      <c r="AS465" s="31"/>
      <c r="AT465" s="31"/>
      <c r="AU465" s="31"/>
      <c r="AV465" s="31"/>
      <c r="AW465" s="31"/>
      <c r="AX465" s="31"/>
      <c r="AY465" s="31"/>
      <c r="AZ465" s="31"/>
      <c r="BA465" s="31"/>
      <c r="BB465" s="31"/>
      <c r="BC465" s="31"/>
      <c r="BD465" s="31"/>
      <c r="BE465" s="31"/>
      <c r="BF465" s="31"/>
      <c r="BG465" s="31"/>
      <c r="BH465" s="31"/>
      <c r="BI465" s="31"/>
      <c r="BJ465" s="31"/>
      <c r="BK465" s="31"/>
      <c r="BL465" s="31"/>
    </row>
    <row r="466" ht="15.7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31"/>
      <c r="AQ466" s="31"/>
      <c r="AR466" s="31"/>
      <c r="AS466" s="31"/>
      <c r="AT466" s="31"/>
      <c r="AU466" s="31"/>
      <c r="AV466" s="31"/>
      <c r="AW466" s="31"/>
      <c r="AX466" s="31"/>
      <c r="AY466" s="31"/>
      <c r="AZ466" s="31"/>
      <c r="BA466" s="31"/>
      <c r="BB466" s="31"/>
      <c r="BC466" s="31"/>
      <c r="BD466" s="31"/>
      <c r="BE466" s="31"/>
      <c r="BF466" s="31"/>
      <c r="BG466" s="31"/>
      <c r="BH466" s="31"/>
      <c r="BI466" s="31"/>
      <c r="BJ466" s="31"/>
      <c r="BK466" s="31"/>
      <c r="BL466" s="31"/>
    </row>
    <row r="467" ht="15.7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31"/>
      <c r="AQ467" s="31"/>
      <c r="AR467" s="31"/>
      <c r="AS467" s="31"/>
      <c r="AT467" s="31"/>
      <c r="AU467" s="31"/>
      <c r="AV467" s="31"/>
      <c r="AW467" s="31"/>
      <c r="AX467" s="31"/>
      <c r="AY467" s="31"/>
      <c r="AZ467" s="31"/>
      <c r="BA467" s="31"/>
      <c r="BB467" s="31"/>
      <c r="BC467" s="31"/>
      <c r="BD467" s="31"/>
      <c r="BE467" s="31"/>
      <c r="BF467" s="31"/>
      <c r="BG467" s="31"/>
      <c r="BH467" s="31"/>
      <c r="BI467" s="31"/>
      <c r="BJ467" s="31"/>
      <c r="BK467" s="31"/>
      <c r="BL467" s="31"/>
    </row>
    <row r="468" ht="15.7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31"/>
      <c r="AQ468" s="31"/>
      <c r="AR468" s="31"/>
      <c r="AS468" s="31"/>
      <c r="AT468" s="31"/>
      <c r="AU468" s="31"/>
      <c r="AV468" s="31"/>
      <c r="AW468" s="31"/>
      <c r="AX468" s="31"/>
      <c r="AY468" s="31"/>
      <c r="AZ468" s="31"/>
      <c r="BA468" s="31"/>
      <c r="BB468" s="31"/>
      <c r="BC468" s="31"/>
      <c r="BD468" s="31"/>
      <c r="BE468" s="31"/>
      <c r="BF468" s="31"/>
      <c r="BG468" s="31"/>
      <c r="BH468" s="31"/>
      <c r="BI468" s="31"/>
      <c r="BJ468" s="31"/>
      <c r="BK468" s="31"/>
      <c r="BL468" s="31"/>
    </row>
    <row r="469" ht="15.7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31"/>
      <c r="AQ469" s="31"/>
      <c r="AR469" s="31"/>
      <c r="AS469" s="31"/>
      <c r="AT469" s="31"/>
      <c r="AU469" s="31"/>
      <c r="AV469" s="31"/>
      <c r="AW469" s="31"/>
      <c r="AX469" s="31"/>
      <c r="AY469" s="31"/>
      <c r="AZ469" s="31"/>
      <c r="BA469" s="31"/>
      <c r="BB469" s="31"/>
      <c r="BC469" s="31"/>
      <c r="BD469" s="31"/>
      <c r="BE469" s="31"/>
      <c r="BF469" s="31"/>
      <c r="BG469" s="31"/>
      <c r="BH469" s="31"/>
      <c r="BI469" s="31"/>
      <c r="BJ469" s="31"/>
      <c r="BK469" s="31"/>
      <c r="BL469" s="31"/>
    </row>
    <row r="470" ht="15.7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  <c r="AX470" s="31"/>
      <c r="AY470" s="31"/>
      <c r="AZ470" s="31"/>
      <c r="BA470" s="31"/>
      <c r="BB470" s="31"/>
      <c r="BC470" s="31"/>
      <c r="BD470" s="31"/>
      <c r="BE470" s="31"/>
      <c r="BF470" s="31"/>
      <c r="BG470" s="31"/>
      <c r="BH470" s="31"/>
      <c r="BI470" s="31"/>
      <c r="BJ470" s="31"/>
      <c r="BK470" s="31"/>
      <c r="BL470" s="31"/>
    </row>
    <row r="471" ht="15.7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31"/>
      <c r="AQ471" s="31"/>
      <c r="AR471" s="31"/>
      <c r="AS471" s="31"/>
      <c r="AT471" s="31"/>
      <c r="AU471" s="31"/>
      <c r="AV471" s="31"/>
      <c r="AW471" s="31"/>
      <c r="AX471" s="31"/>
      <c r="AY471" s="31"/>
      <c r="AZ471" s="31"/>
      <c r="BA471" s="31"/>
      <c r="BB471" s="31"/>
      <c r="BC471" s="31"/>
      <c r="BD471" s="31"/>
      <c r="BE471" s="31"/>
      <c r="BF471" s="31"/>
      <c r="BG471" s="31"/>
      <c r="BH471" s="31"/>
      <c r="BI471" s="31"/>
      <c r="BJ471" s="31"/>
      <c r="BK471" s="31"/>
      <c r="BL471" s="31"/>
    </row>
    <row r="472" ht="15.7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31"/>
      <c r="AQ472" s="31"/>
      <c r="AR472" s="31"/>
      <c r="AS472" s="31"/>
      <c r="AT472" s="31"/>
      <c r="AU472" s="31"/>
      <c r="AV472" s="31"/>
      <c r="AW472" s="31"/>
      <c r="AX472" s="31"/>
      <c r="AY472" s="31"/>
      <c r="AZ472" s="31"/>
      <c r="BA472" s="31"/>
      <c r="BB472" s="31"/>
      <c r="BC472" s="31"/>
      <c r="BD472" s="31"/>
      <c r="BE472" s="31"/>
      <c r="BF472" s="31"/>
      <c r="BG472" s="31"/>
      <c r="BH472" s="31"/>
      <c r="BI472" s="31"/>
      <c r="BJ472" s="31"/>
      <c r="BK472" s="31"/>
      <c r="BL472" s="31"/>
    </row>
    <row r="473" ht="15.7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31"/>
      <c r="AQ473" s="31"/>
      <c r="AR473" s="31"/>
      <c r="AS473" s="31"/>
      <c r="AT473" s="31"/>
      <c r="AU473" s="31"/>
      <c r="AV473" s="31"/>
      <c r="AW473" s="31"/>
      <c r="AX473" s="31"/>
      <c r="AY473" s="31"/>
      <c r="AZ473" s="31"/>
      <c r="BA473" s="31"/>
      <c r="BB473" s="31"/>
      <c r="BC473" s="31"/>
      <c r="BD473" s="31"/>
      <c r="BE473" s="31"/>
      <c r="BF473" s="31"/>
      <c r="BG473" s="31"/>
      <c r="BH473" s="31"/>
      <c r="BI473" s="31"/>
      <c r="BJ473" s="31"/>
      <c r="BK473" s="31"/>
      <c r="BL473" s="31"/>
    </row>
    <row r="474" ht="15.7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31"/>
      <c r="AQ474" s="31"/>
      <c r="AR474" s="31"/>
      <c r="AS474" s="31"/>
      <c r="AT474" s="31"/>
      <c r="AU474" s="31"/>
      <c r="AV474" s="31"/>
      <c r="AW474" s="31"/>
      <c r="AX474" s="31"/>
      <c r="AY474" s="31"/>
      <c r="AZ474" s="31"/>
      <c r="BA474" s="31"/>
      <c r="BB474" s="31"/>
      <c r="BC474" s="31"/>
      <c r="BD474" s="31"/>
      <c r="BE474" s="31"/>
      <c r="BF474" s="31"/>
      <c r="BG474" s="31"/>
      <c r="BH474" s="31"/>
      <c r="BI474" s="31"/>
      <c r="BJ474" s="31"/>
      <c r="BK474" s="31"/>
      <c r="BL474" s="31"/>
    </row>
    <row r="475" ht="15.7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31"/>
      <c r="AQ475" s="31"/>
      <c r="AR475" s="31"/>
      <c r="AS475" s="31"/>
      <c r="AT475" s="31"/>
      <c r="AU475" s="31"/>
      <c r="AV475" s="31"/>
      <c r="AW475" s="31"/>
      <c r="AX475" s="31"/>
      <c r="AY475" s="31"/>
      <c r="AZ475" s="31"/>
      <c r="BA475" s="31"/>
      <c r="BB475" s="31"/>
      <c r="BC475" s="31"/>
      <c r="BD475" s="31"/>
      <c r="BE475" s="31"/>
      <c r="BF475" s="31"/>
      <c r="BG475" s="31"/>
      <c r="BH475" s="31"/>
      <c r="BI475" s="31"/>
      <c r="BJ475" s="31"/>
      <c r="BK475" s="31"/>
      <c r="BL475" s="31"/>
    </row>
    <row r="476" ht="15.7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31"/>
      <c r="AQ476" s="31"/>
      <c r="AR476" s="31"/>
      <c r="AS476" s="31"/>
      <c r="AT476" s="31"/>
      <c r="AU476" s="31"/>
      <c r="AV476" s="31"/>
      <c r="AW476" s="31"/>
      <c r="AX476" s="31"/>
      <c r="AY476" s="31"/>
      <c r="AZ476" s="31"/>
      <c r="BA476" s="31"/>
      <c r="BB476" s="31"/>
      <c r="BC476" s="31"/>
      <c r="BD476" s="31"/>
      <c r="BE476" s="31"/>
      <c r="BF476" s="31"/>
      <c r="BG476" s="31"/>
      <c r="BH476" s="31"/>
      <c r="BI476" s="31"/>
      <c r="BJ476" s="31"/>
      <c r="BK476" s="31"/>
      <c r="BL476" s="31"/>
    </row>
    <row r="477" ht="15.7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31"/>
      <c r="AQ477" s="31"/>
      <c r="AR477" s="31"/>
      <c r="AS477" s="31"/>
      <c r="AT477" s="31"/>
      <c r="AU477" s="31"/>
      <c r="AV477" s="31"/>
      <c r="AW477" s="31"/>
      <c r="AX477" s="31"/>
      <c r="AY477" s="31"/>
      <c r="AZ477" s="31"/>
      <c r="BA477" s="31"/>
      <c r="BB477" s="31"/>
      <c r="BC477" s="31"/>
      <c r="BD477" s="31"/>
      <c r="BE477" s="31"/>
      <c r="BF477" s="31"/>
      <c r="BG477" s="31"/>
      <c r="BH477" s="31"/>
      <c r="BI477" s="31"/>
      <c r="BJ477" s="31"/>
      <c r="BK477" s="31"/>
      <c r="BL477" s="31"/>
    </row>
    <row r="478" ht="15.7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31"/>
      <c r="AQ478" s="31"/>
      <c r="AR478" s="31"/>
      <c r="AS478" s="31"/>
      <c r="AT478" s="31"/>
      <c r="AU478" s="31"/>
      <c r="AV478" s="31"/>
      <c r="AW478" s="31"/>
      <c r="AX478" s="31"/>
      <c r="AY478" s="31"/>
      <c r="AZ478" s="31"/>
      <c r="BA478" s="31"/>
      <c r="BB478" s="31"/>
      <c r="BC478" s="31"/>
      <c r="BD478" s="31"/>
      <c r="BE478" s="31"/>
      <c r="BF478" s="31"/>
      <c r="BG478" s="31"/>
      <c r="BH478" s="31"/>
      <c r="BI478" s="31"/>
      <c r="BJ478" s="31"/>
      <c r="BK478" s="31"/>
      <c r="BL478" s="31"/>
    </row>
    <row r="479" ht="15.7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31"/>
      <c r="AQ479" s="31"/>
      <c r="AR479" s="31"/>
      <c r="AS479" s="31"/>
      <c r="AT479" s="31"/>
      <c r="AU479" s="31"/>
      <c r="AV479" s="31"/>
      <c r="AW479" s="31"/>
      <c r="AX479" s="31"/>
      <c r="AY479" s="31"/>
      <c r="AZ479" s="31"/>
      <c r="BA479" s="31"/>
      <c r="BB479" s="31"/>
      <c r="BC479" s="31"/>
      <c r="BD479" s="31"/>
      <c r="BE479" s="31"/>
      <c r="BF479" s="31"/>
      <c r="BG479" s="31"/>
      <c r="BH479" s="31"/>
      <c r="BI479" s="31"/>
      <c r="BJ479" s="31"/>
      <c r="BK479" s="31"/>
      <c r="BL479" s="31"/>
    </row>
    <row r="480" ht="15.7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  <c r="BL480" s="31"/>
    </row>
    <row r="481" ht="15.7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31"/>
      <c r="AQ481" s="31"/>
      <c r="AR481" s="31"/>
      <c r="AS481" s="31"/>
      <c r="AT481" s="31"/>
      <c r="AU481" s="31"/>
      <c r="AV481" s="31"/>
      <c r="AW481" s="31"/>
      <c r="AX481" s="31"/>
      <c r="AY481" s="31"/>
      <c r="AZ481" s="31"/>
      <c r="BA481" s="31"/>
      <c r="BB481" s="31"/>
      <c r="BC481" s="31"/>
      <c r="BD481" s="31"/>
      <c r="BE481" s="31"/>
      <c r="BF481" s="31"/>
      <c r="BG481" s="31"/>
      <c r="BH481" s="31"/>
      <c r="BI481" s="31"/>
      <c r="BJ481" s="31"/>
      <c r="BK481" s="31"/>
      <c r="BL481" s="31"/>
    </row>
    <row r="482" ht="15.7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31"/>
      <c r="AQ482" s="31"/>
      <c r="AR482" s="31"/>
      <c r="AS482" s="31"/>
      <c r="AT482" s="31"/>
      <c r="AU482" s="31"/>
      <c r="AV482" s="31"/>
      <c r="AW482" s="31"/>
      <c r="AX482" s="31"/>
      <c r="AY482" s="31"/>
      <c r="AZ482" s="31"/>
      <c r="BA482" s="31"/>
      <c r="BB482" s="31"/>
      <c r="BC482" s="31"/>
      <c r="BD482" s="31"/>
      <c r="BE482" s="31"/>
      <c r="BF482" s="31"/>
      <c r="BG482" s="31"/>
      <c r="BH482" s="31"/>
      <c r="BI482" s="31"/>
      <c r="BJ482" s="31"/>
      <c r="BK482" s="31"/>
      <c r="BL482" s="31"/>
    </row>
    <row r="483" ht="15.7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31"/>
      <c r="AQ483" s="31"/>
      <c r="AR483" s="31"/>
      <c r="AS483" s="31"/>
      <c r="AT483" s="31"/>
      <c r="AU483" s="31"/>
      <c r="AV483" s="31"/>
      <c r="AW483" s="31"/>
      <c r="AX483" s="31"/>
      <c r="AY483" s="31"/>
      <c r="AZ483" s="31"/>
      <c r="BA483" s="31"/>
      <c r="BB483" s="31"/>
      <c r="BC483" s="31"/>
      <c r="BD483" s="31"/>
      <c r="BE483" s="31"/>
      <c r="BF483" s="31"/>
      <c r="BG483" s="31"/>
      <c r="BH483" s="31"/>
      <c r="BI483" s="31"/>
      <c r="BJ483" s="31"/>
      <c r="BK483" s="31"/>
      <c r="BL483" s="31"/>
    </row>
    <row r="484" ht="15.7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31"/>
      <c r="AQ484" s="31"/>
      <c r="AR484" s="31"/>
      <c r="AS484" s="31"/>
      <c r="AT484" s="31"/>
      <c r="AU484" s="31"/>
      <c r="AV484" s="31"/>
      <c r="AW484" s="31"/>
      <c r="AX484" s="31"/>
      <c r="AY484" s="31"/>
      <c r="AZ484" s="31"/>
      <c r="BA484" s="31"/>
      <c r="BB484" s="31"/>
      <c r="BC484" s="31"/>
      <c r="BD484" s="31"/>
      <c r="BE484" s="31"/>
      <c r="BF484" s="31"/>
      <c r="BG484" s="31"/>
      <c r="BH484" s="31"/>
      <c r="BI484" s="31"/>
      <c r="BJ484" s="31"/>
      <c r="BK484" s="31"/>
      <c r="BL484" s="31"/>
    </row>
    <row r="485" ht="15.7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31"/>
      <c r="AQ485" s="31"/>
      <c r="AR485" s="31"/>
      <c r="AS485" s="31"/>
      <c r="AT485" s="31"/>
      <c r="AU485" s="31"/>
      <c r="AV485" s="31"/>
      <c r="AW485" s="31"/>
      <c r="AX485" s="31"/>
      <c r="AY485" s="31"/>
      <c r="AZ485" s="31"/>
      <c r="BA485" s="31"/>
      <c r="BB485" s="31"/>
      <c r="BC485" s="31"/>
      <c r="BD485" s="31"/>
      <c r="BE485" s="31"/>
      <c r="BF485" s="31"/>
      <c r="BG485" s="31"/>
      <c r="BH485" s="31"/>
      <c r="BI485" s="31"/>
      <c r="BJ485" s="31"/>
      <c r="BK485" s="31"/>
      <c r="BL485" s="31"/>
    </row>
    <row r="486" ht="15.7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31"/>
      <c r="AQ486" s="31"/>
      <c r="AR486" s="31"/>
      <c r="AS486" s="31"/>
      <c r="AT486" s="31"/>
      <c r="AU486" s="31"/>
      <c r="AV486" s="31"/>
      <c r="AW486" s="31"/>
      <c r="AX486" s="31"/>
      <c r="AY486" s="31"/>
      <c r="AZ486" s="31"/>
      <c r="BA486" s="31"/>
      <c r="BB486" s="31"/>
      <c r="BC486" s="31"/>
      <c r="BD486" s="31"/>
      <c r="BE486" s="31"/>
      <c r="BF486" s="31"/>
      <c r="BG486" s="31"/>
      <c r="BH486" s="31"/>
      <c r="BI486" s="31"/>
      <c r="BJ486" s="31"/>
      <c r="BK486" s="31"/>
      <c r="BL486" s="31"/>
    </row>
    <row r="487" ht="15.7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31"/>
      <c r="AQ487" s="31"/>
      <c r="AR487" s="31"/>
      <c r="AS487" s="31"/>
      <c r="AT487" s="31"/>
      <c r="AU487" s="31"/>
      <c r="AV487" s="31"/>
      <c r="AW487" s="31"/>
      <c r="AX487" s="31"/>
      <c r="AY487" s="31"/>
      <c r="AZ487" s="31"/>
      <c r="BA487" s="31"/>
      <c r="BB487" s="31"/>
      <c r="BC487" s="31"/>
      <c r="BD487" s="31"/>
      <c r="BE487" s="31"/>
      <c r="BF487" s="31"/>
      <c r="BG487" s="31"/>
      <c r="BH487" s="31"/>
      <c r="BI487" s="31"/>
      <c r="BJ487" s="31"/>
      <c r="BK487" s="31"/>
      <c r="BL487" s="31"/>
    </row>
    <row r="488" ht="15.7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31"/>
      <c r="AQ488" s="31"/>
      <c r="AR488" s="31"/>
      <c r="AS488" s="31"/>
      <c r="AT488" s="31"/>
      <c r="AU488" s="31"/>
      <c r="AV488" s="31"/>
      <c r="AW488" s="31"/>
      <c r="AX488" s="31"/>
      <c r="AY488" s="31"/>
      <c r="AZ488" s="31"/>
      <c r="BA488" s="31"/>
      <c r="BB488" s="31"/>
      <c r="BC488" s="31"/>
      <c r="BD488" s="31"/>
      <c r="BE488" s="31"/>
      <c r="BF488" s="31"/>
      <c r="BG488" s="31"/>
      <c r="BH488" s="31"/>
      <c r="BI488" s="31"/>
      <c r="BJ488" s="31"/>
      <c r="BK488" s="31"/>
      <c r="BL488" s="31"/>
    </row>
    <row r="489" ht="15.7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31"/>
      <c r="AQ489" s="31"/>
      <c r="AR489" s="31"/>
      <c r="AS489" s="31"/>
      <c r="AT489" s="31"/>
      <c r="AU489" s="31"/>
      <c r="AV489" s="31"/>
      <c r="AW489" s="31"/>
      <c r="AX489" s="31"/>
      <c r="AY489" s="31"/>
      <c r="AZ489" s="31"/>
      <c r="BA489" s="31"/>
      <c r="BB489" s="31"/>
      <c r="BC489" s="31"/>
      <c r="BD489" s="31"/>
      <c r="BE489" s="31"/>
      <c r="BF489" s="31"/>
      <c r="BG489" s="31"/>
      <c r="BH489" s="31"/>
      <c r="BI489" s="31"/>
      <c r="BJ489" s="31"/>
      <c r="BK489" s="31"/>
      <c r="BL489" s="31"/>
    </row>
    <row r="490" ht="15.7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31"/>
      <c r="AQ490" s="31"/>
      <c r="AR490" s="31"/>
      <c r="AS490" s="31"/>
      <c r="AT490" s="31"/>
      <c r="AU490" s="31"/>
      <c r="AV490" s="31"/>
      <c r="AW490" s="31"/>
      <c r="AX490" s="31"/>
      <c r="AY490" s="31"/>
      <c r="AZ490" s="31"/>
      <c r="BA490" s="31"/>
      <c r="BB490" s="31"/>
      <c r="BC490" s="31"/>
      <c r="BD490" s="31"/>
      <c r="BE490" s="31"/>
      <c r="BF490" s="31"/>
      <c r="BG490" s="31"/>
      <c r="BH490" s="31"/>
      <c r="BI490" s="31"/>
      <c r="BJ490" s="31"/>
      <c r="BK490" s="31"/>
      <c r="BL490" s="31"/>
    </row>
    <row r="491" ht="15.7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31"/>
      <c r="AQ491" s="31"/>
      <c r="AR491" s="31"/>
      <c r="AS491" s="31"/>
      <c r="AT491" s="31"/>
      <c r="AU491" s="31"/>
      <c r="AV491" s="31"/>
      <c r="AW491" s="31"/>
      <c r="AX491" s="31"/>
      <c r="AY491" s="31"/>
      <c r="AZ491" s="31"/>
      <c r="BA491" s="31"/>
      <c r="BB491" s="31"/>
      <c r="BC491" s="31"/>
      <c r="BD491" s="31"/>
      <c r="BE491" s="31"/>
      <c r="BF491" s="31"/>
      <c r="BG491" s="31"/>
      <c r="BH491" s="31"/>
      <c r="BI491" s="31"/>
      <c r="BJ491" s="31"/>
      <c r="BK491" s="31"/>
      <c r="BL491" s="31"/>
    </row>
    <row r="492" ht="15.7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31"/>
      <c r="AQ492" s="31"/>
      <c r="AR492" s="31"/>
      <c r="AS492" s="31"/>
      <c r="AT492" s="31"/>
      <c r="AU492" s="31"/>
      <c r="AV492" s="31"/>
      <c r="AW492" s="31"/>
      <c r="AX492" s="31"/>
      <c r="AY492" s="31"/>
      <c r="AZ492" s="31"/>
      <c r="BA492" s="31"/>
      <c r="BB492" s="31"/>
      <c r="BC492" s="31"/>
      <c r="BD492" s="31"/>
      <c r="BE492" s="31"/>
      <c r="BF492" s="31"/>
      <c r="BG492" s="31"/>
      <c r="BH492" s="31"/>
      <c r="BI492" s="31"/>
      <c r="BJ492" s="31"/>
      <c r="BK492" s="31"/>
      <c r="BL492" s="31"/>
    </row>
    <row r="493" ht="15.7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31"/>
      <c r="AQ493" s="31"/>
      <c r="AR493" s="31"/>
      <c r="AS493" s="31"/>
      <c r="AT493" s="31"/>
      <c r="AU493" s="31"/>
      <c r="AV493" s="31"/>
      <c r="AW493" s="31"/>
      <c r="AX493" s="31"/>
      <c r="AY493" s="31"/>
      <c r="AZ493" s="31"/>
      <c r="BA493" s="31"/>
      <c r="BB493" s="31"/>
      <c r="BC493" s="31"/>
      <c r="BD493" s="31"/>
      <c r="BE493" s="31"/>
      <c r="BF493" s="31"/>
      <c r="BG493" s="31"/>
      <c r="BH493" s="31"/>
      <c r="BI493" s="31"/>
      <c r="BJ493" s="31"/>
      <c r="BK493" s="31"/>
      <c r="BL493" s="31"/>
    </row>
    <row r="494" ht="15.7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31"/>
      <c r="AQ494" s="31"/>
      <c r="AR494" s="31"/>
      <c r="AS494" s="31"/>
      <c r="AT494" s="31"/>
      <c r="AU494" s="31"/>
      <c r="AV494" s="31"/>
      <c r="AW494" s="31"/>
      <c r="AX494" s="31"/>
      <c r="AY494" s="31"/>
      <c r="AZ494" s="31"/>
      <c r="BA494" s="31"/>
      <c r="BB494" s="31"/>
      <c r="BC494" s="31"/>
      <c r="BD494" s="31"/>
      <c r="BE494" s="31"/>
      <c r="BF494" s="31"/>
      <c r="BG494" s="31"/>
      <c r="BH494" s="31"/>
      <c r="BI494" s="31"/>
      <c r="BJ494" s="31"/>
      <c r="BK494" s="31"/>
      <c r="BL494" s="31"/>
    </row>
    <row r="495" ht="15.7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31"/>
      <c r="AQ495" s="31"/>
      <c r="AR495" s="31"/>
      <c r="AS495" s="31"/>
      <c r="AT495" s="31"/>
      <c r="AU495" s="31"/>
      <c r="AV495" s="31"/>
      <c r="AW495" s="31"/>
      <c r="AX495" s="31"/>
      <c r="AY495" s="31"/>
      <c r="AZ495" s="31"/>
      <c r="BA495" s="31"/>
      <c r="BB495" s="31"/>
      <c r="BC495" s="31"/>
      <c r="BD495" s="31"/>
      <c r="BE495" s="31"/>
      <c r="BF495" s="31"/>
      <c r="BG495" s="31"/>
      <c r="BH495" s="31"/>
      <c r="BI495" s="31"/>
      <c r="BJ495" s="31"/>
      <c r="BK495" s="31"/>
      <c r="BL495" s="31"/>
    </row>
    <row r="496" ht="15.7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31"/>
      <c r="AQ496" s="31"/>
      <c r="AR496" s="31"/>
      <c r="AS496" s="31"/>
      <c r="AT496" s="31"/>
      <c r="AU496" s="31"/>
      <c r="AV496" s="31"/>
      <c r="AW496" s="31"/>
      <c r="AX496" s="31"/>
      <c r="AY496" s="31"/>
      <c r="AZ496" s="31"/>
      <c r="BA496" s="31"/>
      <c r="BB496" s="31"/>
      <c r="BC496" s="31"/>
      <c r="BD496" s="31"/>
      <c r="BE496" s="31"/>
      <c r="BF496" s="31"/>
      <c r="BG496" s="31"/>
      <c r="BH496" s="31"/>
      <c r="BI496" s="31"/>
      <c r="BJ496" s="31"/>
      <c r="BK496" s="31"/>
      <c r="BL496" s="31"/>
    </row>
    <row r="497" ht="15.7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31"/>
      <c r="AQ497" s="31"/>
      <c r="AR497" s="31"/>
      <c r="AS497" s="31"/>
      <c r="AT497" s="31"/>
      <c r="AU497" s="31"/>
      <c r="AV497" s="31"/>
      <c r="AW497" s="31"/>
      <c r="AX497" s="31"/>
      <c r="AY497" s="31"/>
      <c r="AZ497" s="31"/>
      <c r="BA497" s="31"/>
      <c r="BB497" s="31"/>
      <c r="BC497" s="31"/>
      <c r="BD497" s="31"/>
      <c r="BE497" s="31"/>
      <c r="BF497" s="31"/>
      <c r="BG497" s="31"/>
      <c r="BH497" s="31"/>
      <c r="BI497" s="31"/>
      <c r="BJ497" s="31"/>
      <c r="BK497" s="31"/>
      <c r="BL497" s="31"/>
    </row>
    <row r="498" ht="15.7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31"/>
      <c r="AQ498" s="31"/>
      <c r="AR498" s="31"/>
      <c r="AS498" s="31"/>
      <c r="AT498" s="31"/>
      <c r="AU498" s="31"/>
      <c r="AV498" s="31"/>
      <c r="AW498" s="31"/>
      <c r="AX498" s="31"/>
      <c r="AY498" s="31"/>
      <c r="AZ498" s="31"/>
      <c r="BA498" s="31"/>
      <c r="BB498" s="31"/>
      <c r="BC498" s="31"/>
      <c r="BD498" s="31"/>
      <c r="BE498" s="31"/>
      <c r="BF498" s="31"/>
      <c r="BG498" s="31"/>
      <c r="BH498" s="31"/>
      <c r="BI498" s="31"/>
      <c r="BJ498" s="31"/>
      <c r="BK498" s="31"/>
      <c r="BL498" s="31"/>
    </row>
    <row r="499" ht="15.7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31"/>
      <c r="AQ499" s="31"/>
      <c r="AR499" s="31"/>
      <c r="AS499" s="31"/>
      <c r="AT499" s="31"/>
      <c r="AU499" s="31"/>
      <c r="AV499" s="31"/>
      <c r="AW499" s="31"/>
      <c r="AX499" s="31"/>
      <c r="AY499" s="31"/>
      <c r="AZ499" s="31"/>
      <c r="BA499" s="31"/>
      <c r="BB499" s="31"/>
      <c r="BC499" s="31"/>
      <c r="BD499" s="31"/>
      <c r="BE499" s="31"/>
      <c r="BF499" s="31"/>
      <c r="BG499" s="31"/>
      <c r="BH499" s="31"/>
      <c r="BI499" s="31"/>
      <c r="BJ499" s="31"/>
      <c r="BK499" s="31"/>
      <c r="BL499" s="31"/>
    </row>
    <row r="500" ht="15.7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31"/>
      <c r="AQ500" s="31"/>
      <c r="AR500" s="31"/>
      <c r="AS500" s="31"/>
      <c r="AT500" s="31"/>
      <c r="AU500" s="31"/>
      <c r="AV500" s="31"/>
      <c r="AW500" s="31"/>
      <c r="AX500" s="31"/>
      <c r="AY500" s="31"/>
      <c r="AZ500" s="31"/>
      <c r="BA500" s="31"/>
      <c r="BB500" s="31"/>
      <c r="BC500" s="31"/>
      <c r="BD500" s="31"/>
      <c r="BE500" s="31"/>
      <c r="BF500" s="31"/>
      <c r="BG500" s="31"/>
      <c r="BH500" s="31"/>
      <c r="BI500" s="31"/>
      <c r="BJ500" s="31"/>
      <c r="BK500" s="31"/>
      <c r="BL500" s="31"/>
    </row>
    <row r="501" ht="15.7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31"/>
      <c r="AQ501" s="31"/>
      <c r="AR501" s="31"/>
      <c r="AS501" s="31"/>
      <c r="AT501" s="31"/>
      <c r="AU501" s="31"/>
      <c r="AV501" s="31"/>
      <c r="AW501" s="31"/>
      <c r="AX501" s="31"/>
      <c r="AY501" s="31"/>
      <c r="AZ501" s="31"/>
      <c r="BA501" s="31"/>
      <c r="BB501" s="31"/>
      <c r="BC501" s="31"/>
      <c r="BD501" s="31"/>
      <c r="BE501" s="31"/>
      <c r="BF501" s="31"/>
      <c r="BG501" s="31"/>
      <c r="BH501" s="31"/>
      <c r="BI501" s="31"/>
      <c r="BJ501" s="31"/>
      <c r="BK501" s="31"/>
      <c r="BL501" s="31"/>
    </row>
    <row r="502" ht="15.7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31"/>
      <c r="AQ502" s="31"/>
      <c r="AR502" s="31"/>
      <c r="AS502" s="31"/>
      <c r="AT502" s="31"/>
      <c r="AU502" s="31"/>
      <c r="AV502" s="31"/>
      <c r="AW502" s="31"/>
      <c r="AX502" s="31"/>
      <c r="AY502" s="31"/>
      <c r="AZ502" s="31"/>
      <c r="BA502" s="31"/>
      <c r="BB502" s="31"/>
      <c r="BC502" s="31"/>
      <c r="BD502" s="31"/>
      <c r="BE502" s="31"/>
      <c r="BF502" s="31"/>
      <c r="BG502" s="31"/>
      <c r="BH502" s="31"/>
      <c r="BI502" s="31"/>
      <c r="BJ502" s="31"/>
      <c r="BK502" s="31"/>
      <c r="BL502" s="31"/>
    </row>
    <row r="503" ht="15.7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31"/>
      <c r="AQ503" s="31"/>
      <c r="AR503" s="31"/>
      <c r="AS503" s="31"/>
      <c r="AT503" s="31"/>
      <c r="AU503" s="31"/>
      <c r="AV503" s="31"/>
      <c r="AW503" s="31"/>
      <c r="AX503" s="31"/>
      <c r="AY503" s="31"/>
      <c r="AZ503" s="31"/>
      <c r="BA503" s="31"/>
      <c r="BB503" s="31"/>
      <c r="BC503" s="31"/>
      <c r="BD503" s="31"/>
      <c r="BE503" s="31"/>
      <c r="BF503" s="31"/>
      <c r="BG503" s="31"/>
      <c r="BH503" s="31"/>
      <c r="BI503" s="31"/>
      <c r="BJ503" s="31"/>
      <c r="BK503" s="31"/>
      <c r="BL503" s="31"/>
    </row>
    <row r="504" ht="15.7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/>
      <c r="BA504" s="31"/>
      <c r="BB504" s="31"/>
      <c r="BC504" s="31"/>
      <c r="BD504" s="31"/>
      <c r="BE504" s="31"/>
      <c r="BF504" s="31"/>
      <c r="BG504" s="31"/>
      <c r="BH504" s="31"/>
      <c r="BI504" s="31"/>
      <c r="BJ504" s="31"/>
      <c r="BK504" s="31"/>
      <c r="BL504" s="31"/>
    </row>
    <row r="505" ht="15.7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31"/>
      <c r="AQ505" s="31"/>
      <c r="AR505" s="31"/>
      <c r="AS505" s="31"/>
      <c r="AT505" s="31"/>
      <c r="AU505" s="31"/>
      <c r="AV505" s="31"/>
      <c r="AW505" s="31"/>
      <c r="AX505" s="31"/>
      <c r="AY505" s="31"/>
      <c r="AZ505" s="31"/>
      <c r="BA505" s="31"/>
      <c r="BB505" s="31"/>
      <c r="BC505" s="31"/>
      <c r="BD505" s="31"/>
      <c r="BE505" s="31"/>
      <c r="BF505" s="31"/>
      <c r="BG505" s="31"/>
      <c r="BH505" s="31"/>
      <c r="BI505" s="31"/>
      <c r="BJ505" s="31"/>
      <c r="BK505" s="31"/>
      <c r="BL505" s="31"/>
    </row>
    <row r="506" ht="15.7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31"/>
      <c r="AQ506" s="31"/>
      <c r="AR506" s="31"/>
      <c r="AS506" s="31"/>
      <c r="AT506" s="31"/>
      <c r="AU506" s="31"/>
      <c r="AV506" s="31"/>
      <c r="AW506" s="31"/>
      <c r="AX506" s="31"/>
      <c r="AY506" s="31"/>
      <c r="AZ506" s="31"/>
      <c r="BA506" s="31"/>
      <c r="BB506" s="31"/>
      <c r="BC506" s="31"/>
      <c r="BD506" s="31"/>
      <c r="BE506" s="31"/>
      <c r="BF506" s="31"/>
      <c r="BG506" s="31"/>
      <c r="BH506" s="31"/>
      <c r="BI506" s="31"/>
      <c r="BJ506" s="31"/>
      <c r="BK506" s="31"/>
      <c r="BL506" s="31"/>
    </row>
    <row r="507" ht="15.7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31"/>
      <c r="AQ507" s="31"/>
      <c r="AR507" s="31"/>
      <c r="AS507" s="31"/>
      <c r="AT507" s="31"/>
      <c r="AU507" s="31"/>
      <c r="AV507" s="31"/>
      <c r="AW507" s="31"/>
      <c r="AX507" s="31"/>
      <c r="AY507" s="31"/>
      <c r="AZ507" s="31"/>
      <c r="BA507" s="31"/>
      <c r="BB507" s="31"/>
      <c r="BC507" s="31"/>
      <c r="BD507" s="31"/>
      <c r="BE507" s="31"/>
      <c r="BF507" s="31"/>
      <c r="BG507" s="31"/>
      <c r="BH507" s="31"/>
      <c r="BI507" s="31"/>
      <c r="BJ507" s="31"/>
      <c r="BK507" s="31"/>
      <c r="BL507" s="31"/>
    </row>
    <row r="508" ht="15.7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31"/>
      <c r="AQ508" s="31"/>
      <c r="AR508" s="31"/>
      <c r="AS508" s="31"/>
      <c r="AT508" s="31"/>
      <c r="AU508" s="31"/>
      <c r="AV508" s="31"/>
      <c r="AW508" s="31"/>
      <c r="AX508" s="31"/>
      <c r="AY508" s="31"/>
      <c r="AZ508" s="31"/>
      <c r="BA508" s="31"/>
      <c r="BB508" s="31"/>
      <c r="BC508" s="31"/>
      <c r="BD508" s="31"/>
      <c r="BE508" s="31"/>
      <c r="BF508" s="31"/>
      <c r="BG508" s="31"/>
      <c r="BH508" s="31"/>
      <c r="BI508" s="31"/>
      <c r="BJ508" s="31"/>
      <c r="BK508" s="31"/>
      <c r="BL508" s="31"/>
    </row>
    <row r="509" ht="15.7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31"/>
      <c r="AQ509" s="31"/>
      <c r="AR509" s="31"/>
      <c r="AS509" s="31"/>
      <c r="AT509" s="31"/>
      <c r="AU509" s="31"/>
      <c r="AV509" s="31"/>
      <c r="AW509" s="31"/>
      <c r="AX509" s="31"/>
      <c r="AY509" s="31"/>
      <c r="AZ509" s="31"/>
      <c r="BA509" s="31"/>
      <c r="BB509" s="31"/>
      <c r="BC509" s="31"/>
      <c r="BD509" s="31"/>
      <c r="BE509" s="31"/>
      <c r="BF509" s="31"/>
      <c r="BG509" s="31"/>
      <c r="BH509" s="31"/>
      <c r="BI509" s="31"/>
      <c r="BJ509" s="31"/>
      <c r="BK509" s="31"/>
      <c r="BL509" s="31"/>
    </row>
    <row r="510" ht="15.7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31"/>
      <c r="AQ510" s="31"/>
      <c r="AR510" s="31"/>
      <c r="AS510" s="31"/>
      <c r="AT510" s="31"/>
      <c r="AU510" s="31"/>
      <c r="AV510" s="31"/>
      <c r="AW510" s="31"/>
      <c r="AX510" s="31"/>
      <c r="AY510" s="31"/>
      <c r="AZ510" s="31"/>
      <c r="BA510" s="31"/>
      <c r="BB510" s="31"/>
      <c r="BC510" s="31"/>
      <c r="BD510" s="31"/>
      <c r="BE510" s="31"/>
      <c r="BF510" s="31"/>
      <c r="BG510" s="31"/>
      <c r="BH510" s="31"/>
      <c r="BI510" s="31"/>
      <c r="BJ510" s="31"/>
      <c r="BK510" s="31"/>
      <c r="BL510" s="31"/>
    </row>
    <row r="511" ht="15.7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31"/>
      <c r="AQ511" s="31"/>
      <c r="AR511" s="31"/>
      <c r="AS511" s="31"/>
      <c r="AT511" s="31"/>
      <c r="AU511" s="31"/>
      <c r="AV511" s="31"/>
      <c r="AW511" s="31"/>
      <c r="AX511" s="31"/>
      <c r="AY511" s="31"/>
      <c r="AZ511" s="31"/>
      <c r="BA511" s="31"/>
      <c r="BB511" s="31"/>
      <c r="BC511" s="31"/>
      <c r="BD511" s="31"/>
      <c r="BE511" s="31"/>
      <c r="BF511" s="31"/>
      <c r="BG511" s="31"/>
      <c r="BH511" s="31"/>
      <c r="BI511" s="31"/>
      <c r="BJ511" s="31"/>
      <c r="BK511" s="31"/>
      <c r="BL511" s="31"/>
    </row>
    <row r="512" ht="15.7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  <c r="BL512" s="31"/>
    </row>
    <row r="513" ht="15.7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31"/>
      <c r="AQ513" s="31"/>
      <c r="AR513" s="31"/>
      <c r="AS513" s="31"/>
      <c r="AT513" s="31"/>
      <c r="AU513" s="31"/>
      <c r="AV513" s="31"/>
      <c r="AW513" s="31"/>
      <c r="AX513" s="31"/>
      <c r="AY513" s="31"/>
      <c r="AZ513" s="31"/>
      <c r="BA513" s="31"/>
      <c r="BB513" s="31"/>
      <c r="BC513" s="31"/>
      <c r="BD513" s="31"/>
      <c r="BE513" s="31"/>
      <c r="BF513" s="31"/>
      <c r="BG513" s="31"/>
      <c r="BH513" s="31"/>
      <c r="BI513" s="31"/>
      <c r="BJ513" s="31"/>
      <c r="BK513" s="31"/>
      <c r="BL513" s="31"/>
    </row>
    <row r="514" ht="15.7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31"/>
      <c r="AQ514" s="31"/>
      <c r="AR514" s="31"/>
      <c r="AS514" s="31"/>
      <c r="AT514" s="31"/>
      <c r="AU514" s="31"/>
      <c r="AV514" s="31"/>
      <c r="AW514" s="31"/>
      <c r="AX514" s="31"/>
      <c r="AY514" s="31"/>
      <c r="AZ514" s="31"/>
      <c r="BA514" s="31"/>
      <c r="BB514" s="31"/>
      <c r="BC514" s="31"/>
      <c r="BD514" s="31"/>
      <c r="BE514" s="31"/>
      <c r="BF514" s="31"/>
      <c r="BG514" s="31"/>
      <c r="BH514" s="31"/>
      <c r="BI514" s="31"/>
      <c r="BJ514" s="31"/>
      <c r="BK514" s="31"/>
      <c r="BL514" s="31"/>
    </row>
    <row r="515" ht="15.7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31"/>
      <c r="AQ515" s="31"/>
      <c r="AR515" s="31"/>
      <c r="AS515" s="31"/>
      <c r="AT515" s="31"/>
      <c r="AU515" s="31"/>
      <c r="AV515" s="31"/>
      <c r="AW515" s="31"/>
      <c r="AX515" s="31"/>
      <c r="AY515" s="31"/>
      <c r="AZ515" s="31"/>
      <c r="BA515" s="31"/>
      <c r="BB515" s="31"/>
      <c r="BC515" s="31"/>
      <c r="BD515" s="31"/>
      <c r="BE515" s="31"/>
      <c r="BF515" s="31"/>
      <c r="BG515" s="31"/>
      <c r="BH515" s="31"/>
      <c r="BI515" s="31"/>
      <c r="BJ515" s="31"/>
      <c r="BK515" s="31"/>
      <c r="BL515" s="31"/>
    </row>
    <row r="516" ht="15.7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31"/>
      <c r="AQ516" s="31"/>
      <c r="AR516" s="31"/>
      <c r="AS516" s="31"/>
      <c r="AT516" s="31"/>
      <c r="AU516" s="31"/>
      <c r="AV516" s="31"/>
      <c r="AW516" s="31"/>
      <c r="AX516" s="31"/>
      <c r="AY516" s="31"/>
      <c r="AZ516" s="31"/>
      <c r="BA516" s="31"/>
      <c r="BB516" s="31"/>
      <c r="BC516" s="31"/>
      <c r="BD516" s="31"/>
      <c r="BE516" s="31"/>
      <c r="BF516" s="31"/>
      <c r="BG516" s="31"/>
      <c r="BH516" s="31"/>
      <c r="BI516" s="31"/>
      <c r="BJ516" s="31"/>
      <c r="BK516" s="31"/>
      <c r="BL516" s="31"/>
    </row>
    <row r="517" ht="15.7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31"/>
      <c r="AQ517" s="31"/>
      <c r="AR517" s="31"/>
      <c r="AS517" s="31"/>
      <c r="AT517" s="31"/>
      <c r="AU517" s="31"/>
      <c r="AV517" s="31"/>
      <c r="AW517" s="31"/>
      <c r="AX517" s="31"/>
      <c r="AY517" s="31"/>
      <c r="AZ517" s="31"/>
      <c r="BA517" s="31"/>
      <c r="BB517" s="31"/>
      <c r="BC517" s="31"/>
      <c r="BD517" s="31"/>
      <c r="BE517" s="31"/>
      <c r="BF517" s="31"/>
      <c r="BG517" s="31"/>
      <c r="BH517" s="31"/>
      <c r="BI517" s="31"/>
      <c r="BJ517" s="31"/>
      <c r="BK517" s="31"/>
      <c r="BL517" s="31"/>
    </row>
    <row r="518" ht="15.7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31"/>
      <c r="AQ518" s="31"/>
      <c r="AR518" s="31"/>
      <c r="AS518" s="31"/>
      <c r="AT518" s="31"/>
      <c r="AU518" s="31"/>
      <c r="AV518" s="31"/>
      <c r="AW518" s="31"/>
      <c r="AX518" s="31"/>
      <c r="AY518" s="31"/>
      <c r="AZ518" s="31"/>
      <c r="BA518" s="31"/>
      <c r="BB518" s="31"/>
      <c r="BC518" s="31"/>
      <c r="BD518" s="31"/>
      <c r="BE518" s="31"/>
      <c r="BF518" s="31"/>
      <c r="BG518" s="31"/>
      <c r="BH518" s="31"/>
      <c r="BI518" s="31"/>
      <c r="BJ518" s="31"/>
      <c r="BK518" s="31"/>
      <c r="BL518" s="31"/>
    </row>
    <row r="519" ht="15.7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31"/>
      <c r="AQ519" s="31"/>
      <c r="AR519" s="31"/>
      <c r="AS519" s="31"/>
      <c r="AT519" s="31"/>
      <c r="AU519" s="31"/>
      <c r="AV519" s="31"/>
      <c r="AW519" s="31"/>
      <c r="AX519" s="31"/>
      <c r="AY519" s="31"/>
      <c r="AZ519" s="31"/>
      <c r="BA519" s="31"/>
      <c r="BB519" s="31"/>
      <c r="BC519" s="31"/>
      <c r="BD519" s="31"/>
      <c r="BE519" s="31"/>
      <c r="BF519" s="31"/>
      <c r="BG519" s="31"/>
      <c r="BH519" s="31"/>
      <c r="BI519" s="31"/>
      <c r="BJ519" s="31"/>
      <c r="BK519" s="31"/>
      <c r="BL519" s="31"/>
    </row>
    <row r="520" ht="15.7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31"/>
      <c r="AQ520" s="31"/>
      <c r="AR520" s="31"/>
      <c r="AS520" s="31"/>
      <c r="AT520" s="31"/>
      <c r="AU520" s="31"/>
      <c r="AV520" s="31"/>
      <c r="AW520" s="31"/>
      <c r="AX520" s="31"/>
      <c r="AY520" s="31"/>
      <c r="AZ520" s="31"/>
      <c r="BA520" s="31"/>
      <c r="BB520" s="31"/>
      <c r="BC520" s="31"/>
      <c r="BD520" s="31"/>
      <c r="BE520" s="31"/>
      <c r="BF520" s="31"/>
      <c r="BG520" s="31"/>
      <c r="BH520" s="31"/>
      <c r="BI520" s="31"/>
      <c r="BJ520" s="31"/>
      <c r="BK520" s="31"/>
      <c r="BL520" s="31"/>
    </row>
    <row r="521" ht="15.7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31"/>
      <c r="AQ521" s="31"/>
      <c r="AR521" s="31"/>
      <c r="AS521" s="31"/>
      <c r="AT521" s="31"/>
      <c r="AU521" s="31"/>
      <c r="AV521" s="31"/>
      <c r="AW521" s="31"/>
      <c r="AX521" s="31"/>
      <c r="AY521" s="31"/>
      <c r="AZ521" s="31"/>
      <c r="BA521" s="31"/>
      <c r="BB521" s="31"/>
      <c r="BC521" s="31"/>
      <c r="BD521" s="31"/>
      <c r="BE521" s="31"/>
      <c r="BF521" s="31"/>
      <c r="BG521" s="31"/>
      <c r="BH521" s="31"/>
      <c r="BI521" s="31"/>
      <c r="BJ521" s="31"/>
      <c r="BK521" s="31"/>
      <c r="BL521" s="31"/>
    </row>
    <row r="522" ht="15.7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31"/>
      <c r="AQ522" s="31"/>
      <c r="AR522" s="31"/>
      <c r="AS522" s="31"/>
      <c r="AT522" s="31"/>
      <c r="AU522" s="31"/>
      <c r="AV522" s="31"/>
      <c r="AW522" s="31"/>
      <c r="AX522" s="31"/>
      <c r="AY522" s="31"/>
      <c r="AZ522" s="31"/>
      <c r="BA522" s="31"/>
      <c r="BB522" s="31"/>
      <c r="BC522" s="31"/>
      <c r="BD522" s="31"/>
      <c r="BE522" s="31"/>
      <c r="BF522" s="31"/>
      <c r="BG522" s="31"/>
      <c r="BH522" s="31"/>
      <c r="BI522" s="31"/>
      <c r="BJ522" s="31"/>
      <c r="BK522" s="31"/>
      <c r="BL522" s="31"/>
    </row>
    <row r="523" ht="15.7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31"/>
      <c r="AQ523" s="31"/>
      <c r="AR523" s="31"/>
      <c r="AS523" s="31"/>
      <c r="AT523" s="31"/>
      <c r="AU523" s="31"/>
      <c r="AV523" s="31"/>
      <c r="AW523" s="31"/>
      <c r="AX523" s="31"/>
      <c r="AY523" s="31"/>
      <c r="AZ523" s="31"/>
      <c r="BA523" s="31"/>
      <c r="BB523" s="31"/>
      <c r="BC523" s="31"/>
      <c r="BD523" s="31"/>
      <c r="BE523" s="31"/>
      <c r="BF523" s="31"/>
      <c r="BG523" s="31"/>
      <c r="BH523" s="31"/>
      <c r="BI523" s="31"/>
      <c r="BJ523" s="31"/>
      <c r="BK523" s="31"/>
      <c r="BL523" s="31"/>
    </row>
    <row r="524" ht="15.7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31"/>
      <c r="AQ524" s="31"/>
      <c r="AR524" s="31"/>
      <c r="AS524" s="31"/>
      <c r="AT524" s="31"/>
      <c r="AU524" s="31"/>
      <c r="AV524" s="31"/>
      <c r="AW524" s="31"/>
      <c r="AX524" s="31"/>
      <c r="AY524" s="31"/>
      <c r="AZ524" s="31"/>
      <c r="BA524" s="31"/>
      <c r="BB524" s="31"/>
      <c r="BC524" s="31"/>
      <c r="BD524" s="31"/>
      <c r="BE524" s="31"/>
      <c r="BF524" s="31"/>
      <c r="BG524" s="31"/>
      <c r="BH524" s="31"/>
      <c r="BI524" s="31"/>
      <c r="BJ524" s="31"/>
      <c r="BK524" s="31"/>
      <c r="BL524" s="31"/>
    </row>
    <row r="525" ht="15.7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31"/>
      <c r="AQ525" s="31"/>
      <c r="AR525" s="31"/>
      <c r="AS525" s="31"/>
      <c r="AT525" s="31"/>
      <c r="AU525" s="31"/>
      <c r="AV525" s="31"/>
      <c r="AW525" s="31"/>
      <c r="AX525" s="31"/>
      <c r="AY525" s="31"/>
      <c r="AZ525" s="31"/>
      <c r="BA525" s="31"/>
      <c r="BB525" s="31"/>
      <c r="BC525" s="31"/>
      <c r="BD525" s="31"/>
      <c r="BE525" s="31"/>
      <c r="BF525" s="31"/>
      <c r="BG525" s="31"/>
      <c r="BH525" s="31"/>
      <c r="BI525" s="31"/>
      <c r="BJ525" s="31"/>
      <c r="BK525" s="31"/>
      <c r="BL525" s="31"/>
    </row>
    <row r="526" ht="15.7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31"/>
      <c r="AQ526" s="31"/>
      <c r="AR526" s="31"/>
      <c r="AS526" s="31"/>
      <c r="AT526" s="31"/>
      <c r="AU526" s="31"/>
      <c r="AV526" s="31"/>
      <c r="AW526" s="31"/>
      <c r="AX526" s="31"/>
      <c r="AY526" s="31"/>
      <c r="AZ526" s="31"/>
      <c r="BA526" s="31"/>
      <c r="BB526" s="31"/>
      <c r="BC526" s="31"/>
      <c r="BD526" s="31"/>
      <c r="BE526" s="31"/>
      <c r="BF526" s="31"/>
      <c r="BG526" s="31"/>
      <c r="BH526" s="31"/>
      <c r="BI526" s="31"/>
      <c r="BJ526" s="31"/>
      <c r="BK526" s="31"/>
      <c r="BL526" s="31"/>
    </row>
    <row r="527" ht="15.7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31"/>
      <c r="AQ527" s="31"/>
      <c r="AR527" s="31"/>
      <c r="AS527" s="31"/>
      <c r="AT527" s="31"/>
      <c r="AU527" s="31"/>
      <c r="AV527" s="31"/>
      <c r="AW527" s="31"/>
      <c r="AX527" s="31"/>
      <c r="AY527" s="31"/>
      <c r="AZ527" s="31"/>
      <c r="BA527" s="31"/>
      <c r="BB527" s="31"/>
      <c r="BC527" s="31"/>
      <c r="BD527" s="31"/>
      <c r="BE527" s="31"/>
      <c r="BF527" s="31"/>
      <c r="BG527" s="31"/>
      <c r="BH527" s="31"/>
      <c r="BI527" s="31"/>
      <c r="BJ527" s="31"/>
      <c r="BK527" s="31"/>
      <c r="BL527" s="31"/>
    </row>
    <row r="528" ht="15.7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31"/>
      <c r="AQ528" s="31"/>
      <c r="AR528" s="31"/>
      <c r="AS528" s="31"/>
      <c r="AT528" s="31"/>
      <c r="AU528" s="31"/>
      <c r="AV528" s="31"/>
      <c r="AW528" s="31"/>
      <c r="AX528" s="31"/>
      <c r="AY528" s="31"/>
      <c r="AZ528" s="31"/>
      <c r="BA528" s="31"/>
      <c r="BB528" s="31"/>
      <c r="BC528" s="31"/>
      <c r="BD528" s="31"/>
      <c r="BE528" s="31"/>
      <c r="BF528" s="31"/>
      <c r="BG528" s="31"/>
      <c r="BH528" s="31"/>
      <c r="BI528" s="31"/>
      <c r="BJ528" s="31"/>
      <c r="BK528" s="31"/>
      <c r="BL528" s="31"/>
    </row>
    <row r="529" ht="15.7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31"/>
      <c r="AQ529" s="31"/>
      <c r="AR529" s="31"/>
      <c r="AS529" s="31"/>
      <c r="AT529" s="31"/>
      <c r="AU529" s="31"/>
      <c r="AV529" s="31"/>
      <c r="AW529" s="31"/>
      <c r="AX529" s="31"/>
      <c r="AY529" s="31"/>
      <c r="AZ529" s="31"/>
      <c r="BA529" s="31"/>
      <c r="BB529" s="31"/>
      <c r="BC529" s="31"/>
      <c r="BD529" s="31"/>
      <c r="BE529" s="31"/>
      <c r="BF529" s="31"/>
      <c r="BG529" s="31"/>
      <c r="BH529" s="31"/>
      <c r="BI529" s="31"/>
      <c r="BJ529" s="31"/>
      <c r="BK529" s="31"/>
      <c r="BL529" s="31"/>
    </row>
    <row r="530" ht="15.7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31"/>
      <c r="AQ530" s="31"/>
      <c r="AR530" s="31"/>
      <c r="AS530" s="31"/>
      <c r="AT530" s="31"/>
      <c r="AU530" s="31"/>
      <c r="AV530" s="31"/>
      <c r="AW530" s="31"/>
      <c r="AX530" s="31"/>
      <c r="AY530" s="31"/>
      <c r="AZ530" s="31"/>
      <c r="BA530" s="31"/>
      <c r="BB530" s="31"/>
      <c r="BC530" s="31"/>
      <c r="BD530" s="31"/>
      <c r="BE530" s="31"/>
      <c r="BF530" s="31"/>
      <c r="BG530" s="31"/>
      <c r="BH530" s="31"/>
      <c r="BI530" s="31"/>
      <c r="BJ530" s="31"/>
      <c r="BK530" s="31"/>
      <c r="BL530" s="31"/>
    </row>
    <row r="531" ht="15.7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31"/>
      <c r="AQ531" s="31"/>
      <c r="AR531" s="31"/>
      <c r="AS531" s="31"/>
      <c r="AT531" s="31"/>
      <c r="AU531" s="31"/>
      <c r="AV531" s="31"/>
      <c r="AW531" s="31"/>
      <c r="AX531" s="31"/>
      <c r="AY531" s="31"/>
      <c r="AZ531" s="31"/>
      <c r="BA531" s="31"/>
      <c r="BB531" s="31"/>
      <c r="BC531" s="31"/>
      <c r="BD531" s="31"/>
      <c r="BE531" s="31"/>
      <c r="BF531" s="31"/>
      <c r="BG531" s="31"/>
      <c r="BH531" s="31"/>
      <c r="BI531" s="31"/>
      <c r="BJ531" s="31"/>
      <c r="BK531" s="31"/>
      <c r="BL531" s="31"/>
    </row>
    <row r="532" ht="15.7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31"/>
      <c r="AQ532" s="31"/>
      <c r="AR532" s="31"/>
      <c r="AS532" s="31"/>
      <c r="AT532" s="31"/>
      <c r="AU532" s="31"/>
      <c r="AV532" s="31"/>
      <c r="AW532" s="31"/>
      <c r="AX532" s="31"/>
      <c r="AY532" s="31"/>
      <c r="AZ532" s="31"/>
      <c r="BA532" s="31"/>
      <c r="BB532" s="31"/>
      <c r="BC532" s="31"/>
      <c r="BD532" s="31"/>
      <c r="BE532" s="31"/>
      <c r="BF532" s="31"/>
      <c r="BG532" s="31"/>
      <c r="BH532" s="31"/>
      <c r="BI532" s="31"/>
      <c r="BJ532" s="31"/>
      <c r="BK532" s="31"/>
      <c r="BL532" s="31"/>
    </row>
    <row r="533" ht="15.7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31"/>
      <c r="AQ533" s="31"/>
      <c r="AR533" s="31"/>
      <c r="AS533" s="31"/>
      <c r="AT533" s="31"/>
      <c r="AU533" s="31"/>
      <c r="AV533" s="31"/>
      <c r="AW533" s="31"/>
      <c r="AX533" s="31"/>
      <c r="AY533" s="31"/>
      <c r="AZ533" s="31"/>
      <c r="BA533" s="31"/>
      <c r="BB533" s="31"/>
      <c r="BC533" s="31"/>
      <c r="BD533" s="31"/>
      <c r="BE533" s="31"/>
      <c r="BF533" s="31"/>
      <c r="BG533" s="31"/>
      <c r="BH533" s="31"/>
      <c r="BI533" s="31"/>
      <c r="BJ533" s="31"/>
      <c r="BK533" s="31"/>
      <c r="BL533" s="31"/>
    </row>
    <row r="534" ht="15.7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31"/>
      <c r="AQ534" s="31"/>
      <c r="AR534" s="31"/>
      <c r="AS534" s="31"/>
      <c r="AT534" s="31"/>
      <c r="AU534" s="31"/>
      <c r="AV534" s="31"/>
      <c r="AW534" s="31"/>
      <c r="AX534" s="31"/>
      <c r="AY534" s="31"/>
      <c r="AZ534" s="31"/>
      <c r="BA534" s="31"/>
      <c r="BB534" s="31"/>
      <c r="BC534" s="31"/>
      <c r="BD534" s="31"/>
      <c r="BE534" s="31"/>
      <c r="BF534" s="31"/>
      <c r="BG534" s="31"/>
      <c r="BH534" s="31"/>
      <c r="BI534" s="31"/>
      <c r="BJ534" s="31"/>
      <c r="BK534" s="31"/>
      <c r="BL534" s="31"/>
    </row>
    <row r="535" ht="15.7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31"/>
      <c r="AQ535" s="31"/>
      <c r="AR535" s="31"/>
      <c r="AS535" s="31"/>
      <c r="AT535" s="31"/>
      <c r="AU535" s="31"/>
      <c r="AV535" s="31"/>
      <c r="AW535" s="31"/>
      <c r="AX535" s="31"/>
      <c r="AY535" s="31"/>
      <c r="AZ535" s="31"/>
      <c r="BA535" s="31"/>
      <c r="BB535" s="31"/>
      <c r="BC535" s="31"/>
      <c r="BD535" s="31"/>
      <c r="BE535" s="31"/>
      <c r="BF535" s="31"/>
      <c r="BG535" s="31"/>
      <c r="BH535" s="31"/>
      <c r="BI535" s="31"/>
      <c r="BJ535" s="31"/>
      <c r="BK535" s="31"/>
      <c r="BL535" s="31"/>
    </row>
    <row r="536" ht="15.7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31"/>
      <c r="AQ536" s="31"/>
      <c r="AR536" s="31"/>
      <c r="AS536" s="31"/>
      <c r="AT536" s="31"/>
      <c r="AU536" s="31"/>
      <c r="AV536" s="31"/>
      <c r="AW536" s="31"/>
      <c r="AX536" s="31"/>
      <c r="AY536" s="31"/>
      <c r="AZ536" s="31"/>
      <c r="BA536" s="31"/>
      <c r="BB536" s="31"/>
      <c r="BC536" s="31"/>
      <c r="BD536" s="31"/>
      <c r="BE536" s="31"/>
      <c r="BF536" s="31"/>
      <c r="BG536" s="31"/>
      <c r="BH536" s="31"/>
      <c r="BI536" s="31"/>
      <c r="BJ536" s="31"/>
      <c r="BK536" s="31"/>
      <c r="BL536" s="31"/>
    </row>
    <row r="537" ht="15.7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31"/>
      <c r="AQ537" s="31"/>
      <c r="AR537" s="31"/>
      <c r="AS537" s="31"/>
      <c r="AT537" s="31"/>
      <c r="AU537" s="31"/>
      <c r="AV537" s="31"/>
      <c r="AW537" s="31"/>
      <c r="AX537" s="31"/>
      <c r="AY537" s="31"/>
      <c r="AZ537" s="31"/>
      <c r="BA537" s="31"/>
      <c r="BB537" s="31"/>
      <c r="BC537" s="31"/>
      <c r="BD537" s="31"/>
      <c r="BE537" s="31"/>
      <c r="BF537" s="31"/>
      <c r="BG537" s="31"/>
      <c r="BH537" s="31"/>
      <c r="BI537" s="31"/>
      <c r="BJ537" s="31"/>
      <c r="BK537" s="31"/>
      <c r="BL537" s="31"/>
    </row>
    <row r="538" ht="15.7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31"/>
      <c r="AQ538" s="31"/>
      <c r="AR538" s="31"/>
      <c r="AS538" s="31"/>
      <c r="AT538" s="31"/>
      <c r="AU538" s="31"/>
      <c r="AV538" s="31"/>
      <c r="AW538" s="31"/>
      <c r="AX538" s="31"/>
      <c r="AY538" s="31"/>
      <c r="AZ538" s="31"/>
      <c r="BA538" s="31"/>
      <c r="BB538" s="31"/>
      <c r="BC538" s="31"/>
      <c r="BD538" s="31"/>
      <c r="BE538" s="31"/>
      <c r="BF538" s="31"/>
      <c r="BG538" s="31"/>
      <c r="BH538" s="31"/>
      <c r="BI538" s="31"/>
      <c r="BJ538" s="31"/>
      <c r="BK538" s="31"/>
      <c r="BL538" s="31"/>
    </row>
    <row r="539" ht="15.7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31"/>
      <c r="AQ539" s="31"/>
      <c r="AR539" s="31"/>
      <c r="AS539" s="31"/>
      <c r="AT539" s="31"/>
      <c r="AU539" s="31"/>
      <c r="AV539" s="31"/>
      <c r="AW539" s="31"/>
      <c r="AX539" s="31"/>
      <c r="AY539" s="31"/>
      <c r="AZ539" s="31"/>
      <c r="BA539" s="31"/>
      <c r="BB539" s="31"/>
      <c r="BC539" s="31"/>
      <c r="BD539" s="31"/>
      <c r="BE539" s="31"/>
      <c r="BF539" s="31"/>
      <c r="BG539" s="31"/>
      <c r="BH539" s="31"/>
      <c r="BI539" s="31"/>
      <c r="BJ539" s="31"/>
      <c r="BK539" s="31"/>
      <c r="BL539" s="31"/>
    </row>
    <row r="540" ht="15.7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31"/>
      <c r="AQ540" s="31"/>
      <c r="AR540" s="31"/>
      <c r="AS540" s="31"/>
      <c r="AT540" s="31"/>
      <c r="AU540" s="31"/>
      <c r="AV540" s="31"/>
      <c r="AW540" s="31"/>
      <c r="AX540" s="31"/>
      <c r="AY540" s="31"/>
      <c r="AZ540" s="31"/>
      <c r="BA540" s="31"/>
      <c r="BB540" s="31"/>
      <c r="BC540" s="31"/>
      <c r="BD540" s="31"/>
      <c r="BE540" s="31"/>
      <c r="BF540" s="31"/>
      <c r="BG540" s="31"/>
      <c r="BH540" s="31"/>
      <c r="BI540" s="31"/>
      <c r="BJ540" s="31"/>
      <c r="BK540" s="31"/>
      <c r="BL540" s="31"/>
    </row>
    <row r="541" ht="15.7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31"/>
      <c r="AQ541" s="31"/>
      <c r="AR541" s="31"/>
      <c r="AS541" s="31"/>
      <c r="AT541" s="31"/>
      <c r="AU541" s="31"/>
      <c r="AV541" s="31"/>
      <c r="AW541" s="31"/>
      <c r="AX541" s="31"/>
      <c r="AY541" s="31"/>
      <c r="AZ541" s="31"/>
      <c r="BA541" s="31"/>
      <c r="BB541" s="31"/>
      <c r="BC541" s="31"/>
      <c r="BD541" s="31"/>
      <c r="BE541" s="31"/>
      <c r="BF541" s="31"/>
      <c r="BG541" s="31"/>
      <c r="BH541" s="31"/>
      <c r="BI541" s="31"/>
      <c r="BJ541" s="31"/>
      <c r="BK541" s="31"/>
      <c r="BL541" s="31"/>
    </row>
    <row r="542" ht="15.7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31"/>
      <c r="AQ542" s="31"/>
      <c r="AR542" s="31"/>
      <c r="AS542" s="31"/>
      <c r="AT542" s="31"/>
      <c r="AU542" s="31"/>
      <c r="AV542" s="31"/>
      <c r="AW542" s="31"/>
      <c r="AX542" s="31"/>
      <c r="AY542" s="31"/>
      <c r="AZ542" s="31"/>
      <c r="BA542" s="31"/>
      <c r="BB542" s="31"/>
      <c r="BC542" s="31"/>
      <c r="BD542" s="31"/>
      <c r="BE542" s="31"/>
      <c r="BF542" s="31"/>
      <c r="BG542" s="31"/>
      <c r="BH542" s="31"/>
      <c r="BI542" s="31"/>
      <c r="BJ542" s="31"/>
      <c r="BK542" s="31"/>
      <c r="BL542" s="31"/>
    </row>
    <row r="543" ht="15.7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31"/>
      <c r="AQ543" s="31"/>
      <c r="AR543" s="31"/>
      <c r="AS543" s="31"/>
      <c r="AT543" s="31"/>
      <c r="AU543" s="31"/>
      <c r="AV543" s="31"/>
      <c r="AW543" s="31"/>
      <c r="AX543" s="31"/>
      <c r="AY543" s="31"/>
      <c r="AZ543" s="31"/>
      <c r="BA543" s="31"/>
      <c r="BB543" s="31"/>
      <c r="BC543" s="31"/>
      <c r="BD543" s="31"/>
      <c r="BE543" s="31"/>
      <c r="BF543" s="31"/>
      <c r="BG543" s="31"/>
      <c r="BH543" s="31"/>
      <c r="BI543" s="31"/>
      <c r="BJ543" s="31"/>
      <c r="BK543" s="31"/>
      <c r="BL543" s="31"/>
    </row>
    <row r="544" ht="15.7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31"/>
      <c r="AQ544" s="31"/>
      <c r="AR544" s="31"/>
      <c r="AS544" s="31"/>
      <c r="AT544" s="31"/>
      <c r="AU544" s="31"/>
      <c r="AV544" s="31"/>
      <c r="AW544" s="31"/>
      <c r="AX544" s="31"/>
      <c r="AY544" s="31"/>
      <c r="AZ544" s="31"/>
      <c r="BA544" s="31"/>
      <c r="BB544" s="31"/>
      <c r="BC544" s="31"/>
      <c r="BD544" s="31"/>
      <c r="BE544" s="31"/>
      <c r="BF544" s="31"/>
      <c r="BG544" s="31"/>
      <c r="BH544" s="31"/>
      <c r="BI544" s="31"/>
      <c r="BJ544" s="31"/>
      <c r="BK544" s="31"/>
      <c r="BL544" s="31"/>
    </row>
    <row r="545" ht="15.7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31"/>
      <c r="AQ545" s="31"/>
      <c r="AR545" s="31"/>
      <c r="AS545" s="31"/>
      <c r="AT545" s="31"/>
      <c r="AU545" s="31"/>
      <c r="AV545" s="31"/>
      <c r="AW545" s="31"/>
      <c r="AX545" s="31"/>
      <c r="AY545" s="31"/>
      <c r="AZ545" s="31"/>
      <c r="BA545" s="31"/>
      <c r="BB545" s="31"/>
      <c r="BC545" s="31"/>
      <c r="BD545" s="31"/>
      <c r="BE545" s="31"/>
      <c r="BF545" s="31"/>
      <c r="BG545" s="31"/>
      <c r="BH545" s="31"/>
      <c r="BI545" s="31"/>
      <c r="BJ545" s="31"/>
      <c r="BK545" s="31"/>
      <c r="BL545" s="31"/>
    </row>
    <row r="546" ht="15.7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31"/>
      <c r="AQ546" s="31"/>
      <c r="AR546" s="31"/>
      <c r="AS546" s="31"/>
      <c r="AT546" s="31"/>
      <c r="AU546" s="31"/>
      <c r="AV546" s="31"/>
      <c r="AW546" s="31"/>
      <c r="AX546" s="31"/>
      <c r="AY546" s="31"/>
      <c r="AZ546" s="31"/>
      <c r="BA546" s="31"/>
      <c r="BB546" s="31"/>
      <c r="BC546" s="31"/>
      <c r="BD546" s="31"/>
      <c r="BE546" s="31"/>
      <c r="BF546" s="31"/>
      <c r="BG546" s="31"/>
      <c r="BH546" s="31"/>
      <c r="BI546" s="31"/>
      <c r="BJ546" s="31"/>
      <c r="BK546" s="31"/>
      <c r="BL546" s="31"/>
    </row>
    <row r="547" ht="15.7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31"/>
      <c r="AQ547" s="31"/>
      <c r="AR547" s="31"/>
      <c r="AS547" s="31"/>
      <c r="AT547" s="31"/>
      <c r="AU547" s="31"/>
      <c r="AV547" s="31"/>
      <c r="AW547" s="31"/>
      <c r="AX547" s="31"/>
      <c r="AY547" s="31"/>
      <c r="AZ547" s="31"/>
      <c r="BA547" s="31"/>
      <c r="BB547" s="31"/>
      <c r="BC547" s="31"/>
      <c r="BD547" s="31"/>
      <c r="BE547" s="31"/>
      <c r="BF547" s="31"/>
      <c r="BG547" s="31"/>
      <c r="BH547" s="31"/>
      <c r="BI547" s="31"/>
      <c r="BJ547" s="31"/>
      <c r="BK547" s="31"/>
      <c r="BL547" s="31"/>
    </row>
    <row r="548" ht="15.7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31"/>
      <c r="AQ548" s="31"/>
      <c r="AR548" s="31"/>
      <c r="AS548" s="31"/>
      <c r="AT548" s="31"/>
      <c r="AU548" s="31"/>
      <c r="AV548" s="31"/>
      <c r="AW548" s="31"/>
      <c r="AX548" s="31"/>
      <c r="AY548" s="31"/>
      <c r="AZ548" s="31"/>
      <c r="BA548" s="31"/>
      <c r="BB548" s="31"/>
      <c r="BC548" s="31"/>
      <c r="BD548" s="31"/>
      <c r="BE548" s="31"/>
      <c r="BF548" s="31"/>
      <c r="BG548" s="31"/>
      <c r="BH548" s="31"/>
      <c r="BI548" s="31"/>
      <c r="BJ548" s="31"/>
      <c r="BK548" s="31"/>
      <c r="BL548" s="31"/>
    </row>
    <row r="549" ht="15.7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31"/>
      <c r="AQ549" s="31"/>
      <c r="AR549" s="31"/>
      <c r="AS549" s="31"/>
      <c r="AT549" s="31"/>
      <c r="AU549" s="31"/>
      <c r="AV549" s="31"/>
      <c r="AW549" s="31"/>
      <c r="AX549" s="31"/>
      <c r="AY549" s="31"/>
      <c r="AZ549" s="31"/>
      <c r="BA549" s="31"/>
      <c r="BB549" s="31"/>
      <c r="BC549" s="31"/>
      <c r="BD549" s="31"/>
      <c r="BE549" s="31"/>
      <c r="BF549" s="31"/>
      <c r="BG549" s="31"/>
      <c r="BH549" s="31"/>
      <c r="BI549" s="31"/>
      <c r="BJ549" s="31"/>
      <c r="BK549" s="31"/>
      <c r="BL549" s="31"/>
    </row>
    <row r="550" ht="15.7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31"/>
      <c r="AQ550" s="31"/>
      <c r="AR550" s="31"/>
      <c r="AS550" s="31"/>
      <c r="AT550" s="31"/>
      <c r="AU550" s="31"/>
      <c r="AV550" s="31"/>
      <c r="AW550" s="31"/>
      <c r="AX550" s="31"/>
      <c r="AY550" s="31"/>
      <c r="AZ550" s="31"/>
      <c r="BA550" s="31"/>
      <c r="BB550" s="31"/>
      <c r="BC550" s="31"/>
      <c r="BD550" s="31"/>
      <c r="BE550" s="31"/>
      <c r="BF550" s="31"/>
      <c r="BG550" s="31"/>
      <c r="BH550" s="31"/>
      <c r="BI550" s="31"/>
      <c r="BJ550" s="31"/>
      <c r="BK550" s="31"/>
      <c r="BL550" s="31"/>
    </row>
    <row r="551" ht="15.7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31"/>
      <c r="AQ551" s="31"/>
      <c r="AR551" s="31"/>
      <c r="AS551" s="31"/>
      <c r="AT551" s="31"/>
      <c r="AU551" s="31"/>
      <c r="AV551" s="31"/>
      <c r="AW551" s="31"/>
      <c r="AX551" s="31"/>
      <c r="AY551" s="31"/>
      <c r="AZ551" s="31"/>
      <c r="BA551" s="31"/>
      <c r="BB551" s="31"/>
      <c r="BC551" s="31"/>
      <c r="BD551" s="31"/>
      <c r="BE551" s="31"/>
      <c r="BF551" s="31"/>
      <c r="BG551" s="31"/>
      <c r="BH551" s="31"/>
      <c r="BI551" s="31"/>
      <c r="BJ551" s="31"/>
      <c r="BK551" s="31"/>
      <c r="BL551" s="31"/>
    </row>
    <row r="552" ht="15.7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31"/>
      <c r="AQ552" s="31"/>
      <c r="AR552" s="31"/>
      <c r="AS552" s="31"/>
      <c r="AT552" s="31"/>
      <c r="AU552" s="31"/>
      <c r="AV552" s="31"/>
      <c r="AW552" s="31"/>
      <c r="AX552" s="31"/>
      <c r="AY552" s="31"/>
      <c r="AZ552" s="31"/>
      <c r="BA552" s="31"/>
      <c r="BB552" s="31"/>
      <c r="BC552" s="31"/>
      <c r="BD552" s="31"/>
      <c r="BE552" s="31"/>
      <c r="BF552" s="31"/>
      <c r="BG552" s="31"/>
      <c r="BH552" s="31"/>
      <c r="BI552" s="31"/>
      <c r="BJ552" s="31"/>
      <c r="BK552" s="31"/>
      <c r="BL552" s="31"/>
    </row>
    <row r="553" ht="15.7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31"/>
      <c r="AQ553" s="31"/>
      <c r="AR553" s="31"/>
      <c r="AS553" s="31"/>
      <c r="AT553" s="31"/>
      <c r="AU553" s="31"/>
      <c r="AV553" s="31"/>
      <c r="AW553" s="31"/>
      <c r="AX553" s="31"/>
      <c r="AY553" s="31"/>
      <c r="AZ553" s="31"/>
      <c r="BA553" s="31"/>
      <c r="BB553" s="31"/>
      <c r="BC553" s="31"/>
      <c r="BD553" s="31"/>
      <c r="BE553" s="31"/>
      <c r="BF553" s="31"/>
      <c r="BG553" s="31"/>
      <c r="BH553" s="31"/>
      <c r="BI553" s="31"/>
      <c r="BJ553" s="31"/>
      <c r="BK553" s="31"/>
      <c r="BL553" s="31"/>
    </row>
    <row r="554" ht="15.7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31"/>
      <c r="AQ554" s="31"/>
      <c r="AR554" s="31"/>
      <c r="AS554" s="31"/>
      <c r="AT554" s="31"/>
      <c r="AU554" s="31"/>
      <c r="AV554" s="31"/>
      <c r="AW554" s="31"/>
      <c r="AX554" s="31"/>
      <c r="AY554" s="31"/>
      <c r="AZ554" s="31"/>
      <c r="BA554" s="31"/>
      <c r="BB554" s="31"/>
      <c r="BC554" s="31"/>
      <c r="BD554" s="31"/>
      <c r="BE554" s="31"/>
      <c r="BF554" s="31"/>
      <c r="BG554" s="31"/>
      <c r="BH554" s="31"/>
      <c r="BI554" s="31"/>
      <c r="BJ554" s="31"/>
      <c r="BK554" s="31"/>
      <c r="BL554" s="31"/>
    </row>
    <row r="555" ht="15.7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31"/>
      <c r="AQ555" s="31"/>
      <c r="AR555" s="31"/>
      <c r="AS555" s="31"/>
      <c r="AT555" s="31"/>
      <c r="AU555" s="31"/>
      <c r="AV555" s="31"/>
      <c r="AW555" s="31"/>
      <c r="AX555" s="31"/>
      <c r="AY555" s="31"/>
      <c r="AZ555" s="31"/>
      <c r="BA555" s="31"/>
      <c r="BB555" s="31"/>
      <c r="BC555" s="31"/>
      <c r="BD555" s="31"/>
      <c r="BE555" s="31"/>
      <c r="BF555" s="31"/>
      <c r="BG555" s="31"/>
      <c r="BH555" s="31"/>
      <c r="BI555" s="31"/>
      <c r="BJ555" s="31"/>
      <c r="BK555" s="31"/>
      <c r="BL555" s="31"/>
    </row>
    <row r="556" ht="15.7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31"/>
      <c r="AQ556" s="31"/>
      <c r="AR556" s="31"/>
      <c r="AS556" s="31"/>
      <c r="AT556" s="31"/>
      <c r="AU556" s="31"/>
      <c r="AV556" s="31"/>
      <c r="AW556" s="31"/>
      <c r="AX556" s="31"/>
      <c r="AY556" s="31"/>
      <c r="AZ556" s="31"/>
      <c r="BA556" s="31"/>
      <c r="BB556" s="31"/>
      <c r="BC556" s="31"/>
      <c r="BD556" s="31"/>
      <c r="BE556" s="31"/>
      <c r="BF556" s="31"/>
      <c r="BG556" s="31"/>
      <c r="BH556" s="31"/>
      <c r="BI556" s="31"/>
      <c r="BJ556" s="31"/>
      <c r="BK556" s="31"/>
      <c r="BL556" s="31"/>
    </row>
    <row r="557" ht="15.7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31"/>
      <c r="AQ557" s="31"/>
      <c r="AR557" s="31"/>
      <c r="AS557" s="31"/>
      <c r="AT557" s="31"/>
      <c r="AU557" s="31"/>
      <c r="AV557" s="31"/>
      <c r="AW557" s="31"/>
      <c r="AX557" s="31"/>
      <c r="AY557" s="31"/>
      <c r="AZ557" s="31"/>
      <c r="BA557" s="31"/>
      <c r="BB557" s="31"/>
      <c r="BC557" s="31"/>
      <c r="BD557" s="31"/>
      <c r="BE557" s="31"/>
      <c r="BF557" s="31"/>
      <c r="BG557" s="31"/>
      <c r="BH557" s="31"/>
      <c r="BI557" s="31"/>
      <c r="BJ557" s="31"/>
      <c r="BK557" s="31"/>
      <c r="BL557" s="31"/>
    </row>
    <row r="558" ht="15.7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31"/>
      <c r="AQ558" s="31"/>
      <c r="AR558" s="31"/>
      <c r="AS558" s="31"/>
      <c r="AT558" s="31"/>
      <c r="AU558" s="31"/>
      <c r="AV558" s="31"/>
      <c r="AW558" s="31"/>
      <c r="AX558" s="31"/>
      <c r="AY558" s="31"/>
      <c r="AZ558" s="31"/>
      <c r="BA558" s="31"/>
      <c r="BB558" s="31"/>
      <c r="BC558" s="31"/>
      <c r="BD558" s="31"/>
      <c r="BE558" s="31"/>
      <c r="BF558" s="31"/>
      <c r="BG558" s="31"/>
      <c r="BH558" s="31"/>
      <c r="BI558" s="31"/>
      <c r="BJ558" s="31"/>
      <c r="BK558" s="31"/>
      <c r="BL558" s="31"/>
    </row>
    <row r="559" ht="15.7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31"/>
      <c r="AQ559" s="31"/>
      <c r="AR559" s="31"/>
      <c r="AS559" s="31"/>
      <c r="AT559" s="31"/>
      <c r="AU559" s="31"/>
      <c r="AV559" s="31"/>
      <c r="AW559" s="31"/>
      <c r="AX559" s="31"/>
      <c r="AY559" s="31"/>
      <c r="AZ559" s="31"/>
      <c r="BA559" s="31"/>
      <c r="BB559" s="31"/>
      <c r="BC559" s="31"/>
      <c r="BD559" s="31"/>
      <c r="BE559" s="31"/>
      <c r="BF559" s="31"/>
      <c r="BG559" s="31"/>
      <c r="BH559" s="31"/>
      <c r="BI559" s="31"/>
      <c r="BJ559" s="31"/>
      <c r="BK559" s="31"/>
      <c r="BL559" s="31"/>
    </row>
    <row r="560" ht="15.7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31"/>
      <c r="AQ560" s="31"/>
      <c r="AR560" s="31"/>
      <c r="AS560" s="31"/>
      <c r="AT560" s="31"/>
      <c r="AU560" s="31"/>
      <c r="AV560" s="31"/>
      <c r="AW560" s="31"/>
      <c r="AX560" s="31"/>
      <c r="AY560" s="31"/>
      <c r="AZ560" s="31"/>
      <c r="BA560" s="31"/>
      <c r="BB560" s="31"/>
      <c r="BC560" s="31"/>
      <c r="BD560" s="31"/>
      <c r="BE560" s="31"/>
      <c r="BF560" s="31"/>
      <c r="BG560" s="31"/>
      <c r="BH560" s="31"/>
      <c r="BI560" s="31"/>
      <c r="BJ560" s="31"/>
      <c r="BK560" s="31"/>
      <c r="BL560" s="31"/>
    </row>
    <row r="561" ht="15.7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31"/>
      <c r="AQ561" s="31"/>
      <c r="AR561" s="31"/>
      <c r="AS561" s="31"/>
      <c r="AT561" s="31"/>
      <c r="AU561" s="31"/>
      <c r="AV561" s="31"/>
      <c r="AW561" s="31"/>
      <c r="AX561" s="31"/>
      <c r="AY561" s="31"/>
      <c r="AZ561" s="31"/>
      <c r="BA561" s="31"/>
      <c r="BB561" s="31"/>
      <c r="BC561" s="31"/>
      <c r="BD561" s="31"/>
      <c r="BE561" s="31"/>
      <c r="BF561" s="31"/>
      <c r="BG561" s="31"/>
      <c r="BH561" s="31"/>
      <c r="BI561" s="31"/>
      <c r="BJ561" s="31"/>
      <c r="BK561" s="31"/>
      <c r="BL561" s="31"/>
    </row>
    <row r="562" ht="15.7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31"/>
      <c r="AQ562" s="31"/>
      <c r="AR562" s="31"/>
      <c r="AS562" s="31"/>
      <c r="AT562" s="31"/>
      <c r="AU562" s="31"/>
      <c r="AV562" s="31"/>
      <c r="AW562" s="31"/>
      <c r="AX562" s="31"/>
      <c r="AY562" s="31"/>
      <c r="AZ562" s="31"/>
      <c r="BA562" s="31"/>
      <c r="BB562" s="31"/>
      <c r="BC562" s="31"/>
      <c r="BD562" s="31"/>
      <c r="BE562" s="31"/>
      <c r="BF562" s="31"/>
      <c r="BG562" s="31"/>
      <c r="BH562" s="31"/>
      <c r="BI562" s="31"/>
      <c r="BJ562" s="31"/>
      <c r="BK562" s="31"/>
      <c r="BL562" s="31"/>
    </row>
    <row r="563" ht="15.7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31"/>
      <c r="AQ563" s="31"/>
      <c r="AR563" s="31"/>
      <c r="AS563" s="31"/>
      <c r="AT563" s="31"/>
      <c r="AU563" s="31"/>
      <c r="AV563" s="31"/>
      <c r="AW563" s="31"/>
      <c r="AX563" s="31"/>
      <c r="AY563" s="31"/>
      <c r="AZ563" s="31"/>
      <c r="BA563" s="31"/>
      <c r="BB563" s="31"/>
      <c r="BC563" s="31"/>
      <c r="BD563" s="31"/>
      <c r="BE563" s="31"/>
      <c r="BF563" s="31"/>
      <c r="BG563" s="31"/>
      <c r="BH563" s="31"/>
      <c r="BI563" s="31"/>
      <c r="BJ563" s="31"/>
      <c r="BK563" s="31"/>
      <c r="BL563" s="31"/>
    </row>
    <row r="564" ht="15.7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31"/>
      <c r="AQ564" s="31"/>
      <c r="AR564" s="31"/>
      <c r="AS564" s="31"/>
      <c r="AT564" s="31"/>
      <c r="AU564" s="31"/>
      <c r="AV564" s="31"/>
      <c r="AW564" s="31"/>
      <c r="AX564" s="31"/>
      <c r="AY564" s="31"/>
      <c r="AZ564" s="31"/>
      <c r="BA564" s="31"/>
      <c r="BB564" s="31"/>
      <c r="BC564" s="31"/>
      <c r="BD564" s="31"/>
      <c r="BE564" s="31"/>
      <c r="BF564" s="31"/>
      <c r="BG564" s="31"/>
      <c r="BH564" s="31"/>
      <c r="BI564" s="31"/>
      <c r="BJ564" s="31"/>
      <c r="BK564" s="31"/>
      <c r="BL564" s="31"/>
    </row>
    <row r="565" ht="15.7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31"/>
      <c r="AQ565" s="31"/>
      <c r="AR565" s="31"/>
      <c r="AS565" s="31"/>
      <c r="AT565" s="31"/>
      <c r="AU565" s="31"/>
      <c r="AV565" s="31"/>
      <c r="AW565" s="31"/>
      <c r="AX565" s="31"/>
      <c r="AY565" s="31"/>
      <c r="AZ565" s="31"/>
      <c r="BA565" s="31"/>
      <c r="BB565" s="31"/>
      <c r="BC565" s="31"/>
      <c r="BD565" s="31"/>
      <c r="BE565" s="31"/>
      <c r="BF565" s="31"/>
      <c r="BG565" s="31"/>
      <c r="BH565" s="31"/>
      <c r="BI565" s="31"/>
      <c r="BJ565" s="31"/>
      <c r="BK565" s="31"/>
      <c r="BL565" s="31"/>
    </row>
    <row r="566" ht="15.7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31"/>
      <c r="AQ566" s="31"/>
      <c r="AR566" s="31"/>
      <c r="AS566" s="31"/>
      <c r="AT566" s="31"/>
      <c r="AU566" s="31"/>
      <c r="AV566" s="31"/>
      <c r="AW566" s="31"/>
      <c r="AX566" s="31"/>
      <c r="AY566" s="31"/>
      <c r="AZ566" s="31"/>
      <c r="BA566" s="31"/>
      <c r="BB566" s="31"/>
      <c r="BC566" s="31"/>
      <c r="BD566" s="31"/>
      <c r="BE566" s="31"/>
      <c r="BF566" s="31"/>
      <c r="BG566" s="31"/>
      <c r="BH566" s="31"/>
      <c r="BI566" s="31"/>
      <c r="BJ566" s="31"/>
      <c r="BK566" s="31"/>
      <c r="BL566" s="31"/>
    </row>
    <row r="567" ht="15.7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31"/>
      <c r="AQ567" s="31"/>
      <c r="AR567" s="31"/>
      <c r="AS567" s="31"/>
      <c r="AT567" s="31"/>
      <c r="AU567" s="31"/>
      <c r="AV567" s="31"/>
      <c r="AW567" s="31"/>
      <c r="AX567" s="31"/>
      <c r="AY567" s="31"/>
      <c r="AZ567" s="31"/>
      <c r="BA567" s="31"/>
      <c r="BB567" s="31"/>
      <c r="BC567" s="31"/>
      <c r="BD567" s="31"/>
      <c r="BE567" s="31"/>
      <c r="BF567" s="31"/>
      <c r="BG567" s="31"/>
      <c r="BH567" s="31"/>
      <c r="BI567" s="31"/>
      <c r="BJ567" s="31"/>
      <c r="BK567" s="31"/>
      <c r="BL567" s="31"/>
    </row>
    <row r="568" ht="15.7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31"/>
      <c r="AQ568" s="31"/>
      <c r="AR568" s="31"/>
      <c r="AS568" s="31"/>
      <c r="AT568" s="31"/>
      <c r="AU568" s="31"/>
      <c r="AV568" s="31"/>
      <c r="AW568" s="31"/>
      <c r="AX568" s="31"/>
      <c r="AY568" s="31"/>
      <c r="AZ568" s="31"/>
      <c r="BA568" s="31"/>
      <c r="BB568" s="31"/>
      <c r="BC568" s="31"/>
      <c r="BD568" s="31"/>
      <c r="BE568" s="31"/>
      <c r="BF568" s="31"/>
      <c r="BG568" s="31"/>
      <c r="BH568" s="31"/>
      <c r="BI568" s="31"/>
      <c r="BJ568" s="31"/>
      <c r="BK568" s="31"/>
      <c r="BL568" s="31"/>
    </row>
    <row r="569" ht="15.7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31"/>
      <c r="AQ569" s="31"/>
      <c r="AR569" s="31"/>
      <c r="AS569" s="31"/>
      <c r="AT569" s="31"/>
      <c r="AU569" s="31"/>
      <c r="AV569" s="31"/>
      <c r="AW569" s="31"/>
      <c r="AX569" s="31"/>
      <c r="AY569" s="31"/>
      <c r="AZ569" s="31"/>
      <c r="BA569" s="31"/>
      <c r="BB569" s="31"/>
      <c r="BC569" s="31"/>
      <c r="BD569" s="31"/>
      <c r="BE569" s="31"/>
      <c r="BF569" s="31"/>
      <c r="BG569" s="31"/>
      <c r="BH569" s="31"/>
      <c r="BI569" s="31"/>
      <c r="BJ569" s="31"/>
      <c r="BK569" s="31"/>
      <c r="BL569" s="31"/>
    </row>
    <row r="570" ht="15.7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31"/>
      <c r="AQ570" s="31"/>
      <c r="AR570" s="31"/>
      <c r="AS570" s="31"/>
      <c r="AT570" s="31"/>
      <c r="AU570" s="31"/>
      <c r="AV570" s="31"/>
      <c r="AW570" s="31"/>
      <c r="AX570" s="31"/>
      <c r="AY570" s="31"/>
      <c r="AZ570" s="31"/>
      <c r="BA570" s="31"/>
      <c r="BB570" s="31"/>
      <c r="BC570" s="31"/>
      <c r="BD570" s="31"/>
      <c r="BE570" s="31"/>
      <c r="BF570" s="31"/>
      <c r="BG570" s="31"/>
      <c r="BH570" s="31"/>
      <c r="BI570" s="31"/>
      <c r="BJ570" s="31"/>
      <c r="BK570" s="31"/>
      <c r="BL570" s="31"/>
    </row>
    <row r="571" ht="15.7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31"/>
      <c r="AQ571" s="31"/>
      <c r="AR571" s="31"/>
      <c r="AS571" s="31"/>
      <c r="AT571" s="31"/>
      <c r="AU571" s="31"/>
      <c r="AV571" s="31"/>
      <c r="AW571" s="31"/>
      <c r="AX571" s="31"/>
      <c r="AY571" s="31"/>
      <c r="AZ571" s="31"/>
      <c r="BA571" s="31"/>
      <c r="BB571" s="31"/>
      <c r="BC571" s="31"/>
      <c r="BD571" s="31"/>
      <c r="BE571" s="31"/>
      <c r="BF571" s="31"/>
      <c r="BG571" s="31"/>
      <c r="BH571" s="31"/>
      <c r="BI571" s="31"/>
      <c r="BJ571" s="31"/>
      <c r="BK571" s="31"/>
      <c r="BL571" s="31"/>
    </row>
    <row r="572" ht="15.7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31"/>
      <c r="AQ572" s="31"/>
      <c r="AR572" s="31"/>
      <c r="AS572" s="31"/>
      <c r="AT572" s="31"/>
      <c r="AU572" s="31"/>
      <c r="AV572" s="31"/>
      <c r="AW572" s="31"/>
      <c r="AX572" s="31"/>
      <c r="AY572" s="31"/>
      <c r="AZ572" s="31"/>
      <c r="BA572" s="31"/>
      <c r="BB572" s="31"/>
      <c r="BC572" s="31"/>
      <c r="BD572" s="31"/>
      <c r="BE572" s="31"/>
      <c r="BF572" s="31"/>
      <c r="BG572" s="31"/>
      <c r="BH572" s="31"/>
      <c r="BI572" s="31"/>
      <c r="BJ572" s="31"/>
      <c r="BK572" s="31"/>
      <c r="BL572" s="31"/>
    </row>
    <row r="573" ht="15.7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31"/>
      <c r="AQ573" s="31"/>
      <c r="AR573" s="31"/>
      <c r="AS573" s="31"/>
      <c r="AT573" s="31"/>
      <c r="AU573" s="31"/>
      <c r="AV573" s="31"/>
      <c r="AW573" s="31"/>
      <c r="AX573" s="31"/>
      <c r="AY573" s="31"/>
      <c r="AZ573" s="31"/>
      <c r="BA573" s="31"/>
      <c r="BB573" s="31"/>
      <c r="BC573" s="31"/>
      <c r="BD573" s="31"/>
      <c r="BE573" s="31"/>
      <c r="BF573" s="31"/>
      <c r="BG573" s="31"/>
      <c r="BH573" s="31"/>
      <c r="BI573" s="31"/>
      <c r="BJ573" s="31"/>
      <c r="BK573" s="31"/>
      <c r="BL573" s="31"/>
    </row>
    <row r="574" ht="15.7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31"/>
      <c r="AQ574" s="31"/>
      <c r="AR574" s="31"/>
      <c r="AS574" s="31"/>
      <c r="AT574" s="31"/>
      <c r="AU574" s="31"/>
      <c r="AV574" s="31"/>
      <c r="AW574" s="31"/>
      <c r="AX574" s="31"/>
      <c r="AY574" s="31"/>
      <c r="AZ574" s="31"/>
      <c r="BA574" s="31"/>
      <c r="BB574" s="31"/>
      <c r="BC574" s="31"/>
      <c r="BD574" s="31"/>
      <c r="BE574" s="31"/>
      <c r="BF574" s="31"/>
      <c r="BG574" s="31"/>
      <c r="BH574" s="31"/>
      <c r="BI574" s="31"/>
      <c r="BJ574" s="31"/>
      <c r="BK574" s="31"/>
      <c r="BL574" s="31"/>
    </row>
    <row r="575" ht="15.7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31"/>
      <c r="AQ575" s="31"/>
      <c r="AR575" s="31"/>
      <c r="AS575" s="31"/>
      <c r="AT575" s="31"/>
      <c r="AU575" s="31"/>
      <c r="AV575" s="31"/>
      <c r="AW575" s="31"/>
      <c r="AX575" s="31"/>
      <c r="AY575" s="31"/>
      <c r="AZ575" s="31"/>
      <c r="BA575" s="31"/>
      <c r="BB575" s="31"/>
      <c r="BC575" s="31"/>
      <c r="BD575" s="31"/>
      <c r="BE575" s="31"/>
      <c r="BF575" s="31"/>
      <c r="BG575" s="31"/>
      <c r="BH575" s="31"/>
      <c r="BI575" s="31"/>
      <c r="BJ575" s="31"/>
      <c r="BK575" s="31"/>
      <c r="BL575" s="31"/>
    </row>
    <row r="576" ht="15.7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31"/>
      <c r="AQ576" s="31"/>
      <c r="AR576" s="31"/>
      <c r="AS576" s="31"/>
      <c r="AT576" s="31"/>
      <c r="AU576" s="31"/>
      <c r="AV576" s="31"/>
      <c r="AW576" s="31"/>
      <c r="AX576" s="31"/>
      <c r="AY576" s="31"/>
      <c r="AZ576" s="31"/>
      <c r="BA576" s="31"/>
      <c r="BB576" s="31"/>
      <c r="BC576" s="31"/>
      <c r="BD576" s="31"/>
      <c r="BE576" s="31"/>
      <c r="BF576" s="31"/>
      <c r="BG576" s="31"/>
      <c r="BH576" s="31"/>
      <c r="BI576" s="31"/>
      <c r="BJ576" s="31"/>
      <c r="BK576" s="31"/>
      <c r="BL576" s="31"/>
    </row>
    <row r="577" ht="15.7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31"/>
      <c r="AQ577" s="31"/>
      <c r="AR577" s="31"/>
      <c r="AS577" s="31"/>
      <c r="AT577" s="31"/>
      <c r="AU577" s="31"/>
      <c r="AV577" s="31"/>
      <c r="AW577" s="31"/>
      <c r="AX577" s="31"/>
      <c r="AY577" s="31"/>
      <c r="AZ577" s="31"/>
      <c r="BA577" s="31"/>
      <c r="BB577" s="31"/>
      <c r="BC577" s="31"/>
      <c r="BD577" s="31"/>
      <c r="BE577" s="31"/>
      <c r="BF577" s="31"/>
      <c r="BG577" s="31"/>
      <c r="BH577" s="31"/>
      <c r="BI577" s="31"/>
      <c r="BJ577" s="31"/>
      <c r="BK577" s="31"/>
      <c r="BL577" s="31"/>
    </row>
    <row r="578" ht="15.7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31"/>
      <c r="AQ578" s="31"/>
      <c r="AR578" s="31"/>
      <c r="AS578" s="31"/>
      <c r="AT578" s="31"/>
      <c r="AU578" s="31"/>
      <c r="AV578" s="31"/>
      <c r="AW578" s="31"/>
      <c r="AX578" s="31"/>
      <c r="AY578" s="31"/>
      <c r="AZ578" s="31"/>
      <c r="BA578" s="31"/>
      <c r="BB578" s="31"/>
      <c r="BC578" s="31"/>
      <c r="BD578" s="31"/>
      <c r="BE578" s="31"/>
      <c r="BF578" s="31"/>
      <c r="BG578" s="31"/>
      <c r="BH578" s="31"/>
      <c r="BI578" s="31"/>
      <c r="BJ578" s="31"/>
      <c r="BK578" s="31"/>
      <c r="BL578" s="31"/>
    </row>
    <row r="579" ht="15.7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31"/>
      <c r="AQ579" s="31"/>
      <c r="AR579" s="31"/>
      <c r="AS579" s="31"/>
      <c r="AT579" s="31"/>
      <c r="AU579" s="31"/>
      <c r="AV579" s="31"/>
      <c r="AW579" s="31"/>
      <c r="AX579" s="31"/>
      <c r="AY579" s="31"/>
      <c r="AZ579" s="31"/>
      <c r="BA579" s="31"/>
      <c r="BB579" s="31"/>
      <c r="BC579" s="31"/>
      <c r="BD579" s="31"/>
      <c r="BE579" s="31"/>
      <c r="BF579" s="31"/>
      <c r="BG579" s="31"/>
      <c r="BH579" s="31"/>
      <c r="BI579" s="31"/>
      <c r="BJ579" s="31"/>
      <c r="BK579" s="31"/>
      <c r="BL579" s="31"/>
    </row>
    <row r="580" ht="15.7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31"/>
      <c r="AQ580" s="31"/>
      <c r="AR580" s="31"/>
      <c r="AS580" s="31"/>
      <c r="AT580" s="31"/>
      <c r="AU580" s="31"/>
      <c r="AV580" s="31"/>
      <c r="AW580" s="31"/>
      <c r="AX580" s="31"/>
      <c r="AY580" s="31"/>
      <c r="AZ580" s="31"/>
      <c r="BA580" s="31"/>
      <c r="BB580" s="31"/>
      <c r="BC580" s="31"/>
      <c r="BD580" s="31"/>
      <c r="BE580" s="31"/>
      <c r="BF580" s="31"/>
      <c r="BG580" s="31"/>
      <c r="BH580" s="31"/>
      <c r="BI580" s="31"/>
      <c r="BJ580" s="31"/>
      <c r="BK580" s="31"/>
      <c r="BL580" s="31"/>
    </row>
    <row r="581" ht="15.7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31"/>
      <c r="AQ581" s="31"/>
      <c r="AR581" s="31"/>
      <c r="AS581" s="31"/>
      <c r="AT581" s="31"/>
      <c r="AU581" s="31"/>
      <c r="AV581" s="31"/>
      <c r="AW581" s="31"/>
      <c r="AX581" s="31"/>
      <c r="AY581" s="31"/>
      <c r="AZ581" s="31"/>
      <c r="BA581" s="31"/>
      <c r="BB581" s="31"/>
      <c r="BC581" s="31"/>
      <c r="BD581" s="31"/>
      <c r="BE581" s="31"/>
      <c r="BF581" s="31"/>
      <c r="BG581" s="31"/>
      <c r="BH581" s="31"/>
      <c r="BI581" s="31"/>
      <c r="BJ581" s="31"/>
      <c r="BK581" s="31"/>
      <c r="BL581" s="31"/>
    </row>
    <row r="582" ht="15.7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31"/>
      <c r="AQ582" s="31"/>
      <c r="AR582" s="31"/>
      <c r="AS582" s="31"/>
      <c r="AT582" s="31"/>
      <c r="AU582" s="31"/>
      <c r="AV582" s="31"/>
      <c r="AW582" s="31"/>
      <c r="AX582" s="31"/>
      <c r="AY582" s="31"/>
      <c r="AZ582" s="31"/>
      <c r="BA582" s="31"/>
      <c r="BB582" s="31"/>
      <c r="BC582" s="31"/>
      <c r="BD582" s="31"/>
      <c r="BE582" s="31"/>
      <c r="BF582" s="31"/>
      <c r="BG582" s="31"/>
      <c r="BH582" s="31"/>
      <c r="BI582" s="31"/>
      <c r="BJ582" s="31"/>
      <c r="BK582" s="31"/>
      <c r="BL582" s="31"/>
    </row>
    <row r="583" ht="15.7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31"/>
      <c r="AQ583" s="31"/>
      <c r="AR583" s="31"/>
      <c r="AS583" s="31"/>
      <c r="AT583" s="31"/>
      <c r="AU583" s="31"/>
      <c r="AV583" s="31"/>
      <c r="AW583" s="31"/>
      <c r="AX583" s="31"/>
      <c r="AY583" s="31"/>
      <c r="AZ583" s="31"/>
      <c r="BA583" s="31"/>
      <c r="BB583" s="31"/>
      <c r="BC583" s="31"/>
      <c r="BD583" s="31"/>
      <c r="BE583" s="31"/>
      <c r="BF583" s="31"/>
      <c r="BG583" s="31"/>
      <c r="BH583" s="31"/>
      <c r="BI583" s="31"/>
      <c r="BJ583" s="31"/>
      <c r="BK583" s="31"/>
      <c r="BL583" s="31"/>
    </row>
    <row r="584" ht="15.7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31"/>
      <c r="AQ584" s="31"/>
      <c r="AR584" s="31"/>
      <c r="AS584" s="31"/>
      <c r="AT584" s="31"/>
      <c r="AU584" s="31"/>
      <c r="AV584" s="31"/>
      <c r="AW584" s="31"/>
      <c r="AX584" s="31"/>
      <c r="AY584" s="31"/>
      <c r="AZ584" s="31"/>
      <c r="BA584" s="31"/>
      <c r="BB584" s="31"/>
      <c r="BC584" s="31"/>
      <c r="BD584" s="31"/>
      <c r="BE584" s="31"/>
      <c r="BF584" s="31"/>
      <c r="BG584" s="31"/>
      <c r="BH584" s="31"/>
      <c r="BI584" s="31"/>
      <c r="BJ584" s="31"/>
      <c r="BK584" s="31"/>
      <c r="BL584" s="31"/>
    </row>
    <row r="585" ht="15.7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31"/>
      <c r="AQ585" s="31"/>
      <c r="AR585" s="31"/>
      <c r="AS585" s="31"/>
      <c r="AT585" s="31"/>
      <c r="AU585" s="31"/>
      <c r="AV585" s="31"/>
      <c r="AW585" s="31"/>
      <c r="AX585" s="31"/>
      <c r="AY585" s="31"/>
      <c r="AZ585" s="31"/>
      <c r="BA585" s="31"/>
      <c r="BB585" s="31"/>
      <c r="BC585" s="31"/>
      <c r="BD585" s="31"/>
      <c r="BE585" s="31"/>
      <c r="BF585" s="31"/>
      <c r="BG585" s="31"/>
      <c r="BH585" s="31"/>
      <c r="BI585" s="31"/>
      <c r="BJ585" s="31"/>
      <c r="BK585" s="31"/>
      <c r="BL585" s="31"/>
    </row>
    <row r="586" ht="15.7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31"/>
      <c r="AQ586" s="31"/>
      <c r="AR586" s="31"/>
      <c r="AS586" s="31"/>
      <c r="AT586" s="31"/>
      <c r="AU586" s="31"/>
      <c r="AV586" s="31"/>
      <c r="AW586" s="31"/>
      <c r="AX586" s="31"/>
      <c r="AY586" s="31"/>
      <c r="AZ586" s="31"/>
      <c r="BA586" s="31"/>
      <c r="BB586" s="31"/>
      <c r="BC586" s="31"/>
      <c r="BD586" s="31"/>
      <c r="BE586" s="31"/>
      <c r="BF586" s="31"/>
      <c r="BG586" s="31"/>
      <c r="BH586" s="31"/>
      <c r="BI586" s="31"/>
      <c r="BJ586" s="31"/>
      <c r="BK586" s="31"/>
      <c r="BL586" s="31"/>
    </row>
    <row r="587" ht="15.7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31"/>
      <c r="AQ587" s="31"/>
      <c r="AR587" s="31"/>
      <c r="AS587" s="31"/>
      <c r="AT587" s="31"/>
      <c r="AU587" s="31"/>
      <c r="AV587" s="31"/>
      <c r="AW587" s="31"/>
      <c r="AX587" s="31"/>
      <c r="AY587" s="31"/>
      <c r="AZ587" s="31"/>
      <c r="BA587" s="31"/>
      <c r="BB587" s="31"/>
      <c r="BC587" s="31"/>
      <c r="BD587" s="31"/>
      <c r="BE587" s="31"/>
      <c r="BF587" s="31"/>
      <c r="BG587" s="31"/>
      <c r="BH587" s="31"/>
      <c r="BI587" s="31"/>
      <c r="BJ587" s="31"/>
      <c r="BK587" s="31"/>
      <c r="BL587" s="31"/>
    </row>
    <row r="588" ht="15.7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31"/>
      <c r="AQ588" s="31"/>
      <c r="AR588" s="31"/>
      <c r="AS588" s="31"/>
      <c r="AT588" s="31"/>
      <c r="AU588" s="31"/>
      <c r="AV588" s="31"/>
      <c r="AW588" s="31"/>
      <c r="AX588" s="31"/>
      <c r="AY588" s="31"/>
      <c r="AZ588" s="31"/>
      <c r="BA588" s="31"/>
      <c r="BB588" s="31"/>
      <c r="BC588" s="31"/>
      <c r="BD588" s="31"/>
      <c r="BE588" s="31"/>
      <c r="BF588" s="31"/>
      <c r="BG588" s="31"/>
      <c r="BH588" s="31"/>
      <c r="BI588" s="31"/>
      <c r="BJ588" s="31"/>
      <c r="BK588" s="31"/>
      <c r="BL588" s="31"/>
    </row>
    <row r="589" ht="15.7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31"/>
      <c r="AQ589" s="31"/>
      <c r="AR589" s="31"/>
      <c r="AS589" s="31"/>
      <c r="AT589" s="31"/>
      <c r="AU589" s="31"/>
      <c r="AV589" s="31"/>
      <c r="AW589" s="31"/>
      <c r="AX589" s="31"/>
      <c r="AY589" s="31"/>
      <c r="AZ589" s="31"/>
      <c r="BA589" s="31"/>
      <c r="BB589" s="31"/>
      <c r="BC589" s="31"/>
      <c r="BD589" s="31"/>
      <c r="BE589" s="31"/>
      <c r="BF589" s="31"/>
      <c r="BG589" s="31"/>
      <c r="BH589" s="31"/>
      <c r="BI589" s="31"/>
      <c r="BJ589" s="31"/>
      <c r="BK589" s="31"/>
      <c r="BL589" s="31"/>
    </row>
    <row r="590" ht="15.7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31"/>
      <c r="AQ590" s="31"/>
      <c r="AR590" s="31"/>
      <c r="AS590" s="31"/>
      <c r="AT590" s="31"/>
      <c r="AU590" s="31"/>
      <c r="AV590" s="31"/>
      <c r="AW590" s="31"/>
      <c r="AX590" s="31"/>
      <c r="AY590" s="31"/>
      <c r="AZ590" s="31"/>
      <c r="BA590" s="31"/>
      <c r="BB590" s="31"/>
      <c r="BC590" s="31"/>
      <c r="BD590" s="31"/>
      <c r="BE590" s="31"/>
      <c r="BF590" s="31"/>
      <c r="BG590" s="31"/>
      <c r="BH590" s="31"/>
      <c r="BI590" s="31"/>
      <c r="BJ590" s="31"/>
      <c r="BK590" s="31"/>
      <c r="BL590" s="31"/>
    </row>
    <row r="591" ht="15.7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31"/>
      <c r="AQ591" s="31"/>
      <c r="AR591" s="31"/>
      <c r="AS591" s="31"/>
      <c r="AT591" s="31"/>
      <c r="AU591" s="31"/>
      <c r="AV591" s="31"/>
      <c r="AW591" s="31"/>
      <c r="AX591" s="31"/>
      <c r="AY591" s="31"/>
      <c r="AZ591" s="31"/>
      <c r="BA591" s="31"/>
      <c r="BB591" s="31"/>
      <c r="BC591" s="31"/>
      <c r="BD591" s="31"/>
      <c r="BE591" s="31"/>
      <c r="BF591" s="31"/>
      <c r="BG591" s="31"/>
      <c r="BH591" s="31"/>
      <c r="BI591" s="31"/>
      <c r="BJ591" s="31"/>
      <c r="BK591" s="31"/>
      <c r="BL591" s="31"/>
    </row>
    <row r="592" ht="15.7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31"/>
      <c r="AQ592" s="31"/>
      <c r="AR592" s="31"/>
      <c r="AS592" s="31"/>
      <c r="AT592" s="31"/>
      <c r="AU592" s="31"/>
      <c r="AV592" s="31"/>
      <c r="AW592" s="31"/>
      <c r="AX592" s="31"/>
      <c r="AY592" s="31"/>
      <c r="AZ592" s="31"/>
      <c r="BA592" s="31"/>
      <c r="BB592" s="31"/>
      <c r="BC592" s="31"/>
      <c r="BD592" s="31"/>
      <c r="BE592" s="31"/>
      <c r="BF592" s="31"/>
      <c r="BG592" s="31"/>
      <c r="BH592" s="31"/>
      <c r="BI592" s="31"/>
      <c r="BJ592" s="31"/>
      <c r="BK592" s="31"/>
      <c r="BL592" s="31"/>
    </row>
    <row r="593" ht="15.7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31"/>
      <c r="AQ593" s="31"/>
      <c r="AR593" s="31"/>
      <c r="AS593" s="31"/>
      <c r="AT593" s="31"/>
      <c r="AU593" s="31"/>
      <c r="AV593" s="31"/>
      <c r="AW593" s="31"/>
      <c r="AX593" s="31"/>
      <c r="AY593" s="31"/>
      <c r="AZ593" s="31"/>
      <c r="BA593" s="31"/>
      <c r="BB593" s="31"/>
      <c r="BC593" s="31"/>
      <c r="BD593" s="31"/>
      <c r="BE593" s="31"/>
      <c r="BF593" s="31"/>
      <c r="BG593" s="31"/>
      <c r="BH593" s="31"/>
      <c r="BI593" s="31"/>
      <c r="BJ593" s="31"/>
      <c r="BK593" s="31"/>
      <c r="BL593" s="31"/>
    </row>
    <row r="594" ht="15.7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31"/>
      <c r="AQ594" s="31"/>
      <c r="AR594" s="31"/>
      <c r="AS594" s="31"/>
      <c r="AT594" s="31"/>
      <c r="AU594" s="31"/>
      <c r="AV594" s="31"/>
      <c r="AW594" s="31"/>
      <c r="AX594" s="31"/>
      <c r="AY594" s="31"/>
      <c r="AZ594" s="31"/>
      <c r="BA594" s="31"/>
      <c r="BB594" s="31"/>
      <c r="BC594" s="31"/>
      <c r="BD594" s="31"/>
      <c r="BE594" s="31"/>
      <c r="BF594" s="31"/>
      <c r="BG594" s="31"/>
      <c r="BH594" s="31"/>
      <c r="BI594" s="31"/>
      <c r="BJ594" s="31"/>
      <c r="BK594" s="31"/>
      <c r="BL594" s="31"/>
    </row>
    <row r="595" ht="15.7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31"/>
      <c r="AQ595" s="31"/>
      <c r="AR595" s="31"/>
      <c r="AS595" s="31"/>
      <c r="AT595" s="31"/>
      <c r="AU595" s="31"/>
      <c r="AV595" s="31"/>
      <c r="AW595" s="31"/>
      <c r="AX595" s="31"/>
      <c r="AY595" s="31"/>
      <c r="AZ595" s="31"/>
      <c r="BA595" s="31"/>
      <c r="BB595" s="31"/>
      <c r="BC595" s="31"/>
      <c r="BD595" s="31"/>
      <c r="BE595" s="31"/>
      <c r="BF595" s="31"/>
      <c r="BG595" s="31"/>
      <c r="BH595" s="31"/>
      <c r="BI595" s="31"/>
      <c r="BJ595" s="31"/>
      <c r="BK595" s="31"/>
      <c r="BL595" s="31"/>
    </row>
    <row r="596" ht="15.7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31"/>
      <c r="AQ596" s="31"/>
      <c r="AR596" s="31"/>
      <c r="AS596" s="31"/>
      <c r="AT596" s="31"/>
      <c r="AU596" s="31"/>
      <c r="AV596" s="31"/>
      <c r="AW596" s="31"/>
      <c r="AX596" s="31"/>
      <c r="AY596" s="31"/>
      <c r="AZ596" s="31"/>
      <c r="BA596" s="31"/>
      <c r="BB596" s="31"/>
      <c r="BC596" s="31"/>
      <c r="BD596" s="31"/>
      <c r="BE596" s="31"/>
      <c r="BF596" s="31"/>
      <c r="BG596" s="31"/>
      <c r="BH596" s="31"/>
      <c r="BI596" s="31"/>
      <c r="BJ596" s="31"/>
      <c r="BK596" s="31"/>
      <c r="BL596" s="31"/>
    </row>
    <row r="597" ht="15.7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31"/>
      <c r="AQ597" s="31"/>
      <c r="AR597" s="31"/>
      <c r="AS597" s="31"/>
      <c r="AT597" s="31"/>
      <c r="AU597" s="31"/>
      <c r="AV597" s="31"/>
      <c r="AW597" s="31"/>
      <c r="AX597" s="31"/>
      <c r="AY597" s="31"/>
      <c r="AZ597" s="31"/>
      <c r="BA597" s="31"/>
      <c r="BB597" s="31"/>
      <c r="BC597" s="31"/>
      <c r="BD597" s="31"/>
      <c r="BE597" s="31"/>
      <c r="BF597" s="31"/>
      <c r="BG597" s="31"/>
      <c r="BH597" s="31"/>
      <c r="BI597" s="31"/>
      <c r="BJ597" s="31"/>
      <c r="BK597" s="31"/>
      <c r="BL597" s="31"/>
    </row>
    <row r="598" ht="15.7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31"/>
      <c r="AQ598" s="31"/>
      <c r="AR598" s="31"/>
      <c r="AS598" s="31"/>
      <c r="AT598" s="31"/>
      <c r="AU598" s="31"/>
      <c r="AV598" s="31"/>
      <c r="AW598" s="31"/>
      <c r="AX598" s="31"/>
      <c r="AY598" s="31"/>
      <c r="AZ598" s="31"/>
      <c r="BA598" s="31"/>
      <c r="BB598" s="31"/>
      <c r="BC598" s="31"/>
      <c r="BD598" s="31"/>
      <c r="BE598" s="31"/>
      <c r="BF598" s="31"/>
      <c r="BG598" s="31"/>
      <c r="BH598" s="31"/>
      <c r="BI598" s="31"/>
      <c r="BJ598" s="31"/>
      <c r="BK598" s="31"/>
      <c r="BL598" s="31"/>
    </row>
    <row r="599" ht="15.7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31"/>
      <c r="AQ599" s="31"/>
      <c r="AR599" s="31"/>
      <c r="AS599" s="31"/>
      <c r="AT599" s="31"/>
      <c r="AU599" s="31"/>
      <c r="AV599" s="31"/>
      <c r="AW599" s="31"/>
      <c r="AX599" s="31"/>
      <c r="AY599" s="31"/>
      <c r="AZ599" s="31"/>
      <c r="BA599" s="31"/>
      <c r="BB599" s="31"/>
      <c r="BC599" s="31"/>
      <c r="BD599" s="31"/>
      <c r="BE599" s="31"/>
      <c r="BF599" s="31"/>
      <c r="BG599" s="31"/>
      <c r="BH599" s="31"/>
      <c r="BI599" s="31"/>
      <c r="BJ599" s="31"/>
      <c r="BK599" s="31"/>
      <c r="BL599" s="31"/>
    </row>
    <row r="600" ht="15.7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31"/>
      <c r="AQ600" s="31"/>
      <c r="AR600" s="31"/>
      <c r="AS600" s="31"/>
      <c r="AT600" s="31"/>
      <c r="AU600" s="31"/>
      <c r="AV600" s="31"/>
      <c r="AW600" s="31"/>
      <c r="AX600" s="31"/>
      <c r="AY600" s="31"/>
      <c r="AZ600" s="31"/>
      <c r="BA600" s="31"/>
      <c r="BB600" s="31"/>
      <c r="BC600" s="31"/>
      <c r="BD600" s="31"/>
      <c r="BE600" s="31"/>
      <c r="BF600" s="31"/>
      <c r="BG600" s="31"/>
      <c r="BH600" s="31"/>
      <c r="BI600" s="31"/>
      <c r="BJ600" s="31"/>
      <c r="BK600" s="31"/>
      <c r="BL600" s="31"/>
    </row>
    <row r="601" ht="15.7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31"/>
      <c r="AQ601" s="31"/>
      <c r="AR601" s="31"/>
      <c r="AS601" s="31"/>
      <c r="AT601" s="31"/>
      <c r="AU601" s="31"/>
      <c r="AV601" s="31"/>
      <c r="AW601" s="31"/>
      <c r="AX601" s="31"/>
      <c r="AY601" s="31"/>
      <c r="AZ601" s="31"/>
      <c r="BA601" s="31"/>
      <c r="BB601" s="31"/>
      <c r="BC601" s="31"/>
      <c r="BD601" s="31"/>
      <c r="BE601" s="31"/>
      <c r="BF601" s="31"/>
      <c r="BG601" s="31"/>
      <c r="BH601" s="31"/>
      <c r="BI601" s="31"/>
      <c r="BJ601" s="31"/>
      <c r="BK601" s="31"/>
      <c r="BL601" s="31"/>
    </row>
    <row r="602" ht="15.7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31"/>
      <c r="AQ602" s="31"/>
      <c r="AR602" s="31"/>
      <c r="AS602" s="31"/>
      <c r="AT602" s="31"/>
      <c r="AU602" s="31"/>
      <c r="AV602" s="31"/>
      <c r="AW602" s="31"/>
      <c r="AX602" s="31"/>
      <c r="AY602" s="31"/>
      <c r="AZ602" s="31"/>
      <c r="BA602" s="31"/>
      <c r="BB602" s="31"/>
      <c r="BC602" s="31"/>
      <c r="BD602" s="31"/>
      <c r="BE602" s="31"/>
      <c r="BF602" s="31"/>
      <c r="BG602" s="31"/>
      <c r="BH602" s="31"/>
      <c r="BI602" s="31"/>
      <c r="BJ602" s="31"/>
      <c r="BK602" s="31"/>
      <c r="BL602" s="31"/>
    </row>
    <row r="603" ht="15.7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31"/>
      <c r="AQ603" s="31"/>
      <c r="AR603" s="31"/>
      <c r="AS603" s="31"/>
      <c r="AT603" s="31"/>
      <c r="AU603" s="31"/>
      <c r="AV603" s="31"/>
      <c r="AW603" s="31"/>
      <c r="AX603" s="31"/>
      <c r="AY603" s="31"/>
      <c r="AZ603" s="31"/>
      <c r="BA603" s="31"/>
      <c r="BB603" s="31"/>
      <c r="BC603" s="31"/>
      <c r="BD603" s="31"/>
      <c r="BE603" s="31"/>
      <c r="BF603" s="31"/>
      <c r="BG603" s="31"/>
      <c r="BH603" s="31"/>
      <c r="BI603" s="31"/>
      <c r="BJ603" s="31"/>
      <c r="BK603" s="31"/>
      <c r="BL603" s="31"/>
    </row>
    <row r="604" ht="15.7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31"/>
      <c r="AQ604" s="31"/>
      <c r="AR604" s="31"/>
      <c r="AS604" s="31"/>
      <c r="AT604" s="31"/>
      <c r="AU604" s="31"/>
      <c r="AV604" s="31"/>
      <c r="AW604" s="31"/>
      <c r="AX604" s="31"/>
      <c r="AY604" s="31"/>
      <c r="AZ604" s="31"/>
      <c r="BA604" s="31"/>
      <c r="BB604" s="31"/>
      <c r="BC604" s="31"/>
      <c r="BD604" s="31"/>
      <c r="BE604" s="31"/>
      <c r="BF604" s="31"/>
      <c r="BG604" s="31"/>
      <c r="BH604" s="31"/>
      <c r="BI604" s="31"/>
      <c r="BJ604" s="31"/>
      <c r="BK604" s="31"/>
      <c r="BL604" s="31"/>
    </row>
    <row r="605" ht="15.7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31"/>
      <c r="AQ605" s="31"/>
      <c r="AR605" s="31"/>
      <c r="AS605" s="31"/>
      <c r="AT605" s="31"/>
      <c r="AU605" s="31"/>
      <c r="AV605" s="31"/>
      <c r="AW605" s="31"/>
      <c r="AX605" s="31"/>
      <c r="AY605" s="31"/>
      <c r="AZ605" s="31"/>
      <c r="BA605" s="31"/>
      <c r="BB605" s="31"/>
      <c r="BC605" s="31"/>
      <c r="BD605" s="31"/>
      <c r="BE605" s="31"/>
      <c r="BF605" s="31"/>
      <c r="BG605" s="31"/>
      <c r="BH605" s="31"/>
      <c r="BI605" s="31"/>
      <c r="BJ605" s="31"/>
      <c r="BK605" s="31"/>
      <c r="BL605" s="31"/>
    </row>
    <row r="606" ht="15.7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31"/>
      <c r="AQ606" s="31"/>
      <c r="AR606" s="31"/>
      <c r="AS606" s="31"/>
      <c r="AT606" s="31"/>
      <c r="AU606" s="31"/>
      <c r="AV606" s="31"/>
      <c r="AW606" s="31"/>
      <c r="AX606" s="31"/>
      <c r="AY606" s="31"/>
      <c r="AZ606" s="31"/>
      <c r="BA606" s="31"/>
      <c r="BB606" s="31"/>
      <c r="BC606" s="31"/>
      <c r="BD606" s="31"/>
      <c r="BE606" s="31"/>
      <c r="BF606" s="31"/>
      <c r="BG606" s="31"/>
      <c r="BH606" s="31"/>
      <c r="BI606" s="31"/>
      <c r="BJ606" s="31"/>
      <c r="BK606" s="31"/>
      <c r="BL606" s="31"/>
    </row>
    <row r="607" ht="15.7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31"/>
      <c r="AQ607" s="31"/>
      <c r="AR607" s="31"/>
      <c r="AS607" s="31"/>
      <c r="AT607" s="31"/>
      <c r="AU607" s="31"/>
      <c r="AV607" s="31"/>
      <c r="AW607" s="31"/>
      <c r="AX607" s="31"/>
      <c r="AY607" s="31"/>
      <c r="AZ607" s="31"/>
      <c r="BA607" s="31"/>
      <c r="BB607" s="31"/>
      <c r="BC607" s="31"/>
      <c r="BD607" s="31"/>
      <c r="BE607" s="31"/>
      <c r="BF607" s="31"/>
      <c r="BG607" s="31"/>
      <c r="BH607" s="31"/>
      <c r="BI607" s="31"/>
      <c r="BJ607" s="31"/>
      <c r="BK607" s="31"/>
      <c r="BL607" s="31"/>
    </row>
    <row r="608" ht="15.7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31"/>
      <c r="AQ608" s="31"/>
      <c r="AR608" s="31"/>
      <c r="AS608" s="31"/>
      <c r="AT608" s="31"/>
      <c r="AU608" s="31"/>
      <c r="AV608" s="31"/>
      <c r="AW608" s="31"/>
      <c r="AX608" s="31"/>
      <c r="AY608" s="31"/>
      <c r="AZ608" s="31"/>
      <c r="BA608" s="31"/>
      <c r="BB608" s="31"/>
      <c r="BC608" s="31"/>
      <c r="BD608" s="31"/>
      <c r="BE608" s="31"/>
      <c r="BF608" s="31"/>
      <c r="BG608" s="31"/>
      <c r="BH608" s="31"/>
      <c r="BI608" s="31"/>
      <c r="BJ608" s="31"/>
      <c r="BK608" s="31"/>
      <c r="BL608" s="31"/>
    </row>
    <row r="609" ht="15.7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31"/>
      <c r="AQ609" s="31"/>
      <c r="AR609" s="31"/>
      <c r="AS609" s="31"/>
      <c r="AT609" s="31"/>
      <c r="AU609" s="31"/>
      <c r="AV609" s="31"/>
      <c r="AW609" s="31"/>
      <c r="AX609" s="31"/>
      <c r="AY609" s="31"/>
      <c r="AZ609" s="31"/>
      <c r="BA609" s="31"/>
      <c r="BB609" s="31"/>
      <c r="BC609" s="31"/>
      <c r="BD609" s="31"/>
      <c r="BE609" s="31"/>
      <c r="BF609" s="31"/>
      <c r="BG609" s="31"/>
      <c r="BH609" s="31"/>
      <c r="BI609" s="31"/>
      <c r="BJ609" s="31"/>
      <c r="BK609" s="31"/>
      <c r="BL609" s="31"/>
    </row>
    <row r="610" ht="15.7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31"/>
      <c r="AQ610" s="31"/>
      <c r="AR610" s="31"/>
      <c r="AS610" s="31"/>
      <c r="AT610" s="31"/>
      <c r="AU610" s="31"/>
      <c r="AV610" s="31"/>
      <c r="AW610" s="31"/>
      <c r="AX610" s="31"/>
      <c r="AY610" s="31"/>
      <c r="AZ610" s="31"/>
      <c r="BA610" s="31"/>
      <c r="BB610" s="31"/>
      <c r="BC610" s="31"/>
      <c r="BD610" s="31"/>
      <c r="BE610" s="31"/>
      <c r="BF610" s="31"/>
      <c r="BG610" s="31"/>
      <c r="BH610" s="31"/>
      <c r="BI610" s="31"/>
      <c r="BJ610" s="31"/>
      <c r="BK610" s="31"/>
      <c r="BL610" s="31"/>
    </row>
    <row r="611" ht="15.7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31"/>
      <c r="AQ611" s="31"/>
      <c r="AR611" s="31"/>
      <c r="AS611" s="31"/>
      <c r="AT611" s="31"/>
      <c r="AU611" s="31"/>
      <c r="AV611" s="31"/>
      <c r="AW611" s="31"/>
      <c r="AX611" s="31"/>
      <c r="AY611" s="31"/>
      <c r="AZ611" s="31"/>
      <c r="BA611" s="31"/>
      <c r="BB611" s="31"/>
      <c r="BC611" s="31"/>
      <c r="BD611" s="31"/>
      <c r="BE611" s="31"/>
      <c r="BF611" s="31"/>
      <c r="BG611" s="31"/>
      <c r="BH611" s="31"/>
      <c r="BI611" s="31"/>
      <c r="BJ611" s="31"/>
      <c r="BK611" s="31"/>
      <c r="BL611" s="31"/>
    </row>
    <row r="612" ht="15.7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31"/>
      <c r="AQ612" s="31"/>
      <c r="AR612" s="31"/>
      <c r="AS612" s="31"/>
      <c r="AT612" s="31"/>
      <c r="AU612" s="31"/>
      <c r="AV612" s="31"/>
      <c r="AW612" s="31"/>
      <c r="AX612" s="31"/>
      <c r="AY612" s="31"/>
      <c r="AZ612" s="31"/>
      <c r="BA612" s="31"/>
      <c r="BB612" s="31"/>
      <c r="BC612" s="31"/>
      <c r="BD612" s="31"/>
      <c r="BE612" s="31"/>
      <c r="BF612" s="31"/>
      <c r="BG612" s="31"/>
      <c r="BH612" s="31"/>
      <c r="BI612" s="31"/>
      <c r="BJ612" s="31"/>
      <c r="BK612" s="31"/>
      <c r="BL612" s="31"/>
    </row>
    <row r="613" ht="15.7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31"/>
      <c r="AQ613" s="31"/>
      <c r="AR613" s="31"/>
      <c r="AS613" s="31"/>
      <c r="AT613" s="31"/>
      <c r="AU613" s="31"/>
      <c r="AV613" s="31"/>
      <c r="AW613" s="31"/>
      <c r="AX613" s="31"/>
      <c r="AY613" s="31"/>
      <c r="AZ613" s="31"/>
      <c r="BA613" s="31"/>
      <c r="BB613" s="31"/>
      <c r="BC613" s="31"/>
      <c r="BD613" s="31"/>
      <c r="BE613" s="31"/>
      <c r="BF613" s="31"/>
      <c r="BG613" s="31"/>
      <c r="BH613" s="31"/>
      <c r="BI613" s="31"/>
      <c r="BJ613" s="31"/>
      <c r="BK613" s="31"/>
      <c r="BL613" s="31"/>
    </row>
    <row r="614" ht="15.7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31"/>
      <c r="AQ614" s="31"/>
      <c r="AR614" s="31"/>
      <c r="AS614" s="31"/>
      <c r="AT614" s="31"/>
      <c r="AU614" s="31"/>
      <c r="AV614" s="31"/>
      <c r="AW614" s="31"/>
      <c r="AX614" s="31"/>
      <c r="AY614" s="31"/>
      <c r="AZ614" s="31"/>
      <c r="BA614" s="31"/>
      <c r="BB614" s="31"/>
      <c r="BC614" s="31"/>
      <c r="BD614" s="31"/>
      <c r="BE614" s="31"/>
      <c r="BF614" s="31"/>
      <c r="BG614" s="31"/>
      <c r="BH614" s="31"/>
      <c r="BI614" s="31"/>
      <c r="BJ614" s="31"/>
      <c r="BK614" s="31"/>
      <c r="BL614" s="31"/>
    </row>
    <row r="615" ht="15.7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31"/>
      <c r="AQ615" s="31"/>
      <c r="AR615" s="31"/>
      <c r="AS615" s="31"/>
      <c r="AT615" s="31"/>
      <c r="AU615" s="31"/>
      <c r="AV615" s="31"/>
      <c r="AW615" s="31"/>
      <c r="AX615" s="31"/>
      <c r="AY615" s="31"/>
      <c r="AZ615" s="31"/>
      <c r="BA615" s="31"/>
      <c r="BB615" s="31"/>
      <c r="BC615" s="31"/>
      <c r="BD615" s="31"/>
      <c r="BE615" s="31"/>
      <c r="BF615" s="31"/>
      <c r="BG615" s="31"/>
      <c r="BH615" s="31"/>
      <c r="BI615" s="31"/>
      <c r="BJ615" s="31"/>
      <c r="BK615" s="31"/>
      <c r="BL615" s="31"/>
    </row>
    <row r="616" ht="15.7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31"/>
      <c r="AQ616" s="31"/>
      <c r="AR616" s="31"/>
      <c r="AS616" s="31"/>
      <c r="AT616" s="31"/>
      <c r="AU616" s="31"/>
      <c r="AV616" s="31"/>
      <c r="AW616" s="31"/>
      <c r="AX616" s="31"/>
      <c r="AY616" s="31"/>
      <c r="AZ616" s="31"/>
      <c r="BA616" s="31"/>
      <c r="BB616" s="31"/>
      <c r="BC616" s="31"/>
      <c r="BD616" s="31"/>
      <c r="BE616" s="31"/>
      <c r="BF616" s="31"/>
      <c r="BG616" s="31"/>
      <c r="BH616" s="31"/>
      <c r="BI616" s="31"/>
      <c r="BJ616" s="31"/>
      <c r="BK616" s="31"/>
      <c r="BL616" s="31"/>
    </row>
    <row r="617" ht="15.7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31"/>
      <c r="AQ617" s="31"/>
      <c r="AR617" s="31"/>
      <c r="AS617" s="31"/>
      <c r="AT617" s="31"/>
      <c r="AU617" s="31"/>
      <c r="AV617" s="31"/>
      <c r="AW617" s="31"/>
      <c r="AX617" s="31"/>
      <c r="AY617" s="31"/>
      <c r="AZ617" s="31"/>
      <c r="BA617" s="31"/>
      <c r="BB617" s="31"/>
      <c r="BC617" s="31"/>
      <c r="BD617" s="31"/>
      <c r="BE617" s="31"/>
      <c r="BF617" s="31"/>
      <c r="BG617" s="31"/>
      <c r="BH617" s="31"/>
      <c r="BI617" s="31"/>
      <c r="BJ617" s="31"/>
      <c r="BK617" s="31"/>
      <c r="BL617" s="31"/>
    </row>
    <row r="618" ht="15.7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31"/>
      <c r="AQ618" s="31"/>
      <c r="AR618" s="31"/>
      <c r="AS618" s="31"/>
      <c r="AT618" s="31"/>
      <c r="AU618" s="31"/>
      <c r="AV618" s="31"/>
      <c r="AW618" s="31"/>
      <c r="AX618" s="31"/>
      <c r="AY618" s="31"/>
      <c r="AZ618" s="31"/>
      <c r="BA618" s="31"/>
      <c r="BB618" s="31"/>
      <c r="BC618" s="31"/>
      <c r="BD618" s="31"/>
      <c r="BE618" s="31"/>
      <c r="BF618" s="31"/>
      <c r="BG618" s="31"/>
      <c r="BH618" s="31"/>
      <c r="BI618" s="31"/>
      <c r="BJ618" s="31"/>
      <c r="BK618" s="31"/>
      <c r="BL618" s="31"/>
    </row>
    <row r="619" ht="15.7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31"/>
      <c r="AQ619" s="31"/>
      <c r="AR619" s="31"/>
      <c r="AS619" s="31"/>
      <c r="AT619" s="31"/>
      <c r="AU619" s="31"/>
      <c r="AV619" s="31"/>
      <c r="AW619" s="31"/>
      <c r="AX619" s="31"/>
      <c r="AY619" s="31"/>
      <c r="AZ619" s="31"/>
      <c r="BA619" s="31"/>
      <c r="BB619" s="31"/>
      <c r="BC619" s="31"/>
      <c r="BD619" s="31"/>
      <c r="BE619" s="31"/>
      <c r="BF619" s="31"/>
      <c r="BG619" s="31"/>
      <c r="BH619" s="31"/>
      <c r="BI619" s="31"/>
      <c r="BJ619" s="31"/>
      <c r="BK619" s="31"/>
      <c r="BL619" s="31"/>
    </row>
    <row r="620" ht="15.7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31"/>
      <c r="AQ620" s="31"/>
      <c r="AR620" s="31"/>
      <c r="AS620" s="31"/>
      <c r="AT620" s="31"/>
      <c r="AU620" s="31"/>
      <c r="AV620" s="31"/>
      <c r="AW620" s="31"/>
      <c r="AX620" s="31"/>
      <c r="AY620" s="31"/>
      <c r="AZ620" s="31"/>
      <c r="BA620" s="31"/>
      <c r="BB620" s="31"/>
      <c r="BC620" s="31"/>
      <c r="BD620" s="31"/>
      <c r="BE620" s="31"/>
      <c r="BF620" s="31"/>
      <c r="BG620" s="31"/>
      <c r="BH620" s="31"/>
      <c r="BI620" s="31"/>
      <c r="BJ620" s="31"/>
      <c r="BK620" s="31"/>
      <c r="BL620" s="31"/>
    </row>
    <row r="621" ht="15.7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31"/>
      <c r="AQ621" s="31"/>
      <c r="AR621" s="31"/>
      <c r="AS621" s="31"/>
      <c r="AT621" s="31"/>
      <c r="AU621" s="31"/>
      <c r="AV621" s="31"/>
      <c r="AW621" s="31"/>
      <c r="AX621" s="31"/>
      <c r="AY621" s="31"/>
      <c r="AZ621" s="31"/>
      <c r="BA621" s="31"/>
      <c r="BB621" s="31"/>
      <c r="BC621" s="31"/>
      <c r="BD621" s="31"/>
      <c r="BE621" s="31"/>
      <c r="BF621" s="31"/>
      <c r="BG621" s="31"/>
      <c r="BH621" s="31"/>
      <c r="BI621" s="31"/>
      <c r="BJ621" s="31"/>
      <c r="BK621" s="31"/>
      <c r="BL621" s="31"/>
    </row>
    <row r="622" ht="15.7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31"/>
      <c r="AQ622" s="31"/>
      <c r="AR622" s="31"/>
      <c r="AS622" s="31"/>
      <c r="AT622" s="31"/>
      <c r="AU622" s="31"/>
      <c r="AV622" s="31"/>
      <c r="AW622" s="31"/>
      <c r="AX622" s="31"/>
      <c r="AY622" s="31"/>
      <c r="AZ622" s="31"/>
      <c r="BA622" s="31"/>
      <c r="BB622" s="31"/>
      <c r="BC622" s="31"/>
      <c r="BD622" s="31"/>
      <c r="BE622" s="31"/>
      <c r="BF622" s="31"/>
      <c r="BG622" s="31"/>
      <c r="BH622" s="31"/>
      <c r="BI622" s="31"/>
      <c r="BJ622" s="31"/>
      <c r="BK622" s="31"/>
      <c r="BL622" s="31"/>
    </row>
    <row r="623" ht="15.7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31"/>
      <c r="AQ623" s="31"/>
      <c r="AR623" s="31"/>
      <c r="AS623" s="31"/>
      <c r="AT623" s="31"/>
      <c r="AU623" s="31"/>
      <c r="AV623" s="31"/>
      <c r="AW623" s="31"/>
      <c r="AX623" s="31"/>
      <c r="AY623" s="31"/>
      <c r="AZ623" s="31"/>
      <c r="BA623" s="31"/>
      <c r="BB623" s="31"/>
      <c r="BC623" s="31"/>
      <c r="BD623" s="31"/>
      <c r="BE623" s="31"/>
      <c r="BF623" s="31"/>
      <c r="BG623" s="31"/>
      <c r="BH623" s="31"/>
      <c r="BI623" s="31"/>
      <c r="BJ623" s="31"/>
      <c r="BK623" s="31"/>
      <c r="BL623" s="31"/>
    </row>
    <row r="624" ht="15.7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31"/>
      <c r="AQ624" s="31"/>
      <c r="AR624" s="31"/>
      <c r="AS624" s="31"/>
      <c r="AT624" s="31"/>
      <c r="AU624" s="31"/>
      <c r="AV624" s="31"/>
      <c r="AW624" s="31"/>
      <c r="AX624" s="31"/>
      <c r="AY624" s="31"/>
      <c r="AZ624" s="31"/>
      <c r="BA624" s="31"/>
      <c r="BB624" s="31"/>
      <c r="BC624" s="31"/>
      <c r="BD624" s="31"/>
      <c r="BE624" s="31"/>
      <c r="BF624" s="31"/>
      <c r="BG624" s="31"/>
      <c r="BH624" s="31"/>
      <c r="BI624" s="31"/>
      <c r="BJ624" s="31"/>
      <c r="BK624" s="31"/>
      <c r="BL624" s="31"/>
    </row>
    <row r="625" ht="15.7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31"/>
      <c r="AQ625" s="31"/>
      <c r="AR625" s="31"/>
      <c r="AS625" s="31"/>
      <c r="AT625" s="31"/>
      <c r="AU625" s="31"/>
      <c r="AV625" s="31"/>
      <c r="AW625" s="31"/>
      <c r="AX625" s="31"/>
      <c r="AY625" s="31"/>
      <c r="AZ625" s="31"/>
      <c r="BA625" s="31"/>
      <c r="BB625" s="31"/>
      <c r="BC625" s="31"/>
      <c r="BD625" s="31"/>
      <c r="BE625" s="31"/>
      <c r="BF625" s="31"/>
      <c r="BG625" s="31"/>
      <c r="BH625" s="31"/>
      <c r="BI625" s="31"/>
      <c r="BJ625" s="31"/>
      <c r="BK625" s="31"/>
      <c r="BL625" s="31"/>
    </row>
    <row r="626" ht="15.7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31"/>
      <c r="AQ626" s="31"/>
      <c r="AR626" s="31"/>
      <c r="AS626" s="31"/>
      <c r="AT626" s="31"/>
      <c r="AU626" s="31"/>
      <c r="AV626" s="31"/>
      <c r="AW626" s="31"/>
      <c r="AX626" s="31"/>
      <c r="AY626" s="31"/>
      <c r="AZ626" s="31"/>
      <c r="BA626" s="31"/>
      <c r="BB626" s="31"/>
      <c r="BC626" s="31"/>
      <c r="BD626" s="31"/>
      <c r="BE626" s="31"/>
      <c r="BF626" s="31"/>
      <c r="BG626" s="31"/>
      <c r="BH626" s="31"/>
      <c r="BI626" s="31"/>
      <c r="BJ626" s="31"/>
      <c r="BK626" s="31"/>
      <c r="BL626" s="31"/>
    </row>
    <row r="627" ht="15.7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31"/>
      <c r="AQ627" s="31"/>
      <c r="AR627" s="31"/>
      <c r="AS627" s="31"/>
      <c r="AT627" s="31"/>
      <c r="AU627" s="31"/>
      <c r="AV627" s="31"/>
      <c r="AW627" s="31"/>
      <c r="AX627" s="31"/>
      <c r="AY627" s="31"/>
      <c r="AZ627" s="31"/>
      <c r="BA627" s="31"/>
      <c r="BB627" s="31"/>
      <c r="BC627" s="31"/>
      <c r="BD627" s="31"/>
      <c r="BE627" s="31"/>
      <c r="BF627" s="31"/>
      <c r="BG627" s="31"/>
      <c r="BH627" s="31"/>
      <c r="BI627" s="31"/>
      <c r="BJ627" s="31"/>
      <c r="BK627" s="31"/>
      <c r="BL627" s="31"/>
    </row>
    <row r="628" ht="15.7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31"/>
      <c r="AQ628" s="31"/>
      <c r="AR628" s="31"/>
      <c r="AS628" s="31"/>
      <c r="AT628" s="31"/>
      <c r="AU628" s="31"/>
      <c r="AV628" s="31"/>
      <c r="AW628" s="31"/>
      <c r="AX628" s="31"/>
      <c r="AY628" s="31"/>
      <c r="AZ628" s="31"/>
      <c r="BA628" s="31"/>
      <c r="BB628" s="31"/>
      <c r="BC628" s="31"/>
      <c r="BD628" s="31"/>
      <c r="BE628" s="31"/>
      <c r="BF628" s="31"/>
      <c r="BG628" s="31"/>
      <c r="BH628" s="31"/>
      <c r="BI628" s="31"/>
      <c r="BJ628" s="31"/>
      <c r="BK628" s="31"/>
      <c r="BL628" s="31"/>
    </row>
    <row r="629" ht="15.7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31"/>
      <c r="AQ629" s="31"/>
      <c r="AR629" s="31"/>
      <c r="AS629" s="31"/>
      <c r="AT629" s="31"/>
      <c r="AU629" s="31"/>
      <c r="AV629" s="31"/>
      <c r="AW629" s="31"/>
      <c r="AX629" s="31"/>
      <c r="AY629" s="31"/>
      <c r="AZ629" s="31"/>
      <c r="BA629" s="31"/>
      <c r="BB629" s="31"/>
      <c r="BC629" s="31"/>
      <c r="BD629" s="31"/>
      <c r="BE629" s="31"/>
      <c r="BF629" s="31"/>
      <c r="BG629" s="31"/>
      <c r="BH629" s="31"/>
      <c r="BI629" s="31"/>
      <c r="BJ629" s="31"/>
      <c r="BK629" s="31"/>
      <c r="BL629" s="31"/>
    </row>
    <row r="630" ht="15.7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31"/>
      <c r="AQ630" s="31"/>
      <c r="AR630" s="31"/>
      <c r="AS630" s="31"/>
      <c r="AT630" s="31"/>
      <c r="AU630" s="31"/>
      <c r="AV630" s="31"/>
      <c r="AW630" s="31"/>
      <c r="AX630" s="31"/>
      <c r="AY630" s="31"/>
      <c r="AZ630" s="31"/>
      <c r="BA630" s="31"/>
      <c r="BB630" s="31"/>
      <c r="BC630" s="31"/>
      <c r="BD630" s="31"/>
      <c r="BE630" s="31"/>
      <c r="BF630" s="31"/>
      <c r="BG630" s="31"/>
      <c r="BH630" s="31"/>
      <c r="BI630" s="31"/>
      <c r="BJ630" s="31"/>
      <c r="BK630" s="31"/>
      <c r="BL630" s="31"/>
    </row>
    <row r="631" ht="15.7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31"/>
      <c r="AQ631" s="31"/>
      <c r="AR631" s="31"/>
      <c r="AS631" s="31"/>
      <c r="AT631" s="31"/>
      <c r="AU631" s="31"/>
      <c r="AV631" s="31"/>
      <c r="AW631" s="31"/>
      <c r="AX631" s="31"/>
      <c r="AY631" s="31"/>
      <c r="AZ631" s="31"/>
      <c r="BA631" s="31"/>
      <c r="BB631" s="31"/>
      <c r="BC631" s="31"/>
      <c r="BD631" s="31"/>
      <c r="BE631" s="31"/>
      <c r="BF631" s="31"/>
      <c r="BG631" s="31"/>
      <c r="BH631" s="31"/>
      <c r="BI631" s="31"/>
      <c r="BJ631" s="31"/>
      <c r="BK631" s="31"/>
      <c r="BL631" s="31"/>
    </row>
    <row r="632" ht="15.7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31"/>
      <c r="AQ632" s="31"/>
      <c r="AR632" s="31"/>
      <c r="AS632" s="31"/>
      <c r="AT632" s="31"/>
      <c r="AU632" s="31"/>
      <c r="AV632" s="31"/>
      <c r="AW632" s="31"/>
      <c r="AX632" s="31"/>
      <c r="AY632" s="31"/>
      <c r="AZ632" s="31"/>
      <c r="BA632" s="31"/>
      <c r="BB632" s="31"/>
      <c r="BC632" s="31"/>
      <c r="BD632" s="31"/>
      <c r="BE632" s="31"/>
      <c r="BF632" s="31"/>
      <c r="BG632" s="31"/>
      <c r="BH632" s="31"/>
      <c r="BI632" s="31"/>
      <c r="BJ632" s="31"/>
      <c r="BK632" s="31"/>
      <c r="BL632" s="31"/>
    </row>
    <row r="633" ht="15.7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31"/>
      <c r="AQ633" s="31"/>
      <c r="AR633" s="31"/>
      <c r="AS633" s="31"/>
      <c r="AT633" s="31"/>
      <c r="AU633" s="31"/>
      <c r="AV633" s="31"/>
      <c r="AW633" s="31"/>
      <c r="AX633" s="31"/>
      <c r="AY633" s="31"/>
      <c r="AZ633" s="31"/>
      <c r="BA633" s="31"/>
      <c r="BB633" s="31"/>
      <c r="BC633" s="31"/>
      <c r="BD633" s="31"/>
      <c r="BE633" s="31"/>
      <c r="BF633" s="31"/>
      <c r="BG633" s="31"/>
      <c r="BH633" s="31"/>
      <c r="BI633" s="31"/>
      <c r="BJ633" s="31"/>
      <c r="BK633" s="31"/>
      <c r="BL633" s="31"/>
    </row>
    <row r="634" ht="15.7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31"/>
      <c r="AQ634" s="31"/>
      <c r="AR634" s="31"/>
      <c r="AS634" s="31"/>
      <c r="AT634" s="31"/>
      <c r="AU634" s="31"/>
      <c r="AV634" s="31"/>
      <c r="AW634" s="31"/>
      <c r="AX634" s="31"/>
      <c r="AY634" s="31"/>
      <c r="AZ634" s="31"/>
      <c r="BA634" s="31"/>
      <c r="BB634" s="31"/>
      <c r="BC634" s="31"/>
      <c r="BD634" s="31"/>
      <c r="BE634" s="31"/>
      <c r="BF634" s="31"/>
      <c r="BG634" s="31"/>
      <c r="BH634" s="31"/>
      <c r="BI634" s="31"/>
      <c r="BJ634" s="31"/>
      <c r="BK634" s="31"/>
      <c r="BL634" s="31"/>
    </row>
    <row r="635" ht="15.7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31"/>
      <c r="AQ635" s="31"/>
      <c r="AR635" s="31"/>
      <c r="AS635" s="31"/>
      <c r="AT635" s="31"/>
      <c r="AU635" s="31"/>
      <c r="AV635" s="31"/>
      <c r="AW635" s="31"/>
      <c r="AX635" s="31"/>
      <c r="AY635" s="31"/>
      <c r="AZ635" s="31"/>
      <c r="BA635" s="31"/>
      <c r="BB635" s="31"/>
      <c r="BC635" s="31"/>
      <c r="BD635" s="31"/>
      <c r="BE635" s="31"/>
      <c r="BF635" s="31"/>
      <c r="BG635" s="31"/>
      <c r="BH635" s="31"/>
      <c r="BI635" s="31"/>
      <c r="BJ635" s="31"/>
      <c r="BK635" s="31"/>
      <c r="BL635" s="31"/>
    </row>
    <row r="636" ht="15.7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31"/>
      <c r="AQ636" s="31"/>
      <c r="AR636" s="31"/>
      <c r="AS636" s="31"/>
      <c r="AT636" s="31"/>
      <c r="AU636" s="31"/>
      <c r="AV636" s="31"/>
      <c r="AW636" s="31"/>
      <c r="AX636" s="31"/>
      <c r="AY636" s="31"/>
      <c r="AZ636" s="31"/>
      <c r="BA636" s="31"/>
      <c r="BB636" s="31"/>
      <c r="BC636" s="31"/>
      <c r="BD636" s="31"/>
      <c r="BE636" s="31"/>
      <c r="BF636" s="31"/>
      <c r="BG636" s="31"/>
      <c r="BH636" s="31"/>
      <c r="BI636" s="31"/>
      <c r="BJ636" s="31"/>
      <c r="BK636" s="31"/>
      <c r="BL636" s="31"/>
    </row>
    <row r="637" ht="15.7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31"/>
      <c r="AQ637" s="31"/>
      <c r="AR637" s="31"/>
      <c r="AS637" s="31"/>
      <c r="AT637" s="31"/>
      <c r="AU637" s="31"/>
      <c r="AV637" s="31"/>
      <c r="AW637" s="31"/>
      <c r="AX637" s="31"/>
      <c r="AY637" s="31"/>
      <c r="AZ637" s="31"/>
      <c r="BA637" s="31"/>
      <c r="BB637" s="31"/>
      <c r="BC637" s="31"/>
      <c r="BD637" s="31"/>
      <c r="BE637" s="31"/>
      <c r="BF637" s="31"/>
      <c r="BG637" s="31"/>
      <c r="BH637" s="31"/>
      <c r="BI637" s="31"/>
      <c r="BJ637" s="31"/>
      <c r="BK637" s="31"/>
      <c r="BL637" s="31"/>
    </row>
    <row r="638" ht="15.7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31"/>
      <c r="AQ638" s="31"/>
      <c r="AR638" s="31"/>
      <c r="AS638" s="31"/>
      <c r="AT638" s="31"/>
      <c r="AU638" s="31"/>
      <c r="AV638" s="31"/>
      <c r="AW638" s="31"/>
      <c r="AX638" s="31"/>
      <c r="AY638" s="31"/>
      <c r="AZ638" s="31"/>
      <c r="BA638" s="31"/>
      <c r="BB638" s="31"/>
      <c r="BC638" s="31"/>
      <c r="BD638" s="31"/>
      <c r="BE638" s="31"/>
      <c r="BF638" s="31"/>
      <c r="BG638" s="31"/>
      <c r="BH638" s="31"/>
      <c r="BI638" s="31"/>
      <c r="BJ638" s="31"/>
      <c r="BK638" s="31"/>
      <c r="BL638" s="31"/>
    </row>
    <row r="639" ht="15.7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31"/>
      <c r="AQ639" s="31"/>
      <c r="AR639" s="31"/>
      <c r="AS639" s="31"/>
      <c r="AT639" s="31"/>
      <c r="AU639" s="31"/>
      <c r="AV639" s="31"/>
      <c r="AW639" s="31"/>
      <c r="AX639" s="31"/>
      <c r="AY639" s="31"/>
      <c r="AZ639" s="31"/>
      <c r="BA639" s="31"/>
      <c r="BB639" s="31"/>
      <c r="BC639" s="31"/>
      <c r="BD639" s="31"/>
      <c r="BE639" s="31"/>
      <c r="BF639" s="31"/>
      <c r="BG639" s="31"/>
      <c r="BH639" s="31"/>
      <c r="BI639" s="31"/>
      <c r="BJ639" s="31"/>
      <c r="BK639" s="31"/>
      <c r="BL639" s="31"/>
    </row>
    <row r="640" ht="15.7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31"/>
      <c r="AQ640" s="31"/>
      <c r="AR640" s="31"/>
      <c r="AS640" s="31"/>
      <c r="AT640" s="31"/>
      <c r="AU640" s="31"/>
      <c r="AV640" s="31"/>
      <c r="AW640" s="31"/>
      <c r="AX640" s="31"/>
      <c r="AY640" s="31"/>
      <c r="AZ640" s="31"/>
      <c r="BA640" s="31"/>
      <c r="BB640" s="31"/>
      <c r="BC640" s="31"/>
      <c r="BD640" s="31"/>
      <c r="BE640" s="31"/>
      <c r="BF640" s="31"/>
      <c r="BG640" s="31"/>
      <c r="BH640" s="31"/>
      <c r="BI640" s="31"/>
      <c r="BJ640" s="31"/>
      <c r="BK640" s="31"/>
      <c r="BL640" s="31"/>
    </row>
    <row r="641" ht="15.7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31"/>
      <c r="AQ641" s="31"/>
      <c r="AR641" s="31"/>
      <c r="AS641" s="31"/>
      <c r="AT641" s="31"/>
      <c r="AU641" s="31"/>
      <c r="AV641" s="31"/>
      <c r="AW641" s="31"/>
      <c r="AX641" s="31"/>
      <c r="AY641" s="31"/>
      <c r="AZ641" s="31"/>
      <c r="BA641" s="31"/>
      <c r="BB641" s="31"/>
      <c r="BC641" s="31"/>
      <c r="BD641" s="31"/>
      <c r="BE641" s="31"/>
      <c r="BF641" s="31"/>
      <c r="BG641" s="31"/>
      <c r="BH641" s="31"/>
      <c r="BI641" s="31"/>
      <c r="BJ641" s="31"/>
      <c r="BK641" s="31"/>
      <c r="BL641" s="31"/>
    </row>
    <row r="642" ht="15.7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31"/>
      <c r="AQ642" s="31"/>
      <c r="AR642" s="31"/>
      <c r="AS642" s="31"/>
      <c r="AT642" s="31"/>
      <c r="AU642" s="31"/>
      <c r="AV642" s="31"/>
      <c r="AW642" s="31"/>
      <c r="AX642" s="31"/>
      <c r="AY642" s="31"/>
      <c r="AZ642" s="31"/>
      <c r="BA642" s="31"/>
      <c r="BB642" s="31"/>
      <c r="BC642" s="31"/>
      <c r="BD642" s="31"/>
      <c r="BE642" s="31"/>
      <c r="BF642" s="31"/>
      <c r="BG642" s="31"/>
      <c r="BH642" s="31"/>
      <c r="BI642" s="31"/>
      <c r="BJ642" s="31"/>
      <c r="BK642" s="31"/>
      <c r="BL642" s="31"/>
    </row>
    <row r="643" ht="15.7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31"/>
      <c r="AQ643" s="31"/>
      <c r="AR643" s="31"/>
      <c r="AS643" s="31"/>
      <c r="AT643" s="31"/>
      <c r="AU643" s="31"/>
      <c r="AV643" s="31"/>
      <c r="AW643" s="31"/>
      <c r="AX643" s="31"/>
      <c r="AY643" s="31"/>
      <c r="AZ643" s="31"/>
      <c r="BA643" s="31"/>
      <c r="BB643" s="31"/>
      <c r="BC643" s="31"/>
      <c r="BD643" s="31"/>
      <c r="BE643" s="31"/>
      <c r="BF643" s="31"/>
      <c r="BG643" s="31"/>
      <c r="BH643" s="31"/>
      <c r="BI643" s="31"/>
      <c r="BJ643" s="31"/>
      <c r="BK643" s="31"/>
      <c r="BL643" s="31"/>
    </row>
    <row r="644" ht="15.7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31"/>
      <c r="AQ644" s="31"/>
      <c r="AR644" s="31"/>
      <c r="AS644" s="31"/>
      <c r="AT644" s="31"/>
      <c r="AU644" s="31"/>
      <c r="AV644" s="31"/>
      <c r="AW644" s="31"/>
      <c r="AX644" s="31"/>
      <c r="AY644" s="31"/>
      <c r="AZ644" s="31"/>
      <c r="BA644" s="31"/>
      <c r="BB644" s="31"/>
      <c r="BC644" s="31"/>
      <c r="BD644" s="31"/>
      <c r="BE644" s="31"/>
      <c r="BF644" s="31"/>
      <c r="BG644" s="31"/>
      <c r="BH644" s="31"/>
      <c r="BI644" s="31"/>
      <c r="BJ644" s="31"/>
      <c r="BK644" s="31"/>
      <c r="BL644" s="31"/>
    </row>
    <row r="645" ht="15.7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31"/>
      <c r="AQ645" s="31"/>
      <c r="AR645" s="31"/>
      <c r="AS645" s="31"/>
      <c r="AT645" s="31"/>
      <c r="AU645" s="31"/>
      <c r="AV645" s="31"/>
      <c r="AW645" s="31"/>
      <c r="AX645" s="31"/>
      <c r="AY645" s="31"/>
      <c r="AZ645" s="31"/>
      <c r="BA645" s="31"/>
      <c r="BB645" s="31"/>
      <c r="BC645" s="31"/>
      <c r="BD645" s="31"/>
      <c r="BE645" s="31"/>
      <c r="BF645" s="31"/>
      <c r="BG645" s="31"/>
      <c r="BH645" s="31"/>
      <c r="BI645" s="31"/>
      <c r="BJ645" s="31"/>
      <c r="BK645" s="31"/>
      <c r="BL645" s="31"/>
    </row>
    <row r="646" ht="15.7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31"/>
      <c r="AQ646" s="31"/>
      <c r="AR646" s="31"/>
      <c r="AS646" s="31"/>
      <c r="AT646" s="31"/>
      <c r="AU646" s="31"/>
      <c r="AV646" s="31"/>
      <c r="AW646" s="31"/>
      <c r="AX646" s="31"/>
      <c r="AY646" s="31"/>
      <c r="AZ646" s="31"/>
      <c r="BA646" s="31"/>
      <c r="BB646" s="31"/>
      <c r="BC646" s="31"/>
      <c r="BD646" s="31"/>
      <c r="BE646" s="31"/>
      <c r="BF646" s="31"/>
      <c r="BG646" s="31"/>
      <c r="BH646" s="31"/>
      <c r="BI646" s="31"/>
      <c r="BJ646" s="31"/>
      <c r="BK646" s="31"/>
      <c r="BL646" s="31"/>
    </row>
    <row r="647" ht="15.7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31"/>
      <c r="AQ647" s="31"/>
      <c r="AR647" s="31"/>
      <c r="AS647" s="31"/>
      <c r="AT647" s="31"/>
      <c r="AU647" s="31"/>
      <c r="AV647" s="31"/>
      <c r="AW647" s="31"/>
      <c r="AX647" s="31"/>
      <c r="AY647" s="31"/>
      <c r="AZ647" s="31"/>
      <c r="BA647" s="31"/>
      <c r="BB647" s="31"/>
      <c r="BC647" s="31"/>
      <c r="BD647" s="31"/>
      <c r="BE647" s="31"/>
      <c r="BF647" s="31"/>
      <c r="BG647" s="31"/>
      <c r="BH647" s="31"/>
      <c r="BI647" s="31"/>
      <c r="BJ647" s="31"/>
      <c r="BK647" s="31"/>
      <c r="BL647" s="31"/>
    </row>
    <row r="648" ht="15.7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31"/>
      <c r="AQ648" s="31"/>
      <c r="AR648" s="31"/>
      <c r="AS648" s="31"/>
      <c r="AT648" s="31"/>
      <c r="AU648" s="31"/>
      <c r="AV648" s="31"/>
      <c r="AW648" s="31"/>
      <c r="AX648" s="31"/>
      <c r="AY648" s="31"/>
      <c r="AZ648" s="31"/>
      <c r="BA648" s="31"/>
      <c r="BB648" s="31"/>
      <c r="BC648" s="31"/>
      <c r="BD648" s="31"/>
      <c r="BE648" s="31"/>
      <c r="BF648" s="31"/>
      <c r="BG648" s="31"/>
      <c r="BH648" s="31"/>
      <c r="BI648" s="31"/>
      <c r="BJ648" s="31"/>
      <c r="BK648" s="31"/>
      <c r="BL648" s="31"/>
    </row>
    <row r="649" ht="15.7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31"/>
      <c r="AQ649" s="31"/>
      <c r="AR649" s="31"/>
      <c r="AS649" s="31"/>
      <c r="AT649" s="31"/>
      <c r="AU649" s="31"/>
      <c r="AV649" s="31"/>
      <c r="AW649" s="31"/>
      <c r="AX649" s="31"/>
      <c r="AY649" s="31"/>
      <c r="AZ649" s="31"/>
      <c r="BA649" s="31"/>
      <c r="BB649" s="31"/>
      <c r="BC649" s="31"/>
      <c r="BD649" s="31"/>
      <c r="BE649" s="31"/>
      <c r="BF649" s="31"/>
      <c r="BG649" s="31"/>
      <c r="BH649" s="31"/>
      <c r="BI649" s="31"/>
      <c r="BJ649" s="31"/>
      <c r="BK649" s="31"/>
      <c r="BL649" s="31"/>
    </row>
    <row r="650" ht="15.7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31"/>
      <c r="AQ650" s="31"/>
      <c r="AR650" s="31"/>
      <c r="AS650" s="31"/>
      <c r="AT650" s="31"/>
      <c r="AU650" s="31"/>
      <c r="AV650" s="31"/>
      <c r="AW650" s="31"/>
      <c r="AX650" s="31"/>
      <c r="AY650" s="31"/>
      <c r="AZ650" s="31"/>
      <c r="BA650" s="31"/>
      <c r="BB650" s="31"/>
      <c r="BC650" s="31"/>
      <c r="BD650" s="31"/>
      <c r="BE650" s="31"/>
      <c r="BF650" s="31"/>
      <c r="BG650" s="31"/>
      <c r="BH650" s="31"/>
      <c r="BI650" s="31"/>
      <c r="BJ650" s="31"/>
      <c r="BK650" s="31"/>
      <c r="BL650" s="31"/>
    </row>
    <row r="651" ht="15.7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31"/>
      <c r="AQ651" s="31"/>
      <c r="AR651" s="31"/>
      <c r="AS651" s="31"/>
      <c r="AT651" s="31"/>
      <c r="AU651" s="31"/>
      <c r="AV651" s="31"/>
      <c r="AW651" s="31"/>
      <c r="AX651" s="31"/>
      <c r="AY651" s="31"/>
      <c r="AZ651" s="31"/>
      <c r="BA651" s="31"/>
      <c r="BB651" s="31"/>
      <c r="BC651" s="31"/>
      <c r="BD651" s="31"/>
      <c r="BE651" s="31"/>
      <c r="BF651" s="31"/>
      <c r="BG651" s="31"/>
      <c r="BH651" s="31"/>
      <c r="BI651" s="31"/>
      <c r="BJ651" s="31"/>
      <c r="BK651" s="31"/>
      <c r="BL651" s="31"/>
    </row>
    <row r="652" ht="15.7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31"/>
      <c r="AQ652" s="31"/>
      <c r="AR652" s="31"/>
      <c r="AS652" s="31"/>
      <c r="AT652" s="31"/>
      <c r="AU652" s="31"/>
      <c r="AV652" s="31"/>
      <c r="AW652" s="31"/>
      <c r="AX652" s="31"/>
      <c r="AY652" s="31"/>
      <c r="AZ652" s="31"/>
      <c r="BA652" s="31"/>
      <c r="BB652" s="31"/>
      <c r="BC652" s="31"/>
      <c r="BD652" s="31"/>
      <c r="BE652" s="31"/>
      <c r="BF652" s="31"/>
      <c r="BG652" s="31"/>
      <c r="BH652" s="31"/>
      <c r="BI652" s="31"/>
      <c r="BJ652" s="31"/>
      <c r="BK652" s="31"/>
      <c r="BL652" s="31"/>
    </row>
    <row r="653" ht="15.7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31"/>
      <c r="AQ653" s="31"/>
      <c r="AR653" s="31"/>
      <c r="AS653" s="31"/>
      <c r="AT653" s="31"/>
      <c r="AU653" s="31"/>
      <c r="AV653" s="31"/>
      <c r="AW653" s="31"/>
      <c r="AX653" s="31"/>
      <c r="AY653" s="31"/>
      <c r="AZ653" s="31"/>
      <c r="BA653" s="31"/>
      <c r="BB653" s="31"/>
      <c r="BC653" s="31"/>
      <c r="BD653" s="31"/>
      <c r="BE653" s="31"/>
      <c r="BF653" s="31"/>
      <c r="BG653" s="31"/>
      <c r="BH653" s="31"/>
      <c r="BI653" s="31"/>
      <c r="BJ653" s="31"/>
      <c r="BK653" s="31"/>
      <c r="BL653" s="31"/>
    </row>
    <row r="654" ht="15.7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31"/>
      <c r="AQ654" s="31"/>
      <c r="AR654" s="31"/>
      <c r="AS654" s="31"/>
      <c r="AT654" s="31"/>
      <c r="AU654" s="31"/>
      <c r="AV654" s="31"/>
      <c r="AW654" s="31"/>
      <c r="AX654" s="31"/>
      <c r="AY654" s="31"/>
      <c r="AZ654" s="31"/>
      <c r="BA654" s="31"/>
      <c r="BB654" s="31"/>
      <c r="BC654" s="31"/>
      <c r="BD654" s="31"/>
      <c r="BE654" s="31"/>
      <c r="BF654" s="31"/>
      <c r="BG654" s="31"/>
      <c r="BH654" s="31"/>
      <c r="BI654" s="31"/>
      <c r="BJ654" s="31"/>
      <c r="BK654" s="31"/>
      <c r="BL654" s="31"/>
    </row>
    <row r="655" ht="15.7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31"/>
      <c r="AQ655" s="31"/>
      <c r="AR655" s="31"/>
      <c r="AS655" s="31"/>
      <c r="AT655" s="31"/>
      <c r="AU655" s="31"/>
      <c r="AV655" s="31"/>
      <c r="AW655" s="31"/>
      <c r="AX655" s="31"/>
      <c r="AY655" s="31"/>
      <c r="AZ655" s="31"/>
      <c r="BA655" s="31"/>
      <c r="BB655" s="31"/>
      <c r="BC655" s="31"/>
      <c r="BD655" s="31"/>
      <c r="BE655" s="31"/>
      <c r="BF655" s="31"/>
      <c r="BG655" s="31"/>
      <c r="BH655" s="31"/>
      <c r="BI655" s="31"/>
      <c r="BJ655" s="31"/>
      <c r="BK655" s="31"/>
      <c r="BL655" s="31"/>
    </row>
    <row r="656" ht="15.7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31"/>
      <c r="AQ656" s="31"/>
      <c r="AR656" s="31"/>
      <c r="AS656" s="31"/>
      <c r="AT656" s="31"/>
      <c r="AU656" s="31"/>
      <c r="AV656" s="31"/>
      <c r="AW656" s="31"/>
      <c r="AX656" s="31"/>
      <c r="AY656" s="31"/>
      <c r="AZ656" s="31"/>
      <c r="BA656" s="31"/>
      <c r="BB656" s="31"/>
      <c r="BC656" s="31"/>
      <c r="BD656" s="31"/>
      <c r="BE656" s="31"/>
      <c r="BF656" s="31"/>
      <c r="BG656" s="31"/>
      <c r="BH656" s="31"/>
      <c r="BI656" s="31"/>
      <c r="BJ656" s="31"/>
      <c r="BK656" s="31"/>
      <c r="BL656" s="31"/>
    </row>
    <row r="657" ht="15.7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31"/>
      <c r="AQ657" s="31"/>
      <c r="AR657" s="31"/>
      <c r="AS657" s="31"/>
      <c r="AT657" s="31"/>
      <c r="AU657" s="31"/>
      <c r="AV657" s="31"/>
      <c r="AW657" s="31"/>
      <c r="AX657" s="31"/>
      <c r="AY657" s="31"/>
      <c r="AZ657" s="31"/>
      <c r="BA657" s="31"/>
      <c r="BB657" s="31"/>
      <c r="BC657" s="31"/>
      <c r="BD657" s="31"/>
      <c r="BE657" s="31"/>
      <c r="BF657" s="31"/>
      <c r="BG657" s="31"/>
      <c r="BH657" s="31"/>
      <c r="BI657" s="31"/>
      <c r="BJ657" s="31"/>
      <c r="BK657" s="31"/>
      <c r="BL657" s="31"/>
    </row>
    <row r="658" ht="15.7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31"/>
      <c r="AQ658" s="31"/>
      <c r="AR658" s="31"/>
      <c r="AS658" s="31"/>
      <c r="AT658" s="31"/>
      <c r="AU658" s="31"/>
      <c r="AV658" s="31"/>
      <c r="AW658" s="31"/>
      <c r="AX658" s="31"/>
      <c r="AY658" s="31"/>
      <c r="AZ658" s="31"/>
      <c r="BA658" s="31"/>
      <c r="BB658" s="31"/>
      <c r="BC658" s="31"/>
      <c r="BD658" s="31"/>
      <c r="BE658" s="31"/>
      <c r="BF658" s="31"/>
      <c r="BG658" s="31"/>
      <c r="BH658" s="31"/>
      <c r="BI658" s="31"/>
      <c r="BJ658" s="31"/>
      <c r="BK658" s="31"/>
      <c r="BL658" s="31"/>
    </row>
    <row r="659" ht="15.7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31"/>
      <c r="AQ659" s="31"/>
      <c r="AR659" s="31"/>
      <c r="AS659" s="31"/>
      <c r="AT659" s="31"/>
      <c r="AU659" s="31"/>
      <c r="AV659" s="31"/>
      <c r="AW659" s="31"/>
      <c r="AX659" s="31"/>
      <c r="AY659" s="31"/>
      <c r="AZ659" s="31"/>
      <c r="BA659" s="31"/>
      <c r="BB659" s="31"/>
      <c r="BC659" s="31"/>
      <c r="BD659" s="31"/>
      <c r="BE659" s="31"/>
      <c r="BF659" s="31"/>
      <c r="BG659" s="31"/>
      <c r="BH659" s="31"/>
      <c r="BI659" s="31"/>
      <c r="BJ659" s="31"/>
      <c r="BK659" s="31"/>
      <c r="BL659" s="31"/>
    </row>
    <row r="660" ht="15.7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31"/>
      <c r="AQ660" s="31"/>
      <c r="AR660" s="31"/>
      <c r="AS660" s="31"/>
      <c r="AT660" s="31"/>
      <c r="AU660" s="31"/>
      <c r="AV660" s="31"/>
      <c r="AW660" s="31"/>
      <c r="AX660" s="31"/>
      <c r="AY660" s="31"/>
      <c r="AZ660" s="31"/>
      <c r="BA660" s="31"/>
      <c r="BB660" s="31"/>
      <c r="BC660" s="31"/>
      <c r="BD660" s="31"/>
      <c r="BE660" s="31"/>
      <c r="BF660" s="31"/>
      <c r="BG660" s="31"/>
      <c r="BH660" s="31"/>
      <c r="BI660" s="31"/>
      <c r="BJ660" s="31"/>
      <c r="BK660" s="31"/>
      <c r="BL660" s="31"/>
    </row>
    <row r="661" ht="15.7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31"/>
      <c r="AQ661" s="31"/>
      <c r="AR661" s="31"/>
      <c r="AS661" s="31"/>
      <c r="AT661" s="31"/>
      <c r="AU661" s="31"/>
      <c r="AV661" s="31"/>
      <c r="AW661" s="31"/>
      <c r="AX661" s="31"/>
      <c r="AY661" s="31"/>
      <c r="AZ661" s="31"/>
      <c r="BA661" s="31"/>
      <c r="BB661" s="31"/>
      <c r="BC661" s="31"/>
      <c r="BD661" s="31"/>
      <c r="BE661" s="31"/>
      <c r="BF661" s="31"/>
      <c r="BG661" s="31"/>
      <c r="BH661" s="31"/>
      <c r="BI661" s="31"/>
      <c r="BJ661" s="31"/>
      <c r="BK661" s="31"/>
      <c r="BL661" s="31"/>
    </row>
    <row r="662" ht="15.7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31"/>
      <c r="AQ662" s="31"/>
      <c r="AR662" s="31"/>
      <c r="AS662" s="31"/>
      <c r="AT662" s="31"/>
      <c r="AU662" s="31"/>
      <c r="AV662" s="31"/>
      <c r="AW662" s="31"/>
      <c r="AX662" s="31"/>
      <c r="AY662" s="31"/>
      <c r="AZ662" s="31"/>
      <c r="BA662" s="31"/>
      <c r="BB662" s="31"/>
      <c r="BC662" s="31"/>
      <c r="BD662" s="31"/>
      <c r="BE662" s="31"/>
      <c r="BF662" s="31"/>
      <c r="BG662" s="31"/>
      <c r="BH662" s="31"/>
      <c r="BI662" s="31"/>
      <c r="BJ662" s="31"/>
      <c r="BK662" s="31"/>
      <c r="BL662" s="31"/>
    </row>
    <row r="663" ht="15.7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31"/>
      <c r="AQ663" s="31"/>
      <c r="AR663" s="31"/>
      <c r="AS663" s="31"/>
      <c r="AT663" s="31"/>
      <c r="AU663" s="31"/>
      <c r="AV663" s="31"/>
      <c r="AW663" s="31"/>
      <c r="AX663" s="31"/>
      <c r="AY663" s="31"/>
      <c r="AZ663" s="31"/>
      <c r="BA663" s="31"/>
      <c r="BB663" s="31"/>
      <c r="BC663" s="31"/>
      <c r="BD663" s="31"/>
      <c r="BE663" s="31"/>
      <c r="BF663" s="31"/>
      <c r="BG663" s="31"/>
      <c r="BH663" s="31"/>
      <c r="BI663" s="31"/>
      <c r="BJ663" s="31"/>
      <c r="BK663" s="31"/>
      <c r="BL663" s="31"/>
    </row>
    <row r="664" ht="15.7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31"/>
      <c r="AQ664" s="31"/>
      <c r="AR664" s="31"/>
      <c r="AS664" s="31"/>
      <c r="AT664" s="31"/>
      <c r="AU664" s="31"/>
      <c r="AV664" s="31"/>
      <c r="AW664" s="31"/>
      <c r="AX664" s="31"/>
      <c r="AY664" s="31"/>
      <c r="AZ664" s="31"/>
      <c r="BA664" s="31"/>
      <c r="BB664" s="31"/>
      <c r="BC664" s="31"/>
      <c r="BD664" s="31"/>
      <c r="BE664" s="31"/>
      <c r="BF664" s="31"/>
      <c r="BG664" s="31"/>
      <c r="BH664" s="31"/>
      <c r="BI664" s="31"/>
      <c r="BJ664" s="31"/>
      <c r="BK664" s="31"/>
      <c r="BL664" s="31"/>
    </row>
    <row r="665" ht="15.7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31"/>
      <c r="AQ665" s="31"/>
      <c r="AR665" s="31"/>
      <c r="AS665" s="31"/>
      <c r="AT665" s="31"/>
      <c r="AU665" s="31"/>
      <c r="AV665" s="31"/>
      <c r="AW665" s="31"/>
      <c r="AX665" s="31"/>
      <c r="AY665" s="31"/>
      <c r="AZ665" s="31"/>
      <c r="BA665" s="31"/>
      <c r="BB665" s="31"/>
      <c r="BC665" s="31"/>
      <c r="BD665" s="31"/>
      <c r="BE665" s="31"/>
      <c r="BF665" s="31"/>
      <c r="BG665" s="31"/>
      <c r="BH665" s="31"/>
      <c r="BI665" s="31"/>
      <c r="BJ665" s="31"/>
      <c r="BK665" s="31"/>
      <c r="BL665" s="31"/>
    </row>
    <row r="666" ht="15.7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31"/>
      <c r="AQ666" s="31"/>
      <c r="AR666" s="31"/>
      <c r="AS666" s="31"/>
      <c r="AT666" s="31"/>
      <c r="AU666" s="31"/>
      <c r="AV666" s="31"/>
      <c r="AW666" s="31"/>
      <c r="AX666" s="31"/>
      <c r="AY666" s="31"/>
      <c r="AZ666" s="31"/>
      <c r="BA666" s="31"/>
      <c r="BB666" s="31"/>
      <c r="BC666" s="31"/>
      <c r="BD666" s="31"/>
      <c r="BE666" s="31"/>
      <c r="BF666" s="31"/>
      <c r="BG666" s="31"/>
      <c r="BH666" s="31"/>
      <c r="BI666" s="31"/>
      <c r="BJ666" s="31"/>
      <c r="BK666" s="31"/>
      <c r="BL666" s="31"/>
    </row>
    <row r="667" ht="15.7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31"/>
      <c r="AQ667" s="31"/>
      <c r="AR667" s="31"/>
      <c r="AS667" s="31"/>
      <c r="AT667" s="31"/>
      <c r="AU667" s="31"/>
      <c r="AV667" s="31"/>
      <c r="AW667" s="31"/>
      <c r="AX667" s="31"/>
      <c r="AY667" s="31"/>
      <c r="AZ667" s="31"/>
      <c r="BA667" s="31"/>
      <c r="BB667" s="31"/>
      <c r="BC667" s="31"/>
      <c r="BD667" s="31"/>
      <c r="BE667" s="31"/>
      <c r="BF667" s="31"/>
      <c r="BG667" s="31"/>
      <c r="BH667" s="31"/>
      <c r="BI667" s="31"/>
      <c r="BJ667" s="31"/>
      <c r="BK667" s="31"/>
      <c r="BL667" s="31"/>
    </row>
    <row r="668" ht="15.7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31"/>
      <c r="AQ668" s="31"/>
      <c r="AR668" s="31"/>
      <c r="AS668" s="31"/>
      <c r="AT668" s="31"/>
      <c r="AU668" s="31"/>
      <c r="AV668" s="31"/>
      <c r="AW668" s="31"/>
      <c r="AX668" s="31"/>
      <c r="AY668" s="31"/>
      <c r="AZ668" s="31"/>
      <c r="BA668" s="31"/>
      <c r="BB668" s="31"/>
      <c r="BC668" s="31"/>
      <c r="BD668" s="31"/>
      <c r="BE668" s="31"/>
      <c r="BF668" s="31"/>
      <c r="BG668" s="31"/>
      <c r="BH668" s="31"/>
      <c r="BI668" s="31"/>
      <c r="BJ668" s="31"/>
      <c r="BK668" s="31"/>
      <c r="BL668" s="31"/>
    </row>
    <row r="669" ht="15.7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31"/>
      <c r="AQ669" s="31"/>
      <c r="AR669" s="31"/>
      <c r="AS669" s="31"/>
      <c r="AT669" s="31"/>
      <c r="AU669" s="31"/>
      <c r="AV669" s="31"/>
      <c r="AW669" s="31"/>
      <c r="AX669" s="31"/>
      <c r="AY669" s="31"/>
      <c r="AZ669" s="31"/>
      <c r="BA669" s="31"/>
      <c r="BB669" s="31"/>
      <c r="BC669" s="31"/>
      <c r="BD669" s="31"/>
      <c r="BE669" s="31"/>
      <c r="BF669" s="31"/>
      <c r="BG669" s="31"/>
      <c r="BH669" s="31"/>
      <c r="BI669" s="31"/>
      <c r="BJ669" s="31"/>
      <c r="BK669" s="31"/>
      <c r="BL669" s="31"/>
    </row>
    <row r="670" ht="15.7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31"/>
      <c r="AQ670" s="31"/>
      <c r="AR670" s="31"/>
      <c r="AS670" s="31"/>
      <c r="AT670" s="31"/>
      <c r="AU670" s="31"/>
      <c r="AV670" s="31"/>
      <c r="AW670" s="31"/>
      <c r="AX670" s="31"/>
      <c r="AY670" s="31"/>
      <c r="AZ670" s="31"/>
      <c r="BA670" s="31"/>
      <c r="BB670" s="31"/>
      <c r="BC670" s="31"/>
      <c r="BD670" s="31"/>
      <c r="BE670" s="31"/>
      <c r="BF670" s="31"/>
      <c r="BG670" s="31"/>
      <c r="BH670" s="31"/>
      <c r="BI670" s="31"/>
      <c r="BJ670" s="31"/>
      <c r="BK670" s="31"/>
      <c r="BL670" s="31"/>
    </row>
    <row r="671" ht="15.7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31"/>
      <c r="AQ671" s="31"/>
      <c r="AR671" s="31"/>
      <c r="AS671" s="31"/>
      <c r="AT671" s="31"/>
      <c r="AU671" s="31"/>
      <c r="AV671" s="31"/>
      <c r="AW671" s="31"/>
      <c r="AX671" s="31"/>
      <c r="AY671" s="31"/>
      <c r="AZ671" s="31"/>
      <c r="BA671" s="31"/>
      <c r="BB671" s="31"/>
      <c r="BC671" s="31"/>
      <c r="BD671" s="31"/>
      <c r="BE671" s="31"/>
      <c r="BF671" s="31"/>
      <c r="BG671" s="31"/>
      <c r="BH671" s="31"/>
      <c r="BI671" s="31"/>
      <c r="BJ671" s="31"/>
      <c r="BK671" s="31"/>
      <c r="BL671" s="31"/>
    </row>
    <row r="672" ht="15.7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31"/>
      <c r="AQ672" s="31"/>
      <c r="AR672" s="31"/>
      <c r="AS672" s="31"/>
      <c r="AT672" s="31"/>
      <c r="AU672" s="31"/>
      <c r="AV672" s="31"/>
      <c r="AW672" s="31"/>
      <c r="AX672" s="31"/>
      <c r="AY672" s="31"/>
      <c r="AZ672" s="31"/>
      <c r="BA672" s="31"/>
      <c r="BB672" s="31"/>
      <c r="BC672" s="31"/>
      <c r="BD672" s="31"/>
      <c r="BE672" s="31"/>
      <c r="BF672" s="31"/>
      <c r="BG672" s="31"/>
      <c r="BH672" s="31"/>
      <c r="BI672" s="31"/>
      <c r="BJ672" s="31"/>
      <c r="BK672" s="31"/>
      <c r="BL672" s="31"/>
    </row>
    <row r="673" ht="15.7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31"/>
      <c r="AQ673" s="31"/>
      <c r="AR673" s="31"/>
      <c r="AS673" s="31"/>
      <c r="AT673" s="31"/>
      <c r="AU673" s="31"/>
      <c r="AV673" s="31"/>
      <c r="AW673" s="31"/>
      <c r="AX673" s="31"/>
      <c r="AY673" s="31"/>
      <c r="AZ673" s="31"/>
      <c r="BA673" s="31"/>
      <c r="BB673" s="31"/>
      <c r="BC673" s="31"/>
      <c r="BD673" s="31"/>
      <c r="BE673" s="31"/>
      <c r="BF673" s="31"/>
      <c r="BG673" s="31"/>
      <c r="BH673" s="31"/>
      <c r="BI673" s="31"/>
      <c r="BJ673" s="31"/>
      <c r="BK673" s="31"/>
      <c r="BL673" s="31"/>
    </row>
    <row r="674" ht="15.7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31"/>
      <c r="AQ674" s="31"/>
      <c r="AR674" s="31"/>
      <c r="AS674" s="31"/>
      <c r="AT674" s="31"/>
      <c r="AU674" s="31"/>
      <c r="AV674" s="31"/>
      <c r="AW674" s="31"/>
      <c r="AX674" s="31"/>
      <c r="AY674" s="31"/>
      <c r="AZ674" s="31"/>
      <c r="BA674" s="31"/>
      <c r="BB674" s="31"/>
      <c r="BC674" s="31"/>
      <c r="BD674" s="31"/>
      <c r="BE674" s="31"/>
      <c r="BF674" s="31"/>
      <c r="BG674" s="31"/>
      <c r="BH674" s="31"/>
      <c r="BI674" s="31"/>
      <c r="BJ674" s="31"/>
      <c r="BK674" s="31"/>
      <c r="BL674" s="31"/>
    </row>
    <row r="675" ht="15.7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31"/>
      <c r="AQ675" s="31"/>
      <c r="AR675" s="31"/>
      <c r="AS675" s="31"/>
      <c r="AT675" s="31"/>
      <c r="AU675" s="31"/>
      <c r="AV675" s="31"/>
      <c r="AW675" s="31"/>
      <c r="AX675" s="31"/>
      <c r="AY675" s="31"/>
      <c r="AZ675" s="31"/>
      <c r="BA675" s="31"/>
      <c r="BB675" s="31"/>
      <c r="BC675" s="31"/>
      <c r="BD675" s="31"/>
      <c r="BE675" s="31"/>
      <c r="BF675" s="31"/>
      <c r="BG675" s="31"/>
      <c r="BH675" s="31"/>
      <c r="BI675" s="31"/>
      <c r="BJ675" s="31"/>
      <c r="BK675" s="31"/>
      <c r="BL675" s="31"/>
    </row>
    <row r="676" ht="15.7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31"/>
      <c r="AQ676" s="31"/>
      <c r="AR676" s="31"/>
      <c r="AS676" s="31"/>
      <c r="AT676" s="31"/>
      <c r="AU676" s="31"/>
      <c r="AV676" s="31"/>
      <c r="AW676" s="31"/>
      <c r="AX676" s="31"/>
      <c r="AY676" s="31"/>
      <c r="AZ676" s="31"/>
      <c r="BA676" s="31"/>
      <c r="BB676" s="31"/>
      <c r="BC676" s="31"/>
      <c r="BD676" s="31"/>
      <c r="BE676" s="31"/>
      <c r="BF676" s="31"/>
      <c r="BG676" s="31"/>
      <c r="BH676" s="31"/>
      <c r="BI676" s="31"/>
      <c r="BJ676" s="31"/>
      <c r="BK676" s="31"/>
      <c r="BL676" s="31"/>
    </row>
    <row r="677" ht="15.7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31"/>
      <c r="AQ677" s="31"/>
      <c r="AR677" s="31"/>
      <c r="AS677" s="31"/>
      <c r="AT677" s="31"/>
      <c r="AU677" s="31"/>
      <c r="AV677" s="31"/>
      <c r="AW677" s="31"/>
      <c r="AX677" s="31"/>
      <c r="AY677" s="31"/>
      <c r="AZ677" s="31"/>
      <c r="BA677" s="31"/>
      <c r="BB677" s="31"/>
      <c r="BC677" s="31"/>
      <c r="BD677" s="31"/>
      <c r="BE677" s="31"/>
      <c r="BF677" s="31"/>
      <c r="BG677" s="31"/>
      <c r="BH677" s="31"/>
      <c r="BI677" s="31"/>
      <c r="BJ677" s="31"/>
      <c r="BK677" s="31"/>
      <c r="BL677" s="31"/>
    </row>
    <row r="678" ht="15.7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31"/>
      <c r="AQ678" s="31"/>
      <c r="AR678" s="31"/>
      <c r="AS678" s="31"/>
      <c r="AT678" s="31"/>
      <c r="AU678" s="31"/>
      <c r="AV678" s="31"/>
      <c r="AW678" s="31"/>
      <c r="AX678" s="31"/>
      <c r="AY678" s="31"/>
      <c r="AZ678" s="31"/>
      <c r="BA678" s="31"/>
      <c r="BB678" s="31"/>
      <c r="BC678" s="31"/>
      <c r="BD678" s="31"/>
      <c r="BE678" s="31"/>
      <c r="BF678" s="31"/>
      <c r="BG678" s="31"/>
      <c r="BH678" s="31"/>
      <c r="BI678" s="31"/>
      <c r="BJ678" s="31"/>
      <c r="BK678" s="31"/>
      <c r="BL678" s="31"/>
    </row>
    <row r="679" ht="15.7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31"/>
      <c r="AQ679" s="31"/>
      <c r="AR679" s="31"/>
      <c r="AS679" s="31"/>
      <c r="AT679" s="31"/>
      <c r="AU679" s="31"/>
      <c r="AV679" s="31"/>
      <c r="AW679" s="31"/>
      <c r="AX679" s="31"/>
      <c r="AY679" s="31"/>
      <c r="AZ679" s="31"/>
      <c r="BA679" s="31"/>
      <c r="BB679" s="31"/>
      <c r="BC679" s="31"/>
      <c r="BD679" s="31"/>
      <c r="BE679" s="31"/>
      <c r="BF679" s="31"/>
      <c r="BG679" s="31"/>
      <c r="BH679" s="31"/>
      <c r="BI679" s="31"/>
      <c r="BJ679" s="31"/>
      <c r="BK679" s="31"/>
      <c r="BL679" s="31"/>
    </row>
    <row r="680" ht="15.7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31"/>
      <c r="AQ680" s="31"/>
      <c r="AR680" s="31"/>
      <c r="AS680" s="31"/>
      <c r="AT680" s="31"/>
      <c r="AU680" s="31"/>
      <c r="AV680" s="31"/>
      <c r="AW680" s="31"/>
      <c r="AX680" s="31"/>
      <c r="AY680" s="31"/>
      <c r="AZ680" s="31"/>
      <c r="BA680" s="31"/>
      <c r="BB680" s="31"/>
      <c r="BC680" s="31"/>
      <c r="BD680" s="31"/>
      <c r="BE680" s="31"/>
      <c r="BF680" s="31"/>
      <c r="BG680" s="31"/>
      <c r="BH680" s="31"/>
      <c r="BI680" s="31"/>
      <c r="BJ680" s="31"/>
      <c r="BK680" s="31"/>
      <c r="BL680" s="31"/>
    </row>
    <row r="681" ht="15.7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31"/>
      <c r="AQ681" s="31"/>
      <c r="AR681" s="31"/>
      <c r="AS681" s="31"/>
      <c r="AT681" s="31"/>
      <c r="AU681" s="31"/>
      <c r="AV681" s="31"/>
      <c r="AW681" s="31"/>
      <c r="AX681" s="31"/>
      <c r="AY681" s="31"/>
      <c r="AZ681" s="31"/>
      <c r="BA681" s="31"/>
      <c r="BB681" s="31"/>
      <c r="BC681" s="31"/>
      <c r="BD681" s="31"/>
      <c r="BE681" s="31"/>
      <c r="BF681" s="31"/>
      <c r="BG681" s="31"/>
      <c r="BH681" s="31"/>
      <c r="BI681" s="31"/>
      <c r="BJ681" s="31"/>
      <c r="BK681" s="31"/>
      <c r="BL681" s="31"/>
    </row>
    <row r="682" ht="15.7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31"/>
      <c r="AQ682" s="31"/>
      <c r="AR682" s="31"/>
      <c r="AS682" s="31"/>
      <c r="AT682" s="31"/>
      <c r="AU682" s="31"/>
      <c r="AV682" s="31"/>
      <c r="AW682" s="31"/>
      <c r="AX682" s="31"/>
      <c r="AY682" s="31"/>
      <c r="AZ682" s="31"/>
      <c r="BA682" s="31"/>
      <c r="BB682" s="31"/>
      <c r="BC682" s="31"/>
      <c r="BD682" s="31"/>
      <c r="BE682" s="31"/>
      <c r="BF682" s="31"/>
      <c r="BG682" s="31"/>
      <c r="BH682" s="31"/>
      <c r="BI682" s="31"/>
      <c r="BJ682" s="31"/>
      <c r="BK682" s="31"/>
      <c r="BL682" s="31"/>
    </row>
    <row r="683" ht="15.7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31"/>
      <c r="AQ683" s="31"/>
      <c r="AR683" s="31"/>
      <c r="AS683" s="31"/>
      <c r="AT683" s="31"/>
      <c r="AU683" s="31"/>
      <c r="AV683" s="31"/>
      <c r="AW683" s="31"/>
      <c r="AX683" s="31"/>
      <c r="AY683" s="31"/>
      <c r="AZ683" s="31"/>
      <c r="BA683" s="31"/>
      <c r="BB683" s="31"/>
      <c r="BC683" s="31"/>
      <c r="BD683" s="31"/>
      <c r="BE683" s="31"/>
      <c r="BF683" s="31"/>
      <c r="BG683" s="31"/>
      <c r="BH683" s="31"/>
      <c r="BI683" s="31"/>
      <c r="BJ683" s="31"/>
      <c r="BK683" s="31"/>
      <c r="BL683" s="31"/>
    </row>
    <row r="684" ht="15.7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31"/>
      <c r="AQ684" s="31"/>
      <c r="AR684" s="31"/>
      <c r="AS684" s="31"/>
      <c r="AT684" s="31"/>
      <c r="AU684" s="31"/>
      <c r="AV684" s="31"/>
      <c r="AW684" s="31"/>
      <c r="AX684" s="31"/>
      <c r="AY684" s="31"/>
      <c r="AZ684" s="31"/>
      <c r="BA684" s="31"/>
      <c r="BB684" s="31"/>
      <c r="BC684" s="31"/>
      <c r="BD684" s="31"/>
      <c r="BE684" s="31"/>
      <c r="BF684" s="31"/>
      <c r="BG684" s="31"/>
      <c r="BH684" s="31"/>
      <c r="BI684" s="31"/>
      <c r="BJ684" s="31"/>
      <c r="BK684" s="31"/>
      <c r="BL684" s="31"/>
    </row>
    <row r="685" ht="15.7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31"/>
      <c r="AQ685" s="31"/>
      <c r="AR685" s="31"/>
      <c r="AS685" s="31"/>
      <c r="AT685" s="31"/>
      <c r="AU685" s="31"/>
      <c r="AV685" s="31"/>
      <c r="AW685" s="31"/>
      <c r="AX685" s="31"/>
      <c r="AY685" s="31"/>
      <c r="AZ685" s="31"/>
      <c r="BA685" s="31"/>
      <c r="BB685" s="31"/>
      <c r="BC685" s="31"/>
      <c r="BD685" s="31"/>
      <c r="BE685" s="31"/>
      <c r="BF685" s="31"/>
      <c r="BG685" s="31"/>
      <c r="BH685" s="31"/>
      <c r="BI685" s="31"/>
      <c r="BJ685" s="31"/>
      <c r="BK685" s="31"/>
      <c r="BL685" s="31"/>
    </row>
    <row r="686" ht="15.7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31"/>
      <c r="AQ686" s="31"/>
      <c r="AR686" s="31"/>
      <c r="AS686" s="31"/>
      <c r="AT686" s="31"/>
      <c r="AU686" s="31"/>
      <c r="AV686" s="31"/>
      <c r="AW686" s="31"/>
      <c r="AX686" s="31"/>
      <c r="AY686" s="31"/>
      <c r="AZ686" s="31"/>
      <c r="BA686" s="31"/>
      <c r="BB686" s="31"/>
      <c r="BC686" s="31"/>
      <c r="BD686" s="31"/>
      <c r="BE686" s="31"/>
      <c r="BF686" s="31"/>
      <c r="BG686" s="31"/>
      <c r="BH686" s="31"/>
      <c r="BI686" s="31"/>
      <c r="BJ686" s="31"/>
      <c r="BK686" s="31"/>
      <c r="BL686" s="31"/>
    </row>
    <row r="687" ht="15.7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31"/>
      <c r="AQ687" s="31"/>
      <c r="AR687" s="31"/>
      <c r="AS687" s="31"/>
      <c r="AT687" s="31"/>
      <c r="AU687" s="31"/>
      <c r="AV687" s="31"/>
      <c r="AW687" s="31"/>
      <c r="AX687" s="31"/>
      <c r="AY687" s="31"/>
      <c r="AZ687" s="31"/>
      <c r="BA687" s="31"/>
      <c r="BB687" s="31"/>
      <c r="BC687" s="31"/>
      <c r="BD687" s="31"/>
      <c r="BE687" s="31"/>
      <c r="BF687" s="31"/>
      <c r="BG687" s="31"/>
      <c r="BH687" s="31"/>
      <c r="BI687" s="31"/>
      <c r="BJ687" s="31"/>
      <c r="BK687" s="31"/>
      <c r="BL687" s="31"/>
    </row>
    <row r="688" ht="15.7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31"/>
      <c r="AQ688" s="31"/>
      <c r="AR688" s="31"/>
      <c r="AS688" s="31"/>
      <c r="AT688" s="31"/>
      <c r="AU688" s="31"/>
      <c r="AV688" s="31"/>
      <c r="AW688" s="31"/>
      <c r="AX688" s="31"/>
      <c r="AY688" s="31"/>
      <c r="AZ688" s="31"/>
      <c r="BA688" s="31"/>
      <c r="BB688" s="31"/>
      <c r="BC688" s="31"/>
      <c r="BD688" s="31"/>
      <c r="BE688" s="31"/>
      <c r="BF688" s="31"/>
      <c r="BG688" s="31"/>
      <c r="BH688" s="31"/>
      <c r="BI688" s="31"/>
      <c r="BJ688" s="31"/>
      <c r="BK688" s="31"/>
      <c r="BL688" s="31"/>
    </row>
    <row r="689" ht="15.7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31"/>
      <c r="AQ689" s="31"/>
      <c r="AR689" s="31"/>
      <c r="AS689" s="31"/>
      <c r="AT689" s="31"/>
      <c r="AU689" s="31"/>
      <c r="AV689" s="31"/>
      <c r="AW689" s="31"/>
      <c r="AX689" s="31"/>
      <c r="AY689" s="31"/>
      <c r="AZ689" s="31"/>
      <c r="BA689" s="31"/>
      <c r="BB689" s="31"/>
      <c r="BC689" s="31"/>
      <c r="BD689" s="31"/>
      <c r="BE689" s="31"/>
      <c r="BF689" s="31"/>
      <c r="BG689" s="31"/>
      <c r="BH689" s="31"/>
      <c r="BI689" s="31"/>
      <c r="BJ689" s="31"/>
      <c r="BK689" s="31"/>
      <c r="BL689" s="31"/>
    </row>
    <row r="690" ht="15.7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31"/>
      <c r="AQ690" s="31"/>
      <c r="AR690" s="31"/>
      <c r="AS690" s="31"/>
      <c r="AT690" s="31"/>
      <c r="AU690" s="31"/>
      <c r="AV690" s="31"/>
      <c r="AW690" s="31"/>
      <c r="AX690" s="31"/>
      <c r="AY690" s="31"/>
      <c r="AZ690" s="31"/>
      <c r="BA690" s="31"/>
      <c r="BB690" s="31"/>
      <c r="BC690" s="31"/>
      <c r="BD690" s="31"/>
      <c r="BE690" s="31"/>
      <c r="BF690" s="31"/>
      <c r="BG690" s="31"/>
      <c r="BH690" s="31"/>
      <c r="BI690" s="31"/>
      <c r="BJ690" s="31"/>
      <c r="BK690" s="31"/>
      <c r="BL690" s="31"/>
    </row>
    <row r="691" ht="15.7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31"/>
      <c r="AQ691" s="31"/>
      <c r="AR691" s="31"/>
      <c r="AS691" s="31"/>
      <c r="AT691" s="31"/>
      <c r="AU691" s="31"/>
      <c r="AV691" s="31"/>
      <c r="AW691" s="31"/>
      <c r="AX691" s="31"/>
      <c r="AY691" s="31"/>
      <c r="AZ691" s="31"/>
      <c r="BA691" s="31"/>
      <c r="BB691" s="31"/>
      <c r="BC691" s="31"/>
      <c r="BD691" s="31"/>
      <c r="BE691" s="31"/>
      <c r="BF691" s="31"/>
      <c r="BG691" s="31"/>
      <c r="BH691" s="31"/>
      <c r="BI691" s="31"/>
      <c r="BJ691" s="31"/>
      <c r="BK691" s="31"/>
      <c r="BL691" s="31"/>
    </row>
    <row r="692" ht="15.7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31"/>
      <c r="AQ692" s="31"/>
      <c r="AR692" s="31"/>
      <c r="AS692" s="31"/>
      <c r="AT692" s="31"/>
      <c r="AU692" s="31"/>
      <c r="AV692" s="31"/>
      <c r="AW692" s="31"/>
      <c r="AX692" s="31"/>
      <c r="AY692" s="31"/>
      <c r="AZ692" s="31"/>
      <c r="BA692" s="31"/>
      <c r="BB692" s="31"/>
      <c r="BC692" s="31"/>
      <c r="BD692" s="31"/>
      <c r="BE692" s="31"/>
      <c r="BF692" s="31"/>
      <c r="BG692" s="31"/>
      <c r="BH692" s="31"/>
      <c r="BI692" s="31"/>
      <c r="BJ692" s="31"/>
      <c r="BK692" s="31"/>
      <c r="BL692" s="31"/>
    </row>
    <row r="693" ht="15.7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31"/>
      <c r="AQ693" s="31"/>
      <c r="AR693" s="31"/>
      <c r="AS693" s="31"/>
      <c r="AT693" s="31"/>
      <c r="AU693" s="31"/>
      <c r="AV693" s="31"/>
      <c r="AW693" s="31"/>
      <c r="AX693" s="31"/>
      <c r="AY693" s="31"/>
      <c r="AZ693" s="31"/>
      <c r="BA693" s="31"/>
      <c r="BB693" s="31"/>
      <c r="BC693" s="31"/>
      <c r="BD693" s="31"/>
      <c r="BE693" s="31"/>
      <c r="BF693" s="31"/>
      <c r="BG693" s="31"/>
      <c r="BH693" s="31"/>
      <c r="BI693" s="31"/>
      <c r="BJ693" s="31"/>
      <c r="BK693" s="31"/>
      <c r="BL693" s="31"/>
    </row>
    <row r="694" ht="15.7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31"/>
      <c r="AQ694" s="31"/>
      <c r="AR694" s="31"/>
      <c r="AS694" s="31"/>
      <c r="AT694" s="31"/>
      <c r="AU694" s="31"/>
      <c r="AV694" s="31"/>
      <c r="AW694" s="31"/>
      <c r="AX694" s="31"/>
      <c r="AY694" s="31"/>
      <c r="AZ694" s="31"/>
      <c r="BA694" s="31"/>
      <c r="BB694" s="31"/>
      <c r="BC694" s="31"/>
      <c r="BD694" s="31"/>
      <c r="BE694" s="31"/>
      <c r="BF694" s="31"/>
      <c r="BG694" s="31"/>
      <c r="BH694" s="31"/>
      <c r="BI694" s="31"/>
      <c r="BJ694" s="31"/>
      <c r="BK694" s="31"/>
      <c r="BL694" s="31"/>
    </row>
    <row r="695" ht="15.7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31"/>
      <c r="AQ695" s="31"/>
      <c r="AR695" s="31"/>
      <c r="AS695" s="31"/>
      <c r="AT695" s="31"/>
      <c r="AU695" s="31"/>
      <c r="AV695" s="31"/>
      <c r="AW695" s="31"/>
      <c r="AX695" s="31"/>
      <c r="AY695" s="31"/>
      <c r="AZ695" s="31"/>
      <c r="BA695" s="31"/>
      <c r="BB695" s="31"/>
      <c r="BC695" s="31"/>
      <c r="BD695" s="31"/>
      <c r="BE695" s="31"/>
      <c r="BF695" s="31"/>
      <c r="BG695" s="31"/>
      <c r="BH695" s="31"/>
      <c r="BI695" s="31"/>
      <c r="BJ695" s="31"/>
      <c r="BK695" s="31"/>
      <c r="BL695" s="31"/>
    </row>
    <row r="696" ht="15.7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31"/>
      <c r="AQ696" s="31"/>
      <c r="AR696" s="31"/>
      <c r="AS696" s="31"/>
      <c r="AT696" s="31"/>
      <c r="AU696" s="31"/>
      <c r="AV696" s="31"/>
      <c r="AW696" s="31"/>
      <c r="AX696" s="31"/>
      <c r="AY696" s="31"/>
      <c r="AZ696" s="31"/>
      <c r="BA696" s="31"/>
      <c r="BB696" s="31"/>
      <c r="BC696" s="31"/>
      <c r="BD696" s="31"/>
      <c r="BE696" s="31"/>
      <c r="BF696" s="31"/>
      <c r="BG696" s="31"/>
      <c r="BH696" s="31"/>
      <c r="BI696" s="31"/>
      <c r="BJ696" s="31"/>
      <c r="BK696" s="31"/>
      <c r="BL696" s="31"/>
    </row>
    <row r="697" ht="15.7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31"/>
      <c r="AQ697" s="31"/>
      <c r="AR697" s="31"/>
      <c r="AS697" s="31"/>
      <c r="AT697" s="31"/>
      <c r="AU697" s="31"/>
      <c r="AV697" s="31"/>
      <c r="AW697" s="31"/>
      <c r="AX697" s="31"/>
      <c r="AY697" s="31"/>
      <c r="AZ697" s="31"/>
      <c r="BA697" s="31"/>
      <c r="BB697" s="31"/>
      <c r="BC697" s="31"/>
      <c r="BD697" s="31"/>
      <c r="BE697" s="31"/>
      <c r="BF697" s="31"/>
      <c r="BG697" s="31"/>
      <c r="BH697" s="31"/>
      <c r="BI697" s="31"/>
      <c r="BJ697" s="31"/>
      <c r="BK697" s="31"/>
      <c r="BL697" s="31"/>
    </row>
    <row r="698" ht="15.7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31"/>
      <c r="AQ698" s="31"/>
      <c r="AR698" s="31"/>
      <c r="AS698" s="31"/>
      <c r="AT698" s="31"/>
      <c r="AU698" s="31"/>
      <c r="AV698" s="31"/>
      <c r="AW698" s="31"/>
      <c r="AX698" s="31"/>
      <c r="AY698" s="31"/>
      <c r="AZ698" s="31"/>
      <c r="BA698" s="31"/>
      <c r="BB698" s="31"/>
      <c r="BC698" s="31"/>
      <c r="BD698" s="31"/>
      <c r="BE698" s="31"/>
      <c r="BF698" s="31"/>
      <c r="BG698" s="31"/>
      <c r="BH698" s="31"/>
      <c r="BI698" s="31"/>
      <c r="BJ698" s="31"/>
      <c r="BK698" s="31"/>
      <c r="BL698" s="31"/>
    </row>
    <row r="699" ht="15.7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31"/>
      <c r="AQ699" s="31"/>
      <c r="AR699" s="31"/>
      <c r="AS699" s="31"/>
      <c r="AT699" s="31"/>
      <c r="AU699" s="31"/>
      <c r="AV699" s="31"/>
      <c r="AW699" s="31"/>
      <c r="AX699" s="31"/>
      <c r="AY699" s="31"/>
      <c r="AZ699" s="31"/>
      <c r="BA699" s="31"/>
      <c r="BB699" s="31"/>
      <c r="BC699" s="31"/>
      <c r="BD699" s="31"/>
      <c r="BE699" s="31"/>
      <c r="BF699" s="31"/>
      <c r="BG699" s="31"/>
      <c r="BH699" s="31"/>
      <c r="BI699" s="31"/>
      <c r="BJ699" s="31"/>
      <c r="BK699" s="31"/>
      <c r="BL699" s="31"/>
    </row>
    <row r="700" ht="15.7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31"/>
      <c r="AQ700" s="31"/>
      <c r="AR700" s="31"/>
      <c r="AS700" s="31"/>
      <c r="AT700" s="31"/>
      <c r="AU700" s="31"/>
      <c r="AV700" s="31"/>
      <c r="AW700" s="31"/>
      <c r="AX700" s="31"/>
      <c r="AY700" s="31"/>
      <c r="AZ700" s="31"/>
      <c r="BA700" s="31"/>
      <c r="BB700" s="31"/>
      <c r="BC700" s="31"/>
      <c r="BD700" s="31"/>
      <c r="BE700" s="31"/>
      <c r="BF700" s="31"/>
      <c r="BG700" s="31"/>
      <c r="BH700" s="31"/>
      <c r="BI700" s="31"/>
      <c r="BJ700" s="31"/>
      <c r="BK700" s="31"/>
      <c r="BL700" s="31"/>
    </row>
    <row r="701" ht="15.7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31"/>
      <c r="AQ701" s="31"/>
      <c r="AR701" s="31"/>
      <c r="AS701" s="31"/>
      <c r="AT701" s="31"/>
      <c r="AU701" s="31"/>
      <c r="AV701" s="31"/>
      <c r="AW701" s="31"/>
      <c r="AX701" s="31"/>
      <c r="AY701" s="31"/>
      <c r="AZ701" s="31"/>
      <c r="BA701" s="31"/>
      <c r="BB701" s="31"/>
      <c r="BC701" s="31"/>
      <c r="BD701" s="31"/>
      <c r="BE701" s="31"/>
      <c r="BF701" s="31"/>
      <c r="BG701" s="31"/>
      <c r="BH701" s="31"/>
      <c r="BI701" s="31"/>
      <c r="BJ701" s="31"/>
      <c r="BK701" s="31"/>
      <c r="BL701" s="31"/>
    </row>
    <row r="702" ht="15.7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31"/>
      <c r="AQ702" s="31"/>
      <c r="AR702" s="31"/>
      <c r="AS702" s="31"/>
      <c r="AT702" s="31"/>
      <c r="AU702" s="31"/>
      <c r="AV702" s="31"/>
      <c r="AW702" s="31"/>
      <c r="AX702" s="31"/>
      <c r="AY702" s="31"/>
      <c r="AZ702" s="31"/>
      <c r="BA702" s="31"/>
      <c r="BB702" s="31"/>
      <c r="BC702" s="31"/>
      <c r="BD702" s="31"/>
      <c r="BE702" s="31"/>
      <c r="BF702" s="31"/>
      <c r="BG702" s="31"/>
      <c r="BH702" s="31"/>
      <c r="BI702" s="31"/>
      <c r="BJ702" s="31"/>
      <c r="BK702" s="31"/>
      <c r="BL702" s="31"/>
    </row>
    <row r="703" ht="15.7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31"/>
      <c r="AQ703" s="31"/>
      <c r="AR703" s="31"/>
      <c r="AS703" s="31"/>
      <c r="AT703" s="31"/>
      <c r="AU703" s="31"/>
      <c r="AV703" s="31"/>
      <c r="AW703" s="31"/>
      <c r="AX703" s="31"/>
      <c r="AY703" s="31"/>
      <c r="AZ703" s="31"/>
      <c r="BA703" s="31"/>
      <c r="BB703" s="31"/>
      <c r="BC703" s="31"/>
      <c r="BD703" s="31"/>
      <c r="BE703" s="31"/>
      <c r="BF703" s="31"/>
      <c r="BG703" s="31"/>
      <c r="BH703" s="31"/>
      <c r="BI703" s="31"/>
      <c r="BJ703" s="31"/>
      <c r="BK703" s="31"/>
      <c r="BL703" s="31"/>
    </row>
    <row r="704" ht="15.7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  <c r="BL704" s="31"/>
    </row>
    <row r="705" ht="15.7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31"/>
      <c r="AQ705" s="31"/>
      <c r="AR705" s="31"/>
      <c r="AS705" s="31"/>
      <c r="AT705" s="31"/>
      <c r="AU705" s="31"/>
      <c r="AV705" s="31"/>
      <c r="AW705" s="31"/>
      <c r="AX705" s="31"/>
      <c r="AY705" s="31"/>
      <c r="AZ705" s="31"/>
      <c r="BA705" s="31"/>
      <c r="BB705" s="31"/>
      <c r="BC705" s="31"/>
      <c r="BD705" s="31"/>
      <c r="BE705" s="31"/>
      <c r="BF705" s="31"/>
      <c r="BG705" s="31"/>
      <c r="BH705" s="31"/>
      <c r="BI705" s="31"/>
      <c r="BJ705" s="31"/>
      <c r="BK705" s="31"/>
      <c r="BL705" s="31"/>
    </row>
    <row r="706" ht="15.7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31"/>
      <c r="AQ706" s="31"/>
      <c r="AR706" s="31"/>
      <c r="AS706" s="31"/>
      <c r="AT706" s="31"/>
      <c r="AU706" s="31"/>
      <c r="AV706" s="31"/>
      <c r="AW706" s="31"/>
      <c r="AX706" s="31"/>
      <c r="AY706" s="31"/>
      <c r="AZ706" s="31"/>
      <c r="BA706" s="31"/>
      <c r="BB706" s="31"/>
      <c r="BC706" s="31"/>
      <c r="BD706" s="31"/>
      <c r="BE706" s="31"/>
      <c r="BF706" s="31"/>
      <c r="BG706" s="31"/>
      <c r="BH706" s="31"/>
      <c r="BI706" s="31"/>
      <c r="BJ706" s="31"/>
      <c r="BK706" s="31"/>
      <c r="BL706" s="31"/>
    </row>
    <row r="707" ht="15.7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31"/>
      <c r="AQ707" s="31"/>
      <c r="AR707" s="31"/>
      <c r="AS707" s="31"/>
      <c r="AT707" s="31"/>
      <c r="AU707" s="31"/>
      <c r="AV707" s="31"/>
      <c r="AW707" s="31"/>
      <c r="AX707" s="31"/>
      <c r="AY707" s="31"/>
      <c r="AZ707" s="31"/>
      <c r="BA707" s="31"/>
      <c r="BB707" s="31"/>
      <c r="BC707" s="31"/>
      <c r="BD707" s="31"/>
      <c r="BE707" s="31"/>
      <c r="BF707" s="31"/>
      <c r="BG707" s="31"/>
      <c r="BH707" s="31"/>
      <c r="BI707" s="31"/>
      <c r="BJ707" s="31"/>
      <c r="BK707" s="31"/>
      <c r="BL707" s="31"/>
    </row>
    <row r="708" ht="15.7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31"/>
      <c r="AQ708" s="31"/>
      <c r="AR708" s="31"/>
      <c r="AS708" s="31"/>
      <c r="AT708" s="31"/>
      <c r="AU708" s="31"/>
      <c r="AV708" s="31"/>
      <c r="AW708" s="31"/>
      <c r="AX708" s="31"/>
      <c r="AY708" s="31"/>
      <c r="AZ708" s="31"/>
      <c r="BA708" s="31"/>
      <c r="BB708" s="31"/>
      <c r="BC708" s="31"/>
      <c r="BD708" s="31"/>
      <c r="BE708" s="31"/>
      <c r="BF708" s="31"/>
      <c r="BG708" s="31"/>
      <c r="BH708" s="31"/>
      <c r="BI708" s="31"/>
      <c r="BJ708" s="31"/>
      <c r="BK708" s="31"/>
      <c r="BL708" s="31"/>
    </row>
    <row r="709" ht="15.7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31"/>
      <c r="AQ709" s="31"/>
      <c r="AR709" s="31"/>
      <c r="AS709" s="31"/>
      <c r="AT709" s="31"/>
      <c r="AU709" s="31"/>
      <c r="AV709" s="31"/>
      <c r="AW709" s="31"/>
      <c r="AX709" s="31"/>
      <c r="AY709" s="31"/>
      <c r="AZ709" s="31"/>
      <c r="BA709" s="31"/>
      <c r="BB709" s="31"/>
      <c r="BC709" s="31"/>
      <c r="BD709" s="31"/>
      <c r="BE709" s="31"/>
      <c r="BF709" s="31"/>
      <c r="BG709" s="31"/>
      <c r="BH709" s="31"/>
      <c r="BI709" s="31"/>
      <c r="BJ709" s="31"/>
      <c r="BK709" s="31"/>
      <c r="BL709" s="31"/>
    </row>
    <row r="710" ht="15.7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31"/>
      <c r="AQ710" s="31"/>
      <c r="AR710" s="31"/>
      <c r="AS710" s="31"/>
      <c r="AT710" s="31"/>
      <c r="AU710" s="31"/>
      <c r="AV710" s="31"/>
      <c r="AW710" s="31"/>
      <c r="AX710" s="31"/>
      <c r="AY710" s="31"/>
      <c r="AZ710" s="31"/>
      <c r="BA710" s="31"/>
      <c r="BB710" s="31"/>
      <c r="BC710" s="31"/>
      <c r="BD710" s="31"/>
      <c r="BE710" s="31"/>
      <c r="BF710" s="31"/>
      <c r="BG710" s="31"/>
      <c r="BH710" s="31"/>
      <c r="BI710" s="31"/>
      <c r="BJ710" s="31"/>
      <c r="BK710" s="31"/>
      <c r="BL710" s="31"/>
    </row>
    <row r="711" ht="15.7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31"/>
      <c r="AQ711" s="31"/>
      <c r="AR711" s="31"/>
      <c r="AS711" s="31"/>
      <c r="AT711" s="31"/>
      <c r="AU711" s="31"/>
      <c r="AV711" s="31"/>
      <c r="AW711" s="31"/>
      <c r="AX711" s="31"/>
      <c r="AY711" s="31"/>
      <c r="AZ711" s="31"/>
      <c r="BA711" s="31"/>
      <c r="BB711" s="31"/>
      <c r="BC711" s="31"/>
      <c r="BD711" s="31"/>
      <c r="BE711" s="31"/>
      <c r="BF711" s="31"/>
      <c r="BG711" s="31"/>
      <c r="BH711" s="31"/>
      <c r="BI711" s="31"/>
      <c r="BJ711" s="31"/>
      <c r="BK711" s="31"/>
      <c r="BL711" s="31"/>
    </row>
    <row r="712" ht="15.7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31"/>
      <c r="AQ712" s="31"/>
      <c r="AR712" s="31"/>
      <c r="AS712" s="31"/>
      <c r="AT712" s="31"/>
      <c r="AU712" s="31"/>
      <c r="AV712" s="31"/>
      <c r="AW712" s="31"/>
      <c r="AX712" s="31"/>
      <c r="AY712" s="31"/>
      <c r="AZ712" s="31"/>
      <c r="BA712" s="31"/>
      <c r="BB712" s="31"/>
      <c r="BC712" s="31"/>
      <c r="BD712" s="31"/>
      <c r="BE712" s="31"/>
      <c r="BF712" s="31"/>
      <c r="BG712" s="31"/>
      <c r="BH712" s="31"/>
      <c r="BI712" s="31"/>
      <c r="BJ712" s="31"/>
      <c r="BK712" s="31"/>
      <c r="BL712" s="31"/>
    </row>
    <row r="713" ht="15.7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31"/>
      <c r="AQ713" s="31"/>
      <c r="AR713" s="31"/>
      <c r="AS713" s="31"/>
      <c r="AT713" s="31"/>
      <c r="AU713" s="31"/>
      <c r="AV713" s="31"/>
      <c r="AW713" s="31"/>
      <c r="AX713" s="31"/>
      <c r="AY713" s="31"/>
      <c r="AZ713" s="31"/>
      <c r="BA713" s="31"/>
      <c r="BB713" s="31"/>
      <c r="BC713" s="31"/>
      <c r="BD713" s="31"/>
      <c r="BE713" s="31"/>
      <c r="BF713" s="31"/>
      <c r="BG713" s="31"/>
      <c r="BH713" s="31"/>
      <c r="BI713" s="31"/>
      <c r="BJ713" s="31"/>
      <c r="BK713" s="31"/>
      <c r="BL713" s="31"/>
    </row>
    <row r="714" ht="15.7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31"/>
      <c r="AQ714" s="31"/>
      <c r="AR714" s="31"/>
      <c r="AS714" s="31"/>
      <c r="AT714" s="31"/>
      <c r="AU714" s="31"/>
      <c r="AV714" s="31"/>
      <c r="AW714" s="31"/>
      <c r="AX714" s="31"/>
      <c r="AY714" s="31"/>
      <c r="AZ714" s="31"/>
      <c r="BA714" s="31"/>
      <c r="BB714" s="31"/>
      <c r="BC714" s="31"/>
      <c r="BD714" s="31"/>
      <c r="BE714" s="31"/>
      <c r="BF714" s="31"/>
      <c r="BG714" s="31"/>
      <c r="BH714" s="31"/>
      <c r="BI714" s="31"/>
      <c r="BJ714" s="31"/>
      <c r="BK714" s="31"/>
      <c r="BL714" s="31"/>
    </row>
    <row r="715" ht="15.7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31"/>
      <c r="AQ715" s="31"/>
      <c r="AR715" s="31"/>
      <c r="AS715" s="31"/>
      <c r="AT715" s="31"/>
      <c r="AU715" s="31"/>
      <c r="AV715" s="31"/>
      <c r="AW715" s="31"/>
      <c r="AX715" s="31"/>
      <c r="AY715" s="31"/>
      <c r="AZ715" s="31"/>
      <c r="BA715" s="31"/>
      <c r="BB715" s="31"/>
      <c r="BC715" s="31"/>
      <c r="BD715" s="31"/>
      <c r="BE715" s="31"/>
      <c r="BF715" s="31"/>
      <c r="BG715" s="31"/>
      <c r="BH715" s="31"/>
      <c r="BI715" s="31"/>
      <c r="BJ715" s="31"/>
      <c r="BK715" s="31"/>
      <c r="BL715" s="31"/>
    </row>
    <row r="716" ht="15.7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31"/>
      <c r="AQ716" s="31"/>
      <c r="AR716" s="31"/>
      <c r="AS716" s="31"/>
      <c r="AT716" s="31"/>
      <c r="AU716" s="31"/>
      <c r="AV716" s="31"/>
      <c r="AW716" s="31"/>
      <c r="AX716" s="31"/>
      <c r="AY716" s="31"/>
      <c r="AZ716" s="31"/>
      <c r="BA716" s="31"/>
      <c r="BB716" s="31"/>
      <c r="BC716" s="31"/>
      <c r="BD716" s="31"/>
      <c r="BE716" s="31"/>
      <c r="BF716" s="31"/>
      <c r="BG716" s="31"/>
      <c r="BH716" s="31"/>
      <c r="BI716" s="31"/>
      <c r="BJ716" s="31"/>
      <c r="BK716" s="31"/>
      <c r="BL716" s="31"/>
    </row>
    <row r="717" ht="15.7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31"/>
      <c r="AQ717" s="31"/>
      <c r="AR717" s="31"/>
      <c r="AS717" s="31"/>
      <c r="AT717" s="31"/>
      <c r="AU717" s="31"/>
      <c r="AV717" s="31"/>
      <c r="AW717" s="31"/>
      <c r="AX717" s="31"/>
      <c r="AY717" s="31"/>
      <c r="AZ717" s="31"/>
      <c r="BA717" s="31"/>
      <c r="BB717" s="31"/>
      <c r="BC717" s="31"/>
      <c r="BD717" s="31"/>
      <c r="BE717" s="31"/>
      <c r="BF717" s="31"/>
      <c r="BG717" s="31"/>
      <c r="BH717" s="31"/>
      <c r="BI717" s="31"/>
      <c r="BJ717" s="31"/>
      <c r="BK717" s="31"/>
      <c r="BL717" s="31"/>
    </row>
    <row r="718" ht="15.7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31"/>
      <c r="AQ718" s="31"/>
      <c r="AR718" s="31"/>
      <c r="AS718" s="31"/>
      <c r="AT718" s="31"/>
      <c r="AU718" s="31"/>
      <c r="AV718" s="31"/>
      <c r="AW718" s="31"/>
      <c r="AX718" s="31"/>
      <c r="AY718" s="31"/>
      <c r="AZ718" s="31"/>
      <c r="BA718" s="31"/>
      <c r="BB718" s="31"/>
      <c r="BC718" s="31"/>
      <c r="BD718" s="31"/>
      <c r="BE718" s="31"/>
      <c r="BF718" s="31"/>
      <c r="BG718" s="31"/>
      <c r="BH718" s="31"/>
      <c r="BI718" s="31"/>
      <c r="BJ718" s="31"/>
      <c r="BK718" s="31"/>
      <c r="BL718" s="31"/>
    </row>
    <row r="719" ht="15.7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31"/>
      <c r="AQ719" s="31"/>
      <c r="AR719" s="31"/>
      <c r="AS719" s="31"/>
      <c r="AT719" s="31"/>
      <c r="AU719" s="31"/>
      <c r="AV719" s="31"/>
      <c r="AW719" s="31"/>
      <c r="AX719" s="31"/>
      <c r="AY719" s="31"/>
      <c r="AZ719" s="31"/>
      <c r="BA719" s="31"/>
      <c r="BB719" s="31"/>
      <c r="BC719" s="31"/>
      <c r="BD719" s="31"/>
      <c r="BE719" s="31"/>
      <c r="BF719" s="31"/>
      <c r="BG719" s="31"/>
      <c r="BH719" s="31"/>
      <c r="BI719" s="31"/>
      <c r="BJ719" s="31"/>
      <c r="BK719" s="31"/>
      <c r="BL719" s="31"/>
    </row>
    <row r="720" ht="15.7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31"/>
      <c r="AQ720" s="31"/>
      <c r="AR720" s="31"/>
      <c r="AS720" s="31"/>
      <c r="AT720" s="31"/>
      <c r="AU720" s="31"/>
      <c r="AV720" s="31"/>
      <c r="AW720" s="31"/>
      <c r="AX720" s="31"/>
      <c r="AY720" s="31"/>
      <c r="AZ720" s="31"/>
      <c r="BA720" s="31"/>
      <c r="BB720" s="31"/>
      <c r="BC720" s="31"/>
      <c r="BD720" s="31"/>
      <c r="BE720" s="31"/>
      <c r="BF720" s="31"/>
      <c r="BG720" s="31"/>
      <c r="BH720" s="31"/>
      <c r="BI720" s="31"/>
      <c r="BJ720" s="31"/>
      <c r="BK720" s="31"/>
      <c r="BL720" s="31"/>
    </row>
    <row r="721" ht="15.7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31"/>
      <c r="AQ721" s="31"/>
      <c r="AR721" s="31"/>
      <c r="AS721" s="31"/>
      <c r="AT721" s="31"/>
      <c r="AU721" s="31"/>
      <c r="AV721" s="31"/>
      <c r="AW721" s="31"/>
      <c r="AX721" s="31"/>
      <c r="AY721" s="31"/>
      <c r="AZ721" s="31"/>
      <c r="BA721" s="31"/>
      <c r="BB721" s="31"/>
      <c r="BC721" s="31"/>
      <c r="BD721" s="31"/>
      <c r="BE721" s="31"/>
      <c r="BF721" s="31"/>
      <c r="BG721" s="31"/>
      <c r="BH721" s="31"/>
      <c r="BI721" s="31"/>
      <c r="BJ721" s="31"/>
      <c r="BK721" s="31"/>
      <c r="BL721" s="31"/>
    </row>
    <row r="722" ht="15.7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31"/>
      <c r="AQ722" s="31"/>
      <c r="AR722" s="31"/>
      <c r="AS722" s="31"/>
      <c r="AT722" s="31"/>
      <c r="AU722" s="31"/>
      <c r="AV722" s="31"/>
      <c r="AW722" s="31"/>
      <c r="AX722" s="31"/>
      <c r="AY722" s="31"/>
      <c r="AZ722" s="31"/>
      <c r="BA722" s="31"/>
      <c r="BB722" s="31"/>
      <c r="BC722" s="31"/>
      <c r="BD722" s="31"/>
      <c r="BE722" s="31"/>
      <c r="BF722" s="31"/>
      <c r="BG722" s="31"/>
      <c r="BH722" s="31"/>
      <c r="BI722" s="31"/>
      <c r="BJ722" s="31"/>
      <c r="BK722" s="31"/>
      <c r="BL722" s="31"/>
    </row>
    <row r="723" ht="15.7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31"/>
      <c r="AQ723" s="31"/>
      <c r="AR723" s="31"/>
      <c r="AS723" s="31"/>
      <c r="AT723" s="31"/>
      <c r="AU723" s="31"/>
      <c r="AV723" s="31"/>
      <c r="AW723" s="31"/>
      <c r="AX723" s="31"/>
      <c r="AY723" s="31"/>
      <c r="AZ723" s="31"/>
      <c r="BA723" s="31"/>
      <c r="BB723" s="31"/>
      <c r="BC723" s="31"/>
      <c r="BD723" s="31"/>
      <c r="BE723" s="31"/>
      <c r="BF723" s="31"/>
      <c r="BG723" s="31"/>
      <c r="BH723" s="31"/>
      <c r="BI723" s="31"/>
      <c r="BJ723" s="31"/>
      <c r="BK723" s="31"/>
      <c r="BL723" s="31"/>
    </row>
    <row r="724" ht="15.7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31"/>
      <c r="AQ724" s="31"/>
      <c r="AR724" s="31"/>
      <c r="AS724" s="31"/>
      <c r="AT724" s="31"/>
      <c r="AU724" s="31"/>
      <c r="AV724" s="31"/>
      <c r="AW724" s="31"/>
      <c r="AX724" s="31"/>
      <c r="AY724" s="31"/>
      <c r="AZ724" s="31"/>
      <c r="BA724" s="31"/>
      <c r="BB724" s="31"/>
      <c r="BC724" s="31"/>
      <c r="BD724" s="31"/>
      <c r="BE724" s="31"/>
      <c r="BF724" s="31"/>
      <c r="BG724" s="31"/>
      <c r="BH724" s="31"/>
      <c r="BI724" s="31"/>
      <c r="BJ724" s="31"/>
      <c r="BK724" s="31"/>
      <c r="BL724" s="31"/>
    </row>
    <row r="725" ht="15.7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31"/>
      <c r="AQ725" s="31"/>
      <c r="AR725" s="31"/>
      <c r="AS725" s="31"/>
      <c r="AT725" s="31"/>
      <c r="AU725" s="31"/>
      <c r="AV725" s="31"/>
      <c r="AW725" s="31"/>
      <c r="AX725" s="31"/>
      <c r="AY725" s="31"/>
      <c r="AZ725" s="31"/>
      <c r="BA725" s="31"/>
      <c r="BB725" s="31"/>
      <c r="BC725" s="31"/>
      <c r="BD725" s="31"/>
      <c r="BE725" s="31"/>
      <c r="BF725" s="31"/>
      <c r="BG725" s="31"/>
      <c r="BH725" s="31"/>
      <c r="BI725" s="31"/>
      <c r="BJ725" s="31"/>
      <c r="BK725" s="31"/>
      <c r="BL725" s="31"/>
    </row>
    <row r="726" ht="15.7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31"/>
      <c r="AQ726" s="31"/>
      <c r="AR726" s="31"/>
      <c r="AS726" s="31"/>
      <c r="AT726" s="31"/>
      <c r="AU726" s="31"/>
      <c r="AV726" s="31"/>
      <c r="AW726" s="31"/>
      <c r="AX726" s="31"/>
      <c r="AY726" s="31"/>
      <c r="AZ726" s="31"/>
      <c r="BA726" s="31"/>
      <c r="BB726" s="31"/>
      <c r="BC726" s="31"/>
      <c r="BD726" s="31"/>
      <c r="BE726" s="31"/>
      <c r="BF726" s="31"/>
      <c r="BG726" s="31"/>
      <c r="BH726" s="31"/>
      <c r="BI726" s="31"/>
      <c r="BJ726" s="31"/>
      <c r="BK726" s="31"/>
      <c r="BL726" s="31"/>
    </row>
    <row r="727" ht="15.7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31"/>
      <c r="AQ727" s="31"/>
      <c r="AR727" s="31"/>
      <c r="AS727" s="31"/>
      <c r="AT727" s="31"/>
      <c r="AU727" s="31"/>
      <c r="AV727" s="31"/>
      <c r="AW727" s="31"/>
      <c r="AX727" s="31"/>
      <c r="AY727" s="31"/>
      <c r="AZ727" s="31"/>
      <c r="BA727" s="31"/>
      <c r="BB727" s="31"/>
      <c r="BC727" s="31"/>
      <c r="BD727" s="31"/>
      <c r="BE727" s="31"/>
      <c r="BF727" s="31"/>
      <c r="BG727" s="31"/>
      <c r="BH727" s="31"/>
      <c r="BI727" s="31"/>
      <c r="BJ727" s="31"/>
      <c r="BK727" s="31"/>
      <c r="BL727" s="31"/>
    </row>
    <row r="728" ht="15.7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31"/>
      <c r="AQ728" s="31"/>
      <c r="AR728" s="31"/>
      <c r="AS728" s="31"/>
      <c r="AT728" s="31"/>
      <c r="AU728" s="31"/>
      <c r="AV728" s="31"/>
      <c r="AW728" s="31"/>
      <c r="AX728" s="31"/>
      <c r="AY728" s="31"/>
      <c r="AZ728" s="31"/>
      <c r="BA728" s="31"/>
      <c r="BB728" s="31"/>
      <c r="BC728" s="31"/>
      <c r="BD728" s="31"/>
      <c r="BE728" s="31"/>
      <c r="BF728" s="31"/>
      <c r="BG728" s="31"/>
      <c r="BH728" s="31"/>
      <c r="BI728" s="31"/>
      <c r="BJ728" s="31"/>
      <c r="BK728" s="31"/>
      <c r="BL728" s="31"/>
    </row>
    <row r="729" ht="15.7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31"/>
      <c r="AQ729" s="31"/>
      <c r="AR729" s="31"/>
      <c r="AS729" s="31"/>
      <c r="AT729" s="31"/>
      <c r="AU729" s="31"/>
      <c r="AV729" s="31"/>
      <c r="AW729" s="31"/>
      <c r="AX729" s="31"/>
      <c r="AY729" s="31"/>
      <c r="AZ729" s="31"/>
      <c r="BA729" s="31"/>
      <c r="BB729" s="31"/>
      <c r="BC729" s="31"/>
      <c r="BD729" s="31"/>
      <c r="BE729" s="31"/>
      <c r="BF729" s="31"/>
      <c r="BG729" s="31"/>
      <c r="BH729" s="31"/>
      <c r="BI729" s="31"/>
      <c r="BJ729" s="31"/>
      <c r="BK729" s="31"/>
      <c r="BL729" s="31"/>
    </row>
    <row r="730" ht="15.7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31"/>
      <c r="AQ730" s="31"/>
      <c r="AR730" s="31"/>
      <c r="AS730" s="31"/>
      <c r="AT730" s="31"/>
      <c r="AU730" s="31"/>
      <c r="AV730" s="31"/>
      <c r="AW730" s="31"/>
      <c r="AX730" s="31"/>
      <c r="AY730" s="31"/>
      <c r="AZ730" s="31"/>
      <c r="BA730" s="31"/>
      <c r="BB730" s="31"/>
      <c r="BC730" s="31"/>
      <c r="BD730" s="31"/>
      <c r="BE730" s="31"/>
      <c r="BF730" s="31"/>
      <c r="BG730" s="31"/>
      <c r="BH730" s="31"/>
      <c r="BI730" s="31"/>
      <c r="BJ730" s="31"/>
      <c r="BK730" s="31"/>
      <c r="BL730" s="31"/>
    </row>
    <row r="731" ht="15.7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31"/>
      <c r="AQ731" s="31"/>
      <c r="AR731" s="31"/>
      <c r="AS731" s="31"/>
      <c r="AT731" s="31"/>
      <c r="AU731" s="31"/>
      <c r="AV731" s="31"/>
      <c r="AW731" s="31"/>
      <c r="AX731" s="31"/>
      <c r="AY731" s="31"/>
      <c r="AZ731" s="31"/>
      <c r="BA731" s="31"/>
      <c r="BB731" s="31"/>
      <c r="BC731" s="31"/>
      <c r="BD731" s="31"/>
      <c r="BE731" s="31"/>
      <c r="BF731" s="31"/>
      <c r="BG731" s="31"/>
      <c r="BH731" s="31"/>
      <c r="BI731" s="31"/>
      <c r="BJ731" s="31"/>
      <c r="BK731" s="31"/>
      <c r="BL731" s="31"/>
    </row>
    <row r="732" ht="15.7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31"/>
      <c r="AQ732" s="31"/>
      <c r="AR732" s="31"/>
      <c r="AS732" s="31"/>
      <c r="AT732" s="31"/>
      <c r="AU732" s="31"/>
      <c r="AV732" s="31"/>
      <c r="AW732" s="31"/>
      <c r="AX732" s="31"/>
      <c r="AY732" s="31"/>
      <c r="AZ732" s="31"/>
      <c r="BA732" s="31"/>
      <c r="BB732" s="31"/>
      <c r="BC732" s="31"/>
      <c r="BD732" s="31"/>
      <c r="BE732" s="31"/>
      <c r="BF732" s="31"/>
      <c r="BG732" s="31"/>
      <c r="BH732" s="31"/>
      <c r="BI732" s="31"/>
      <c r="BJ732" s="31"/>
      <c r="BK732" s="31"/>
      <c r="BL732" s="31"/>
    </row>
    <row r="733" ht="15.7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31"/>
      <c r="AQ733" s="31"/>
      <c r="AR733" s="31"/>
      <c r="AS733" s="31"/>
      <c r="AT733" s="31"/>
      <c r="AU733" s="31"/>
      <c r="AV733" s="31"/>
      <c r="AW733" s="31"/>
      <c r="AX733" s="31"/>
      <c r="AY733" s="31"/>
      <c r="AZ733" s="31"/>
      <c r="BA733" s="31"/>
      <c r="BB733" s="31"/>
      <c r="BC733" s="31"/>
      <c r="BD733" s="31"/>
      <c r="BE733" s="31"/>
      <c r="BF733" s="31"/>
      <c r="BG733" s="31"/>
      <c r="BH733" s="31"/>
      <c r="BI733" s="31"/>
      <c r="BJ733" s="31"/>
      <c r="BK733" s="31"/>
      <c r="BL733" s="31"/>
    </row>
    <row r="734" ht="15.7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31"/>
      <c r="AQ734" s="31"/>
      <c r="AR734" s="31"/>
      <c r="AS734" s="31"/>
      <c r="AT734" s="31"/>
      <c r="AU734" s="31"/>
      <c r="AV734" s="31"/>
      <c r="AW734" s="31"/>
      <c r="AX734" s="31"/>
      <c r="AY734" s="31"/>
      <c r="AZ734" s="31"/>
      <c r="BA734" s="31"/>
      <c r="BB734" s="31"/>
      <c r="BC734" s="31"/>
      <c r="BD734" s="31"/>
      <c r="BE734" s="31"/>
      <c r="BF734" s="31"/>
      <c r="BG734" s="31"/>
      <c r="BH734" s="31"/>
      <c r="BI734" s="31"/>
      <c r="BJ734" s="31"/>
      <c r="BK734" s="31"/>
      <c r="BL734" s="31"/>
    </row>
    <row r="735" ht="15.7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31"/>
      <c r="AQ735" s="31"/>
      <c r="AR735" s="31"/>
      <c r="AS735" s="31"/>
      <c r="AT735" s="31"/>
      <c r="AU735" s="31"/>
      <c r="AV735" s="31"/>
      <c r="AW735" s="31"/>
      <c r="AX735" s="31"/>
      <c r="AY735" s="31"/>
      <c r="AZ735" s="31"/>
      <c r="BA735" s="31"/>
      <c r="BB735" s="31"/>
      <c r="BC735" s="31"/>
      <c r="BD735" s="31"/>
      <c r="BE735" s="31"/>
      <c r="BF735" s="31"/>
      <c r="BG735" s="31"/>
      <c r="BH735" s="31"/>
      <c r="BI735" s="31"/>
      <c r="BJ735" s="31"/>
      <c r="BK735" s="31"/>
      <c r="BL735" s="31"/>
    </row>
    <row r="736" ht="15.7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31"/>
      <c r="AQ736" s="31"/>
      <c r="AR736" s="31"/>
      <c r="AS736" s="31"/>
      <c r="AT736" s="31"/>
      <c r="AU736" s="31"/>
      <c r="AV736" s="31"/>
      <c r="AW736" s="31"/>
      <c r="AX736" s="31"/>
      <c r="AY736" s="31"/>
      <c r="AZ736" s="31"/>
      <c r="BA736" s="31"/>
      <c r="BB736" s="31"/>
      <c r="BC736" s="31"/>
      <c r="BD736" s="31"/>
      <c r="BE736" s="31"/>
      <c r="BF736" s="31"/>
      <c r="BG736" s="31"/>
      <c r="BH736" s="31"/>
      <c r="BI736" s="31"/>
      <c r="BJ736" s="31"/>
      <c r="BK736" s="31"/>
      <c r="BL736" s="31"/>
    </row>
    <row r="737" ht="15.7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31"/>
      <c r="AQ737" s="31"/>
      <c r="AR737" s="31"/>
      <c r="AS737" s="31"/>
      <c r="AT737" s="31"/>
      <c r="AU737" s="31"/>
      <c r="AV737" s="31"/>
      <c r="AW737" s="31"/>
      <c r="AX737" s="31"/>
      <c r="AY737" s="31"/>
      <c r="AZ737" s="31"/>
      <c r="BA737" s="31"/>
      <c r="BB737" s="31"/>
      <c r="BC737" s="31"/>
      <c r="BD737" s="31"/>
      <c r="BE737" s="31"/>
      <c r="BF737" s="31"/>
      <c r="BG737" s="31"/>
      <c r="BH737" s="31"/>
      <c r="BI737" s="31"/>
      <c r="BJ737" s="31"/>
      <c r="BK737" s="31"/>
      <c r="BL737" s="31"/>
    </row>
    <row r="738" ht="15.7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31"/>
      <c r="AQ738" s="31"/>
      <c r="AR738" s="31"/>
      <c r="AS738" s="31"/>
      <c r="AT738" s="31"/>
      <c r="AU738" s="31"/>
      <c r="AV738" s="31"/>
      <c r="AW738" s="31"/>
      <c r="AX738" s="31"/>
      <c r="AY738" s="31"/>
      <c r="AZ738" s="31"/>
      <c r="BA738" s="31"/>
      <c r="BB738" s="31"/>
      <c r="BC738" s="31"/>
      <c r="BD738" s="31"/>
      <c r="BE738" s="31"/>
      <c r="BF738" s="31"/>
      <c r="BG738" s="31"/>
      <c r="BH738" s="31"/>
      <c r="BI738" s="31"/>
      <c r="BJ738" s="31"/>
      <c r="BK738" s="31"/>
      <c r="BL738" s="31"/>
    </row>
    <row r="739" ht="15.7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31"/>
      <c r="AQ739" s="31"/>
      <c r="AR739" s="31"/>
      <c r="AS739" s="31"/>
      <c r="AT739" s="31"/>
      <c r="AU739" s="31"/>
      <c r="AV739" s="31"/>
      <c r="AW739" s="31"/>
      <c r="AX739" s="31"/>
      <c r="AY739" s="31"/>
      <c r="AZ739" s="31"/>
      <c r="BA739" s="31"/>
      <c r="BB739" s="31"/>
      <c r="BC739" s="31"/>
      <c r="BD739" s="31"/>
      <c r="BE739" s="31"/>
      <c r="BF739" s="31"/>
      <c r="BG739" s="31"/>
      <c r="BH739" s="31"/>
      <c r="BI739" s="31"/>
      <c r="BJ739" s="31"/>
      <c r="BK739" s="31"/>
      <c r="BL739" s="31"/>
    </row>
    <row r="740" ht="15.7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31"/>
      <c r="AQ740" s="31"/>
      <c r="AR740" s="31"/>
      <c r="AS740" s="31"/>
      <c r="AT740" s="31"/>
      <c r="AU740" s="31"/>
      <c r="AV740" s="31"/>
      <c r="AW740" s="31"/>
      <c r="AX740" s="31"/>
      <c r="AY740" s="31"/>
      <c r="AZ740" s="31"/>
      <c r="BA740" s="31"/>
      <c r="BB740" s="31"/>
      <c r="BC740" s="31"/>
      <c r="BD740" s="31"/>
      <c r="BE740" s="31"/>
      <c r="BF740" s="31"/>
      <c r="BG740" s="31"/>
      <c r="BH740" s="31"/>
      <c r="BI740" s="31"/>
      <c r="BJ740" s="31"/>
      <c r="BK740" s="31"/>
      <c r="BL740" s="31"/>
    </row>
    <row r="741" ht="15.7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31"/>
      <c r="AQ741" s="31"/>
      <c r="AR741" s="31"/>
      <c r="AS741" s="31"/>
      <c r="AT741" s="31"/>
      <c r="AU741" s="31"/>
      <c r="AV741" s="31"/>
      <c r="AW741" s="31"/>
      <c r="AX741" s="31"/>
      <c r="AY741" s="31"/>
      <c r="AZ741" s="31"/>
      <c r="BA741" s="31"/>
      <c r="BB741" s="31"/>
      <c r="BC741" s="31"/>
      <c r="BD741" s="31"/>
      <c r="BE741" s="31"/>
      <c r="BF741" s="31"/>
      <c r="BG741" s="31"/>
      <c r="BH741" s="31"/>
      <c r="BI741" s="31"/>
      <c r="BJ741" s="31"/>
      <c r="BK741" s="31"/>
      <c r="BL741" s="31"/>
    </row>
    <row r="742" ht="15.7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31"/>
      <c r="AQ742" s="31"/>
      <c r="AR742" s="31"/>
      <c r="AS742" s="31"/>
      <c r="AT742" s="31"/>
      <c r="AU742" s="31"/>
      <c r="AV742" s="31"/>
      <c r="AW742" s="31"/>
      <c r="AX742" s="31"/>
      <c r="AY742" s="31"/>
      <c r="AZ742" s="31"/>
      <c r="BA742" s="31"/>
      <c r="BB742" s="31"/>
      <c r="BC742" s="31"/>
      <c r="BD742" s="31"/>
      <c r="BE742" s="31"/>
      <c r="BF742" s="31"/>
      <c r="BG742" s="31"/>
      <c r="BH742" s="31"/>
      <c r="BI742" s="31"/>
      <c r="BJ742" s="31"/>
      <c r="BK742" s="31"/>
      <c r="BL742" s="31"/>
    </row>
    <row r="743" ht="15.7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31"/>
      <c r="AQ743" s="31"/>
      <c r="AR743" s="31"/>
      <c r="AS743" s="31"/>
      <c r="AT743" s="31"/>
      <c r="AU743" s="31"/>
      <c r="AV743" s="31"/>
      <c r="AW743" s="31"/>
      <c r="AX743" s="31"/>
      <c r="AY743" s="31"/>
      <c r="AZ743" s="31"/>
      <c r="BA743" s="31"/>
      <c r="BB743" s="31"/>
      <c r="BC743" s="31"/>
      <c r="BD743" s="31"/>
      <c r="BE743" s="31"/>
      <c r="BF743" s="31"/>
      <c r="BG743" s="31"/>
      <c r="BH743" s="31"/>
      <c r="BI743" s="31"/>
      <c r="BJ743" s="31"/>
      <c r="BK743" s="31"/>
      <c r="BL743" s="31"/>
    </row>
    <row r="744" ht="15.7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31"/>
      <c r="AQ744" s="31"/>
      <c r="AR744" s="31"/>
      <c r="AS744" s="31"/>
      <c r="AT744" s="31"/>
      <c r="AU744" s="31"/>
      <c r="AV744" s="31"/>
      <c r="AW744" s="31"/>
      <c r="AX744" s="31"/>
      <c r="AY744" s="31"/>
      <c r="AZ744" s="31"/>
      <c r="BA744" s="31"/>
      <c r="BB744" s="31"/>
      <c r="BC744" s="31"/>
      <c r="BD744" s="31"/>
      <c r="BE744" s="31"/>
      <c r="BF744" s="31"/>
      <c r="BG744" s="31"/>
      <c r="BH744" s="31"/>
      <c r="BI744" s="31"/>
      <c r="BJ744" s="31"/>
      <c r="BK744" s="31"/>
      <c r="BL744" s="31"/>
    </row>
    <row r="745" ht="15.7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31"/>
      <c r="AQ745" s="31"/>
      <c r="AR745" s="31"/>
      <c r="AS745" s="31"/>
      <c r="AT745" s="31"/>
      <c r="AU745" s="31"/>
      <c r="AV745" s="31"/>
      <c r="AW745" s="31"/>
      <c r="AX745" s="31"/>
      <c r="AY745" s="31"/>
      <c r="AZ745" s="31"/>
      <c r="BA745" s="31"/>
      <c r="BB745" s="31"/>
      <c r="BC745" s="31"/>
      <c r="BD745" s="31"/>
      <c r="BE745" s="31"/>
      <c r="BF745" s="31"/>
      <c r="BG745" s="31"/>
      <c r="BH745" s="31"/>
      <c r="BI745" s="31"/>
      <c r="BJ745" s="31"/>
      <c r="BK745" s="31"/>
      <c r="BL745" s="31"/>
    </row>
    <row r="746" ht="15.7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31"/>
      <c r="AQ746" s="31"/>
      <c r="AR746" s="31"/>
      <c r="AS746" s="31"/>
      <c r="AT746" s="31"/>
      <c r="AU746" s="31"/>
      <c r="AV746" s="31"/>
      <c r="AW746" s="31"/>
      <c r="AX746" s="31"/>
      <c r="AY746" s="31"/>
      <c r="AZ746" s="31"/>
      <c r="BA746" s="31"/>
      <c r="BB746" s="31"/>
      <c r="BC746" s="31"/>
      <c r="BD746" s="31"/>
      <c r="BE746" s="31"/>
      <c r="BF746" s="31"/>
      <c r="BG746" s="31"/>
      <c r="BH746" s="31"/>
      <c r="BI746" s="31"/>
      <c r="BJ746" s="31"/>
      <c r="BK746" s="31"/>
      <c r="BL746" s="31"/>
    </row>
    <row r="747" ht="15.7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31"/>
      <c r="AQ747" s="31"/>
      <c r="AR747" s="31"/>
      <c r="AS747" s="31"/>
      <c r="AT747" s="31"/>
      <c r="AU747" s="31"/>
      <c r="AV747" s="31"/>
      <c r="AW747" s="31"/>
      <c r="AX747" s="31"/>
      <c r="AY747" s="31"/>
      <c r="AZ747" s="31"/>
      <c r="BA747" s="31"/>
      <c r="BB747" s="31"/>
      <c r="BC747" s="31"/>
      <c r="BD747" s="31"/>
      <c r="BE747" s="31"/>
      <c r="BF747" s="31"/>
      <c r="BG747" s="31"/>
      <c r="BH747" s="31"/>
      <c r="BI747" s="31"/>
      <c r="BJ747" s="31"/>
      <c r="BK747" s="31"/>
      <c r="BL747" s="31"/>
    </row>
    <row r="748" ht="15.7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31"/>
      <c r="AQ748" s="31"/>
      <c r="AR748" s="31"/>
      <c r="AS748" s="31"/>
      <c r="AT748" s="31"/>
      <c r="AU748" s="31"/>
      <c r="AV748" s="31"/>
      <c r="AW748" s="31"/>
      <c r="AX748" s="31"/>
      <c r="AY748" s="31"/>
      <c r="AZ748" s="31"/>
      <c r="BA748" s="31"/>
      <c r="BB748" s="31"/>
      <c r="BC748" s="31"/>
      <c r="BD748" s="31"/>
      <c r="BE748" s="31"/>
      <c r="BF748" s="31"/>
      <c r="BG748" s="31"/>
      <c r="BH748" s="31"/>
      <c r="BI748" s="31"/>
      <c r="BJ748" s="31"/>
      <c r="BK748" s="31"/>
      <c r="BL748" s="31"/>
    </row>
    <row r="749" ht="15.7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31"/>
      <c r="AQ749" s="31"/>
      <c r="AR749" s="31"/>
      <c r="AS749" s="31"/>
      <c r="AT749" s="31"/>
      <c r="AU749" s="31"/>
      <c r="AV749" s="31"/>
      <c r="AW749" s="31"/>
      <c r="AX749" s="31"/>
      <c r="AY749" s="31"/>
      <c r="AZ749" s="31"/>
      <c r="BA749" s="31"/>
      <c r="BB749" s="31"/>
      <c r="BC749" s="31"/>
      <c r="BD749" s="31"/>
      <c r="BE749" s="31"/>
      <c r="BF749" s="31"/>
      <c r="BG749" s="31"/>
      <c r="BH749" s="31"/>
      <c r="BI749" s="31"/>
      <c r="BJ749" s="31"/>
      <c r="BK749" s="31"/>
      <c r="BL749" s="31"/>
    </row>
    <row r="750" ht="15.7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31"/>
      <c r="AQ750" s="31"/>
      <c r="AR750" s="31"/>
      <c r="AS750" s="31"/>
      <c r="AT750" s="31"/>
      <c r="AU750" s="31"/>
      <c r="AV750" s="31"/>
      <c r="AW750" s="31"/>
      <c r="AX750" s="31"/>
      <c r="AY750" s="31"/>
      <c r="AZ750" s="31"/>
      <c r="BA750" s="31"/>
      <c r="BB750" s="31"/>
      <c r="BC750" s="31"/>
      <c r="BD750" s="31"/>
      <c r="BE750" s="31"/>
      <c r="BF750" s="31"/>
      <c r="BG750" s="31"/>
      <c r="BH750" s="31"/>
      <c r="BI750" s="31"/>
      <c r="BJ750" s="31"/>
      <c r="BK750" s="31"/>
      <c r="BL750" s="31"/>
    </row>
    <row r="751" ht="15.7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31"/>
      <c r="AQ751" s="31"/>
      <c r="AR751" s="31"/>
      <c r="AS751" s="31"/>
      <c r="AT751" s="31"/>
      <c r="AU751" s="31"/>
      <c r="AV751" s="31"/>
      <c r="AW751" s="31"/>
      <c r="AX751" s="31"/>
      <c r="AY751" s="31"/>
      <c r="AZ751" s="31"/>
      <c r="BA751" s="31"/>
      <c r="BB751" s="31"/>
      <c r="BC751" s="31"/>
      <c r="BD751" s="31"/>
      <c r="BE751" s="31"/>
      <c r="BF751" s="31"/>
      <c r="BG751" s="31"/>
      <c r="BH751" s="31"/>
      <c r="BI751" s="31"/>
      <c r="BJ751" s="31"/>
      <c r="BK751" s="31"/>
      <c r="BL751" s="31"/>
    </row>
    <row r="752" ht="15.7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31"/>
      <c r="AQ752" s="31"/>
      <c r="AR752" s="31"/>
      <c r="AS752" s="31"/>
      <c r="AT752" s="31"/>
      <c r="AU752" s="31"/>
      <c r="AV752" s="31"/>
      <c r="AW752" s="31"/>
      <c r="AX752" s="31"/>
      <c r="AY752" s="31"/>
      <c r="AZ752" s="31"/>
      <c r="BA752" s="31"/>
      <c r="BB752" s="31"/>
      <c r="BC752" s="31"/>
      <c r="BD752" s="31"/>
      <c r="BE752" s="31"/>
      <c r="BF752" s="31"/>
      <c r="BG752" s="31"/>
      <c r="BH752" s="31"/>
      <c r="BI752" s="31"/>
      <c r="BJ752" s="31"/>
      <c r="BK752" s="31"/>
      <c r="BL752" s="31"/>
    </row>
    <row r="753" ht="15.7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31"/>
      <c r="AQ753" s="31"/>
      <c r="AR753" s="31"/>
      <c r="AS753" s="31"/>
      <c r="AT753" s="31"/>
      <c r="AU753" s="31"/>
      <c r="AV753" s="31"/>
      <c r="AW753" s="31"/>
      <c r="AX753" s="31"/>
      <c r="AY753" s="31"/>
      <c r="AZ753" s="31"/>
      <c r="BA753" s="31"/>
      <c r="BB753" s="31"/>
      <c r="BC753" s="31"/>
      <c r="BD753" s="31"/>
      <c r="BE753" s="31"/>
      <c r="BF753" s="31"/>
      <c r="BG753" s="31"/>
      <c r="BH753" s="31"/>
      <c r="BI753" s="31"/>
      <c r="BJ753" s="31"/>
      <c r="BK753" s="31"/>
      <c r="BL753" s="31"/>
    </row>
    <row r="754" ht="15.7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31"/>
      <c r="AQ754" s="31"/>
      <c r="AR754" s="31"/>
      <c r="AS754" s="31"/>
      <c r="AT754" s="31"/>
      <c r="AU754" s="31"/>
      <c r="AV754" s="31"/>
      <c r="AW754" s="31"/>
      <c r="AX754" s="31"/>
      <c r="AY754" s="31"/>
      <c r="AZ754" s="31"/>
      <c r="BA754" s="31"/>
      <c r="BB754" s="31"/>
      <c r="BC754" s="31"/>
      <c r="BD754" s="31"/>
      <c r="BE754" s="31"/>
      <c r="BF754" s="31"/>
      <c r="BG754" s="31"/>
      <c r="BH754" s="31"/>
      <c r="BI754" s="31"/>
      <c r="BJ754" s="31"/>
      <c r="BK754" s="31"/>
      <c r="BL754" s="31"/>
    </row>
    <row r="755" ht="15.7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31"/>
      <c r="AQ755" s="31"/>
      <c r="AR755" s="31"/>
      <c r="AS755" s="31"/>
      <c r="AT755" s="31"/>
      <c r="AU755" s="31"/>
      <c r="AV755" s="31"/>
      <c r="AW755" s="31"/>
      <c r="AX755" s="31"/>
      <c r="AY755" s="31"/>
      <c r="AZ755" s="31"/>
      <c r="BA755" s="31"/>
      <c r="BB755" s="31"/>
      <c r="BC755" s="31"/>
      <c r="BD755" s="31"/>
      <c r="BE755" s="31"/>
      <c r="BF755" s="31"/>
      <c r="BG755" s="31"/>
      <c r="BH755" s="31"/>
      <c r="BI755" s="31"/>
      <c r="BJ755" s="31"/>
      <c r="BK755" s="31"/>
      <c r="BL755" s="31"/>
    </row>
    <row r="756" ht="15.7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31"/>
      <c r="AQ756" s="31"/>
      <c r="AR756" s="31"/>
      <c r="AS756" s="31"/>
      <c r="AT756" s="31"/>
      <c r="AU756" s="31"/>
      <c r="AV756" s="31"/>
      <c r="AW756" s="31"/>
      <c r="AX756" s="31"/>
      <c r="AY756" s="31"/>
      <c r="AZ756" s="31"/>
      <c r="BA756" s="31"/>
      <c r="BB756" s="31"/>
      <c r="BC756" s="31"/>
      <c r="BD756" s="31"/>
      <c r="BE756" s="31"/>
      <c r="BF756" s="31"/>
      <c r="BG756" s="31"/>
      <c r="BH756" s="31"/>
      <c r="BI756" s="31"/>
      <c r="BJ756" s="31"/>
      <c r="BK756" s="31"/>
      <c r="BL756" s="31"/>
    </row>
    <row r="757" ht="15.7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31"/>
      <c r="AQ757" s="31"/>
      <c r="AR757" s="31"/>
      <c r="AS757" s="31"/>
      <c r="AT757" s="31"/>
      <c r="AU757" s="31"/>
      <c r="AV757" s="31"/>
      <c r="AW757" s="31"/>
      <c r="AX757" s="31"/>
      <c r="AY757" s="31"/>
      <c r="AZ757" s="31"/>
      <c r="BA757" s="31"/>
      <c r="BB757" s="31"/>
      <c r="BC757" s="31"/>
      <c r="BD757" s="31"/>
      <c r="BE757" s="31"/>
      <c r="BF757" s="31"/>
      <c r="BG757" s="31"/>
      <c r="BH757" s="31"/>
      <c r="BI757" s="31"/>
      <c r="BJ757" s="31"/>
      <c r="BK757" s="31"/>
      <c r="BL757" s="31"/>
    </row>
    <row r="758" ht="15.7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31"/>
      <c r="AQ758" s="31"/>
      <c r="AR758" s="31"/>
      <c r="AS758" s="31"/>
      <c r="AT758" s="31"/>
      <c r="AU758" s="31"/>
      <c r="AV758" s="31"/>
      <c r="AW758" s="31"/>
      <c r="AX758" s="31"/>
      <c r="AY758" s="31"/>
      <c r="AZ758" s="31"/>
      <c r="BA758" s="31"/>
      <c r="BB758" s="31"/>
      <c r="BC758" s="31"/>
      <c r="BD758" s="31"/>
      <c r="BE758" s="31"/>
      <c r="BF758" s="31"/>
      <c r="BG758" s="31"/>
      <c r="BH758" s="31"/>
      <c r="BI758" s="31"/>
      <c r="BJ758" s="31"/>
      <c r="BK758" s="31"/>
      <c r="BL758" s="31"/>
    </row>
    <row r="759" ht="15.7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31"/>
      <c r="AQ759" s="31"/>
      <c r="AR759" s="31"/>
      <c r="AS759" s="31"/>
      <c r="AT759" s="31"/>
      <c r="AU759" s="31"/>
      <c r="AV759" s="31"/>
      <c r="AW759" s="31"/>
      <c r="AX759" s="31"/>
      <c r="AY759" s="31"/>
      <c r="AZ759" s="31"/>
      <c r="BA759" s="31"/>
      <c r="BB759" s="31"/>
      <c r="BC759" s="31"/>
      <c r="BD759" s="31"/>
      <c r="BE759" s="31"/>
      <c r="BF759" s="31"/>
      <c r="BG759" s="31"/>
      <c r="BH759" s="31"/>
      <c r="BI759" s="31"/>
      <c r="BJ759" s="31"/>
      <c r="BK759" s="31"/>
      <c r="BL759" s="31"/>
    </row>
    <row r="760" ht="15.7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31"/>
      <c r="AQ760" s="31"/>
      <c r="AR760" s="31"/>
      <c r="AS760" s="31"/>
      <c r="AT760" s="31"/>
      <c r="AU760" s="31"/>
      <c r="AV760" s="31"/>
      <c r="AW760" s="31"/>
      <c r="AX760" s="31"/>
      <c r="AY760" s="31"/>
      <c r="AZ760" s="31"/>
      <c r="BA760" s="31"/>
      <c r="BB760" s="31"/>
      <c r="BC760" s="31"/>
      <c r="BD760" s="31"/>
      <c r="BE760" s="31"/>
      <c r="BF760" s="31"/>
      <c r="BG760" s="31"/>
      <c r="BH760" s="31"/>
      <c r="BI760" s="31"/>
      <c r="BJ760" s="31"/>
      <c r="BK760" s="31"/>
      <c r="BL760" s="31"/>
    </row>
    <row r="761" ht="15.7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31"/>
      <c r="AQ761" s="31"/>
      <c r="AR761" s="31"/>
      <c r="AS761" s="31"/>
      <c r="AT761" s="31"/>
      <c r="AU761" s="31"/>
      <c r="AV761" s="31"/>
      <c r="AW761" s="31"/>
      <c r="AX761" s="31"/>
      <c r="AY761" s="31"/>
      <c r="AZ761" s="31"/>
      <c r="BA761" s="31"/>
      <c r="BB761" s="31"/>
      <c r="BC761" s="31"/>
      <c r="BD761" s="31"/>
      <c r="BE761" s="31"/>
      <c r="BF761" s="31"/>
      <c r="BG761" s="31"/>
      <c r="BH761" s="31"/>
      <c r="BI761" s="31"/>
      <c r="BJ761" s="31"/>
      <c r="BK761" s="31"/>
      <c r="BL761" s="31"/>
    </row>
    <row r="762" ht="15.7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31"/>
      <c r="AQ762" s="31"/>
      <c r="AR762" s="31"/>
      <c r="AS762" s="31"/>
      <c r="AT762" s="31"/>
      <c r="AU762" s="31"/>
      <c r="AV762" s="31"/>
      <c r="AW762" s="31"/>
      <c r="AX762" s="31"/>
      <c r="AY762" s="31"/>
      <c r="AZ762" s="31"/>
      <c r="BA762" s="31"/>
      <c r="BB762" s="31"/>
      <c r="BC762" s="31"/>
      <c r="BD762" s="31"/>
      <c r="BE762" s="31"/>
      <c r="BF762" s="31"/>
      <c r="BG762" s="31"/>
      <c r="BH762" s="31"/>
      <c r="BI762" s="31"/>
      <c r="BJ762" s="31"/>
      <c r="BK762" s="31"/>
      <c r="BL762" s="31"/>
    </row>
    <row r="763" ht="15.7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31"/>
      <c r="AQ763" s="31"/>
      <c r="AR763" s="31"/>
      <c r="AS763" s="31"/>
      <c r="AT763" s="31"/>
      <c r="AU763" s="31"/>
      <c r="AV763" s="31"/>
      <c r="AW763" s="31"/>
      <c r="AX763" s="31"/>
      <c r="AY763" s="31"/>
      <c r="AZ763" s="31"/>
      <c r="BA763" s="31"/>
      <c r="BB763" s="31"/>
      <c r="BC763" s="31"/>
      <c r="BD763" s="31"/>
      <c r="BE763" s="31"/>
      <c r="BF763" s="31"/>
      <c r="BG763" s="31"/>
      <c r="BH763" s="31"/>
      <c r="BI763" s="31"/>
      <c r="BJ763" s="31"/>
      <c r="BK763" s="31"/>
      <c r="BL763" s="31"/>
    </row>
    <row r="764" ht="15.7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31"/>
      <c r="AQ764" s="31"/>
      <c r="AR764" s="31"/>
      <c r="AS764" s="31"/>
      <c r="AT764" s="31"/>
      <c r="AU764" s="31"/>
      <c r="AV764" s="31"/>
      <c r="AW764" s="31"/>
      <c r="AX764" s="31"/>
      <c r="AY764" s="31"/>
      <c r="AZ764" s="31"/>
      <c r="BA764" s="31"/>
      <c r="BB764" s="31"/>
      <c r="BC764" s="31"/>
      <c r="BD764" s="31"/>
      <c r="BE764" s="31"/>
      <c r="BF764" s="31"/>
      <c r="BG764" s="31"/>
      <c r="BH764" s="31"/>
      <c r="BI764" s="31"/>
      <c r="BJ764" s="31"/>
      <c r="BK764" s="31"/>
      <c r="BL764" s="31"/>
    </row>
    <row r="765" ht="15.7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31"/>
      <c r="AQ765" s="31"/>
      <c r="AR765" s="31"/>
      <c r="AS765" s="31"/>
      <c r="AT765" s="31"/>
      <c r="AU765" s="31"/>
      <c r="AV765" s="31"/>
      <c r="AW765" s="31"/>
      <c r="AX765" s="31"/>
      <c r="AY765" s="31"/>
      <c r="AZ765" s="31"/>
      <c r="BA765" s="31"/>
      <c r="BB765" s="31"/>
      <c r="BC765" s="31"/>
      <c r="BD765" s="31"/>
      <c r="BE765" s="31"/>
      <c r="BF765" s="31"/>
      <c r="BG765" s="31"/>
      <c r="BH765" s="31"/>
      <c r="BI765" s="31"/>
      <c r="BJ765" s="31"/>
      <c r="BK765" s="31"/>
      <c r="BL765" s="31"/>
    </row>
    <row r="766" ht="15.7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31"/>
      <c r="AQ766" s="31"/>
      <c r="AR766" s="31"/>
      <c r="AS766" s="31"/>
      <c r="AT766" s="31"/>
      <c r="AU766" s="31"/>
      <c r="AV766" s="31"/>
      <c r="AW766" s="31"/>
      <c r="AX766" s="31"/>
      <c r="AY766" s="31"/>
      <c r="AZ766" s="31"/>
      <c r="BA766" s="31"/>
      <c r="BB766" s="31"/>
      <c r="BC766" s="31"/>
      <c r="BD766" s="31"/>
      <c r="BE766" s="31"/>
      <c r="BF766" s="31"/>
      <c r="BG766" s="31"/>
      <c r="BH766" s="31"/>
      <c r="BI766" s="31"/>
      <c r="BJ766" s="31"/>
      <c r="BK766" s="31"/>
      <c r="BL766" s="31"/>
    </row>
    <row r="767" ht="15.7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31"/>
      <c r="AQ767" s="31"/>
      <c r="AR767" s="31"/>
      <c r="AS767" s="31"/>
      <c r="AT767" s="31"/>
      <c r="AU767" s="31"/>
      <c r="AV767" s="31"/>
      <c r="AW767" s="31"/>
      <c r="AX767" s="31"/>
      <c r="AY767" s="31"/>
      <c r="AZ767" s="31"/>
      <c r="BA767" s="31"/>
      <c r="BB767" s="31"/>
      <c r="BC767" s="31"/>
      <c r="BD767" s="31"/>
      <c r="BE767" s="31"/>
      <c r="BF767" s="31"/>
      <c r="BG767" s="31"/>
      <c r="BH767" s="31"/>
      <c r="BI767" s="31"/>
      <c r="BJ767" s="31"/>
      <c r="BK767" s="31"/>
      <c r="BL767" s="31"/>
    </row>
    <row r="768" ht="15.7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31"/>
      <c r="AQ768" s="31"/>
      <c r="AR768" s="31"/>
      <c r="AS768" s="31"/>
      <c r="AT768" s="31"/>
      <c r="AU768" s="31"/>
      <c r="AV768" s="31"/>
      <c r="AW768" s="31"/>
      <c r="AX768" s="31"/>
      <c r="AY768" s="31"/>
      <c r="AZ768" s="31"/>
      <c r="BA768" s="31"/>
      <c r="BB768" s="31"/>
      <c r="BC768" s="31"/>
      <c r="BD768" s="31"/>
      <c r="BE768" s="31"/>
      <c r="BF768" s="31"/>
      <c r="BG768" s="31"/>
      <c r="BH768" s="31"/>
      <c r="BI768" s="31"/>
      <c r="BJ768" s="31"/>
      <c r="BK768" s="31"/>
      <c r="BL768" s="31"/>
    </row>
    <row r="769" ht="15.7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31"/>
      <c r="AQ769" s="31"/>
      <c r="AR769" s="31"/>
      <c r="AS769" s="31"/>
      <c r="AT769" s="31"/>
      <c r="AU769" s="31"/>
      <c r="AV769" s="31"/>
      <c r="AW769" s="31"/>
      <c r="AX769" s="31"/>
      <c r="AY769" s="31"/>
      <c r="AZ769" s="31"/>
      <c r="BA769" s="31"/>
      <c r="BB769" s="31"/>
      <c r="BC769" s="31"/>
      <c r="BD769" s="31"/>
      <c r="BE769" s="31"/>
      <c r="BF769" s="31"/>
      <c r="BG769" s="31"/>
      <c r="BH769" s="31"/>
      <c r="BI769" s="31"/>
      <c r="BJ769" s="31"/>
      <c r="BK769" s="31"/>
      <c r="BL769" s="31"/>
    </row>
    <row r="770" ht="15.7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31"/>
      <c r="AQ770" s="31"/>
      <c r="AR770" s="31"/>
      <c r="AS770" s="31"/>
      <c r="AT770" s="31"/>
      <c r="AU770" s="31"/>
      <c r="AV770" s="31"/>
      <c r="AW770" s="31"/>
      <c r="AX770" s="31"/>
      <c r="AY770" s="31"/>
      <c r="AZ770" s="31"/>
      <c r="BA770" s="31"/>
      <c r="BB770" s="31"/>
      <c r="BC770" s="31"/>
      <c r="BD770" s="31"/>
      <c r="BE770" s="31"/>
      <c r="BF770" s="31"/>
      <c r="BG770" s="31"/>
      <c r="BH770" s="31"/>
      <c r="BI770" s="31"/>
      <c r="BJ770" s="31"/>
      <c r="BK770" s="31"/>
      <c r="BL770" s="31"/>
    </row>
    <row r="771" ht="15.7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31"/>
      <c r="AQ771" s="31"/>
      <c r="AR771" s="31"/>
      <c r="AS771" s="31"/>
      <c r="AT771" s="31"/>
      <c r="AU771" s="31"/>
      <c r="AV771" s="31"/>
      <c r="AW771" s="31"/>
      <c r="AX771" s="31"/>
      <c r="AY771" s="31"/>
      <c r="AZ771" s="31"/>
      <c r="BA771" s="31"/>
      <c r="BB771" s="31"/>
      <c r="BC771" s="31"/>
      <c r="BD771" s="31"/>
      <c r="BE771" s="31"/>
      <c r="BF771" s="31"/>
      <c r="BG771" s="31"/>
      <c r="BH771" s="31"/>
      <c r="BI771" s="31"/>
      <c r="BJ771" s="31"/>
      <c r="BK771" s="31"/>
      <c r="BL771" s="31"/>
    </row>
    <row r="772" ht="15.7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31"/>
      <c r="AQ772" s="31"/>
      <c r="AR772" s="31"/>
      <c r="AS772" s="31"/>
      <c r="AT772" s="31"/>
      <c r="AU772" s="31"/>
      <c r="AV772" s="31"/>
      <c r="AW772" s="31"/>
      <c r="AX772" s="31"/>
      <c r="AY772" s="31"/>
      <c r="AZ772" s="31"/>
      <c r="BA772" s="31"/>
      <c r="BB772" s="31"/>
      <c r="BC772" s="31"/>
      <c r="BD772" s="31"/>
      <c r="BE772" s="31"/>
      <c r="BF772" s="31"/>
      <c r="BG772" s="31"/>
      <c r="BH772" s="31"/>
      <c r="BI772" s="31"/>
      <c r="BJ772" s="31"/>
      <c r="BK772" s="31"/>
      <c r="BL772" s="31"/>
    </row>
    <row r="773" ht="15.7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31"/>
      <c r="AQ773" s="31"/>
      <c r="AR773" s="31"/>
      <c r="AS773" s="31"/>
      <c r="AT773" s="31"/>
      <c r="AU773" s="31"/>
      <c r="AV773" s="31"/>
      <c r="AW773" s="31"/>
      <c r="AX773" s="31"/>
      <c r="AY773" s="31"/>
      <c r="AZ773" s="31"/>
      <c r="BA773" s="31"/>
      <c r="BB773" s="31"/>
      <c r="BC773" s="31"/>
      <c r="BD773" s="31"/>
      <c r="BE773" s="31"/>
      <c r="BF773" s="31"/>
      <c r="BG773" s="31"/>
      <c r="BH773" s="31"/>
      <c r="BI773" s="31"/>
      <c r="BJ773" s="31"/>
      <c r="BK773" s="31"/>
      <c r="BL773" s="31"/>
    </row>
    <row r="774" ht="15.7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31"/>
      <c r="AQ774" s="31"/>
      <c r="AR774" s="31"/>
      <c r="AS774" s="31"/>
      <c r="AT774" s="31"/>
      <c r="AU774" s="31"/>
      <c r="AV774" s="31"/>
      <c r="AW774" s="31"/>
      <c r="AX774" s="31"/>
      <c r="AY774" s="31"/>
      <c r="AZ774" s="31"/>
      <c r="BA774" s="31"/>
      <c r="BB774" s="31"/>
      <c r="BC774" s="31"/>
      <c r="BD774" s="31"/>
      <c r="BE774" s="31"/>
      <c r="BF774" s="31"/>
      <c r="BG774" s="31"/>
      <c r="BH774" s="31"/>
      <c r="BI774" s="31"/>
      <c r="BJ774" s="31"/>
      <c r="BK774" s="31"/>
      <c r="BL774" s="31"/>
    </row>
    <row r="775" ht="15.7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31"/>
      <c r="AQ775" s="31"/>
      <c r="AR775" s="31"/>
      <c r="AS775" s="31"/>
      <c r="AT775" s="31"/>
      <c r="AU775" s="31"/>
      <c r="AV775" s="31"/>
      <c r="AW775" s="31"/>
      <c r="AX775" s="31"/>
      <c r="AY775" s="31"/>
      <c r="AZ775" s="31"/>
      <c r="BA775" s="31"/>
      <c r="BB775" s="31"/>
      <c r="BC775" s="31"/>
      <c r="BD775" s="31"/>
      <c r="BE775" s="31"/>
      <c r="BF775" s="31"/>
      <c r="BG775" s="31"/>
      <c r="BH775" s="31"/>
      <c r="BI775" s="31"/>
      <c r="BJ775" s="31"/>
      <c r="BK775" s="31"/>
      <c r="BL775" s="31"/>
    </row>
    <row r="776" ht="15.7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31"/>
      <c r="AQ776" s="31"/>
      <c r="AR776" s="31"/>
      <c r="AS776" s="31"/>
      <c r="AT776" s="31"/>
      <c r="AU776" s="31"/>
      <c r="AV776" s="31"/>
      <c r="AW776" s="31"/>
      <c r="AX776" s="31"/>
      <c r="AY776" s="31"/>
      <c r="AZ776" s="31"/>
      <c r="BA776" s="31"/>
      <c r="BB776" s="31"/>
      <c r="BC776" s="31"/>
      <c r="BD776" s="31"/>
      <c r="BE776" s="31"/>
      <c r="BF776" s="31"/>
      <c r="BG776" s="31"/>
      <c r="BH776" s="31"/>
      <c r="BI776" s="31"/>
      <c r="BJ776" s="31"/>
      <c r="BK776" s="31"/>
      <c r="BL776" s="31"/>
    </row>
    <row r="777" ht="15.7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31"/>
      <c r="AQ777" s="31"/>
      <c r="AR777" s="31"/>
      <c r="AS777" s="31"/>
      <c r="AT777" s="31"/>
      <c r="AU777" s="31"/>
      <c r="AV777" s="31"/>
      <c r="AW777" s="31"/>
      <c r="AX777" s="31"/>
      <c r="AY777" s="31"/>
      <c r="AZ777" s="31"/>
      <c r="BA777" s="31"/>
      <c r="BB777" s="31"/>
      <c r="BC777" s="31"/>
      <c r="BD777" s="31"/>
      <c r="BE777" s="31"/>
      <c r="BF777" s="31"/>
      <c r="BG777" s="31"/>
      <c r="BH777" s="31"/>
      <c r="BI777" s="31"/>
      <c r="BJ777" s="31"/>
      <c r="BK777" s="31"/>
      <c r="BL777" s="31"/>
    </row>
    <row r="778" ht="15.7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31"/>
      <c r="AQ778" s="31"/>
      <c r="AR778" s="31"/>
      <c r="AS778" s="31"/>
      <c r="AT778" s="31"/>
      <c r="AU778" s="31"/>
      <c r="AV778" s="31"/>
      <c r="AW778" s="31"/>
      <c r="AX778" s="31"/>
      <c r="AY778" s="31"/>
      <c r="AZ778" s="31"/>
      <c r="BA778" s="31"/>
      <c r="BB778" s="31"/>
      <c r="BC778" s="31"/>
      <c r="BD778" s="31"/>
      <c r="BE778" s="31"/>
      <c r="BF778" s="31"/>
      <c r="BG778" s="31"/>
      <c r="BH778" s="31"/>
      <c r="BI778" s="31"/>
      <c r="BJ778" s="31"/>
      <c r="BK778" s="31"/>
      <c r="BL778" s="31"/>
    </row>
    <row r="779" ht="15.7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31"/>
      <c r="AQ779" s="31"/>
      <c r="AR779" s="31"/>
      <c r="AS779" s="31"/>
      <c r="AT779" s="31"/>
      <c r="AU779" s="31"/>
      <c r="AV779" s="31"/>
      <c r="AW779" s="31"/>
      <c r="AX779" s="31"/>
      <c r="AY779" s="31"/>
      <c r="AZ779" s="31"/>
      <c r="BA779" s="31"/>
      <c r="BB779" s="31"/>
      <c r="BC779" s="31"/>
      <c r="BD779" s="31"/>
      <c r="BE779" s="31"/>
      <c r="BF779" s="31"/>
      <c r="BG779" s="31"/>
      <c r="BH779" s="31"/>
      <c r="BI779" s="31"/>
      <c r="BJ779" s="31"/>
      <c r="BK779" s="31"/>
      <c r="BL779" s="31"/>
    </row>
    <row r="780" ht="15.7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31"/>
      <c r="AQ780" s="31"/>
      <c r="AR780" s="31"/>
      <c r="AS780" s="31"/>
      <c r="AT780" s="31"/>
      <c r="AU780" s="31"/>
      <c r="AV780" s="31"/>
      <c r="AW780" s="31"/>
      <c r="AX780" s="31"/>
      <c r="AY780" s="31"/>
      <c r="AZ780" s="31"/>
      <c r="BA780" s="31"/>
      <c r="BB780" s="31"/>
      <c r="BC780" s="31"/>
      <c r="BD780" s="31"/>
      <c r="BE780" s="31"/>
      <c r="BF780" s="31"/>
      <c r="BG780" s="31"/>
      <c r="BH780" s="31"/>
      <c r="BI780" s="31"/>
      <c r="BJ780" s="31"/>
      <c r="BK780" s="31"/>
      <c r="BL780" s="31"/>
    </row>
    <row r="781" ht="15.7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31"/>
      <c r="AQ781" s="31"/>
      <c r="AR781" s="31"/>
      <c r="AS781" s="31"/>
      <c r="AT781" s="31"/>
      <c r="AU781" s="31"/>
      <c r="AV781" s="31"/>
      <c r="AW781" s="31"/>
      <c r="AX781" s="31"/>
      <c r="AY781" s="31"/>
      <c r="AZ781" s="31"/>
      <c r="BA781" s="31"/>
      <c r="BB781" s="31"/>
      <c r="BC781" s="31"/>
      <c r="BD781" s="31"/>
      <c r="BE781" s="31"/>
      <c r="BF781" s="31"/>
      <c r="BG781" s="31"/>
      <c r="BH781" s="31"/>
      <c r="BI781" s="31"/>
      <c r="BJ781" s="31"/>
      <c r="BK781" s="31"/>
      <c r="BL781" s="31"/>
    </row>
    <row r="782" ht="15.7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31"/>
      <c r="AQ782" s="31"/>
      <c r="AR782" s="31"/>
      <c r="AS782" s="31"/>
      <c r="AT782" s="31"/>
      <c r="AU782" s="31"/>
      <c r="AV782" s="31"/>
      <c r="AW782" s="31"/>
      <c r="AX782" s="31"/>
      <c r="AY782" s="31"/>
      <c r="AZ782" s="31"/>
      <c r="BA782" s="31"/>
      <c r="BB782" s="31"/>
      <c r="BC782" s="31"/>
      <c r="BD782" s="31"/>
      <c r="BE782" s="31"/>
      <c r="BF782" s="31"/>
      <c r="BG782" s="31"/>
      <c r="BH782" s="31"/>
      <c r="BI782" s="31"/>
      <c r="BJ782" s="31"/>
      <c r="BK782" s="31"/>
      <c r="BL782" s="31"/>
    </row>
    <row r="783" ht="15.7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31"/>
      <c r="AQ783" s="31"/>
      <c r="AR783" s="31"/>
      <c r="AS783" s="31"/>
      <c r="AT783" s="31"/>
      <c r="AU783" s="31"/>
      <c r="AV783" s="31"/>
      <c r="AW783" s="31"/>
      <c r="AX783" s="31"/>
      <c r="AY783" s="31"/>
      <c r="AZ783" s="31"/>
      <c r="BA783" s="31"/>
      <c r="BB783" s="31"/>
      <c r="BC783" s="31"/>
      <c r="BD783" s="31"/>
      <c r="BE783" s="31"/>
      <c r="BF783" s="31"/>
      <c r="BG783" s="31"/>
      <c r="BH783" s="31"/>
      <c r="BI783" s="31"/>
      <c r="BJ783" s="31"/>
      <c r="BK783" s="31"/>
      <c r="BL783" s="31"/>
    </row>
    <row r="784" ht="15.7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31"/>
      <c r="AQ784" s="31"/>
      <c r="AR784" s="31"/>
      <c r="AS784" s="31"/>
      <c r="AT784" s="31"/>
      <c r="AU784" s="31"/>
      <c r="AV784" s="31"/>
      <c r="AW784" s="31"/>
      <c r="AX784" s="31"/>
      <c r="AY784" s="31"/>
      <c r="AZ784" s="31"/>
      <c r="BA784" s="31"/>
      <c r="BB784" s="31"/>
      <c r="BC784" s="31"/>
      <c r="BD784" s="31"/>
      <c r="BE784" s="31"/>
      <c r="BF784" s="31"/>
      <c r="BG784" s="31"/>
      <c r="BH784" s="31"/>
      <c r="BI784" s="31"/>
      <c r="BJ784" s="31"/>
      <c r="BK784" s="31"/>
      <c r="BL784" s="31"/>
    </row>
    <row r="785" ht="15.7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31"/>
      <c r="AQ785" s="31"/>
      <c r="AR785" s="31"/>
      <c r="AS785" s="31"/>
      <c r="AT785" s="31"/>
      <c r="AU785" s="31"/>
      <c r="AV785" s="31"/>
      <c r="AW785" s="31"/>
      <c r="AX785" s="31"/>
      <c r="AY785" s="31"/>
      <c r="AZ785" s="31"/>
      <c r="BA785" s="31"/>
      <c r="BB785" s="31"/>
      <c r="BC785" s="31"/>
      <c r="BD785" s="31"/>
      <c r="BE785" s="31"/>
      <c r="BF785" s="31"/>
      <c r="BG785" s="31"/>
      <c r="BH785" s="31"/>
      <c r="BI785" s="31"/>
      <c r="BJ785" s="31"/>
      <c r="BK785" s="31"/>
      <c r="BL785" s="31"/>
    </row>
    <row r="786" ht="15.7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31"/>
      <c r="AQ786" s="31"/>
      <c r="AR786" s="31"/>
      <c r="AS786" s="31"/>
      <c r="AT786" s="31"/>
      <c r="AU786" s="31"/>
      <c r="AV786" s="31"/>
      <c r="AW786" s="31"/>
      <c r="AX786" s="31"/>
      <c r="AY786" s="31"/>
      <c r="AZ786" s="31"/>
      <c r="BA786" s="31"/>
      <c r="BB786" s="31"/>
      <c r="BC786" s="31"/>
      <c r="BD786" s="31"/>
      <c r="BE786" s="31"/>
      <c r="BF786" s="31"/>
      <c r="BG786" s="31"/>
      <c r="BH786" s="31"/>
      <c r="BI786" s="31"/>
      <c r="BJ786" s="31"/>
      <c r="BK786" s="31"/>
      <c r="BL786" s="31"/>
    </row>
    <row r="787" ht="15.7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31"/>
      <c r="AQ787" s="31"/>
      <c r="AR787" s="31"/>
      <c r="AS787" s="31"/>
      <c r="AT787" s="31"/>
      <c r="AU787" s="31"/>
      <c r="AV787" s="31"/>
      <c r="AW787" s="31"/>
      <c r="AX787" s="31"/>
      <c r="AY787" s="31"/>
      <c r="AZ787" s="31"/>
      <c r="BA787" s="31"/>
      <c r="BB787" s="31"/>
      <c r="BC787" s="31"/>
      <c r="BD787" s="31"/>
      <c r="BE787" s="31"/>
      <c r="BF787" s="31"/>
      <c r="BG787" s="31"/>
      <c r="BH787" s="31"/>
      <c r="BI787" s="31"/>
      <c r="BJ787" s="31"/>
      <c r="BK787" s="31"/>
      <c r="BL787" s="31"/>
    </row>
    <row r="788" ht="15.7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31"/>
      <c r="AQ788" s="31"/>
      <c r="AR788" s="31"/>
      <c r="AS788" s="31"/>
      <c r="AT788" s="31"/>
      <c r="AU788" s="31"/>
      <c r="AV788" s="31"/>
      <c r="AW788" s="31"/>
      <c r="AX788" s="31"/>
      <c r="AY788" s="31"/>
      <c r="AZ788" s="31"/>
      <c r="BA788" s="31"/>
      <c r="BB788" s="31"/>
      <c r="BC788" s="31"/>
      <c r="BD788" s="31"/>
      <c r="BE788" s="31"/>
      <c r="BF788" s="31"/>
      <c r="BG788" s="31"/>
      <c r="BH788" s="31"/>
      <c r="BI788" s="31"/>
      <c r="BJ788" s="31"/>
      <c r="BK788" s="31"/>
      <c r="BL788" s="31"/>
    </row>
    <row r="789" ht="15.7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31"/>
      <c r="AQ789" s="31"/>
      <c r="AR789" s="31"/>
      <c r="AS789" s="31"/>
      <c r="AT789" s="31"/>
      <c r="AU789" s="31"/>
      <c r="AV789" s="31"/>
      <c r="AW789" s="31"/>
      <c r="AX789" s="31"/>
      <c r="AY789" s="31"/>
      <c r="AZ789" s="31"/>
      <c r="BA789" s="31"/>
      <c r="BB789" s="31"/>
      <c r="BC789" s="31"/>
      <c r="BD789" s="31"/>
      <c r="BE789" s="31"/>
      <c r="BF789" s="31"/>
      <c r="BG789" s="31"/>
      <c r="BH789" s="31"/>
      <c r="BI789" s="31"/>
      <c r="BJ789" s="31"/>
      <c r="BK789" s="31"/>
      <c r="BL789" s="31"/>
    </row>
    <row r="790" ht="15.7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31"/>
      <c r="AQ790" s="31"/>
      <c r="AR790" s="31"/>
      <c r="AS790" s="31"/>
      <c r="AT790" s="31"/>
      <c r="AU790" s="31"/>
      <c r="AV790" s="31"/>
      <c r="AW790" s="31"/>
      <c r="AX790" s="31"/>
      <c r="AY790" s="31"/>
      <c r="AZ790" s="31"/>
      <c r="BA790" s="31"/>
      <c r="BB790" s="31"/>
      <c r="BC790" s="31"/>
      <c r="BD790" s="31"/>
      <c r="BE790" s="31"/>
      <c r="BF790" s="31"/>
      <c r="BG790" s="31"/>
      <c r="BH790" s="31"/>
      <c r="BI790" s="31"/>
      <c r="BJ790" s="31"/>
      <c r="BK790" s="31"/>
      <c r="BL790" s="31"/>
    </row>
    <row r="791" ht="15.7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31"/>
      <c r="AQ791" s="31"/>
      <c r="AR791" s="31"/>
      <c r="AS791" s="31"/>
      <c r="AT791" s="31"/>
      <c r="AU791" s="31"/>
      <c r="AV791" s="31"/>
      <c r="AW791" s="31"/>
      <c r="AX791" s="31"/>
      <c r="AY791" s="31"/>
      <c r="AZ791" s="31"/>
      <c r="BA791" s="31"/>
      <c r="BB791" s="31"/>
      <c r="BC791" s="31"/>
      <c r="BD791" s="31"/>
      <c r="BE791" s="31"/>
      <c r="BF791" s="31"/>
      <c r="BG791" s="31"/>
      <c r="BH791" s="31"/>
      <c r="BI791" s="31"/>
      <c r="BJ791" s="31"/>
      <c r="BK791" s="31"/>
      <c r="BL791" s="31"/>
    </row>
    <row r="792" ht="15.7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31"/>
      <c r="AQ792" s="31"/>
      <c r="AR792" s="31"/>
      <c r="AS792" s="31"/>
      <c r="AT792" s="31"/>
      <c r="AU792" s="31"/>
      <c r="AV792" s="31"/>
      <c r="AW792" s="31"/>
      <c r="AX792" s="31"/>
      <c r="AY792" s="31"/>
      <c r="AZ792" s="31"/>
      <c r="BA792" s="31"/>
      <c r="BB792" s="31"/>
      <c r="BC792" s="31"/>
      <c r="BD792" s="31"/>
      <c r="BE792" s="31"/>
      <c r="BF792" s="31"/>
      <c r="BG792" s="31"/>
      <c r="BH792" s="31"/>
      <c r="BI792" s="31"/>
      <c r="BJ792" s="31"/>
      <c r="BK792" s="31"/>
      <c r="BL792" s="31"/>
    </row>
    <row r="793" ht="15.7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31"/>
      <c r="AQ793" s="31"/>
      <c r="AR793" s="31"/>
      <c r="AS793" s="31"/>
      <c r="AT793" s="31"/>
      <c r="AU793" s="31"/>
      <c r="AV793" s="31"/>
      <c r="AW793" s="31"/>
      <c r="AX793" s="31"/>
      <c r="AY793" s="31"/>
      <c r="AZ793" s="31"/>
      <c r="BA793" s="31"/>
      <c r="BB793" s="31"/>
      <c r="BC793" s="31"/>
      <c r="BD793" s="31"/>
      <c r="BE793" s="31"/>
      <c r="BF793" s="31"/>
      <c r="BG793" s="31"/>
      <c r="BH793" s="31"/>
      <c r="BI793" s="31"/>
      <c r="BJ793" s="31"/>
      <c r="BK793" s="31"/>
      <c r="BL793" s="31"/>
    </row>
    <row r="794" ht="15.7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31"/>
      <c r="AQ794" s="31"/>
      <c r="AR794" s="31"/>
      <c r="AS794" s="31"/>
      <c r="AT794" s="31"/>
      <c r="AU794" s="31"/>
      <c r="AV794" s="31"/>
      <c r="AW794" s="31"/>
      <c r="AX794" s="31"/>
      <c r="AY794" s="31"/>
      <c r="AZ794" s="31"/>
      <c r="BA794" s="31"/>
      <c r="BB794" s="31"/>
      <c r="BC794" s="31"/>
      <c r="BD794" s="31"/>
      <c r="BE794" s="31"/>
      <c r="BF794" s="31"/>
      <c r="BG794" s="31"/>
      <c r="BH794" s="31"/>
      <c r="BI794" s="31"/>
      <c r="BJ794" s="31"/>
      <c r="BK794" s="31"/>
      <c r="BL794" s="31"/>
    </row>
    <row r="795" ht="15.7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31"/>
      <c r="AQ795" s="31"/>
      <c r="AR795" s="31"/>
      <c r="AS795" s="31"/>
      <c r="AT795" s="31"/>
      <c r="AU795" s="31"/>
      <c r="AV795" s="31"/>
      <c r="AW795" s="31"/>
      <c r="AX795" s="31"/>
      <c r="AY795" s="31"/>
      <c r="AZ795" s="31"/>
      <c r="BA795" s="31"/>
      <c r="BB795" s="31"/>
      <c r="BC795" s="31"/>
      <c r="BD795" s="31"/>
      <c r="BE795" s="31"/>
      <c r="BF795" s="31"/>
      <c r="BG795" s="31"/>
      <c r="BH795" s="31"/>
      <c r="BI795" s="31"/>
      <c r="BJ795" s="31"/>
      <c r="BK795" s="31"/>
      <c r="BL795" s="31"/>
    </row>
    <row r="796" ht="15.7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31"/>
      <c r="AQ796" s="31"/>
      <c r="AR796" s="31"/>
      <c r="AS796" s="31"/>
      <c r="AT796" s="31"/>
      <c r="AU796" s="31"/>
      <c r="AV796" s="31"/>
      <c r="AW796" s="31"/>
      <c r="AX796" s="31"/>
      <c r="AY796" s="31"/>
      <c r="AZ796" s="31"/>
      <c r="BA796" s="31"/>
      <c r="BB796" s="31"/>
      <c r="BC796" s="31"/>
      <c r="BD796" s="31"/>
      <c r="BE796" s="31"/>
      <c r="BF796" s="31"/>
      <c r="BG796" s="31"/>
      <c r="BH796" s="31"/>
      <c r="BI796" s="31"/>
      <c r="BJ796" s="31"/>
      <c r="BK796" s="31"/>
      <c r="BL796" s="31"/>
    </row>
    <row r="797" ht="15.7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31"/>
      <c r="AQ797" s="31"/>
      <c r="AR797" s="31"/>
      <c r="AS797" s="31"/>
      <c r="AT797" s="31"/>
      <c r="AU797" s="31"/>
      <c r="AV797" s="31"/>
      <c r="AW797" s="31"/>
      <c r="AX797" s="31"/>
      <c r="AY797" s="31"/>
      <c r="AZ797" s="31"/>
      <c r="BA797" s="31"/>
      <c r="BB797" s="31"/>
      <c r="BC797" s="31"/>
      <c r="BD797" s="31"/>
      <c r="BE797" s="31"/>
      <c r="BF797" s="31"/>
      <c r="BG797" s="31"/>
      <c r="BH797" s="31"/>
      <c r="BI797" s="31"/>
      <c r="BJ797" s="31"/>
      <c r="BK797" s="31"/>
      <c r="BL797" s="31"/>
    </row>
    <row r="798" ht="15.7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31"/>
      <c r="AQ798" s="31"/>
      <c r="AR798" s="31"/>
      <c r="AS798" s="31"/>
      <c r="AT798" s="31"/>
      <c r="AU798" s="31"/>
      <c r="AV798" s="31"/>
      <c r="AW798" s="31"/>
      <c r="AX798" s="31"/>
      <c r="AY798" s="31"/>
      <c r="AZ798" s="31"/>
      <c r="BA798" s="31"/>
      <c r="BB798" s="31"/>
      <c r="BC798" s="31"/>
      <c r="BD798" s="31"/>
      <c r="BE798" s="31"/>
      <c r="BF798" s="31"/>
      <c r="BG798" s="31"/>
      <c r="BH798" s="31"/>
      <c r="BI798" s="31"/>
      <c r="BJ798" s="31"/>
      <c r="BK798" s="31"/>
      <c r="BL798" s="31"/>
    </row>
    <row r="799" ht="15.7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31"/>
      <c r="AQ799" s="31"/>
      <c r="AR799" s="31"/>
      <c r="AS799" s="31"/>
      <c r="AT799" s="31"/>
      <c r="AU799" s="31"/>
      <c r="AV799" s="31"/>
      <c r="AW799" s="31"/>
      <c r="AX799" s="31"/>
      <c r="AY799" s="31"/>
      <c r="AZ799" s="31"/>
      <c r="BA799" s="31"/>
      <c r="BB799" s="31"/>
      <c r="BC799" s="31"/>
      <c r="BD799" s="31"/>
      <c r="BE799" s="31"/>
      <c r="BF799" s="31"/>
      <c r="BG799" s="31"/>
      <c r="BH799" s="31"/>
      <c r="BI799" s="31"/>
      <c r="BJ799" s="31"/>
      <c r="BK799" s="31"/>
      <c r="BL799" s="31"/>
    </row>
    <row r="800" ht="15.7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31"/>
      <c r="AQ800" s="31"/>
      <c r="AR800" s="31"/>
      <c r="AS800" s="31"/>
      <c r="AT800" s="31"/>
      <c r="AU800" s="31"/>
      <c r="AV800" s="31"/>
      <c r="AW800" s="31"/>
      <c r="AX800" s="31"/>
      <c r="AY800" s="31"/>
      <c r="AZ800" s="31"/>
      <c r="BA800" s="31"/>
      <c r="BB800" s="31"/>
      <c r="BC800" s="31"/>
      <c r="BD800" s="31"/>
      <c r="BE800" s="31"/>
      <c r="BF800" s="31"/>
      <c r="BG800" s="31"/>
      <c r="BH800" s="31"/>
      <c r="BI800" s="31"/>
      <c r="BJ800" s="31"/>
      <c r="BK800" s="31"/>
      <c r="BL800" s="31"/>
    </row>
    <row r="801" ht="15.7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31"/>
      <c r="AQ801" s="31"/>
      <c r="AR801" s="31"/>
      <c r="AS801" s="31"/>
      <c r="AT801" s="31"/>
      <c r="AU801" s="31"/>
      <c r="AV801" s="31"/>
      <c r="AW801" s="31"/>
      <c r="AX801" s="31"/>
      <c r="AY801" s="31"/>
      <c r="AZ801" s="31"/>
      <c r="BA801" s="31"/>
      <c r="BB801" s="31"/>
      <c r="BC801" s="31"/>
      <c r="BD801" s="31"/>
      <c r="BE801" s="31"/>
      <c r="BF801" s="31"/>
      <c r="BG801" s="31"/>
      <c r="BH801" s="31"/>
      <c r="BI801" s="31"/>
      <c r="BJ801" s="31"/>
      <c r="BK801" s="31"/>
      <c r="BL801" s="31"/>
    </row>
    <row r="802" ht="15.7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31"/>
      <c r="AQ802" s="31"/>
      <c r="AR802" s="31"/>
      <c r="AS802" s="31"/>
      <c r="AT802" s="31"/>
      <c r="AU802" s="31"/>
      <c r="AV802" s="31"/>
      <c r="AW802" s="31"/>
      <c r="AX802" s="31"/>
      <c r="AY802" s="31"/>
      <c r="AZ802" s="31"/>
      <c r="BA802" s="31"/>
      <c r="BB802" s="31"/>
      <c r="BC802" s="31"/>
      <c r="BD802" s="31"/>
      <c r="BE802" s="31"/>
      <c r="BF802" s="31"/>
      <c r="BG802" s="31"/>
      <c r="BH802" s="31"/>
      <c r="BI802" s="31"/>
      <c r="BJ802" s="31"/>
      <c r="BK802" s="31"/>
      <c r="BL802" s="31"/>
    </row>
    <row r="803" ht="15.7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31"/>
      <c r="AQ803" s="31"/>
      <c r="AR803" s="31"/>
      <c r="AS803" s="31"/>
      <c r="AT803" s="31"/>
      <c r="AU803" s="31"/>
      <c r="AV803" s="31"/>
      <c r="AW803" s="31"/>
      <c r="AX803" s="31"/>
      <c r="AY803" s="31"/>
      <c r="AZ803" s="31"/>
      <c r="BA803" s="31"/>
      <c r="BB803" s="31"/>
      <c r="BC803" s="31"/>
      <c r="BD803" s="31"/>
      <c r="BE803" s="31"/>
      <c r="BF803" s="31"/>
      <c r="BG803" s="31"/>
      <c r="BH803" s="31"/>
      <c r="BI803" s="31"/>
      <c r="BJ803" s="31"/>
      <c r="BK803" s="31"/>
      <c r="BL803" s="31"/>
    </row>
    <row r="804" ht="15.7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31"/>
      <c r="AQ804" s="31"/>
      <c r="AR804" s="31"/>
      <c r="AS804" s="31"/>
      <c r="AT804" s="31"/>
      <c r="AU804" s="31"/>
      <c r="AV804" s="31"/>
      <c r="AW804" s="31"/>
      <c r="AX804" s="31"/>
      <c r="AY804" s="31"/>
      <c r="AZ804" s="31"/>
      <c r="BA804" s="31"/>
      <c r="BB804" s="31"/>
      <c r="BC804" s="31"/>
      <c r="BD804" s="31"/>
      <c r="BE804" s="31"/>
      <c r="BF804" s="31"/>
      <c r="BG804" s="31"/>
      <c r="BH804" s="31"/>
      <c r="BI804" s="31"/>
      <c r="BJ804" s="31"/>
      <c r="BK804" s="31"/>
      <c r="BL804" s="31"/>
    </row>
    <row r="805" ht="15.7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31"/>
      <c r="AQ805" s="31"/>
      <c r="AR805" s="31"/>
      <c r="AS805" s="31"/>
      <c r="AT805" s="31"/>
      <c r="AU805" s="31"/>
      <c r="AV805" s="31"/>
      <c r="AW805" s="31"/>
      <c r="AX805" s="31"/>
      <c r="AY805" s="31"/>
      <c r="AZ805" s="31"/>
      <c r="BA805" s="31"/>
      <c r="BB805" s="31"/>
      <c r="BC805" s="31"/>
      <c r="BD805" s="31"/>
      <c r="BE805" s="31"/>
      <c r="BF805" s="31"/>
      <c r="BG805" s="31"/>
      <c r="BH805" s="31"/>
      <c r="BI805" s="31"/>
      <c r="BJ805" s="31"/>
      <c r="BK805" s="31"/>
      <c r="BL805" s="31"/>
    </row>
    <row r="806" ht="15.7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31"/>
      <c r="AQ806" s="31"/>
      <c r="AR806" s="31"/>
      <c r="AS806" s="31"/>
      <c r="AT806" s="31"/>
      <c r="AU806" s="31"/>
      <c r="AV806" s="31"/>
      <c r="AW806" s="31"/>
      <c r="AX806" s="31"/>
      <c r="AY806" s="31"/>
      <c r="AZ806" s="31"/>
      <c r="BA806" s="31"/>
      <c r="BB806" s="31"/>
      <c r="BC806" s="31"/>
      <c r="BD806" s="31"/>
      <c r="BE806" s="31"/>
      <c r="BF806" s="31"/>
      <c r="BG806" s="31"/>
      <c r="BH806" s="31"/>
      <c r="BI806" s="31"/>
      <c r="BJ806" s="31"/>
      <c r="BK806" s="31"/>
      <c r="BL806" s="31"/>
    </row>
    <row r="807" ht="15.7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31"/>
      <c r="AQ807" s="31"/>
      <c r="AR807" s="31"/>
      <c r="AS807" s="31"/>
      <c r="AT807" s="31"/>
      <c r="AU807" s="31"/>
      <c r="AV807" s="31"/>
      <c r="AW807" s="31"/>
      <c r="AX807" s="31"/>
      <c r="AY807" s="31"/>
      <c r="AZ807" s="31"/>
      <c r="BA807" s="31"/>
      <c r="BB807" s="31"/>
      <c r="BC807" s="31"/>
      <c r="BD807" s="31"/>
      <c r="BE807" s="31"/>
      <c r="BF807" s="31"/>
      <c r="BG807" s="31"/>
      <c r="BH807" s="31"/>
      <c r="BI807" s="31"/>
      <c r="BJ807" s="31"/>
      <c r="BK807" s="31"/>
      <c r="BL807" s="31"/>
    </row>
    <row r="808" ht="15.7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31"/>
      <c r="AQ808" s="31"/>
      <c r="AR808" s="31"/>
      <c r="AS808" s="31"/>
      <c r="AT808" s="31"/>
      <c r="AU808" s="31"/>
      <c r="AV808" s="31"/>
      <c r="AW808" s="31"/>
      <c r="AX808" s="31"/>
      <c r="AY808" s="31"/>
      <c r="AZ808" s="31"/>
      <c r="BA808" s="31"/>
      <c r="BB808" s="31"/>
      <c r="BC808" s="31"/>
      <c r="BD808" s="31"/>
      <c r="BE808" s="31"/>
      <c r="BF808" s="31"/>
      <c r="BG808" s="31"/>
      <c r="BH808" s="31"/>
      <c r="BI808" s="31"/>
      <c r="BJ808" s="31"/>
      <c r="BK808" s="31"/>
      <c r="BL808" s="31"/>
    </row>
    <row r="809" ht="15.7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31"/>
      <c r="AQ809" s="31"/>
      <c r="AR809" s="31"/>
      <c r="AS809" s="31"/>
      <c r="AT809" s="31"/>
      <c r="AU809" s="31"/>
      <c r="AV809" s="31"/>
      <c r="AW809" s="31"/>
      <c r="AX809" s="31"/>
      <c r="AY809" s="31"/>
      <c r="AZ809" s="31"/>
      <c r="BA809" s="31"/>
      <c r="BB809" s="31"/>
      <c r="BC809" s="31"/>
      <c r="BD809" s="31"/>
      <c r="BE809" s="31"/>
      <c r="BF809" s="31"/>
      <c r="BG809" s="31"/>
      <c r="BH809" s="31"/>
      <c r="BI809" s="31"/>
      <c r="BJ809" s="31"/>
      <c r="BK809" s="31"/>
      <c r="BL809" s="31"/>
    </row>
    <row r="810" ht="15.7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31"/>
      <c r="AQ810" s="31"/>
      <c r="AR810" s="31"/>
      <c r="AS810" s="31"/>
      <c r="AT810" s="31"/>
      <c r="AU810" s="31"/>
      <c r="AV810" s="31"/>
      <c r="AW810" s="31"/>
      <c r="AX810" s="31"/>
      <c r="AY810" s="31"/>
      <c r="AZ810" s="31"/>
      <c r="BA810" s="31"/>
      <c r="BB810" s="31"/>
      <c r="BC810" s="31"/>
      <c r="BD810" s="31"/>
      <c r="BE810" s="31"/>
      <c r="BF810" s="31"/>
      <c r="BG810" s="31"/>
      <c r="BH810" s="31"/>
      <c r="BI810" s="31"/>
      <c r="BJ810" s="31"/>
      <c r="BK810" s="31"/>
      <c r="BL810" s="31"/>
    </row>
    <row r="811" ht="15.7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31"/>
      <c r="AQ811" s="31"/>
      <c r="AR811" s="31"/>
      <c r="AS811" s="31"/>
      <c r="AT811" s="31"/>
      <c r="AU811" s="31"/>
      <c r="AV811" s="31"/>
      <c r="AW811" s="31"/>
      <c r="AX811" s="31"/>
      <c r="AY811" s="31"/>
      <c r="AZ811" s="31"/>
      <c r="BA811" s="31"/>
      <c r="BB811" s="31"/>
      <c r="BC811" s="31"/>
      <c r="BD811" s="31"/>
      <c r="BE811" s="31"/>
      <c r="BF811" s="31"/>
      <c r="BG811" s="31"/>
      <c r="BH811" s="31"/>
      <c r="BI811" s="31"/>
      <c r="BJ811" s="31"/>
      <c r="BK811" s="31"/>
      <c r="BL811" s="31"/>
    </row>
    <row r="812" ht="15.7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31"/>
      <c r="AQ812" s="31"/>
      <c r="AR812" s="31"/>
      <c r="AS812" s="31"/>
      <c r="AT812" s="31"/>
      <c r="AU812" s="31"/>
      <c r="AV812" s="31"/>
      <c r="AW812" s="31"/>
      <c r="AX812" s="31"/>
      <c r="AY812" s="31"/>
      <c r="AZ812" s="31"/>
      <c r="BA812" s="31"/>
      <c r="BB812" s="31"/>
      <c r="BC812" s="31"/>
      <c r="BD812" s="31"/>
      <c r="BE812" s="31"/>
      <c r="BF812" s="31"/>
      <c r="BG812" s="31"/>
      <c r="BH812" s="31"/>
      <c r="BI812" s="31"/>
      <c r="BJ812" s="31"/>
      <c r="BK812" s="31"/>
      <c r="BL812" s="31"/>
    </row>
    <row r="813" ht="15.7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31"/>
      <c r="AQ813" s="31"/>
      <c r="AR813" s="31"/>
      <c r="AS813" s="31"/>
      <c r="AT813" s="31"/>
      <c r="AU813" s="31"/>
      <c r="AV813" s="31"/>
      <c r="AW813" s="31"/>
      <c r="AX813" s="31"/>
      <c r="AY813" s="31"/>
      <c r="AZ813" s="31"/>
      <c r="BA813" s="31"/>
      <c r="BB813" s="31"/>
      <c r="BC813" s="31"/>
      <c r="BD813" s="31"/>
      <c r="BE813" s="31"/>
      <c r="BF813" s="31"/>
      <c r="BG813" s="31"/>
      <c r="BH813" s="31"/>
      <c r="BI813" s="31"/>
      <c r="BJ813" s="31"/>
      <c r="BK813" s="31"/>
      <c r="BL813" s="31"/>
    </row>
    <row r="814" ht="15.7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31"/>
      <c r="AQ814" s="31"/>
      <c r="AR814" s="31"/>
      <c r="AS814" s="31"/>
      <c r="AT814" s="31"/>
      <c r="AU814" s="31"/>
      <c r="AV814" s="31"/>
      <c r="AW814" s="31"/>
      <c r="AX814" s="31"/>
      <c r="AY814" s="31"/>
      <c r="AZ814" s="31"/>
      <c r="BA814" s="31"/>
      <c r="BB814" s="31"/>
      <c r="BC814" s="31"/>
      <c r="BD814" s="31"/>
      <c r="BE814" s="31"/>
      <c r="BF814" s="31"/>
      <c r="BG814" s="31"/>
      <c r="BH814" s="31"/>
      <c r="BI814" s="31"/>
      <c r="BJ814" s="31"/>
      <c r="BK814" s="31"/>
      <c r="BL814" s="31"/>
    </row>
    <row r="815" ht="15.7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31"/>
      <c r="AQ815" s="31"/>
      <c r="AR815" s="31"/>
      <c r="AS815" s="31"/>
      <c r="AT815" s="31"/>
      <c r="AU815" s="31"/>
      <c r="AV815" s="31"/>
      <c r="AW815" s="31"/>
      <c r="AX815" s="31"/>
      <c r="AY815" s="31"/>
      <c r="AZ815" s="31"/>
      <c r="BA815" s="31"/>
      <c r="BB815" s="31"/>
      <c r="BC815" s="31"/>
      <c r="BD815" s="31"/>
      <c r="BE815" s="31"/>
      <c r="BF815" s="31"/>
      <c r="BG815" s="31"/>
      <c r="BH815" s="31"/>
      <c r="BI815" s="31"/>
      <c r="BJ815" s="31"/>
      <c r="BK815" s="31"/>
      <c r="BL815" s="31"/>
    </row>
    <row r="816" ht="15.7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31"/>
      <c r="AQ816" s="31"/>
      <c r="AR816" s="31"/>
      <c r="AS816" s="31"/>
      <c r="AT816" s="31"/>
      <c r="AU816" s="31"/>
      <c r="AV816" s="31"/>
      <c r="AW816" s="31"/>
      <c r="AX816" s="31"/>
      <c r="AY816" s="31"/>
      <c r="AZ816" s="31"/>
      <c r="BA816" s="31"/>
      <c r="BB816" s="31"/>
      <c r="BC816" s="31"/>
      <c r="BD816" s="31"/>
      <c r="BE816" s="31"/>
      <c r="BF816" s="31"/>
      <c r="BG816" s="31"/>
      <c r="BH816" s="31"/>
      <c r="BI816" s="31"/>
      <c r="BJ816" s="31"/>
      <c r="BK816" s="31"/>
      <c r="BL816" s="31"/>
    </row>
    <row r="817" ht="15.7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31"/>
      <c r="AQ817" s="31"/>
      <c r="AR817" s="31"/>
      <c r="AS817" s="31"/>
      <c r="AT817" s="31"/>
      <c r="AU817" s="31"/>
      <c r="AV817" s="31"/>
      <c r="AW817" s="31"/>
      <c r="AX817" s="31"/>
      <c r="AY817" s="31"/>
      <c r="AZ817" s="31"/>
      <c r="BA817" s="31"/>
      <c r="BB817" s="31"/>
      <c r="BC817" s="31"/>
      <c r="BD817" s="31"/>
      <c r="BE817" s="31"/>
      <c r="BF817" s="31"/>
      <c r="BG817" s="31"/>
      <c r="BH817" s="31"/>
      <c r="BI817" s="31"/>
      <c r="BJ817" s="31"/>
      <c r="BK817" s="31"/>
      <c r="BL817" s="31"/>
    </row>
    <row r="818" ht="15.7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31"/>
      <c r="AQ818" s="31"/>
      <c r="AR818" s="31"/>
      <c r="AS818" s="31"/>
      <c r="AT818" s="31"/>
      <c r="AU818" s="31"/>
      <c r="AV818" s="31"/>
      <c r="AW818" s="31"/>
      <c r="AX818" s="31"/>
      <c r="AY818" s="31"/>
      <c r="AZ818" s="31"/>
      <c r="BA818" s="31"/>
      <c r="BB818" s="31"/>
      <c r="BC818" s="31"/>
      <c r="BD818" s="31"/>
      <c r="BE818" s="31"/>
      <c r="BF818" s="31"/>
      <c r="BG818" s="31"/>
      <c r="BH818" s="31"/>
      <c r="BI818" s="31"/>
      <c r="BJ818" s="31"/>
      <c r="BK818" s="31"/>
      <c r="BL818" s="31"/>
    </row>
    <row r="819" ht="15.7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31"/>
      <c r="AQ819" s="31"/>
      <c r="AR819" s="31"/>
      <c r="AS819" s="31"/>
      <c r="AT819" s="31"/>
      <c r="AU819" s="31"/>
      <c r="AV819" s="31"/>
      <c r="AW819" s="31"/>
      <c r="AX819" s="31"/>
      <c r="AY819" s="31"/>
      <c r="AZ819" s="31"/>
      <c r="BA819" s="31"/>
      <c r="BB819" s="31"/>
      <c r="BC819" s="31"/>
      <c r="BD819" s="31"/>
      <c r="BE819" s="31"/>
      <c r="BF819" s="31"/>
      <c r="BG819" s="31"/>
      <c r="BH819" s="31"/>
      <c r="BI819" s="31"/>
      <c r="BJ819" s="31"/>
      <c r="BK819" s="31"/>
      <c r="BL819" s="31"/>
    </row>
    <row r="820" ht="15.7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31"/>
      <c r="AQ820" s="31"/>
      <c r="AR820" s="31"/>
      <c r="AS820" s="31"/>
      <c r="AT820" s="31"/>
      <c r="AU820" s="31"/>
      <c r="AV820" s="31"/>
      <c r="AW820" s="31"/>
      <c r="AX820" s="31"/>
      <c r="AY820" s="31"/>
      <c r="AZ820" s="31"/>
      <c r="BA820" s="31"/>
      <c r="BB820" s="31"/>
      <c r="BC820" s="31"/>
      <c r="BD820" s="31"/>
      <c r="BE820" s="31"/>
      <c r="BF820" s="31"/>
      <c r="BG820" s="31"/>
      <c r="BH820" s="31"/>
      <c r="BI820" s="31"/>
      <c r="BJ820" s="31"/>
      <c r="BK820" s="31"/>
      <c r="BL820" s="31"/>
    </row>
    <row r="821" ht="15.7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31"/>
      <c r="AQ821" s="31"/>
      <c r="AR821" s="31"/>
      <c r="AS821" s="31"/>
      <c r="AT821" s="31"/>
      <c r="AU821" s="31"/>
      <c r="AV821" s="31"/>
      <c r="AW821" s="31"/>
      <c r="AX821" s="31"/>
      <c r="AY821" s="31"/>
      <c r="AZ821" s="31"/>
      <c r="BA821" s="31"/>
      <c r="BB821" s="31"/>
      <c r="BC821" s="31"/>
      <c r="BD821" s="31"/>
      <c r="BE821" s="31"/>
      <c r="BF821" s="31"/>
      <c r="BG821" s="31"/>
      <c r="BH821" s="31"/>
      <c r="BI821" s="31"/>
      <c r="BJ821" s="31"/>
      <c r="BK821" s="31"/>
      <c r="BL821" s="31"/>
    </row>
    <row r="822" ht="15.7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31"/>
      <c r="AQ822" s="31"/>
      <c r="AR822" s="31"/>
      <c r="AS822" s="31"/>
      <c r="AT822" s="31"/>
      <c r="AU822" s="31"/>
      <c r="AV822" s="31"/>
      <c r="AW822" s="31"/>
      <c r="AX822" s="31"/>
      <c r="AY822" s="31"/>
      <c r="AZ822" s="31"/>
      <c r="BA822" s="31"/>
      <c r="BB822" s="31"/>
      <c r="BC822" s="31"/>
      <c r="BD822" s="31"/>
      <c r="BE822" s="31"/>
      <c r="BF822" s="31"/>
      <c r="BG822" s="31"/>
      <c r="BH822" s="31"/>
      <c r="BI822" s="31"/>
      <c r="BJ822" s="31"/>
      <c r="BK822" s="31"/>
      <c r="BL822" s="31"/>
    </row>
    <row r="823" ht="15.7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31"/>
      <c r="AQ823" s="31"/>
      <c r="AR823" s="31"/>
      <c r="AS823" s="31"/>
      <c r="AT823" s="31"/>
      <c r="AU823" s="31"/>
      <c r="AV823" s="31"/>
      <c r="AW823" s="31"/>
      <c r="AX823" s="31"/>
      <c r="AY823" s="31"/>
      <c r="AZ823" s="31"/>
      <c r="BA823" s="31"/>
      <c r="BB823" s="31"/>
      <c r="BC823" s="31"/>
      <c r="BD823" s="31"/>
      <c r="BE823" s="31"/>
      <c r="BF823" s="31"/>
      <c r="BG823" s="31"/>
      <c r="BH823" s="31"/>
      <c r="BI823" s="31"/>
      <c r="BJ823" s="31"/>
      <c r="BK823" s="31"/>
      <c r="BL823" s="31"/>
    </row>
    <row r="824" ht="15.7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31"/>
      <c r="AQ824" s="31"/>
      <c r="AR824" s="31"/>
      <c r="AS824" s="31"/>
      <c r="AT824" s="31"/>
      <c r="AU824" s="31"/>
      <c r="AV824" s="31"/>
      <c r="AW824" s="31"/>
      <c r="AX824" s="31"/>
      <c r="AY824" s="31"/>
      <c r="AZ824" s="31"/>
      <c r="BA824" s="31"/>
      <c r="BB824" s="31"/>
      <c r="BC824" s="31"/>
      <c r="BD824" s="31"/>
      <c r="BE824" s="31"/>
      <c r="BF824" s="31"/>
      <c r="BG824" s="31"/>
      <c r="BH824" s="31"/>
      <c r="BI824" s="31"/>
      <c r="BJ824" s="31"/>
      <c r="BK824" s="31"/>
      <c r="BL824" s="31"/>
    </row>
    <row r="825" ht="15.7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31"/>
      <c r="AQ825" s="31"/>
      <c r="AR825" s="31"/>
      <c r="AS825" s="31"/>
      <c r="AT825" s="31"/>
      <c r="AU825" s="31"/>
      <c r="AV825" s="31"/>
      <c r="AW825" s="31"/>
      <c r="AX825" s="31"/>
      <c r="AY825" s="31"/>
      <c r="AZ825" s="31"/>
      <c r="BA825" s="31"/>
      <c r="BB825" s="31"/>
      <c r="BC825" s="31"/>
      <c r="BD825" s="31"/>
      <c r="BE825" s="31"/>
      <c r="BF825" s="31"/>
      <c r="BG825" s="31"/>
      <c r="BH825" s="31"/>
      <c r="BI825" s="31"/>
      <c r="BJ825" s="31"/>
      <c r="BK825" s="31"/>
      <c r="BL825" s="31"/>
    </row>
    <row r="826" ht="15.7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31"/>
      <c r="AQ826" s="31"/>
      <c r="AR826" s="31"/>
      <c r="AS826" s="31"/>
      <c r="AT826" s="31"/>
      <c r="AU826" s="31"/>
      <c r="AV826" s="31"/>
      <c r="AW826" s="31"/>
      <c r="AX826" s="31"/>
      <c r="AY826" s="31"/>
      <c r="AZ826" s="31"/>
      <c r="BA826" s="31"/>
      <c r="BB826" s="31"/>
      <c r="BC826" s="31"/>
      <c r="BD826" s="31"/>
      <c r="BE826" s="31"/>
      <c r="BF826" s="31"/>
      <c r="BG826" s="31"/>
      <c r="BH826" s="31"/>
      <c r="BI826" s="31"/>
      <c r="BJ826" s="31"/>
      <c r="BK826" s="31"/>
      <c r="BL826" s="31"/>
    </row>
    <row r="827" ht="15.7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31"/>
      <c r="AQ827" s="31"/>
      <c r="AR827" s="31"/>
      <c r="AS827" s="31"/>
      <c r="AT827" s="31"/>
      <c r="AU827" s="31"/>
      <c r="AV827" s="31"/>
      <c r="AW827" s="31"/>
      <c r="AX827" s="31"/>
      <c r="AY827" s="31"/>
      <c r="AZ827" s="31"/>
      <c r="BA827" s="31"/>
      <c r="BB827" s="31"/>
      <c r="BC827" s="31"/>
      <c r="BD827" s="31"/>
      <c r="BE827" s="31"/>
      <c r="BF827" s="31"/>
      <c r="BG827" s="31"/>
      <c r="BH827" s="31"/>
      <c r="BI827" s="31"/>
      <c r="BJ827" s="31"/>
      <c r="BK827" s="31"/>
      <c r="BL827" s="31"/>
    </row>
    <row r="828" ht="15.7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31"/>
      <c r="AQ828" s="31"/>
      <c r="AR828" s="31"/>
      <c r="AS828" s="31"/>
      <c r="AT828" s="31"/>
      <c r="AU828" s="31"/>
      <c r="AV828" s="31"/>
      <c r="AW828" s="31"/>
      <c r="AX828" s="31"/>
      <c r="AY828" s="31"/>
      <c r="AZ828" s="31"/>
      <c r="BA828" s="31"/>
      <c r="BB828" s="31"/>
      <c r="BC828" s="31"/>
      <c r="BD828" s="31"/>
      <c r="BE828" s="31"/>
      <c r="BF828" s="31"/>
      <c r="BG828" s="31"/>
      <c r="BH828" s="31"/>
      <c r="BI828" s="31"/>
      <c r="BJ828" s="31"/>
      <c r="BK828" s="31"/>
      <c r="BL828" s="31"/>
    </row>
    <row r="829" ht="15.7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31"/>
      <c r="AQ829" s="31"/>
      <c r="AR829" s="31"/>
      <c r="AS829" s="31"/>
      <c r="AT829" s="31"/>
      <c r="AU829" s="31"/>
      <c r="AV829" s="31"/>
      <c r="AW829" s="31"/>
      <c r="AX829" s="31"/>
      <c r="AY829" s="31"/>
      <c r="AZ829" s="31"/>
      <c r="BA829" s="31"/>
      <c r="BB829" s="31"/>
      <c r="BC829" s="31"/>
      <c r="BD829" s="31"/>
      <c r="BE829" s="31"/>
      <c r="BF829" s="31"/>
      <c r="BG829" s="31"/>
      <c r="BH829" s="31"/>
      <c r="BI829" s="31"/>
      <c r="BJ829" s="31"/>
      <c r="BK829" s="31"/>
      <c r="BL829" s="31"/>
    </row>
    <row r="830" ht="15.7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31"/>
      <c r="AQ830" s="31"/>
      <c r="AR830" s="31"/>
      <c r="AS830" s="31"/>
      <c r="AT830" s="31"/>
      <c r="AU830" s="31"/>
      <c r="AV830" s="31"/>
      <c r="AW830" s="31"/>
      <c r="AX830" s="31"/>
      <c r="AY830" s="31"/>
      <c r="AZ830" s="31"/>
      <c r="BA830" s="31"/>
      <c r="BB830" s="31"/>
      <c r="BC830" s="31"/>
      <c r="BD830" s="31"/>
      <c r="BE830" s="31"/>
      <c r="BF830" s="31"/>
      <c r="BG830" s="31"/>
      <c r="BH830" s="31"/>
      <c r="BI830" s="31"/>
      <c r="BJ830" s="31"/>
      <c r="BK830" s="31"/>
      <c r="BL830" s="31"/>
    </row>
    <row r="831" ht="15.7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31"/>
      <c r="AQ831" s="31"/>
      <c r="AR831" s="31"/>
      <c r="AS831" s="31"/>
      <c r="AT831" s="31"/>
      <c r="AU831" s="31"/>
      <c r="AV831" s="31"/>
      <c r="AW831" s="31"/>
      <c r="AX831" s="31"/>
      <c r="AY831" s="31"/>
      <c r="AZ831" s="31"/>
      <c r="BA831" s="31"/>
      <c r="BB831" s="31"/>
      <c r="BC831" s="31"/>
      <c r="BD831" s="31"/>
      <c r="BE831" s="31"/>
      <c r="BF831" s="31"/>
      <c r="BG831" s="31"/>
      <c r="BH831" s="31"/>
      <c r="BI831" s="31"/>
      <c r="BJ831" s="31"/>
      <c r="BK831" s="31"/>
      <c r="BL831" s="31"/>
    </row>
    <row r="832" ht="15.7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31"/>
      <c r="AQ832" s="31"/>
      <c r="AR832" s="31"/>
      <c r="AS832" s="31"/>
      <c r="AT832" s="31"/>
      <c r="AU832" s="31"/>
      <c r="AV832" s="31"/>
      <c r="AW832" s="31"/>
      <c r="AX832" s="31"/>
      <c r="AY832" s="31"/>
      <c r="AZ832" s="31"/>
      <c r="BA832" s="31"/>
      <c r="BB832" s="31"/>
      <c r="BC832" s="31"/>
      <c r="BD832" s="31"/>
      <c r="BE832" s="31"/>
      <c r="BF832" s="31"/>
      <c r="BG832" s="31"/>
      <c r="BH832" s="31"/>
      <c r="BI832" s="31"/>
      <c r="BJ832" s="31"/>
      <c r="BK832" s="31"/>
      <c r="BL832" s="31"/>
    </row>
    <row r="833" ht="15.7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31"/>
      <c r="AQ833" s="31"/>
      <c r="AR833" s="31"/>
      <c r="AS833" s="31"/>
      <c r="AT833" s="31"/>
      <c r="AU833" s="31"/>
      <c r="AV833" s="31"/>
      <c r="AW833" s="31"/>
      <c r="AX833" s="31"/>
      <c r="AY833" s="31"/>
      <c r="AZ833" s="31"/>
      <c r="BA833" s="31"/>
      <c r="BB833" s="31"/>
      <c r="BC833" s="31"/>
      <c r="BD833" s="31"/>
      <c r="BE833" s="31"/>
      <c r="BF833" s="31"/>
      <c r="BG833" s="31"/>
      <c r="BH833" s="31"/>
      <c r="BI833" s="31"/>
      <c r="BJ833" s="31"/>
      <c r="BK833" s="31"/>
      <c r="BL833" s="31"/>
    </row>
    <row r="834" ht="15.7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31"/>
      <c r="AQ834" s="31"/>
      <c r="AR834" s="31"/>
      <c r="AS834" s="31"/>
      <c r="AT834" s="31"/>
      <c r="AU834" s="31"/>
      <c r="AV834" s="31"/>
      <c r="AW834" s="31"/>
      <c r="AX834" s="31"/>
      <c r="AY834" s="31"/>
      <c r="AZ834" s="31"/>
      <c r="BA834" s="31"/>
      <c r="BB834" s="31"/>
      <c r="BC834" s="31"/>
      <c r="BD834" s="31"/>
      <c r="BE834" s="31"/>
      <c r="BF834" s="31"/>
      <c r="BG834" s="31"/>
      <c r="BH834" s="31"/>
      <c r="BI834" s="31"/>
      <c r="BJ834" s="31"/>
      <c r="BK834" s="31"/>
      <c r="BL834" s="31"/>
    </row>
    <row r="835" ht="15.7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31"/>
      <c r="AQ835" s="31"/>
      <c r="AR835" s="31"/>
      <c r="AS835" s="31"/>
      <c r="AT835" s="31"/>
      <c r="AU835" s="31"/>
      <c r="AV835" s="31"/>
      <c r="AW835" s="31"/>
      <c r="AX835" s="31"/>
      <c r="AY835" s="31"/>
      <c r="AZ835" s="31"/>
      <c r="BA835" s="31"/>
      <c r="BB835" s="31"/>
      <c r="BC835" s="31"/>
      <c r="BD835" s="31"/>
      <c r="BE835" s="31"/>
      <c r="BF835" s="31"/>
      <c r="BG835" s="31"/>
      <c r="BH835" s="31"/>
      <c r="BI835" s="31"/>
      <c r="BJ835" s="31"/>
      <c r="BK835" s="31"/>
      <c r="BL835" s="31"/>
    </row>
    <row r="836" ht="15.7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31"/>
      <c r="AQ836" s="31"/>
      <c r="AR836" s="31"/>
      <c r="AS836" s="31"/>
      <c r="AT836" s="31"/>
      <c r="AU836" s="31"/>
      <c r="AV836" s="31"/>
      <c r="AW836" s="31"/>
      <c r="AX836" s="31"/>
      <c r="AY836" s="31"/>
      <c r="AZ836" s="31"/>
      <c r="BA836" s="31"/>
      <c r="BB836" s="31"/>
      <c r="BC836" s="31"/>
      <c r="BD836" s="31"/>
      <c r="BE836" s="31"/>
      <c r="BF836" s="31"/>
      <c r="BG836" s="31"/>
      <c r="BH836" s="31"/>
      <c r="BI836" s="31"/>
      <c r="BJ836" s="31"/>
      <c r="BK836" s="31"/>
      <c r="BL836" s="31"/>
    </row>
    <row r="837" ht="15.7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31"/>
      <c r="AQ837" s="31"/>
      <c r="AR837" s="31"/>
      <c r="AS837" s="31"/>
      <c r="AT837" s="31"/>
      <c r="AU837" s="31"/>
      <c r="AV837" s="31"/>
      <c r="AW837" s="31"/>
      <c r="AX837" s="31"/>
      <c r="AY837" s="31"/>
      <c r="AZ837" s="31"/>
      <c r="BA837" s="31"/>
      <c r="BB837" s="31"/>
      <c r="BC837" s="31"/>
      <c r="BD837" s="31"/>
      <c r="BE837" s="31"/>
      <c r="BF837" s="31"/>
      <c r="BG837" s="31"/>
      <c r="BH837" s="31"/>
      <c r="BI837" s="31"/>
      <c r="BJ837" s="31"/>
      <c r="BK837" s="31"/>
      <c r="BL837" s="31"/>
    </row>
    <row r="838" ht="15.7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31"/>
      <c r="AQ838" s="31"/>
      <c r="AR838" s="31"/>
      <c r="AS838" s="31"/>
      <c r="AT838" s="31"/>
      <c r="AU838" s="31"/>
      <c r="AV838" s="31"/>
      <c r="AW838" s="31"/>
      <c r="AX838" s="31"/>
      <c r="AY838" s="31"/>
      <c r="AZ838" s="31"/>
      <c r="BA838" s="31"/>
      <c r="BB838" s="31"/>
      <c r="BC838" s="31"/>
      <c r="BD838" s="31"/>
      <c r="BE838" s="31"/>
      <c r="BF838" s="31"/>
      <c r="BG838" s="31"/>
      <c r="BH838" s="31"/>
      <c r="BI838" s="31"/>
      <c r="BJ838" s="31"/>
      <c r="BK838" s="31"/>
      <c r="BL838" s="31"/>
    </row>
    <row r="839" ht="15.7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31"/>
      <c r="AQ839" s="31"/>
      <c r="AR839" s="31"/>
      <c r="AS839" s="31"/>
      <c r="AT839" s="31"/>
      <c r="AU839" s="31"/>
      <c r="AV839" s="31"/>
      <c r="AW839" s="31"/>
      <c r="AX839" s="31"/>
      <c r="AY839" s="31"/>
      <c r="AZ839" s="31"/>
      <c r="BA839" s="31"/>
      <c r="BB839" s="31"/>
      <c r="BC839" s="31"/>
      <c r="BD839" s="31"/>
      <c r="BE839" s="31"/>
      <c r="BF839" s="31"/>
      <c r="BG839" s="31"/>
      <c r="BH839" s="31"/>
      <c r="BI839" s="31"/>
      <c r="BJ839" s="31"/>
      <c r="BK839" s="31"/>
      <c r="BL839" s="31"/>
    </row>
    <row r="840" ht="15.7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31"/>
      <c r="AQ840" s="31"/>
      <c r="AR840" s="31"/>
      <c r="AS840" s="31"/>
      <c r="AT840" s="31"/>
      <c r="AU840" s="31"/>
      <c r="AV840" s="31"/>
      <c r="AW840" s="31"/>
      <c r="AX840" s="31"/>
      <c r="AY840" s="31"/>
      <c r="AZ840" s="31"/>
      <c r="BA840" s="31"/>
      <c r="BB840" s="31"/>
      <c r="BC840" s="31"/>
      <c r="BD840" s="31"/>
      <c r="BE840" s="31"/>
      <c r="BF840" s="31"/>
      <c r="BG840" s="31"/>
      <c r="BH840" s="31"/>
      <c r="BI840" s="31"/>
      <c r="BJ840" s="31"/>
      <c r="BK840" s="31"/>
      <c r="BL840" s="31"/>
    </row>
    <row r="841" ht="15.7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31"/>
      <c r="AQ841" s="31"/>
      <c r="AR841" s="31"/>
      <c r="AS841" s="31"/>
      <c r="AT841" s="31"/>
      <c r="AU841" s="31"/>
      <c r="AV841" s="31"/>
      <c r="AW841" s="31"/>
      <c r="AX841" s="31"/>
      <c r="AY841" s="31"/>
      <c r="AZ841" s="31"/>
      <c r="BA841" s="31"/>
      <c r="BB841" s="31"/>
      <c r="BC841" s="31"/>
      <c r="BD841" s="31"/>
      <c r="BE841" s="31"/>
      <c r="BF841" s="31"/>
      <c r="BG841" s="31"/>
      <c r="BH841" s="31"/>
      <c r="BI841" s="31"/>
      <c r="BJ841" s="31"/>
      <c r="BK841" s="31"/>
      <c r="BL841" s="31"/>
    </row>
    <row r="842" ht="15.7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31"/>
      <c r="AQ842" s="31"/>
      <c r="AR842" s="31"/>
      <c r="AS842" s="31"/>
      <c r="AT842" s="31"/>
      <c r="AU842" s="31"/>
      <c r="AV842" s="31"/>
      <c r="AW842" s="31"/>
      <c r="AX842" s="31"/>
      <c r="AY842" s="31"/>
      <c r="AZ842" s="31"/>
      <c r="BA842" s="31"/>
      <c r="BB842" s="31"/>
      <c r="BC842" s="31"/>
      <c r="BD842" s="31"/>
      <c r="BE842" s="31"/>
      <c r="BF842" s="31"/>
      <c r="BG842" s="31"/>
      <c r="BH842" s="31"/>
      <c r="BI842" s="31"/>
      <c r="BJ842" s="31"/>
      <c r="BK842" s="31"/>
      <c r="BL842" s="31"/>
    </row>
    <row r="843" ht="15.7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31"/>
      <c r="AQ843" s="31"/>
      <c r="AR843" s="31"/>
      <c r="AS843" s="31"/>
      <c r="AT843" s="31"/>
      <c r="AU843" s="31"/>
      <c r="AV843" s="31"/>
      <c r="AW843" s="31"/>
      <c r="AX843" s="31"/>
      <c r="AY843" s="31"/>
      <c r="AZ843" s="31"/>
      <c r="BA843" s="31"/>
      <c r="BB843" s="31"/>
      <c r="BC843" s="31"/>
      <c r="BD843" s="31"/>
      <c r="BE843" s="31"/>
      <c r="BF843" s="31"/>
      <c r="BG843" s="31"/>
      <c r="BH843" s="31"/>
      <c r="BI843" s="31"/>
      <c r="BJ843" s="31"/>
      <c r="BK843" s="31"/>
      <c r="BL843" s="31"/>
    </row>
    <row r="844" ht="15.7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31"/>
      <c r="AQ844" s="31"/>
      <c r="AR844" s="31"/>
      <c r="AS844" s="31"/>
      <c r="AT844" s="31"/>
      <c r="AU844" s="31"/>
      <c r="AV844" s="31"/>
      <c r="AW844" s="31"/>
      <c r="AX844" s="31"/>
      <c r="AY844" s="31"/>
      <c r="AZ844" s="31"/>
      <c r="BA844" s="31"/>
      <c r="BB844" s="31"/>
      <c r="BC844" s="31"/>
      <c r="BD844" s="31"/>
      <c r="BE844" s="31"/>
      <c r="BF844" s="31"/>
      <c r="BG844" s="31"/>
      <c r="BH844" s="31"/>
      <c r="BI844" s="31"/>
      <c r="BJ844" s="31"/>
      <c r="BK844" s="31"/>
      <c r="BL844" s="31"/>
    </row>
    <row r="845" ht="15.7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31"/>
      <c r="AQ845" s="31"/>
      <c r="AR845" s="31"/>
      <c r="AS845" s="31"/>
      <c r="AT845" s="31"/>
      <c r="AU845" s="31"/>
      <c r="AV845" s="31"/>
      <c r="AW845" s="31"/>
      <c r="AX845" s="31"/>
      <c r="AY845" s="31"/>
      <c r="AZ845" s="31"/>
      <c r="BA845" s="31"/>
      <c r="BB845" s="31"/>
      <c r="BC845" s="31"/>
      <c r="BD845" s="31"/>
      <c r="BE845" s="31"/>
      <c r="BF845" s="31"/>
      <c r="BG845" s="31"/>
      <c r="BH845" s="31"/>
      <c r="BI845" s="31"/>
      <c r="BJ845" s="31"/>
      <c r="BK845" s="31"/>
      <c r="BL845" s="31"/>
    </row>
    <row r="846" ht="15.7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31"/>
      <c r="AQ846" s="31"/>
      <c r="AR846" s="31"/>
      <c r="AS846" s="31"/>
      <c r="AT846" s="31"/>
      <c r="AU846" s="31"/>
      <c r="AV846" s="31"/>
      <c r="AW846" s="31"/>
      <c r="AX846" s="31"/>
      <c r="AY846" s="31"/>
      <c r="AZ846" s="31"/>
      <c r="BA846" s="31"/>
      <c r="BB846" s="31"/>
      <c r="BC846" s="31"/>
      <c r="BD846" s="31"/>
      <c r="BE846" s="31"/>
      <c r="BF846" s="31"/>
      <c r="BG846" s="31"/>
      <c r="BH846" s="31"/>
      <c r="BI846" s="31"/>
      <c r="BJ846" s="31"/>
      <c r="BK846" s="31"/>
      <c r="BL846" s="31"/>
    </row>
    <row r="847" ht="15.7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31"/>
      <c r="AQ847" s="31"/>
      <c r="AR847" s="31"/>
      <c r="AS847" s="31"/>
      <c r="AT847" s="31"/>
      <c r="AU847" s="31"/>
      <c r="AV847" s="31"/>
      <c r="AW847" s="31"/>
      <c r="AX847" s="31"/>
      <c r="AY847" s="31"/>
      <c r="AZ847" s="31"/>
      <c r="BA847" s="31"/>
      <c r="BB847" s="31"/>
      <c r="BC847" s="31"/>
      <c r="BD847" s="31"/>
      <c r="BE847" s="31"/>
      <c r="BF847" s="31"/>
      <c r="BG847" s="31"/>
      <c r="BH847" s="31"/>
      <c r="BI847" s="31"/>
      <c r="BJ847" s="31"/>
      <c r="BK847" s="31"/>
      <c r="BL847" s="31"/>
    </row>
    <row r="848" ht="15.7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31"/>
      <c r="AQ848" s="31"/>
      <c r="AR848" s="31"/>
      <c r="AS848" s="31"/>
      <c r="AT848" s="31"/>
      <c r="AU848" s="31"/>
      <c r="AV848" s="31"/>
      <c r="AW848" s="31"/>
      <c r="AX848" s="31"/>
      <c r="AY848" s="31"/>
      <c r="AZ848" s="31"/>
      <c r="BA848" s="31"/>
      <c r="BB848" s="31"/>
      <c r="BC848" s="31"/>
      <c r="BD848" s="31"/>
      <c r="BE848" s="31"/>
      <c r="BF848" s="31"/>
      <c r="BG848" s="31"/>
      <c r="BH848" s="31"/>
      <c r="BI848" s="31"/>
      <c r="BJ848" s="31"/>
      <c r="BK848" s="31"/>
      <c r="BL848" s="31"/>
    </row>
    <row r="849" ht="15.7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31"/>
      <c r="AQ849" s="31"/>
      <c r="AR849" s="31"/>
      <c r="AS849" s="31"/>
      <c r="AT849" s="31"/>
      <c r="AU849" s="31"/>
      <c r="AV849" s="31"/>
      <c r="AW849" s="31"/>
      <c r="AX849" s="31"/>
      <c r="AY849" s="31"/>
      <c r="AZ849" s="31"/>
      <c r="BA849" s="31"/>
      <c r="BB849" s="31"/>
      <c r="BC849" s="31"/>
      <c r="BD849" s="31"/>
      <c r="BE849" s="31"/>
      <c r="BF849" s="31"/>
      <c r="BG849" s="31"/>
      <c r="BH849" s="31"/>
      <c r="BI849" s="31"/>
      <c r="BJ849" s="31"/>
      <c r="BK849" s="31"/>
      <c r="BL849" s="31"/>
    </row>
    <row r="850" ht="15.7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31"/>
      <c r="AQ850" s="31"/>
      <c r="AR850" s="31"/>
      <c r="AS850" s="31"/>
      <c r="AT850" s="31"/>
      <c r="AU850" s="31"/>
      <c r="AV850" s="31"/>
      <c r="AW850" s="31"/>
      <c r="AX850" s="31"/>
      <c r="AY850" s="31"/>
      <c r="AZ850" s="31"/>
      <c r="BA850" s="31"/>
      <c r="BB850" s="31"/>
      <c r="BC850" s="31"/>
      <c r="BD850" s="31"/>
      <c r="BE850" s="31"/>
      <c r="BF850" s="31"/>
      <c r="BG850" s="31"/>
      <c r="BH850" s="31"/>
      <c r="BI850" s="31"/>
      <c r="BJ850" s="31"/>
      <c r="BK850" s="31"/>
      <c r="BL850" s="31"/>
    </row>
    <row r="851" ht="15.7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31"/>
      <c r="AQ851" s="31"/>
      <c r="AR851" s="31"/>
      <c r="AS851" s="31"/>
      <c r="AT851" s="31"/>
      <c r="AU851" s="31"/>
      <c r="AV851" s="31"/>
      <c r="AW851" s="31"/>
      <c r="AX851" s="31"/>
      <c r="AY851" s="31"/>
      <c r="AZ851" s="31"/>
      <c r="BA851" s="31"/>
      <c r="BB851" s="31"/>
      <c r="BC851" s="31"/>
      <c r="BD851" s="31"/>
      <c r="BE851" s="31"/>
      <c r="BF851" s="31"/>
      <c r="BG851" s="31"/>
      <c r="BH851" s="31"/>
      <c r="BI851" s="31"/>
      <c r="BJ851" s="31"/>
      <c r="BK851" s="31"/>
      <c r="BL851" s="31"/>
    </row>
    <row r="852" ht="15.7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31"/>
      <c r="AQ852" s="31"/>
      <c r="AR852" s="31"/>
      <c r="AS852" s="31"/>
      <c r="AT852" s="31"/>
      <c r="AU852" s="31"/>
      <c r="AV852" s="31"/>
      <c r="AW852" s="31"/>
      <c r="AX852" s="31"/>
      <c r="AY852" s="31"/>
      <c r="AZ852" s="31"/>
      <c r="BA852" s="31"/>
      <c r="BB852" s="31"/>
      <c r="BC852" s="31"/>
      <c r="BD852" s="31"/>
      <c r="BE852" s="31"/>
      <c r="BF852" s="31"/>
      <c r="BG852" s="31"/>
      <c r="BH852" s="31"/>
      <c r="BI852" s="31"/>
      <c r="BJ852" s="31"/>
      <c r="BK852" s="31"/>
      <c r="BL852" s="31"/>
    </row>
    <row r="853" ht="15.7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31"/>
      <c r="AQ853" s="31"/>
      <c r="AR853" s="31"/>
      <c r="AS853" s="31"/>
      <c r="AT853" s="31"/>
      <c r="AU853" s="31"/>
      <c r="AV853" s="31"/>
      <c r="AW853" s="31"/>
      <c r="AX853" s="31"/>
      <c r="AY853" s="31"/>
      <c r="AZ853" s="31"/>
      <c r="BA853" s="31"/>
      <c r="BB853" s="31"/>
      <c r="BC853" s="31"/>
      <c r="BD853" s="31"/>
      <c r="BE853" s="31"/>
      <c r="BF853" s="31"/>
      <c r="BG853" s="31"/>
      <c r="BH853" s="31"/>
      <c r="BI853" s="31"/>
      <c r="BJ853" s="31"/>
      <c r="BK853" s="31"/>
      <c r="BL853" s="31"/>
    </row>
    <row r="854" ht="15.7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31"/>
      <c r="AQ854" s="31"/>
      <c r="AR854" s="31"/>
      <c r="AS854" s="31"/>
      <c r="AT854" s="31"/>
      <c r="AU854" s="31"/>
      <c r="AV854" s="31"/>
      <c r="AW854" s="31"/>
      <c r="AX854" s="31"/>
      <c r="AY854" s="31"/>
      <c r="AZ854" s="31"/>
      <c r="BA854" s="31"/>
      <c r="BB854" s="31"/>
      <c r="BC854" s="31"/>
      <c r="BD854" s="31"/>
      <c r="BE854" s="31"/>
      <c r="BF854" s="31"/>
      <c r="BG854" s="31"/>
      <c r="BH854" s="31"/>
      <c r="BI854" s="31"/>
      <c r="BJ854" s="31"/>
      <c r="BK854" s="31"/>
      <c r="BL854" s="31"/>
    </row>
    <row r="855" ht="15.7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31"/>
      <c r="AQ855" s="31"/>
      <c r="AR855" s="31"/>
      <c r="AS855" s="31"/>
      <c r="AT855" s="31"/>
      <c r="AU855" s="31"/>
      <c r="AV855" s="31"/>
      <c r="AW855" s="31"/>
      <c r="AX855" s="31"/>
      <c r="AY855" s="31"/>
      <c r="AZ855" s="31"/>
      <c r="BA855" s="31"/>
      <c r="BB855" s="31"/>
      <c r="BC855" s="31"/>
      <c r="BD855" s="31"/>
      <c r="BE855" s="31"/>
      <c r="BF855" s="31"/>
      <c r="BG855" s="31"/>
      <c r="BH855" s="31"/>
      <c r="BI855" s="31"/>
      <c r="BJ855" s="31"/>
      <c r="BK855" s="31"/>
      <c r="BL855" s="31"/>
    </row>
    <row r="856" ht="15.7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31"/>
      <c r="AQ856" s="31"/>
      <c r="AR856" s="31"/>
      <c r="AS856" s="31"/>
      <c r="AT856" s="31"/>
      <c r="AU856" s="31"/>
      <c r="AV856" s="31"/>
      <c r="AW856" s="31"/>
      <c r="AX856" s="31"/>
      <c r="AY856" s="31"/>
      <c r="AZ856" s="31"/>
      <c r="BA856" s="31"/>
      <c r="BB856" s="31"/>
      <c r="BC856" s="31"/>
      <c r="BD856" s="31"/>
      <c r="BE856" s="31"/>
      <c r="BF856" s="31"/>
      <c r="BG856" s="31"/>
      <c r="BH856" s="31"/>
      <c r="BI856" s="31"/>
      <c r="BJ856" s="31"/>
      <c r="BK856" s="31"/>
      <c r="BL856" s="31"/>
    </row>
    <row r="857" ht="15.7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31"/>
      <c r="AQ857" s="31"/>
      <c r="AR857" s="31"/>
      <c r="AS857" s="31"/>
      <c r="AT857" s="31"/>
      <c r="AU857" s="31"/>
      <c r="AV857" s="31"/>
      <c r="AW857" s="31"/>
      <c r="AX857" s="31"/>
      <c r="AY857" s="31"/>
      <c r="AZ857" s="31"/>
      <c r="BA857" s="31"/>
      <c r="BB857" s="31"/>
      <c r="BC857" s="31"/>
      <c r="BD857" s="31"/>
      <c r="BE857" s="31"/>
      <c r="BF857" s="31"/>
      <c r="BG857" s="31"/>
      <c r="BH857" s="31"/>
      <c r="BI857" s="31"/>
      <c r="BJ857" s="31"/>
      <c r="BK857" s="31"/>
      <c r="BL857" s="31"/>
    </row>
    <row r="858" ht="15.7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31"/>
      <c r="AQ858" s="31"/>
      <c r="AR858" s="31"/>
      <c r="AS858" s="31"/>
      <c r="AT858" s="31"/>
      <c r="AU858" s="31"/>
      <c r="AV858" s="31"/>
      <c r="AW858" s="31"/>
      <c r="AX858" s="31"/>
      <c r="AY858" s="31"/>
      <c r="AZ858" s="31"/>
      <c r="BA858" s="31"/>
      <c r="BB858" s="31"/>
      <c r="BC858" s="31"/>
      <c r="BD858" s="31"/>
      <c r="BE858" s="31"/>
      <c r="BF858" s="31"/>
      <c r="BG858" s="31"/>
      <c r="BH858" s="31"/>
      <c r="BI858" s="31"/>
      <c r="BJ858" s="31"/>
      <c r="BK858" s="31"/>
      <c r="BL858" s="31"/>
    </row>
    <row r="859" ht="15.7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31"/>
      <c r="AQ859" s="31"/>
      <c r="AR859" s="31"/>
      <c r="AS859" s="31"/>
      <c r="AT859" s="31"/>
      <c r="AU859" s="31"/>
      <c r="AV859" s="31"/>
      <c r="AW859" s="31"/>
      <c r="AX859" s="31"/>
      <c r="AY859" s="31"/>
      <c r="AZ859" s="31"/>
      <c r="BA859" s="31"/>
      <c r="BB859" s="31"/>
      <c r="BC859" s="31"/>
      <c r="BD859" s="31"/>
      <c r="BE859" s="31"/>
      <c r="BF859" s="31"/>
      <c r="BG859" s="31"/>
      <c r="BH859" s="31"/>
      <c r="BI859" s="31"/>
      <c r="BJ859" s="31"/>
      <c r="BK859" s="31"/>
      <c r="BL859" s="31"/>
    </row>
    <row r="860" ht="15.7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31"/>
      <c r="AQ860" s="31"/>
      <c r="AR860" s="31"/>
      <c r="AS860" s="31"/>
      <c r="AT860" s="31"/>
      <c r="AU860" s="31"/>
      <c r="AV860" s="31"/>
      <c r="AW860" s="31"/>
      <c r="AX860" s="31"/>
      <c r="AY860" s="31"/>
      <c r="AZ860" s="31"/>
      <c r="BA860" s="31"/>
      <c r="BB860" s="31"/>
      <c r="BC860" s="31"/>
      <c r="BD860" s="31"/>
      <c r="BE860" s="31"/>
      <c r="BF860" s="31"/>
      <c r="BG860" s="31"/>
      <c r="BH860" s="31"/>
      <c r="BI860" s="31"/>
      <c r="BJ860" s="31"/>
      <c r="BK860" s="31"/>
      <c r="BL860" s="31"/>
    </row>
    <row r="861" ht="15.7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31"/>
      <c r="AQ861" s="31"/>
      <c r="AR861" s="31"/>
      <c r="AS861" s="31"/>
      <c r="AT861" s="31"/>
      <c r="AU861" s="31"/>
      <c r="AV861" s="31"/>
      <c r="AW861" s="31"/>
      <c r="AX861" s="31"/>
      <c r="AY861" s="31"/>
      <c r="AZ861" s="31"/>
      <c r="BA861" s="31"/>
      <c r="BB861" s="31"/>
      <c r="BC861" s="31"/>
      <c r="BD861" s="31"/>
      <c r="BE861" s="31"/>
      <c r="BF861" s="31"/>
      <c r="BG861" s="31"/>
      <c r="BH861" s="31"/>
      <c r="BI861" s="31"/>
      <c r="BJ861" s="31"/>
      <c r="BK861" s="31"/>
      <c r="BL861" s="31"/>
    </row>
    <row r="862" ht="15.7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31"/>
      <c r="AQ862" s="31"/>
      <c r="AR862" s="31"/>
      <c r="AS862" s="31"/>
      <c r="AT862" s="31"/>
      <c r="AU862" s="31"/>
      <c r="AV862" s="31"/>
      <c r="AW862" s="31"/>
      <c r="AX862" s="31"/>
      <c r="AY862" s="31"/>
      <c r="AZ862" s="31"/>
      <c r="BA862" s="31"/>
      <c r="BB862" s="31"/>
      <c r="BC862" s="31"/>
      <c r="BD862" s="31"/>
      <c r="BE862" s="31"/>
      <c r="BF862" s="31"/>
      <c r="BG862" s="31"/>
      <c r="BH862" s="31"/>
      <c r="BI862" s="31"/>
      <c r="BJ862" s="31"/>
      <c r="BK862" s="31"/>
      <c r="BL862" s="31"/>
    </row>
    <row r="863" ht="15.7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31"/>
      <c r="AQ863" s="31"/>
      <c r="AR863" s="31"/>
      <c r="AS863" s="31"/>
      <c r="AT863" s="31"/>
      <c r="AU863" s="31"/>
      <c r="AV863" s="31"/>
      <c r="AW863" s="31"/>
      <c r="AX863" s="31"/>
      <c r="AY863" s="31"/>
      <c r="AZ863" s="31"/>
      <c r="BA863" s="31"/>
      <c r="BB863" s="31"/>
      <c r="BC863" s="31"/>
      <c r="BD863" s="31"/>
      <c r="BE863" s="31"/>
      <c r="BF863" s="31"/>
      <c r="BG863" s="31"/>
      <c r="BH863" s="31"/>
      <c r="BI863" s="31"/>
      <c r="BJ863" s="31"/>
      <c r="BK863" s="31"/>
      <c r="BL863" s="31"/>
    </row>
    <row r="864" ht="15.7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31"/>
      <c r="AQ864" s="31"/>
      <c r="AR864" s="31"/>
      <c r="AS864" s="31"/>
      <c r="AT864" s="31"/>
      <c r="AU864" s="31"/>
      <c r="AV864" s="31"/>
      <c r="AW864" s="31"/>
      <c r="AX864" s="31"/>
      <c r="AY864" s="31"/>
      <c r="AZ864" s="31"/>
      <c r="BA864" s="31"/>
      <c r="BB864" s="31"/>
      <c r="BC864" s="31"/>
      <c r="BD864" s="31"/>
      <c r="BE864" s="31"/>
      <c r="BF864" s="31"/>
      <c r="BG864" s="31"/>
      <c r="BH864" s="31"/>
      <c r="BI864" s="31"/>
      <c r="BJ864" s="31"/>
      <c r="BK864" s="31"/>
      <c r="BL864" s="31"/>
    </row>
    <row r="865" ht="15.7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31"/>
      <c r="AQ865" s="31"/>
      <c r="AR865" s="31"/>
      <c r="AS865" s="31"/>
      <c r="AT865" s="31"/>
      <c r="AU865" s="31"/>
      <c r="AV865" s="31"/>
      <c r="AW865" s="31"/>
      <c r="AX865" s="31"/>
      <c r="AY865" s="31"/>
      <c r="AZ865" s="31"/>
      <c r="BA865" s="31"/>
      <c r="BB865" s="31"/>
      <c r="BC865" s="31"/>
      <c r="BD865" s="31"/>
      <c r="BE865" s="31"/>
      <c r="BF865" s="31"/>
      <c r="BG865" s="31"/>
      <c r="BH865" s="31"/>
      <c r="BI865" s="31"/>
      <c r="BJ865" s="31"/>
      <c r="BK865" s="31"/>
      <c r="BL865" s="31"/>
    </row>
    <row r="866" ht="15.7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31"/>
      <c r="AQ866" s="31"/>
      <c r="AR866" s="31"/>
      <c r="AS866" s="31"/>
      <c r="AT866" s="31"/>
      <c r="AU866" s="31"/>
      <c r="AV866" s="31"/>
      <c r="AW866" s="31"/>
      <c r="AX866" s="31"/>
      <c r="AY866" s="31"/>
      <c r="AZ866" s="31"/>
      <c r="BA866" s="31"/>
      <c r="BB866" s="31"/>
      <c r="BC866" s="31"/>
      <c r="BD866" s="31"/>
      <c r="BE866" s="31"/>
      <c r="BF866" s="31"/>
      <c r="BG866" s="31"/>
      <c r="BH866" s="31"/>
      <c r="BI866" s="31"/>
      <c r="BJ866" s="31"/>
      <c r="BK866" s="31"/>
      <c r="BL866" s="31"/>
    </row>
    <row r="867" ht="15.7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31"/>
      <c r="AQ867" s="31"/>
      <c r="AR867" s="31"/>
      <c r="AS867" s="31"/>
      <c r="AT867" s="31"/>
      <c r="AU867" s="31"/>
      <c r="AV867" s="31"/>
      <c r="AW867" s="31"/>
      <c r="AX867" s="31"/>
      <c r="AY867" s="31"/>
      <c r="AZ867" s="31"/>
      <c r="BA867" s="31"/>
      <c r="BB867" s="31"/>
      <c r="BC867" s="31"/>
      <c r="BD867" s="31"/>
      <c r="BE867" s="31"/>
      <c r="BF867" s="31"/>
      <c r="BG867" s="31"/>
      <c r="BH867" s="31"/>
      <c r="BI867" s="31"/>
      <c r="BJ867" s="31"/>
      <c r="BK867" s="31"/>
      <c r="BL867" s="31"/>
    </row>
    <row r="868" ht="15.7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31"/>
      <c r="AQ868" s="31"/>
      <c r="AR868" s="31"/>
      <c r="AS868" s="31"/>
      <c r="AT868" s="31"/>
      <c r="AU868" s="31"/>
      <c r="AV868" s="31"/>
      <c r="AW868" s="31"/>
      <c r="AX868" s="31"/>
      <c r="AY868" s="31"/>
      <c r="AZ868" s="31"/>
      <c r="BA868" s="31"/>
      <c r="BB868" s="31"/>
      <c r="BC868" s="31"/>
      <c r="BD868" s="31"/>
      <c r="BE868" s="31"/>
      <c r="BF868" s="31"/>
      <c r="BG868" s="31"/>
      <c r="BH868" s="31"/>
      <c r="BI868" s="31"/>
      <c r="BJ868" s="31"/>
      <c r="BK868" s="31"/>
      <c r="BL868" s="31"/>
    </row>
    <row r="869" ht="15.7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31"/>
      <c r="AQ869" s="31"/>
      <c r="AR869" s="31"/>
      <c r="AS869" s="31"/>
      <c r="AT869" s="31"/>
      <c r="AU869" s="31"/>
      <c r="AV869" s="31"/>
      <c r="AW869" s="31"/>
      <c r="AX869" s="31"/>
      <c r="AY869" s="31"/>
      <c r="AZ869" s="31"/>
      <c r="BA869" s="31"/>
      <c r="BB869" s="31"/>
      <c r="BC869" s="31"/>
      <c r="BD869" s="31"/>
      <c r="BE869" s="31"/>
      <c r="BF869" s="31"/>
      <c r="BG869" s="31"/>
      <c r="BH869" s="31"/>
      <c r="BI869" s="31"/>
      <c r="BJ869" s="31"/>
      <c r="BK869" s="31"/>
      <c r="BL869" s="31"/>
    </row>
    <row r="870" ht="15.7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31"/>
      <c r="AQ870" s="31"/>
      <c r="AR870" s="31"/>
      <c r="AS870" s="31"/>
      <c r="AT870" s="31"/>
      <c r="AU870" s="31"/>
      <c r="AV870" s="31"/>
      <c r="AW870" s="31"/>
      <c r="AX870" s="31"/>
      <c r="AY870" s="31"/>
      <c r="AZ870" s="31"/>
      <c r="BA870" s="31"/>
      <c r="BB870" s="31"/>
      <c r="BC870" s="31"/>
      <c r="BD870" s="31"/>
      <c r="BE870" s="31"/>
      <c r="BF870" s="31"/>
      <c r="BG870" s="31"/>
      <c r="BH870" s="31"/>
      <c r="BI870" s="31"/>
      <c r="BJ870" s="31"/>
      <c r="BK870" s="31"/>
      <c r="BL870" s="31"/>
    </row>
    <row r="871" ht="15.7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31"/>
      <c r="AQ871" s="31"/>
      <c r="AR871" s="31"/>
      <c r="AS871" s="31"/>
      <c r="AT871" s="31"/>
      <c r="AU871" s="31"/>
      <c r="AV871" s="31"/>
      <c r="AW871" s="31"/>
      <c r="AX871" s="31"/>
      <c r="AY871" s="31"/>
      <c r="AZ871" s="31"/>
      <c r="BA871" s="31"/>
      <c r="BB871" s="31"/>
      <c r="BC871" s="31"/>
      <c r="BD871" s="31"/>
      <c r="BE871" s="31"/>
      <c r="BF871" s="31"/>
      <c r="BG871" s="31"/>
      <c r="BH871" s="31"/>
      <c r="BI871" s="31"/>
      <c r="BJ871" s="31"/>
      <c r="BK871" s="31"/>
      <c r="BL871" s="31"/>
    </row>
    <row r="872" ht="15.7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31"/>
      <c r="AQ872" s="31"/>
      <c r="AR872" s="31"/>
      <c r="AS872" s="31"/>
      <c r="AT872" s="31"/>
      <c r="AU872" s="31"/>
      <c r="AV872" s="31"/>
      <c r="AW872" s="31"/>
      <c r="AX872" s="31"/>
      <c r="AY872" s="31"/>
      <c r="AZ872" s="31"/>
      <c r="BA872" s="31"/>
      <c r="BB872" s="31"/>
      <c r="BC872" s="31"/>
      <c r="BD872" s="31"/>
      <c r="BE872" s="31"/>
      <c r="BF872" s="31"/>
      <c r="BG872" s="31"/>
      <c r="BH872" s="31"/>
      <c r="BI872" s="31"/>
      <c r="BJ872" s="31"/>
      <c r="BK872" s="31"/>
      <c r="BL872" s="31"/>
    </row>
    <row r="873" ht="15.7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31"/>
      <c r="AQ873" s="31"/>
      <c r="AR873" s="31"/>
      <c r="AS873" s="31"/>
      <c r="AT873" s="31"/>
      <c r="AU873" s="31"/>
      <c r="AV873" s="31"/>
      <c r="AW873" s="31"/>
      <c r="AX873" s="31"/>
      <c r="AY873" s="31"/>
      <c r="AZ873" s="31"/>
      <c r="BA873" s="31"/>
      <c r="BB873" s="31"/>
      <c r="BC873" s="31"/>
      <c r="BD873" s="31"/>
      <c r="BE873" s="31"/>
      <c r="BF873" s="31"/>
      <c r="BG873" s="31"/>
      <c r="BH873" s="31"/>
      <c r="BI873" s="31"/>
      <c r="BJ873" s="31"/>
      <c r="BK873" s="31"/>
      <c r="BL873" s="31"/>
    </row>
    <row r="874" ht="15.7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31"/>
      <c r="AQ874" s="31"/>
      <c r="AR874" s="31"/>
      <c r="AS874" s="31"/>
      <c r="AT874" s="31"/>
      <c r="AU874" s="31"/>
      <c r="AV874" s="31"/>
      <c r="AW874" s="31"/>
      <c r="AX874" s="31"/>
      <c r="AY874" s="31"/>
      <c r="AZ874" s="31"/>
      <c r="BA874" s="31"/>
      <c r="BB874" s="31"/>
      <c r="BC874" s="31"/>
      <c r="BD874" s="31"/>
      <c r="BE874" s="31"/>
      <c r="BF874" s="31"/>
      <c r="BG874" s="31"/>
      <c r="BH874" s="31"/>
      <c r="BI874" s="31"/>
      <c r="BJ874" s="31"/>
      <c r="BK874" s="31"/>
      <c r="BL874" s="31"/>
    </row>
    <row r="875" ht="15.7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31"/>
      <c r="AQ875" s="31"/>
      <c r="AR875" s="31"/>
      <c r="AS875" s="31"/>
      <c r="AT875" s="31"/>
      <c r="AU875" s="31"/>
      <c r="AV875" s="31"/>
      <c r="AW875" s="31"/>
      <c r="AX875" s="31"/>
      <c r="AY875" s="31"/>
      <c r="AZ875" s="31"/>
      <c r="BA875" s="31"/>
      <c r="BB875" s="31"/>
      <c r="BC875" s="31"/>
      <c r="BD875" s="31"/>
      <c r="BE875" s="31"/>
      <c r="BF875" s="31"/>
      <c r="BG875" s="31"/>
      <c r="BH875" s="31"/>
      <c r="BI875" s="31"/>
      <c r="BJ875" s="31"/>
      <c r="BK875" s="31"/>
      <c r="BL875" s="31"/>
    </row>
    <row r="876" ht="15.7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31"/>
      <c r="AQ876" s="31"/>
      <c r="AR876" s="31"/>
      <c r="AS876" s="31"/>
      <c r="AT876" s="31"/>
      <c r="AU876" s="31"/>
      <c r="AV876" s="31"/>
      <c r="AW876" s="31"/>
      <c r="AX876" s="31"/>
      <c r="AY876" s="31"/>
      <c r="AZ876" s="31"/>
      <c r="BA876" s="31"/>
      <c r="BB876" s="31"/>
      <c r="BC876" s="31"/>
      <c r="BD876" s="31"/>
      <c r="BE876" s="31"/>
      <c r="BF876" s="31"/>
      <c r="BG876" s="31"/>
      <c r="BH876" s="31"/>
      <c r="BI876" s="31"/>
      <c r="BJ876" s="31"/>
      <c r="BK876" s="31"/>
      <c r="BL876" s="31"/>
    </row>
    <row r="877" ht="15.7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31"/>
      <c r="AQ877" s="31"/>
      <c r="AR877" s="31"/>
      <c r="AS877" s="31"/>
      <c r="AT877" s="31"/>
      <c r="AU877" s="31"/>
      <c r="AV877" s="31"/>
      <c r="AW877" s="31"/>
      <c r="AX877" s="31"/>
      <c r="AY877" s="31"/>
      <c r="AZ877" s="31"/>
      <c r="BA877" s="31"/>
      <c r="BB877" s="31"/>
      <c r="BC877" s="31"/>
      <c r="BD877" s="31"/>
      <c r="BE877" s="31"/>
      <c r="BF877" s="31"/>
      <c r="BG877" s="31"/>
      <c r="BH877" s="31"/>
      <c r="BI877" s="31"/>
      <c r="BJ877" s="31"/>
      <c r="BK877" s="31"/>
      <c r="BL877" s="31"/>
    </row>
    <row r="878" ht="15.7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31"/>
      <c r="AQ878" s="31"/>
      <c r="AR878" s="31"/>
      <c r="AS878" s="31"/>
      <c r="AT878" s="31"/>
      <c r="AU878" s="31"/>
      <c r="AV878" s="31"/>
      <c r="AW878" s="31"/>
      <c r="AX878" s="31"/>
      <c r="AY878" s="31"/>
      <c r="AZ878" s="31"/>
      <c r="BA878" s="31"/>
      <c r="BB878" s="31"/>
      <c r="BC878" s="31"/>
      <c r="BD878" s="31"/>
      <c r="BE878" s="31"/>
      <c r="BF878" s="31"/>
      <c r="BG878" s="31"/>
      <c r="BH878" s="31"/>
      <c r="BI878" s="31"/>
      <c r="BJ878" s="31"/>
      <c r="BK878" s="31"/>
      <c r="BL878" s="31"/>
    </row>
    <row r="879" ht="15.7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31"/>
      <c r="AQ879" s="31"/>
      <c r="AR879" s="31"/>
      <c r="AS879" s="31"/>
      <c r="AT879" s="31"/>
      <c r="AU879" s="31"/>
      <c r="AV879" s="31"/>
      <c r="AW879" s="31"/>
      <c r="AX879" s="31"/>
      <c r="AY879" s="31"/>
      <c r="AZ879" s="31"/>
      <c r="BA879" s="31"/>
      <c r="BB879" s="31"/>
      <c r="BC879" s="31"/>
      <c r="BD879" s="31"/>
      <c r="BE879" s="31"/>
      <c r="BF879" s="31"/>
      <c r="BG879" s="31"/>
      <c r="BH879" s="31"/>
      <c r="BI879" s="31"/>
      <c r="BJ879" s="31"/>
      <c r="BK879" s="31"/>
      <c r="BL879" s="31"/>
    </row>
    <row r="880" ht="15.7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31"/>
      <c r="AQ880" s="31"/>
      <c r="AR880" s="31"/>
      <c r="AS880" s="31"/>
      <c r="AT880" s="31"/>
      <c r="AU880" s="31"/>
      <c r="AV880" s="31"/>
      <c r="AW880" s="31"/>
      <c r="AX880" s="31"/>
      <c r="AY880" s="31"/>
      <c r="AZ880" s="31"/>
      <c r="BA880" s="31"/>
      <c r="BB880" s="31"/>
      <c r="BC880" s="31"/>
      <c r="BD880" s="31"/>
      <c r="BE880" s="31"/>
      <c r="BF880" s="31"/>
      <c r="BG880" s="31"/>
      <c r="BH880" s="31"/>
      <c r="BI880" s="31"/>
      <c r="BJ880" s="31"/>
      <c r="BK880" s="31"/>
      <c r="BL880" s="31"/>
    </row>
    <row r="881" ht="15.7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31"/>
      <c r="AQ881" s="31"/>
      <c r="AR881" s="31"/>
      <c r="AS881" s="31"/>
      <c r="AT881" s="31"/>
      <c r="AU881" s="31"/>
      <c r="AV881" s="31"/>
      <c r="AW881" s="31"/>
      <c r="AX881" s="31"/>
      <c r="AY881" s="31"/>
      <c r="AZ881" s="31"/>
      <c r="BA881" s="31"/>
      <c r="BB881" s="31"/>
      <c r="BC881" s="31"/>
      <c r="BD881" s="31"/>
      <c r="BE881" s="31"/>
      <c r="BF881" s="31"/>
      <c r="BG881" s="31"/>
      <c r="BH881" s="31"/>
      <c r="BI881" s="31"/>
      <c r="BJ881" s="31"/>
      <c r="BK881" s="31"/>
      <c r="BL881" s="31"/>
    </row>
    <row r="882" ht="15.7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31"/>
      <c r="AQ882" s="31"/>
      <c r="AR882" s="31"/>
      <c r="AS882" s="31"/>
      <c r="AT882" s="31"/>
      <c r="AU882" s="31"/>
      <c r="AV882" s="31"/>
      <c r="AW882" s="31"/>
      <c r="AX882" s="31"/>
      <c r="AY882" s="31"/>
      <c r="AZ882" s="31"/>
      <c r="BA882" s="31"/>
      <c r="BB882" s="31"/>
      <c r="BC882" s="31"/>
      <c r="BD882" s="31"/>
      <c r="BE882" s="31"/>
      <c r="BF882" s="31"/>
      <c r="BG882" s="31"/>
      <c r="BH882" s="31"/>
      <c r="BI882" s="31"/>
      <c r="BJ882" s="31"/>
      <c r="BK882" s="31"/>
      <c r="BL882" s="31"/>
    </row>
    <row r="883" ht="15.7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31"/>
      <c r="AQ883" s="31"/>
      <c r="AR883" s="31"/>
      <c r="AS883" s="31"/>
      <c r="AT883" s="31"/>
      <c r="AU883" s="31"/>
      <c r="AV883" s="31"/>
      <c r="AW883" s="31"/>
      <c r="AX883" s="31"/>
      <c r="AY883" s="31"/>
      <c r="AZ883" s="31"/>
      <c r="BA883" s="31"/>
      <c r="BB883" s="31"/>
      <c r="BC883" s="31"/>
      <c r="BD883" s="31"/>
      <c r="BE883" s="31"/>
      <c r="BF883" s="31"/>
      <c r="BG883" s="31"/>
      <c r="BH883" s="31"/>
      <c r="BI883" s="31"/>
      <c r="BJ883" s="31"/>
      <c r="BK883" s="31"/>
      <c r="BL883" s="31"/>
    </row>
    <row r="884" ht="15.7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31"/>
      <c r="AQ884" s="31"/>
      <c r="AR884" s="31"/>
      <c r="AS884" s="31"/>
      <c r="AT884" s="31"/>
      <c r="AU884" s="31"/>
      <c r="AV884" s="31"/>
      <c r="AW884" s="31"/>
      <c r="AX884" s="31"/>
      <c r="AY884" s="31"/>
      <c r="AZ884" s="31"/>
      <c r="BA884" s="31"/>
      <c r="BB884" s="31"/>
      <c r="BC884" s="31"/>
      <c r="BD884" s="31"/>
      <c r="BE884" s="31"/>
      <c r="BF884" s="31"/>
      <c r="BG884" s="31"/>
      <c r="BH884" s="31"/>
      <c r="BI884" s="31"/>
      <c r="BJ884" s="31"/>
      <c r="BK884" s="31"/>
      <c r="BL884" s="31"/>
    </row>
    <row r="885" ht="15.7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31"/>
      <c r="AQ885" s="31"/>
      <c r="AR885" s="31"/>
      <c r="AS885" s="31"/>
      <c r="AT885" s="31"/>
      <c r="AU885" s="31"/>
      <c r="AV885" s="31"/>
      <c r="AW885" s="31"/>
      <c r="AX885" s="31"/>
      <c r="AY885" s="31"/>
      <c r="AZ885" s="31"/>
      <c r="BA885" s="31"/>
      <c r="BB885" s="31"/>
      <c r="BC885" s="31"/>
      <c r="BD885" s="31"/>
      <c r="BE885" s="31"/>
      <c r="BF885" s="31"/>
      <c r="BG885" s="31"/>
      <c r="BH885" s="31"/>
      <c r="BI885" s="31"/>
      <c r="BJ885" s="31"/>
      <c r="BK885" s="31"/>
      <c r="BL885" s="31"/>
    </row>
    <row r="886" ht="15.7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31"/>
      <c r="AQ886" s="31"/>
      <c r="AR886" s="31"/>
      <c r="AS886" s="31"/>
      <c r="AT886" s="31"/>
      <c r="AU886" s="31"/>
      <c r="AV886" s="31"/>
      <c r="AW886" s="31"/>
      <c r="AX886" s="31"/>
      <c r="AY886" s="31"/>
      <c r="AZ886" s="31"/>
      <c r="BA886" s="31"/>
      <c r="BB886" s="31"/>
      <c r="BC886" s="31"/>
      <c r="BD886" s="31"/>
      <c r="BE886" s="31"/>
      <c r="BF886" s="31"/>
      <c r="BG886" s="31"/>
      <c r="BH886" s="31"/>
      <c r="BI886" s="31"/>
      <c r="BJ886" s="31"/>
      <c r="BK886" s="31"/>
      <c r="BL886" s="31"/>
    </row>
    <row r="887" ht="15.7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31"/>
      <c r="AQ887" s="31"/>
      <c r="AR887" s="31"/>
      <c r="AS887" s="31"/>
      <c r="AT887" s="31"/>
      <c r="AU887" s="31"/>
      <c r="AV887" s="31"/>
      <c r="AW887" s="31"/>
      <c r="AX887" s="31"/>
      <c r="AY887" s="31"/>
      <c r="AZ887" s="31"/>
      <c r="BA887" s="31"/>
      <c r="BB887" s="31"/>
      <c r="BC887" s="31"/>
      <c r="BD887" s="31"/>
      <c r="BE887" s="31"/>
      <c r="BF887" s="31"/>
      <c r="BG887" s="31"/>
      <c r="BH887" s="31"/>
      <c r="BI887" s="31"/>
      <c r="BJ887" s="31"/>
      <c r="BK887" s="31"/>
      <c r="BL887" s="31"/>
    </row>
    <row r="888" ht="15.7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31"/>
      <c r="AQ888" s="31"/>
      <c r="AR888" s="31"/>
      <c r="AS888" s="31"/>
      <c r="AT888" s="31"/>
      <c r="AU888" s="31"/>
      <c r="AV888" s="31"/>
      <c r="AW888" s="31"/>
      <c r="AX888" s="31"/>
      <c r="AY888" s="31"/>
      <c r="AZ888" s="31"/>
      <c r="BA888" s="31"/>
      <c r="BB888" s="31"/>
      <c r="BC888" s="31"/>
      <c r="BD888" s="31"/>
      <c r="BE888" s="31"/>
      <c r="BF888" s="31"/>
      <c r="BG888" s="31"/>
      <c r="BH888" s="31"/>
      <c r="BI888" s="31"/>
      <c r="BJ888" s="31"/>
      <c r="BK888" s="31"/>
      <c r="BL888" s="31"/>
    </row>
    <row r="889" ht="15.7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31"/>
      <c r="AQ889" s="31"/>
      <c r="AR889" s="31"/>
      <c r="AS889" s="31"/>
      <c r="AT889" s="31"/>
      <c r="AU889" s="31"/>
      <c r="AV889" s="31"/>
      <c r="AW889" s="31"/>
      <c r="AX889" s="31"/>
      <c r="AY889" s="31"/>
      <c r="AZ889" s="31"/>
      <c r="BA889" s="31"/>
      <c r="BB889" s="31"/>
      <c r="BC889" s="31"/>
      <c r="BD889" s="31"/>
      <c r="BE889" s="31"/>
      <c r="BF889" s="31"/>
      <c r="BG889" s="31"/>
      <c r="BH889" s="31"/>
      <c r="BI889" s="31"/>
      <c r="BJ889" s="31"/>
      <c r="BK889" s="31"/>
      <c r="BL889" s="31"/>
    </row>
    <row r="890" ht="15.7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31"/>
      <c r="AQ890" s="31"/>
      <c r="AR890" s="31"/>
      <c r="AS890" s="31"/>
      <c r="AT890" s="31"/>
      <c r="AU890" s="31"/>
      <c r="AV890" s="31"/>
      <c r="AW890" s="31"/>
      <c r="AX890" s="31"/>
      <c r="AY890" s="31"/>
      <c r="AZ890" s="31"/>
      <c r="BA890" s="31"/>
      <c r="BB890" s="31"/>
      <c r="BC890" s="31"/>
      <c r="BD890" s="31"/>
      <c r="BE890" s="31"/>
      <c r="BF890" s="31"/>
      <c r="BG890" s="31"/>
      <c r="BH890" s="31"/>
      <c r="BI890" s="31"/>
      <c r="BJ890" s="31"/>
      <c r="BK890" s="31"/>
      <c r="BL890" s="31"/>
    </row>
    <row r="891" ht="15.7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31"/>
      <c r="AQ891" s="31"/>
      <c r="AR891" s="31"/>
      <c r="AS891" s="31"/>
      <c r="AT891" s="31"/>
      <c r="AU891" s="31"/>
      <c r="AV891" s="31"/>
      <c r="AW891" s="31"/>
      <c r="AX891" s="31"/>
      <c r="AY891" s="31"/>
      <c r="AZ891" s="31"/>
      <c r="BA891" s="31"/>
      <c r="BB891" s="31"/>
      <c r="BC891" s="31"/>
      <c r="BD891" s="31"/>
      <c r="BE891" s="31"/>
      <c r="BF891" s="31"/>
      <c r="BG891" s="31"/>
      <c r="BH891" s="31"/>
      <c r="BI891" s="31"/>
      <c r="BJ891" s="31"/>
      <c r="BK891" s="31"/>
      <c r="BL891" s="31"/>
    </row>
    <row r="892" ht="15.7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31"/>
      <c r="AQ892" s="31"/>
      <c r="AR892" s="31"/>
      <c r="AS892" s="31"/>
      <c r="AT892" s="31"/>
      <c r="AU892" s="31"/>
      <c r="AV892" s="31"/>
      <c r="AW892" s="31"/>
      <c r="AX892" s="31"/>
      <c r="AY892" s="31"/>
      <c r="AZ892" s="31"/>
      <c r="BA892" s="31"/>
      <c r="BB892" s="31"/>
      <c r="BC892" s="31"/>
      <c r="BD892" s="31"/>
      <c r="BE892" s="31"/>
      <c r="BF892" s="31"/>
      <c r="BG892" s="31"/>
      <c r="BH892" s="31"/>
      <c r="BI892" s="31"/>
      <c r="BJ892" s="31"/>
      <c r="BK892" s="31"/>
      <c r="BL892" s="31"/>
    </row>
    <row r="893" ht="15.7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31"/>
      <c r="AQ893" s="31"/>
      <c r="AR893" s="31"/>
      <c r="AS893" s="31"/>
      <c r="AT893" s="31"/>
      <c r="AU893" s="31"/>
      <c r="AV893" s="31"/>
      <c r="AW893" s="31"/>
      <c r="AX893" s="31"/>
      <c r="AY893" s="31"/>
      <c r="AZ893" s="31"/>
      <c r="BA893" s="31"/>
      <c r="BB893" s="31"/>
      <c r="BC893" s="31"/>
      <c r="BD893" s="31"/>
      <c r="BE893" s="31"/>
      <c r="BF893" s="31"/>
      <c r="BG893" s="31"/>
      <c r="BH893" s="31"/>
      <c r="BI893" s="31"/>
      <c r="BJ893" s="31"/>
      <c r="BK893" s="31"/>
      <c r="BL893" s="31"/>
    </row>
    <row r="894" ht="15.7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31"/>
      <c r="AQ894" s="31"/>
      <c r="AR894" s="31"/>
      <c r="AS894" s="31"/>
      <c r="AT894" s="31"/>
      <c r="AU894" s="31"/>
      <c r="AV894" s="31"/>
      <c r="AW894" s="31"/>
      <c r="AX894" s="31"/>
      <c r="AY894" s="31"/>
      <c r="AZ894" s="31"/>
      <c r="BA894" s="31"/>
      <c r="BB894" s="31"/>
      <c r="BC894" s="31"/>
      <c r="BD894" s="31"/>
      <c r="BE894" s="31"/>
      <c r="BF894" s="31"/>
      <c r="BG894" s="31"/>
      <c r="BH894" s="31"/>
      <c r="BI894" s="31"/>
      <c r="BJ894" s="31"/>
      <c r="BK894" s="31"/>
      <c r="BL894" s="31"/>
    </row>
    <row r="895" ht="15.7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31"/>
      <c r="AQ895" s="31"/>
      <c r="AR895" s="31"/>
      <c r="AS895" s="31"/>
      <c r="AT895" s="31"/>
      <c r="AU895" s="31"/>
      <c r="AV895" s="31"/>
      <c r="AW895" s="31"/>
      <c r="AX895" s="31"/>
      <c r="AY895" s="31"/>
      <c r="AZ895" s="31"/>
      <c r="BA895" s="31"/>
      <c r="BB895" s="31"/>
      <c r="BC895" s="31"/>
      <c r="BD895" s="31"/>
      <c r="BE895" s="31"/>
      <c r="BF895" s="31"/>
      <c r="BG895" s="31"/>
      <c r="BH895" s="31"/>
      <c r="BI895" s="31"/>
      <c r="BJ895" s="31"/>
      <c r="BK895" s="31"/>
      <c r="BL895" s="31"/>
    </row>
    <row r="896" ht="15.7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31"/>
      <c r="AQ896" s="31"/>
      <c r="AR896" s="31"/>
      <c r="AS896" s="31"/>
      <c r="AT896" s="31"/>
      <c r="AU896" s="31"/>
      <c r="AV896" s="31"/>
      <c r="AW896" s="31"/>
      <c r="AX896" s="31"/>
      <c r="AY896" s="31"/>
      <c r="AZ896" s="31"/>
      <c r="BA896" s="31"/>
      <c r="BB896" s="31"/>
      <c r="BC896" s="31"/>
      <c r="BD896" s="31"/>
      <c r="BE896" s="31"/>
      <c r="BF896" s="31"/>
      <c r="BG896" s="31"/>
      <c r="BH896" s="31"/>
      <c r="BI896" s="31"/>
      <c r="BJ896" s="31"/>
      <c r="BK896" s="31"/>
      <c r="BL896" s="31"/>
    </row>
    <row r="897" ht="15.7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31"/>
      <c r="AQ897" s="31"/>
      <c r="AR897" s="31"/>
      <c r="AS897" s="31"/>
      <c r="AT897" s="31"/>
      <c r="AU897" s="31"/>
      <c r="AV897" s="31"/>
      <c r="AW897" s="31"/>
      <c r="AX897" s="31"/>
      <c r="AY897" s="31"/>
      <c r="AZ897" s="31"/>
      <c r="BA897" s="31"/>
      <c r="BB897" s="31"/>
      <c r="BC897" s="31"/>
      <c r="BD897" s="31"/>
      <c r="BE897" s="31"/>
      <c r="BF897" s="31"/>
      <c r="BG897" s="31"/>
      <c r="BH897" s="31"/>
      <c r="BI897" s="31"/>
      <c r="BJ897" s="31"/>
      <c r="BK897" s="31"/>
      <c r="BL897" s="31"/>
    </row>
    <row r="898" ht="15.7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31"/>
      <c r="AQ898" s="31"/>
      <c r="AR898" s="31"/>
      <c r="AS898" s="31"/>
      <c r="AT898" s="31"/>
      <c r="AU898" s="31"/>
      <c r="AV898" s="31"/>
      <c r="AW898" s="31"/>
      <c r="AX898" s="31"/>
      <c r="AY898" s="31"/>
      <c r="AZ898" s="31"/>
      <c r="BA898" s="31"/>
      <c r="BB898" s="31"/>
      <c r="BC898" s="31"/>
      <c r="BD898" s="31"/>
      <c r="BE898" s="31"/>
      <c r="BF898" s="31"/>
      <c r="BG898" s="31"/>
      <c r="BH898" s="31"/>
      <c r="BI898" s="31"/>
      <c r="BJ898" s="31"/>
      <c r="BK898" s="31"/>
      <c r="BL898" s="31"/>
    </row>
    <row r="899" ht="15.7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31"/>
      <c r="AQ899" s="31"/>
      <c r="AR899" s="31"/>
      <c r="AS899" s="31"/>
      <c r="AT899" s="31"/>
      <c r="AU899" s="31"/>
      <c r="AV899" s="31"/>
      <c r="AW899" s="31"/>
      <c r="AX899" s="31"/>
      <c r="AY899" s="31"/>
      <c r="AZ899" s="31"/>
      <c r="BA899" s="31"/>
      <c r="BB899" s="31"/>
      <c r="BC899" s="31"/>
      <c r="BD899" s="31"/>
      <c r="BE899" s="31"/>
      <c r="BF899" s="31"/>
      <c r="BG899" s="31"/>
      <c r="BH899" s="31"/>
      <c r="BI899" s="31"/>
      <c r="BJ899" s="31"/>
      <c r="BK899" s="31"/>
      <c r="BL899" s="31"/>
    </row>
    <row r="900" ht="15.7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31"/>
      <c r="AQ900" s="31"/>
      <c r="AR900" s="31"/>
      <c r="AS900" s="31"/>
      <c r="AT900" s="31"/>
      <c r="AU900" s="31"/>
      <c r="AV900" s="31"/>
      <c r="AW900" s="31"/>
      <c r="AX900" s="31"/>
      <c r="AY900" s="31"/>
      <c r="AZ900" s="31"/>
      <c r="BA900" s="31"/>
      <c r="BB900" s="31"/>
      <c r="BC900" s="31"/>
      <c r="BD900" s="31"/>
      <c r="BE900" s="31"/>
      <c r="BF900" s="31"/>
      <c r="BG900" s="31"/>
      <c r="BH900" s="31"/>
      <c r="BI900" s="31"/>
      <c r="BJ900" s="31"/>
      <c r="BK900" s="31"/>
      <c r="BL900" s="31"/>
    </row>
    <row r="901" ht="15.7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31"/>
      <c r="AQ901" s="31"/>
      <c r="AR901" s="31"/>
      <c r="AS901" s="31"/>
      <c r="AT901" s="31"/>
      <c r="AU901" s="31"/>
      <c r="AV901" s="31"/>
      <c r="AW901" s="31"/>
      <c r="AX901" s="31"/>
      <c r="AY901" s="31"/>
      <c r="AZ901" s="31"/>
      <c r="BA901" s="31"/>
      <c r="BB901" s="31"/>
      <c r="BC901" s="31"/>
      <c r="BD901" s="31"/>
      <c r="BE901" s="31"/>
      <c r="BF901" s="31"/>
      <c r="BG901" s="31"/>
      <c r="BH901" s="31"/>
      <c r="BI901" s="31"/>
      <c r="BJ901" s="31"/>
      <c r="BK901" s="31"/>
      <c r="BL901" s="31"/>
    </row>
    <row r="902" ht="15.7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31"/>
      <c r="AQ902" s="31"/>
      <c r="AR902" s="31"/>
      <c r="AS902" s="31"/>
      <c r="AT902" s="31"/>
      <c r="AU902" s="31"/>
      <c r="AV902" s="31"/>
      <c r="AW902" s="31"/>
      <c r="AX902" s="31"/>
      <c r="AY902" s="31"/>
      <c r="AZ902" s="31"/>
      <c r="BA902" s="31"/>
      <c r="BB902" s="31"/>
      <c r="BC902" s="31"/>
      <c r="BD902" s="31"/>
      <c r="BE902" s="31"/>
      <c r="BF902" s="31"/>
      <c r="BG902" s="31"/>
      <c r="BH902" s="31"/>
      <c r="BI902" s="31"/>
      <c r="BJ902" s="31"/>
      <c r="BK902" s="31"/>
      <c r="BL902" s="31"/>
    </row>
    <row r="903" ht="15.7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31"/>
      <c r="AQ903" s="31"/>
      <c r="AR903" s="31"/>
      <c r="AS903" s="31"/>
      <c r="AT903" s="31"/>
      <c r="AU903" s="31"/>
      <c r="AV903" s="31"/>
      <c r="AW903" s="31"/>
      <c r="AX903" s="31"/>
      <c r="AY903" s="31"/>
      <c r="AZ903" s="31"/>
      <c r="BA903" s="31"/>
      <c r="BB903" s="31"/>
      <c r="BC903" s="31"/>
      <c r="BD903" s="31"/>
      <c r="BE903" s="31"/>
      <c r="BF903" s="31"/>
      <c r="BG903" s="31"/>
      <c r="BH903" s="31"/>
      <c r="BI903" s="31"/>
      <c r="BJ903" s="31"/>
      <c r="BK903" s="31"/>
      <c r="BL903" s="31"/>
    </row>
    <row r="904" ht="15.7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31"/>
      <c r="AQ904" s="31"/>
      <c r="AR904" s="31"/>
      <c r="AS904" s="31"/>
      <c r="AT904" s="31"/>
      <c r="AU904" s="31"/>
      <c r="AV904" s="31"/>
      <c r="AW904" s="31"/>
      <c r="AX904" s="31"/>
      <c r="AY904" s="31"/>
      <c r="AZ904" s="31"/>
      <c r="BA904" s="31"/>
      <c r="BB904" s="31"/>
      <c r="BC904" s="31"/>
      <c r="BD904" s="31"/>
      <c r="BE904" s="31"/>
      <c r="BF904" s="31"/>
      <c r="BG904" s="31"/>
      <c r="BH904" s="31"/>
      <c r="BI904" s="31"/>
      <c r="BJ904" s="31"/>
      <c r="BK904" s="31"/>
      <c r="BL904" s="31"/>
    </row>
    <row r="905" ht="15.7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31"/>
      <c r="AQ905" s="31"/>
      <c r="AR905" s="31"/>
      <c r="AS905" s="31"/>
      <c r="AT905" s="31"/>
      <c r="AU905" s="31"/>
      <c r="AV905" s="31"/>
      <c r="AW905" s="31"/>
      <c r="AX905" s="31"/>
      <c r="AY905" s="31"/>
      <c r="AZ905" s="31"/>
      <c r="BA905" s="31"/>
      <c r="BB905" s="31"/>
      <c r="BC905" s="31"/>
      <c r="BD905" s="31"/>
      <c r="BE905" s="31"/>
      <c r="BF905" s="31"/>
      <c r="BG905" s="31"/>
      <c r="BH905" s="31"/>
      <c r="BI905" s="31"/>
      <c r="BJ905" s="31"/>
      <c r="BK905" s="31"/>
      <c r="BL905" s="31"/>
    </row>
    <row r="906" ht="15.7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31"/>
      <c r="AQ906" s="31"/>
      <c r="AR906" s="31"/>
      <c r="AS906" s="31"/>
      <c r="AT906" s="31"/>
      <c r="AU906" s="31"/>
      <c r="AV906" s="31"/>
      <c r="AW906" s="31"/>
      <c r="AX906" s="31"/>
      <c r="AY906" s="31"/>
      <c r="AZ906" s="31"/>
      <c r="BA906" s="31"/>
      <c r="BB906" s="31"/>
      <c r="BC906" s="31"/>
      <c r="BD906" s="31"/>
      <c r="BE906" s="31"/>
      <c r="BF906" s="31"/>
      <c r="BG906" s="31"/>
      <c r="BH906" s="31"/>
      <c r="BI906" s="31"/>
      <c r="BJ906" s="31"/>
      <c r="BK906" s="31"/>
      <c r="BL906" s="31"/>
    </row>
    <row r="907" ht="15.7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31"/>
      <c r="AQ907" s="31"/>
      <c r="AR907" s="31"/>
      <c r="AS907" s="31"/>
      <c r="AT907" s="31"/>
      <c r="AU907" s="31"/>
      <c r="AV907" s="31"/>
      <c r="AW907" s="31"/>
      <c r="AX907" s="31"/>
      <c r="AY907" s="31"/>
      <c r="AZ907" s="31"/>
      <c r="BA907" s="31"/>
      <c r="BB907" s="31"/>
      <c r="BC907" s="31"/>
      <c r="BD907" s="31"/>
      <c r="BE907" s="31"/>
      <c r="BF907" s="31"/>
      <c r="BG907" s="31"/>
      <c r="BH907" s="31"/>
      <c r="BI907" s="31"/>
      <c r="BJ907" s="31"/>
      <c r="BK907" s="31"/>
      <c r="BL907" s="31"/>
    </row>
    <row r="908" ht="15.7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31"/>
      <c r="AQ908" s="31"/>
      <c r="AR908" s="31"/>
      <c r="AS908" s="31"/>
      <c r="AT908" s="31"/>
      <c r="AU908" s="31"/>
      <c r="AV908" s="31"/>
      <c r="AW908" s="31"/>
      <c r="AX908" s="31"/>
      <c r="AY908" s="31"/>
      <c r="AZ908" s="31"/>
      <c r="BA908" s="31"/>
      <c r="BB908" s="31"/>
      <c r="BC908" s="31"/>
      <c r="BD908" s="31"/>
      <c r="BE908" s="31"/>
      <c r="BF908" s="31"/>
      <c r="BG908" s="31"/>
      <c r="BH908" s="31"/>
      <c r="BI908" s="31"/>
      <c r="BJ908" s="31"/>
      <c r="BK908" s="31"/>
      <c r="BL908" s="31"/>
    </row>
    <row r="909" ht="15.7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31"/>
      <c r="AQ909" s="31"/>
      <c r="AR909" s="31"/>
      <c r="AS909" s="31"/>
      <c r="AT909" s="31"/>
      <c r="AU909" s="31"/>
      <c r="AV909" s="31"/>
      <c r="AW909" s="31"/>
      <c r="AX909" s="31"/>
      <c r="AY909" s="31"/>
      <c r="AZ909" s="31"/>
      <c r="BA909" s="31"/>
      <c r="BB909" s="31"/>
      <c r="BC909" s="31"/>
      <c r="BD909" s="31"/>
      <c r="BE909" s="31"/>
      <c r="BF909" s="31"/>
      <c r="BG909" s="31"/>
      <c r="BH909" s="31"/>
      <c r="BI909" s="31"/>
      <c r="BJ909" s="31"/>
      <c r="BK909" s="31"/>
      <c r="BL909" s="31"/>
    </row>
    <row r="910" ht="15.7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31"/>
      <c r="AQ910" s="31"/>
      <c r="AR910" s="31"/>
      <c r="AS910" s="31"/>
      <c r="AT910" s="31"/>
      <c r="AU910" s="31"/>
      <c r="AV910" s="31"/>
      <c r="AW910" s="31"/>
      <c r="AX910" s="31"/>
      <c r="AY910" s="31"/>
      <c r="AZ910" s="31"/>
      <c r="BA910" s="31"/>
      <c r="BB910" s="31"/>
      <c r="BC910" s="31"/>
      <c r="BD910" s="31"/>
      <c r="BE910" s="31"/>
      <c r="BF910" s="31"/>
      <c r="BG910" s="31"/>
      <c r="BH910" s="31"/>
      <c r="BI910" s="31"/>
      <c r="BJ910" s="31"/>
      <c r="BK910" s="31"/>
      <c r="BL910" s="31"/>
    </row>
    <row r="911" ht="15.7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31"/>
      <c r="AQ911" s="31"/>
      <c r="AR911" s="31"/>
      <c r="AS911" s="31"/>
      <c r="AT911" s="31"/>
      <c r="AU911" s="31"/>
      <c r="AV911" s="31"/>
      <c r="AW911" s="31"/>
      <c r="AX911" s="31"/>
      <c r="AY911" s="31"/>
      <c r="AZ911" s="31"/>
      <c r="BA911" s="31"/>
      <c r="BB911" s="31"/>
      <c r="BC911" s="31"/>
      <c r="BD911" s="31"/>
      <c r="BE911" s="31"/>
      <c r="BF911" s="31"/>
      <c r="BG911" s="31"/>
      <c r="BH911" s="31"/>
      <c r="BI911" s="31"/>
      <c r="BJ911" s="31"/>
      <c r="BK911" s="31"/>
      <c r="BL911" s="31"/>
    </row>
    <row r="912" ht="15.7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31"/>
      <c r="AQ912" s="31"/>
      <c r="AR912" s="31"/>
      <c r="AS912" s="31"/>
      <c r="AT912" s="31"/>
      <c r="AU912" s="31"/>
      <c r="AV912" s="31"/>
      <c r="AW912" s="31"/>
      <c r="AX912" s="31"/>
      <c r="AY912" s="31"/>
      <c r="AZ912" s="31"/>
      <c r="BA912" s="31"/>
      <c r="BB912" s="31"/>
      <c r="BC912" s="31"/>
      <c r="BD912" s="31"/>
      <c r="BE912" s="31"/>
      <c r="BF912" s="31"/>
      <c r="BG912" s="31"/>
      <c r="BH912" s="31"/>
      <c r="BI912" s="31"/>
      <c r="BJ912" s="31"/>
      <c r="BK912" s="31"/>
      <c r="BL912" s="31"/>
    </row>
    <row r="913" ht="15.7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31"/>
      <c r="AQ913" s="31"/>
      <c r="AR913" s="31"/>
      <c r="AS913" s="31"/>
      <c r="AT913" s="31"/>
      <c r="AU913" s="31"/>
      <c r="AV913" s="31"/>
      <c r="AW913" s="31"/>
      <c r="AX913" s="31"/>
      <c r="AY913" s="31"/>
      <c r="AZ913" s="31"/>
      <c r="BA913" s="31"/>
      <c r="BB913" s="31"/>
      <c r="BC913" s="31"/>
      <c r="BD913" s="31"/>
      <c r="BE913" s="31"/>
      <c r="BF913" s="31"/>
      <c r="BG913" s="31"/>
      <c r="BH913" s="31"/>
      <c r="BI913" s="31"/>
      <c r="BJ913" s="31"/>
      <c r="BK913" s="31"/>
      <c r="BL913" s="31"/>
    </row>
    <row r="914" ht="15.7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31"/>
      <c r="AQ914" s="31"/>
      <c r="AR914" s="31"/>
      <c r="AS914" s="31"/>
      <c r="AT914" s="31"/>
      <c r="AU914" s="31"/>
      <c r="AV914" s="31"/>
      <c r="AW914" s="31"/>
      <c r="AX914" s="31"/>
      <c r="AY914" s="31"/>
      <c r="AZ914" s="31"/>
      <c r="BA914" s="31"/>
      <c r="BB914" s="31"/>
      <c r="BC914" s="31"/>
      <c r="BD914" s="31"/>
      <c r="BE914" s="31"/>
      <c r="BF914" s="31"/>
      <c r="BG914" s="31"/>
      <c r="BH914" s="31"/>
      <c r="BI914" s="31"/>
      <c r="BJ914" s="31"/>
      <c r="BK914" s="31"/>
      <c r="BL914" s="31"/>
    </row>
    <row r="915" ht="15.7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31"/>
      <c r="AQ915" s="31"/>
      <c r="AR915" s="31"/>
      <c r="AS915" s="31"/>
      <c r="AT915" s="31"/>
      <c r="AU915" s="31"/>
      <c r="AV915" s="31"/>
      <c r="AW915" s="31"/>
      <c r="AX915" s="31"/>
      <c r="AY915" s="31"/>
      <c r="AZ915" s="31"/>
      <c r="BA915" s="31"/>
      <c r="BB915" s="31"/>
      <c r="BC915" s="31"/>
      <c r="BD915" s="31"/>
      <c r="BE915" s="31"/>
      <c r="BF915" s="31"/>
      <c r="BG915" s="31"/>
      <c r="BH915" s="31"/>
      <c r="BI915" s="31"/>
      <c r="BJ915" s="31"/>
      <c r="BK915" s="31"/>
      <c r="BL915" s="31"/>
    </row>
    <row r="916" ht="15.7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31"/>
      <c r="AQ916" s="31"/>
      <c r="AR916" s="31"/>
      <c r="AS916" s="31"/>
      <c r="AT916" s="31"/>
      <c r="AU916" s="31"/>
      <c r="AV916" s="31"/>
      <c r="AW916" s="31"/>
      <c r="AX916" s="31"/>
      <c r="AY916" s="31"/>
      <c r="AZ916" s="31"/>
      <c r="BA916" s="31"/>
      <c r="BB916" s="31"/>
      <c r="BC916" s="31"/>
      <c r="BD916" s="31"/>
      <c r="BE916" s="31"/>
      <c r="BF916" s="31"/>
      <c r="BG916" s="31"/>
      <c r="BH916" s="31"/>
      <c r="BI916" s="31"/>
      <c r="BJ916" s="31"/>
      <c r="BK916" s="31"/>
      <c r="BL916" s="31"/>
    </row>
    <row r="917" ht="15.7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31"/>
      <c r="AQ917" s="31"/>
      <c r="AR917" s="31"/>
      <c r="AS917" s="31"/>
      <c r="AT917" s="31"/>
      <c r="AU917" s="31"/>
      <c r="AV917" s="31"/>
      <c r="AW917" s="31"/>
      <c r="AX917" s="31"/>
      <c r="AY917" s="31"/>
      <c r="AZ917" s="31"/>
      <c r="BA917" s="31"/>
      <c r="BB917" s="31"/>
      <c r="BC917" s="31"/>
      <c r="BD917" s="31"/>
      <c r="BE917" s="31"/>
      <c r="BF917" s="31"/>
      <c r="BG917" s="31"/>
      <c r="BH917" s="31"/>
      <c r="BI917" s="31"/>
      <c r="BJ917" s="31"/>
      <c r="BK917" s="31"/>
      <c r="BL917" s="31"/>
    </row>
    <row r="918" ht="15.7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31"/>
      <c r="AQ918" s="31"/>
      <c r="AR918" s="31"/>
      <c r="AS918" s="31"/>
      <c r="AT918" s="31"/>
      <c r="AU918" s="31"/>
      <c r="AV918" s="31"/>
      <c r="AW918" s="31"/>
      <c r="AX918" s="31"/>
      <c r="AY918" s="31"/>
      <c r="AZ918" s="31"/>
      <c r="BA918" s="31"/>
      <c r="BB918" s="31"/>
      <c r="BC918" s="31"/>
      <c r="BD918" s="31"/>
      <c r="BE918" s="31"/>
      <c r="BF918" s="31"/>
      <c r="BG918" s="31"/>
      <c r="BH918" s="31"/>
      <c r="BI918" s="31"/>
      <c r="BJ918" s="31"/>
      <c r="BK918" s="31"/>
      <c r="BL918" s="31"/>
    </row>
    <row r="919" ht="15.7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31"/>
      <c r="AQ919" s="31"/>
      <c r="AR919" s="31"/>
      <c r="AS919" s="31"/>
      <c r="AT919" s="31"/>
      <c r="AU919" s="31"/>
      <c r="AV919" s="31"/>
      <c r="AW919" s="31"/>
      <c r="AX919" s="31"/>
      <c r="AY919" s="31"/>
      <c r="AZ919" s="31"/>
      <c r="BA919" s="31"/>
      <c r="BB919" s="31"/>
      <c r="BC919" s="31"/>
      <c r="BD919" s="31"/>
      <c r="BE919" s="31"/>
      <c r="BF919" s="31"/>
      <c r="BG919" s="31"/>
      <c r="BH919" s="31"/>
      <c r="BI919" s="31"/>
      <c r="BJ919" s="31"/>
      <c r="BK919" s="31"/>
      <c r="BL919" s="31"/>
    </row>
    <row r="920" ht="15.7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31"/>
      <c r="AQ920" s="31"/>
      <c r="AR920" s="31"/>
      <c r="AS920" s="31"/>
      <c r="AT920" s="31"/>
      <c r="AU920" s="31"/>
      <c r="AV920" s="31"/>
      <c r="AW920" s="31"/>
      <c r="AX920" s="31"/>
      <c r="AY920" s="31"/>
      <c r="AZ920" s="31"/>
      <c r="BA920" s="31"/>
      <c r="BB920" s="31"/>
      <c r="BC920" s="31"/>
      <c r="BD920" s="31"/>
      <c r="BE920" s="31"/>
      <c r="BF920" s="31"/>
      <c r="BG920" s="31"/>
      <c r="BH920" s="31"/>
      <c r="BI920" s="31"/>
      <c r="BJ920" s="31"/>
      <c r="BK920" s="31"/>
      <c r="BL920" s="31"/>
    </row>
    <row r="921" ht="15.7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31"/>
      <c r="AQ921" s="31"/>
      <c r="AR921" s="31"/>
      <c r="AS921" s="31"/>
      <c r="AT921" s="31"/>
      <c r="AU921" s="31"/>
      <c r="AV921" s="31"/>
      <c r="AW921" s="31"/>
      <c r="AX921" s="31"/>
      <c r="AY921" s="31"/>
      <c r="AZ921" s="31"/>
      <c r="BA921" s="31"/>
      <c r="BB921" s="31"/>
      <c r="BC921" s="31"/>
      <c r="BD921" s="31"/>
      <c r="BE921" s="31"/>
      <c r="BF921" s="31"/>
      <c r="BG921" s="31"/>
      <c r="BH921" s="31"/>
      <c r="BI921" s="31"/>
      <c r="BJ921" s="31"/>
      <c r="BK921" s="31"/>
      <c r="BL921" s="31"/>
    </row>
    <row r="922" ht="15.7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31"/>
      <c r="AQ922" s="31"/>
      <c r="AR922" s="31"/>
      <c r="AS922" s="31"/>
      <c r="AT922" s="31"/>
      <c r="AU922" s="31"/>
      <c r="AV922" s="31"/>
      <c r="AW922" s="31"/>
      <c r="AX922" s="31"/>
      <c r="AY922" s="31"/>
      <c r="AZ922" s="31"/>
      <c r="BA922" s="31"/>
      <c r="BB922" s="31"/>
      <c r="BC922" s="31"/>
      <c r="BD922" s="31"/>
      <c r="BE922" s="31"/>
      <c r="BF922" s="31"/>
      <c r="BG922" s="31"/>
      <c r="BH922" s="31"/>
      <c r="BI922" s="31"/>
      <c r="BJ922" s="31"/>
      <c r="BK922" s="31"/>
      <c r="BL922" s="31"/>
    </row>
    <row r="923" ht="15.7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31"/>
      <c r="AQ923" s="31"/>
      <c r="AR923" s="31"/>
      <c r="AS923" s="31"/>
      <c r="AT923" s="31"/>
      <c r="AU923" s="31"/>
      <c r="AV923" s="31"/>
      <c r="AW923" s="31"/>
      <c r="AX923" s="31"/>
      <c r="AY923" s="31"/>
      <c r="AZ923" s="31"/>
      <c r="BA923" s="31"/>
      <c r="BB923" s="31"/>
      <c r="BC923" s="31"/>
      <c r="BD923" s="31"/>
      <c r="BE923" s="31"/>
      <c r="BF923" s="31"/>
      <c r="BG923" s="31"/>
      <c r="BH923" s="31"/>
      <c r="BI923" s="31"/>
      <c r="BJ923" s="31"/>
      <c r="BK923" s="31"/>
      <c r="BL923" s="31"/>
    </row>
    <row r="924" ht="15.7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31"/>
      <c r="AQ924" s="31"/>
      <c r="AR924" s="31"/>
      <c r="AS924" s="31"/>
      <c r="AT924" s="31"/>
      <c r="AU924" s="31"/>
      <c r="AV924" s="31"/>
      <c r="AW924" s="31"/>
      <c r="AX924" s="31"/>
      <c r="AY924" s="31"/>
      <c r="AZ924" s="31"/>
      <c r="BA924" s="31"/>
      <c r="BB924" s="31"/>
      <c r="BC924" s="31"/>
      <c r="BD924" s="31"/>
      <c r="BE924" s="31"/>
      <c r="BF924" s="31"/>
      <c r="BG924" s="31"/>
      <c r="BH924" s="31"/>
      <c r="BI924" s="31"/>
      <c r="BJ924" s="31"/>
      <c r="BK924" s="31"/>
      <c r="BL924" s="31"/>
    </row>
    <row r="925" ht="15.7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31"/>
      <c r="AQ925" s="31"/>
      <c r="AR925" s="31"/>
      <c r="AS925" s="31"/>
      <c r="AT925" s="31"/>
      <c r="AU925" s="31"/>
      <c r="AV925" s="31"/>
      <c r="AW925" s="31"/>
      <c r="AX925" s="31"/>
      <c r="AY925" s="31"/>
      <c r="AZ925" s="31"/>
      <c r="BA925" s="31"/>
      <c r="BB925" s="31"/>
      <c r="BC925" s="31"/>
      <c r="BD925" s="31"/>
      <c r="BE925" s="31"/>
      <c r="BF925" s="31"/>
      <c r="BG925" s="31"/>
      <c r="BH925" s="31"/>
      <c r="BI925" s="31"/>
      <c r="BJ925" s="31"/>
      <c r="BK925" s="31"/>
      <c r="BL925" s="31"/>
    </row>
    <row r="926" ht="15.7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31"/>
      <c r="AQ926" s="31"/>
      <c r="AR926" s="31"/>
      <c r="AS926" s="31"/>
      <c r="AT926" s="31"/>
      <c r="AU926" s="31"/>
      <c r="AV926" s="31"/>
      <c r="AW926" s="31"/>
      <c r="AX926" s="31"/>
      <c r="AY926" s="31"/>
      <c r="AZ926" s="31"/>
      <c r="BA926" s="31"/>
      <c r="BB926" s="31"/>
      <c r="BC926" s="31"/>
      <c r="BD926" s="31"/>
      <c r="BE926" s="31"/>
      <c r="BF926" s="31"/>
      <c r="BG926" s="31"/>
      <c r="BH926" s="31"/>
      <c r="BI926" s="31"/>
      <c r="BJ926" s="31"/>
      <c r="BK926" s="31"/>
      <c r="BL926" s="31"/>
    </row>
    <row r="927" ht="15.7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31"/>
      <c r="AQ927" s="31"/>
      <c r="AR927" s="31"/>
      <c r="AS927" s="31"/>
      <c r="AT927" s="31"/>
      <c r="AU927" s="31"/>
      <c r="AV927" s="31"/>
      <c r="AW927" s="31"/>
      <c r="AX927" s="31"/>
      <c r="AY927" s="31"/>
      <c r="AZ927" s="31"/>
      <c r="BA927" s="31"/>
      <c r="BB927" s="31"/>
      <c r="BC927" s="31"/>
      <c r="BD927" s="31"/>
      <c r="BE927" s="31"/>
      <c r="BF927" s="31"/>
      <c r="BG927" s="31"/>
      <c r="BH927" s="31"/>
      <c r="BI927" s="31"/>
      <c r="BJ927" s="31"/>
      <c r="BK927" s="31"/>
      <c r="BL927" s="31"/>
    </row>
    <row r="928" ht="15.7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31"/>
      <c r="AQ928" s="31"/>
      <c r="AR928" s="31"/>
      <c r="AS928" s="31"/>
      <c r="AT928" s="31"/>
      <c r="AU928" s="31"/>
      <c r="AV928" s="31"/>
      <c r="AW928" s="31"/>
      <c r="AX928" s="31"/>
      <c r="AY928" s="31"/>
      <c r="AZ928" s="31"/>
      <c r="BA928" s="31"/>
      <c r="BB928" s="31"/>
      <c r="BC928" s="31"/>
      <c r="BD928" s="31"/>
      <c r="BE928" s="31"/>
      <c r="BF928" s="31"/>
      <c r="BG928" s="31"/>
      <c r="BH928" s="31"/>
      <c r="BI928" s="31"/>
      <c r="BJ928" s="31"/>
      <c r="BK928" s="31"/>
      <c r="BL928" s="31"/>
    </row>
    <row r="929" ht="15.7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31"/>
      <c r="AQ929" s="31"/>
      <c r="AR929" s="31"/>
      <c r="AS929" s="31"/>
      <c r="AT929" s="31"/>
      <c r="AU929" s="31"/>
      <c r="AV929" s="31"/>
      <c r="AW929" s="31"/>
      <c r="AX929" s="31"/>
      <c r="AY929" s="31"/>
      <c r="AZ929" s="31"/>
      <c r="BA929" s="31"/>
      <c r="BB929" s="31"/>
      <c r="BC929" s="31"/>
      <c r="BD929" s="31"/>
      <c r="BE929" s="31"/>
      <c r="BF929" s="31"/>
      <c r="BG929" s="31"/>
      <c r="BH929" s="31"/>
      <c r="BI929" s="31"/>
      <c r="BJ929" s="31"/>
      <c r="BK929" s="31"/>
      <c r="BL929" s="31"/>
    </row>
    <row r="930" ht="15.7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31"/>
      <c r="AQ930" s="31"/>
      <c r="AR930" s="31"/>
      <c r="AS930" s="31"/>
      <c r="AT930" s="31"/>
      <c r="AU930" s="31"/>
      <c r="AV930" s="31"/>
      <c r="AW930" s="31"/>
      <c r="AX930" s="31"/>
      <c r="AY930" s="31"/>
      <c r="AZ930" s="31"/>
      <c r="BA930" s="31"/>
      <c r="BB930" s="31"/>
      <c r="BC930" s="31"/>
      <c r="BD930" s="31"/>
      <c r="BE930" s="31"/>
      <c r="BF930" s="31"/>
      <c r="BG930" s="31"/>
      <c r="BH930" s="31"/>
      <c r="BI930" s="31"/>
      <c r="BJ930" s="31"/>
      <c r="BK930" s="31"/>
      <c r="BL930" s="31"/>
    </row>
    <row r="931" ht="15.7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31"/>
      <c r="AQ931" s="31"/>
      <c r="AR931" s="31"/>
      <c r="AS931" s="31"/>
      <c r="AT931" s="31"/>
      <c r="AU931" s="31"/>
      <c r="AV931" s="31"/>
      <c r="AW931" s="31"/>
      <c r="AX931" s="31"/>
      <c r="AY931" s="31"/>
      <c r="AZ931" s="31"/>
      <c r="BA931" s="31"/>
      <c r="BB931" s="31"/>
      <c r="BC931" s="31"/>
      <c r="BD931" s="31"/>
      <c r="BE931" s="31"/>
      <c r="BF931" s="31"/>
      <c r="BG931" s="31"/>
      <c r="BH931" s="31"/>
      <c r="BI931" s="31"/>
      <c r="BJ931" s="31"/>
      <c r="BK931" s="31"/>
      <c r="BL931" s="31"/>
    </row>
    <row r="932" ht="15.7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31"/>
      <c r="AQ932" s="31"/>
      <c r="AR932" s="31"/>
      <c r="AS932" s="31"/>
      <c r="AT932" s="31"/>
      <c r="AU932" s="31"/>
      <c r="AV932" s="31"/>
      <c r="AW932" s="31"/>
      <c r="AX932" s="31"/>
      <c r="AY932" s="31"/>
      <c r="AZ932" s="31"/>
      <c r="BA932" s="31"/>
      <c r="BB932" s="31"/>
      <c r="BC932" s="31"/>
      <c r="BD932" s="31"/>
      <c r="BE932" s="31"/>
      <c r="BF932" s="31"/>
      <c r="BG932" s="31"/>
      <c r="BH932" s="31"/>
      <c r="BI932" s="31"/>
      <c r="BJ932" s="31"/>
      <c r="BK932" s="31"/>
      <c r="BL932" s="31"/>
    </row>
    <row r="933" ht="15.7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31"/>
      <c r="AQ933" s="31"/>
      <c r="AR933" s="31"/>
      <c r="AS933" s="31"/>
      <c r="AT933" s="31"/>
      <c r="AU933" s="31"/>
      <c r="AV933" s="31"/>
      <c r="AW933" s="31"/>
      <c r="AX933" s="31"/>
      <c r="AY933" s="31"/>
      <c r="AZ933" s="31"/>
      <c r="BA933" s="31"/>
      <c r="BB933" s="31"/>
      <c r="BC933" s="31"/>
      <c r="BD933" s="31"/>
      <c r="BE933" s="31"/>
      <c r="BF933" s="31"/>
      <c r="BG933" s="31"/>
      <c r="BH933" s="31"/>
      <c r="BI933" s="31"/>
      <c r="BJ933" s="31"/>
      <c r="BK933" s="31"/>
      <c r="BL933" s="31"/>
    </row>
    <row r="934" ht="15.7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31"/>
      <c r="AQ934" s="31"/>
      <c r="AR934" s="31"/>
      <c r="AS934" s="31"/>
      <c r="AT934" s="31"/>
      <c r="AU934" s="31"/>
      <c r="AV934" s="31"/>
      <c r="AW934" s="31"/>
      <c r="AX934" s="31"/>
      <c r="AY934" s="31"/>
      <c r="AZ934" s="31"/>
      <c r="BA934" s="31"/>
      <c r="BB934" s="31"/>
      <c r="BC934" s="31"/>
      <c r="BD934" s="31"/>
      <c r="BE934" s="31"/>
      <c r="BF934" s="31"/>
      <c r="BG934" s="31"/>
      <c r="BH934" s="31"/>
      <c r="BI934" s="31"/>
      <c r="BJ934" s="31"/>
      <c r="BK934" s="31"/>
      <c r="BL934" s="31"/>
    </row>
    <row r="935" ht="15.7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31"/>
      <c r="AQ935" s="31"/>
      <c r="AR935" s="31"/>
      <c r="AS935" s="31"/>
      <c r="AT935" s="31"/>
      <c r="AU935" s="31"/>
      <c r="AV935" s="31"/>
      <c r="AW935" s="31"/>
      <c r="AX935" s="31"/>
      <c r="AY935" s="31"/>
      <c r="AZ935" s="31"/>
      <c r="BA935" s="31"/>
      <c r="BB935" s="31"/>
      <c r="BC935" s="31"/>
      <c r="BD935" s="31"/>
      <c r="BE935" s="31"/>
      <c r="BF935" s="31"/>
      <c r="BG935" s="31"/>
      <c r="BH935" s="31"/>
      <c r="BI935" s="31"/>
      <c r="BJ935" s="31"/>
      <c r="BK935" s="31"/>
      <c r="BL935" s="31"/>
    </row>
    <row r="936" ht="15.7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31"/>
      <c r="AQ936" s="31"/>
      <c r="AR936" s="31"/>
      <c r="AS936" s="31"/>
      <c r="AT936" s="31"/>
      <c r="AU936" s="31"/>
      <c r="AV936" s="31"/>
      <c r="AW936" s="31"/>
      <c r="AX936" s="31"/>
      <c r="AY936" s="31"/>
      <c r="AZ936" s="31"/>
      <c r="BA936" s="31"/>
      <c r="BB936" s="31"/>
      <c r="BC936" s="31"/>
      <c r="BD936" s="31"/>
      <c r="BE936" s="31"/>
      <c r="BF936" s="31"/>
      <c r="BG936" s="31"/>
      <c r="BH936" s="31"/>
      <c r="BI936" s="31"/>
      <c r="BJ936" s="31"/>
      <c r="BK936" s="31"/>
      <c r="BL936" s="31"/>
    </row>
    <row r="937" ht="15.7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31"/>
      <c r="AQ937" s="31"/>
      <c r="AR937" s="31"/>
      <c r="AS937" s="31"/>
      <c r="AT937" s="31"/>
      <c r="AU937" s="31"/>
      <c r="AV937" s="31"/>
      <c r="AW937" s="31"/>
      <c r="AX937" s="31"/>
      <c r="AY937" s="31"/>
      <c r="AZ937" s="31"/>
      <c r="BA937" s="31"/>
      <c r="BB937" s="31"/>
      <c r="BC937" s="31"/>
      <c r="BD937" s="31"/>
      <c r="BE937" s="31"/>
      <c r="BF937" s="31"/>
      <c r="BG937" s="31"/>
      <c r="BH937" s="31"/>
      <c r="BI937" s="31"/>
      <c r="BJ937" s="31"/>
      <c r="BK937" s="31"/>
      <c r="BL937" s="31"/>
    </row>
    <row r="938" ht="15.7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31"/>
      <c r="AQ938" s="31"/>
      <c r="AR938" s="31"/>
      <c r="AS938" s="31"/>
      <c r="AT938" s="31"/>
      <c r="AU938" s="31"/>
      <c r="AV938" s="31"/>
      <c r="AW938" s="31"/>
      <c r="AX938" s="31"/>
      <c r="AY938" s="31"/>
      <c r="AZ938" s="31"/>
      <c r="BA938" s="31"/>
      <c r="BB938" s="31"/>
      <c r="BC938" s="31"/>
      <c r="BD938" s="31"/>
      <c r="BE938" s="31"/>
      <c r="BF938" s="31"/>
      <c r="BG938" s="31"/>
      <c r="BH938" s="31"/>
      <c r="BI938" s="31"/>
      <c r="BJ938" s="31"/>
      <c r="BK938" s="31"/>
      <c r="BL938" s="31"/>
    </row>
    <row r="939" ht="15.7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31"/>
      <c r="AQ939" s="31"/>
      <c r="AR939" s="31"/>
      <c r="AS939" s="31"/>
      <c r="AT939" s="31"/>
      <c r="AU939" s="31"/>
      <c r="AV939" s="31"/>
      <c r="AW939" s="31"/>
      <c r="AX939" s="31"/>
      <c r="AY939" s="31"/>
      <c r="AZ939" s="31"/>
      <c r="BA939" s="31"/>
      <c r="BB939" s="31"/>
      <c r="BC939" s="31"/>
      <c r="BD939" s="31"/>
      <c r="BE939" s="31"/>
      <c r="BF939" s="31"/>
      <c r="BG939" s="31"/>
      <c r="BH939" s="31"/>
      <c r="BI939" s="31"/>
      <c r="BJ939" s="31"/>
      <c r="BK939" s="31"/>
      <c r="BL939" s="31"/>
    </row>
    <row r="940" ht="15.7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31"/>
      <c r="AQ940" s="31"/>
      <c r="AR940" s="31"/>
      <c r="AS940" s="31"/>
      <c r="AT940" s="31"/>
      <c r="AU940" s="31"/>
      <c r="AV940" s="31"/>
      <c r="AW940" s="31"/>
      <c r="AX940" s="31"/>
      <c r="AY940" s="31"/>
      <c r="AZ940" s="31"/>
      <c r="BA940" s="31"/>
      <c r="BB940" s="31"/>
      <c r="BC940" s="31"/>
      <c r="BD940" s="31"/>
      <c r="BE940" s="31"/>
      <c r="BF940" s="31"/>
      <c r="BG940" s="31"/>
      <c r="BH940" s="31"/>
      <c r="BI940" s="31"/>
      <c r="BJ940" s="31"/>
      <c r="BK940" s="31"/>
      <c r="BL940" s="31"/>
    </row>
    <row r="941" ht="15.7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31"/>
      <c r="AQ941" s="31"/>
      <c r="AR941" s="31"/>
      <c r="AS941" s="31"/>
      <c r="AT941" s="31"/>
      <c r="AU941" s="31"/>
      <c r="AV941" s="31"/>
      <c r="AW941" s="31"/>
      <c r="AX941" s="31"/>
      <c r="AY941" s="31"/>
      <c r="AZ941" s="31"/>
      <c r="BA941" s="31"/>
      <c r="BB941" s="31"/>
      <c r="BC941" s="31"/>
      <c r="BD941" s="31"/>
      <c r="BE941" s="31"/>
      <c r="BF941" s="31"/>
      <c r="BG941" s="31"/>
      <c r="BH941" s="31"/>
      <c r="BI941" s="31"/>
      <c r="BJ941" s="31"/>
      <c r="BK941" s="31"/>
      <c r="BL941" s="31"/>
    </row>
    <row r="942" ht="15.7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31"/>
      <c r="AQ942" s="31"/>
      <c r="AR942" s="31"/>
      <c r="AS942" s="31"/>
      <c r="AT942" s="31"/>
      <c r="AU942" s="31"/>
      <c r="AV942" s="31"/>
      <c r="AW942" s="31"/>
      <c r="AX942" s="31"/>
      <c r="AY942" s="31"/>
      <c r="AZ942" s="31"/>
      <c r="BA942" s="31"/>
      <c r="BB942" s="31"/>
      <c r="BC942" s="31"/>
      <c r="BD942" s="31"/>
      <c r="BE942" s="31"/>
      <c r="BF942" s="31"/>
      <c r="BG942" s="31"/>
      <c r="BH942" s="31"/>
      <c r="BI942" s="31"/>
      <c r="BJ942" s="31"/>
      <c r="BK942" s="31"/>
      <c r="BL942" s="31"/>
    </row>
    <row r="943" ht="15.7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31"/>
      <c r="AQ943" s="31"/>
      <c r="AR943" s="31"/>
      <c r="AS943" s="31"/>
      <c r="AT943" s="31"/>
      <c r="AU943" s="31"/>
      <c r="AV943" s="31"/>
      <c r="AW943" s="31"/>
      <c r="AX943" s="31"/>
      <c r="AY943" s="31"/>
      <c r="AZ943" s="31"/>
      <c r="BA943" s="31"/>
      <c r="BB943" s="31"/>
      <c r="BC943" s="31"/>
      <c r="BD943" s="31"/>
      <c r="BE943" s="31"/>
      <c r="BF943" s="31"/>
      <c r="BG943" s="31"/>
      <c r="BH943" s="31"/>
      <c r="BI943" s="31"/>
      <c r="BJ943" s="31"/>
      <c r="BK943" s="31"/>
      <c r="BL943" s="31"/>
    </row>
    <row r="944" ht="15.7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31"/>
      <c r="AQ944" s="31"/>
      <c r="AR944" s="31"/>
      <c r="AS944" s="31"/>
      <c r="AT944" s="31"/>
      <c r="AU944" s="31"/>
      <c r="AV944" s="31"/>
      <c r="AW944" s="31"/>
      <c r="AX944" s="31"/>
      <c r="AY944" s="31"/>
      <c r="AZ944" s="31"/>
      <c r="BA944" s="31"/>
      <c r="BB944" s="31"/>
      <c r="BC944" s="31"/>
      <c r="BD944" s="31"/>
      <c r="BE944" s="31"/>
      <c r="BF944" s="31"/>
      <c r="BG944" s="31"/>
      <c r="BH944" s="31"/>
      <c r="BI944" s="31"/>
      <c r="BJ944" s="31"/>
      <c r="BK944" s="31"/>
      <c r="BL944" s="31"/>
    </row>
    <row r="945" ht="15.7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31"/>
      <c r="AQ945" s="31"/>
      <c r="AR945" s="31"/>
      <c r="AS945" s="31"/>
      <c r="AT945" s="31"/>
      <c r="AU945" s="31"/>
      <c r="AV945" s="31"/>
      <c r="AW945" s="31"/>
      <c r="AX945" s="31"/>
      <c r="AY945" s="31"/>
      <c r="AZ945" s="31"/>
      <c r="BA945" s="31"/>
      <c r="BB945" s="31"/>
      <c r="BC945" s="31"/>
      <c r="BD945" s="31"/>
      <c r="BE945" s="31"/>
      <c r="BF945" s="31"/>
      <c r="BG945" s="31"/>
      <c r="BH945" s="31"/>
      <c r="BI945" s="31"/>
      <c r="BJ945" s="31"/>
      <c r="BK945" s="31"/>
      <c r="BL945" s="31"/>
    </row>
    <row r="946" ht="15.7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31"/>
      <c r="AQ946" s="31"/>
      <c r="AR946" s="31"/>
      <c r="AS946" s="31"/>
      <c r="AT946" s="31"/>
      <c r="AU946" s="31"/>
      <c r="AV946" s="31"/>
      <c r="AW946" s="31"/>
      <c r="AX946" s="31"/>
      <c r="AY946" s="31"/>
      <c r="AZ946" s="31"/>
      <c r="BA946" s="31"/>
      <c r="BB946" s="31"/>
      <c r="BC946" s="31"/>
      <c r="BD946" s="31"/>
      <c r="BE946" s="31"/>
      <c r="BF946" s="31"/>
      <c r="BG946" s="31"/>
      <c r="BH946" s="31"/>
      <c r="BI946" s="31"/>
      <c r="BJ946" s="31"/>
      <c r="BK946" s="31"/>
      <c r="BL946" s="31"/>
    </row>
    <row r="947" ht="15.7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31"/>
      <c r="AQ947" s="31"/>
      <c r="AR947" s="31"/>
      <c r="AS947" s="31"/>
      <c r="AT947" s="31"/>
      <c r="AU947" s="31"/>
      <c r="AV947" s="31"/>
      <c r="AW947" s="31"/>
      <c r="AX947" s="31"/>
      <c r="AY947" s="31"/>
      <c r="AZ947" s="31"/>
      <c r="BA947" s="31"/>
      <c r="BB947" s="31"/>
      <c r="BC947" s="31"/>
      <c r="BD947" s="31"/>
      <c r="BE947" s="31"/>
      <c r="BF947" s="31"/>
      <c r="BG947" s="31"/>
      <c r="BH947" s="31"/>
      <c r="BI947" s="31"/>
      <c r="BJ947" s="31"/>
      <c r="BK947" s="31"/>
      <c r="BL947" s="31"/>
    </row>
    <row r="948" ht="15.7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31"/>
      <c r="AQ948" s="31"/>
      <c r="AR948" s="31"/>
      <c r="AS948" s="31"/>
      <c r="AT948" s="31"/>
      <c r="AU948" s="31"/>
      <c r="AV948" s="31"/>
      <c r="AW948" s="31"/>
      <c r="AX948" s="31"/>
      <c r="AY948" s="31"/>
      <c r="AZ948" s="31"/>
      <c r="BA948" s="31"/>
      <c r="BB948" s="31"/>
      <c r="BC948" s="31"/>
      <c r="BD948" s="31"/>
      <c r="BE948" s="31"/>
      <c r="BF948" s="31"/>
      <c r="BG948" s="31"/>
      <c r="BH948" s="31"/>
      <c r="BI948" s="31"/>
      <c r="BJ948" s="31"/>
      <c r="BK948" s="31"/>
      <c r="BL948" s="31"/>
    </row>
    <row r="949" ht="15.7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31"/>
      <c r="AQ949" s="31"/>
      <c r="AR949" s="31"/>
      <c r="AS949" s="31"/>
      <c r="AT949" s="31"/>
      <c r="AU949" s="31"/>
      <c r="AV949" s="31"/>
      <c r="AW949" s="31"/>
      <c r="AX949" s="31"/>
      <c r="AY949" s="31"/>
      <c r="AZ949" s="31"/>
      <c r="BA949" s="31"/>
      <c r="BB949" s="31"/>
      <c r="BC949" s="31"/>
      <c r="BD949" s="31"/>
      <c r="BE949" s="31"/>
      <c r="BF949" s="31"/>
      <c r="BG949" s="31"/>
      <c r="BH949" s="31"/>
      <c r="BI949" s="31"/>
      <c r="BJ949" s="31"/>
      <c r="BK949" s="31"/>
      <c r="BL949" s="31"/>
    </row>
    <row r="950" ht="15.7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31"/>
      <c r="AQ950" s="31"/>
      <c r="AR950" s="31"/>
      <c r="AS950" s="31"/>
      <c r="AT950" s="31"/>
      <c r="AU950" s="31"/>
      <c r="AV950" s="31"/>
      <c r="AW950" s="31"/>
      <c r="AX950" s="31"/>
      <c r="AY950" s="31"/>
      <c r="AZ950" s="31"/>
      <c r="BA950" s="31"/>
      <c r="BB950" s="31"/>
      <c r="BC950" s="31"/>
      <c r="BD950" s="31"/>
      <c r="BE950" s="31"/>
      <c r="BF950" s="31"/>
      <c r="BG950" s="31"/>
      <c r="BH950" s="31"/>
      <c r="BI950" s="31"/>
      <c r="BJ950" s="31"/>
      <c r="BK950" s="31"/>
      <c r="BL950" s="31"/>
    </row>
    <row r="951" ht="15.7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31"/>
      <c r="AQ951" s="31"/>
      <c r="AR951" s="31"/>
      <c r="AS951" s="31"/>
      <c r="AT951" s="31"/>
      <c r="AU951" s="31"/>
      <c r="AV951" s="31"/>
      <c r="AW951" s="31"/>
      <c r="AX951" s="31"/>
      <c r="AY951" s="31"/>
      <c r="AZ951" s="31"/>
      <c r="BA951" s="31"/>
      <c r="BB951" s="31"/>
      <c r="BC951" s="31"/>
      <c r="BD951" s="31"/>
      <c r="BE951" s="31"/>
      <c r="BF951" s="31"/>
      <c r="BG951" s="31"/>
      <c r="BH951" s="31"/>
      <c r="BI951" s="31"/>
      <c r="BJ951" s="31"/>
      <c r="BK951" s="31"/>
      <c r="BL951" s="31"/>
    </row>
    <row r="952" ht="15.7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31"/>
      <c r="AQ952" s="31"/>
      <c r="AR952" s="31"/>
      <c r="AS952" s="31"/>
      <c r="AT952" s="31"/>
      <c r="AU952" s="31"/>
      <c r="AV952" s="31"/>
      <c r="AW952" s="31"/>
      <c r="AX952" s="31"/>
      <c r="AY952" s="31"/>
      <c r="AZ952" s="31"/>
      <c r="BA952" s="31"/>
      <c r="BB952" s="31"/>
      <c r="BC952" s="31"/>
      <c r="BD952" s="31"/>
      <c r="BE952" s="31"/>
      <c r="BF952" s="31"/>
      <c r="BG952" s="31"/>
      <c r="BH952" s="31"/>
      <c r="BI952" s="31"/>
      <c r="BJ952" s="31"/>
      <c r="BK952" s="31"/>
      <c r="BL952" s="31"/>
    </row>
    <row r="953" ht="15.7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31"/>
      <c r="AQ953" s="31"/>
      <c r="AR953" s="31"/>
      <c r="AS953" s="31"/>
      <c r="AT953" s="31"/>
      <c r="AU953" s="31"/>
      <c r="AV953" s="31"/>
      <c r="AW953" s="31"/>
      <c r="AX953" s="31"/>
      <c r="AY953" s="31"/>
      <c r="AZ953" s="31"/>
      <c r="BA953" s="31"/>
      <c r="BB953" s="31"/>
      <c r="BC953" s="31"/>
      <c r="BD953" s="31"/>
      <c r="BE953" s="31"/>
      <c r="BF953" s="31"/>
      <c r="BG953" s="31"/>
      <c r="BH953" s="31"/>
      <c r="BI953" s="31"/>
      <c r="BJ953" s="31"/>
      <c r="BK953" s="31"/>
      <c r="BL953" s="31"/>
    </row>
    <row r="954" ht="15.7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31"/>
      <c r="AQ954" s="31"/>
      <c r="AR954" s="31"/>
      <c r="AS954" s="31"/>
      <c r="AT954" s="31"/>
      <c r="AU954" s="31"/>
      <c r="AV954" s="31"/>
      <c r="AW954" s="31"/>
      <c r="AX954" s="31"/>
      <c r="AY954" s="31"/>
      <c r="AZ954" s="31"/>
      <c r="BA954" s="31"/>
      <c r="BB954" s="31"/>
      <c r="BC954" s="31"/>
      <c r="BD954" s="31"/>
      <c r="BE954" s="31"/>
      <c r="BF954" s="31"/>
      <c r="BG954" s="31"/>
      <c r="BH954" s="31"/>
      <c r="BI954" s="31"/>
      <c r="BJ954" s="31"/>
      <c r="BK954" s="31"/>
      <c r="BL954" s="31"/>
    </row>
    <row r="955" ht="15.7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31"/>
      <c r="AQ955" s="31"/>
      <c r="AR955" s="31"/>
      <c r="AS955" s="31"/>
      <c r="AT955" s="31"/>
      <c r="AU955" s="31"/>
      <c r="AV955" s="31"/>
      <c r="AW955" s="31"/>
      <c r="AX955" s="31"/>
      <c r="AY955" s="31"/>
      <c r="AZ955" s="31"/>
      <c r="BA955" s="31"/>
      <c r="BB955" s="31"/>
      <c r="BC955" s="31"/>
      <c r="BD955" s="31"/>
      <c r="BE955" s="31"/>
      <c r="BF955" s="31"/>
      <c r="BG955" s="31"/>
      <c r="BH955" s="31"/>
      <c r="BI955" s="31"/>
      <c r="BJ955" s="31"/>
      <c r="BK955" s="31"/>
      <c r="BL955" s="31"/>
    </row>
    <row r="956" ht="15.7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31"/>
      <c r="AQ956" s="31"/>
      <c r="AR956" s="31"/>
      <c r="AS956" s="31"/>
      <c r="AT956" s="31"/>
      <c r="AU956" s="31"/>
      <c r="AV956" s="31"/>
      <c r="AW956" s="31"/>
      <c r="AX956" s="31"/>
      <c r="AY956" s="31"/>
      <c r="AZ956" s="31"/>
      <c r="BA956" s="31"/>
      <c r="BB956" s="31"/>
      <c r="BC956" s="31"/>
      <c r="BD956" s="31"/>
      <c r="BE956" s="31"/>
      <c r="BF956" s="31"/>
      <c r="BG956" s="31"/>
      <c r="BH956" s="31"/>
      <c r="BI956" s="31"/>
      <c r="BJ956" s="31"/>
      <c r="BK956" s="31"/>
      <c r="BL956" s="31"/>
    </row>
    <row r="957" ht="15.7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31"/>
      <c r="AQ957" s="31"/>
      <c r="AR957" s="31"/>
      <c r="AS957" s="31"/>
      <c r="AT957" s="31"/>
      <c r="AU957" s="31"/>
      <c r="AV957" s="31"/>
      <c r="AW957" s="31"/>
      <c r="AX957" s="31"/>
      <c r="AY957" s="31"/>
      <c r="AZ957" s="31"/>
      <c r="BA957" s="31"/>
      <c r="BB957" s="31"/>
      <c r="BC957" s="31"/>
      <c r="BD957" s="31"/>
      <c r="BE957" s="31"/>
      <c r="BF957" s="31"/>
      <c r="BG957" s="31"/>
      <c r="BH957" s="31"/>
      <c r="BI957" s="31"/>
      <c r="BJ957" s="31"/>
      <c r="BK957" s="31"/>
      <c r="BL957" s="31"/>
    </row>
    <row r="958" ht="15.7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31"/>
      <c r="AQ958" s="31"/>
      <c r="AR958" s="31"/>
      <c r="AS958" s="31"/>
      <c r="AT958" s="31"/>
      <c r="AU958" s="31"/>
      <c r="AV958" s="31"/>
      <c r="AW958" s="31"/>
      <c r="AX958" s="31"/>
      <c r="AY958" s="31"/>
      <c r="AZ958" s="31"/>
      <c r="BA958" s="31"/>
      <c r="BB958" s="31"/>
      <c r="BC958" s="31"/>
      <c r="BD958" s="31"/>
      <c r="BE958" s="31"/>
      <c r="BF958" s="31"/>
      <c r="BG958" s="31"/>
      <c r="BH958" s="31"/>
      <c r="BI958" s="31"/>
      <c r="BJ958" s="31"/>
      <c r="BK958" s="31"/>
      <c r="BL958" s="31"/>
    </row>
    <row r="959" ht="15.7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31"/>
      <c r="AQ959" s="31"/>
      <c r="AR959" s="31"/>
      <c r="AS959" s="31"/>
      <c r="AT959" s="31"/>
      <c r="AU959" s="31"/>
      <c r="AV959" s="31"/>
      <c r="AW959" s="31"/>
      <c r="AX959" s="31"/>
      <c r="AY959" s="31"/>
      <c r="AZ959" s="31"/>
      <c r="BA959" s="31"/>
      <c r="BB959" s="31"/>
      <c r="BC959" s="31"/>
      <c r="BD959" s="31"/>
      <c r="BE959" s="31"/>
      <c r="BF959" s="31"/>
      <c r="BG959" s="31"/>
      <c r="BH959" s="31"/>
      <c r="BI959" s="31"/>
      <c r="BJ959" s="31"/>
      <c r="BK959" s="31"/>
      <c r="BL959" s="31"/>
    </row>
    <row r="960" ht="15.7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31"/>
      <c r="AQ960" s="31"/>
      <c r="AR960" s="31"/>
      <c r="AS960" s="31"/>
      <c r="AT960" s="31"/>
      <c r="AU960" s="31"/>
      <c r="AV960" s="31"/>
      <c r="AW960" s="31"/>
      <c r="AX960" s="31"/>
      <c r="AY960" s="31"/>
      <c r="AZ960" s="31"/>
      <c r="BA960" s="31"/>
      <c r="BB960" s="31"/>
      <c r="BC960" s="31"/>
      <c r="BD960" s="31"/>
      <c r="BE960" s="31"/>
      <c r="BF960" s="31"/>
      <c r="BG960" s="31"/>
      <c r="BH960" s="31"/>
      <c r="BI960" s="31"/>
      <c r="BJ960" s="31"/>
      <c r="BK960" s="31"/>
      <c r="BL960" s="31"/>
    </row>
    <row r="961" ht="15.7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31"/>
      <c r="AQ961" s="31"/>
      <c r="AR961" s="31"/>
      <c r="AS961" s="31"/>
      <c r="AT961" s="31"/>
      <c r="AU961" s="31"/>
      <c r="AV961" s="31"/>
      <c r="AW961" s="31"/>
      <c r="AX961" s="31"/>
      <c r="AY961" s="31"/>
      <c r="AZ961" s="31"/>
      <c r="BA961" s="31"/>
      <c r="BB961" s="31"/>
      <c r="BC961" s="31"/>
      <c r="BD961" s="31"/>
      <c r="BE961" s="31"/>
      <c r="BF961" s="31"/>
      <c r="BG961" s="31"/>
      <c r="BH961" s="31"/>
      <c r="BI961" s="31"/>
      <c r="BJ961" s="31"/>
      <c r="BK961" s="31"/>
      <c r="BL961" s="31"/>
    </row>
    <row r="962" ht="15.7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31"/>
      <c r="AQ962" s="31"/>
      <c r="AR962" s="31"/>
      <c r="AS962" s="31"/>
      <c r="AT962" s="31"/>
      <c r="AU962" s="31"/>
      <c r="AV962" s="31"/>
      <c r="AW962" s="31"/>
      <c r="AX962" s="31"/>
      <c r="AY962" s="31"/>
      <c r="AZ962" s="31"/>
      <c r="BA962" s="31"/>
      <c r="BB962" s="31"/>
      <c r="BC962" s="31"/>
      <c r="BD962" s="31"/>
      <c r="BE962" s="31"/>
      <c r="BF962" s="31"/>
      <c r="BG962" s="31"/>
      <c r="BH962" s="31"/>
      <c r="BI962" s="31"/>
      <c r="BJ962" s="31"/>
      <c r="BK962" s="31"/>
      <c r="BL962" s="31"/>
    </row>
    <row r="963" ht="15.7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31"/>
      <c r="AQ963" s="31"/>
      <c r="AR963" s="31"/>
      <c r="AS963" s="31"/>
      <c r="AT963" s="31"/>
      <c r="AU963" s="31"/>
      <c r="AV963" s="31"/>
      <c r="AW963" s="31"/>
      <c r="AX963" s="31"/>
      <c r="AY963" s="31"/>
      <c r="AZ963" s="31"/>
      <c r="BA963" s="31"/>
      <c r="BB963" s="31"/>
      <c r="BC963" s="31"/>
      <c r="BD963" s="31"/>
      <c r="BE963" s="31"/>
      <c r="BF963" s="31"/>
      <c r="BG963" s="31"/>
      <c r="BH963" s="31"/>
      <c r="BI963" s="31"/>
      <c r="BJ963" s="31"/>
      <c r="BK963" s="31"/>
      <c r="BL963" s="31"/>
    </row>
    <row r="964" ht="15.7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31"/>
      <c r="AQ964" s="31"/>
      <c r="AR964" s="31"/>
      <c r="AS964" s="31"/>
      <c r="AT964" s="31"/>
      <c r="AU964" s="31"/>
      <c r="AV964" s="31"/>
      <c r="AW964" s="31"/>
      <c r="AX964" s="31"/>
      <c r="AY964" s="31"/>
      <c r="AZ964" s="31"/>
      <c r="BA964" s="31"/>
      <c r="BB964" s="31"/>
      <c r="BC964" s="31"/>
      <c r="BD964" s="31"/>
      <c r="BE964" s="31"/>
      <c r="BF964" s="31"/>
      <c r="BG964" s="31"/>
      <c r="BH964" s="31"/>
      <c r="BI964" s="31"/>
      <c r="BJ964" s="31"/>
      <c r="BK964" s="31"/>
      <c r="BL964" s="31"/>
    </row>
    <row r="965" ht="15.7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31"/>
      <c r="AQ965" s="31"/>
      <c r="AR965" s="31"/>
      <c r="AS965" s="31"/>
      <c r="AT965" s="31"/>
      <c r="AU965" s="31"/>
      <c r="AV965" s="31"/>
      <c r="AW965" s="31"/>
      <c r="AX965" s="31"/>
      <c r="AY965" s="31"/>
      <c r="AZ965" s="31"/>
      <c r="BA965" s="31"/>
      <c r="BB965" s="31"/>
      <c r="BC965" s="31"/>
      <c r="BD965" s="31"/>
      <c r="BE965" s="31"/>
      <c r="BF965" s="31"/>
      <c r="BG965" s="31"/>
      <c r="BH965" s="31"/>
      <c r="BI965" s="31"/>
      <c r="BJ965" s="31"/>
      <c r="BK965" s="31"/>
      <c r="BL965" s="31"/>
    </row>
    <row r="966" ht="15.7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31"/>
      <c r="AQ966" s="31"/>
      <c r="AR966" s="31"/>
      <c r="AS966" s="31"/>
      <c r="AT966" s="31"/>
      <c r="AU966" s="31"/>
      <c r="AV966" s="31"/>
      <c r="AW966" s="31"/>
      <c r="AX966" s="31"/>
      <c r="AY966" s="31"/>
      <c r="AZ966" s="31"/>
      <c r="BA966" s="31"/>
      <c r="BB966" s="31"/>
      <c r="BC966" s="31"/>
      <c r="BD966" s="31"/>
      <c r="BE966" s="31"/>
      <c r="BF966" s="31"/>
      <c r="BG966" s="31"/>
      <c r="BH966" s="31"/>
      <c r="BI966" s="31"/>
      <c r="BJ966" s="31"/>
      <c r="BK966" s="31"/>
      <c r="BL966" s="31"/>
    </row>
    <row r="967" ht="15.7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31"/>
      <c r="AQ967" s="31"/>
      <c r="AR967" s="31"/>
      <c r="AS967" s="31"/>
      <c r="AT967" s="31"/>
      <c r="AU967" s="31"/>
      <c r="AV967" s="31"/>
      <c r="AW967" s="31"/>
      <c r="AX967" s="31"/>
      <c r="AY967" s="31"/>
      <c r="AZ967" s="31"/>
      <c r="BA967" s="31"/>
      <c r="BB967" s="31"/>
      <c r="BC967" s="31"/>
      <c r="BD967" s="31"/>
      <c r="BE967" s="31"/>
      <c r="BF967" s="31"/>
      <c r="BG967" s="31"/>
      <c r="BH967" s="31"/>
      <c r="BI967" s="31"/>
      <c r="BJ967" s="31"/>
      <c r="BK967" s="31"/>
      <c r="BL967" s="31"/>
    </row>
    <row r="968" ht="15.7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31"/>
      <c r="AQ968" s="31"/>
      <c r="AR968" s="31"/>
      <c r="AS968" s="31"/>
      <c r="AT968" s="31"/>
      <c r="AU968" s="31"/>
      <c r="AV968" s="31"/>
      <c r="AW968" s="31"/>
      <c r="AX968" s="31"/>
      <c r="AY968" s="31"/>
      <c r="AZ968" s="31"/>
      <c r="BA968" s="31"/>
      <c r="BB968" s="31"/>
      <c r="BC968" s="31"/>
      <c r="BD968" s="31"/>
      <c r="BE968" s="31"/>
      <c r="BF968" s="31"/>
      <c r="BG968" s="31"/>
      <c r="BH968" s="31"/>
      <c r="BI968" s="31"/>
      <c r="BJ968" s="31"/>
      <c r="BK968" s="31"/>
      <c r="BL968" s="31"/>
    </row>
    <row r="969" ht="15.7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31"/>
      <c r="AQ969" s="31"/>
      <c r="AR969" s="31"/>
      <c r="AS969" s="31"/>
      <c r="AT969" s="31"/>
      <c r="AU969" s="31"/>
      <c r="AV969" s="31"/>
      <c r="AW969" s="31"/>
      <c r="AX969" s="31"/>
      <c r="AY969" s="31"/>
      <c r="AZ969" s="31"/>
      <c r="BA969" s="31"/>
      <c r="BB969" s="31"/>
      <c r="BC969" s="31"/>
      <c r="BD969" s="31"/>
      <c r="BE969" s="31"/>
      <c r="BF969" s="31"/>
      <c r="BG969" s="31"/>
      <c r="BH969" s="31"/>
      <c r="BI969" s="31"/>
      <c r="BJ969" s="31"/>
      <c r="BK969" s="31"/>
      <c r="BL969" s="31"/>
    </row>
    <row r="970" ht="15.7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31"/>
      <c r="AQ970" s="31"/>
      <c r="AR970" s="31"/>
      <c r="AS970" s="31"/>
      <c r="AT970" s="31"/>
      <c r="AU970" s="31"/>
      <c r="AV970" s="31"/>
      <c r="AW970" s="31"/>
      <c r="AX970" s="31"/>
      <c r="AY970" s="31"/>
      <c r="AZ970" s="31"/>
      <c r="BA970" s="31"/>
      <c r="BB970" s="31"/>
      <c r="BC970" s="31"/>
      <c r="BD970" s="31"/>
      <c r="BE970" s="31"/>
      <c r="BF970" s="31"/>
      <c r="BG970" s="31"/>
      <c r="BH970" s="31"/>
      <c r="BI970" s="31"/>
      <c r="BJ970" s="31"/>
      <c r="BK970" s="31"/>
      <c r="BL970" s="31"/>
    </row>
    <row r="971" ht="15.7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31"/>
      <c r="AQ971" s="31"/>
      <c r="AR971" s="31"/>
      <c r="AS971" s="31"/>
      <c r="AT971" s="31"/>
      <c r="AU971" s="31"/>
      <c r="AV971" s="31"/>
      <c r="AW971" s="31"/>
      <c r="AX971" s="31"/>
      <c r="AY971" s="31"/>
      <c r="AZ971" s="31"/>
      <c r="BA971" s="31"/>
      <c r="BB971" s="31"/>
      <c r="BC971" s="31"/>
      <c r="BD971" s="31"/>
      <c r="BE971" s="31"/>
      <c r="BF971" s="31"/>
      <c r="BG971" s="31"/>
      <c r="BH971" s="31"/>
      <c r="BI971" s="31"/>
      <c r="BJ971" s="31"/>
      <c r="BK971" s="31"/>
      <c r="BL971" s="31"/>
    </row>
    <row r="972" ht="15.7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31"/>
      <c r="AQ972" s="31"/>
      <c r="AR972" s="31"/>
      <c r="AS972" s="31"/>
      <c r="AT972" s="31"/>
      <c r="AU972" s="31"/>
      <c r="AV972" s="31"/>
      <c r="AW972" s="31"/>
      <c r="AX972" s="31"/>
      <c r="AY972" s="31"/>
      <c r="AZ972" s="31"/>
      <c r="BA972" s="31"/>
      <c r="BB972" s="31"/>
      <c r="BC972" s="31"/>
      <c r="BD972" s="31"/>
      <c r="BE972" s="31"/>
      <c r="BF972" s="31"/>
      <c r="BG972" s="31"/>
      <c r="BH972" s="31"/>
      <c r="BI972" s="31"/>
      <c r="BJ972" s="31"/>
      <c r="BK972" s="31"/>
      <c r="BL972" s="31"/>
    </row>
    <row r="973" ht="15.7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31"/>
      <c r="AQ973" s="31"/>
      <c r="AR973" s="31"/>
      <c r="AS973" s="31"/>
      <c r="AT973" s="31"/>
      <c r="AU973" s="31"/>
      <c r="AV973" s="31"/>
      <c r="AW973" s="31"/>
      <c r="AX973" s="31"/>
      <c r="AY973" s="31"/>
      <c r="AZ973" s="31"/>
      <c r="BA973" s="31"/>
      <c r="BB973" s="31"/>
      <c r="BC973" s="31"/>
      <c r="BD973" s="31"/>
      <c r="BE973" s="31"/>
      <c r="BF973" s="31"/>
      <c r="BG973" s="31"/>
      <c r="BH973" s="31"/>
      <c r="BI973" s="31"/>
      <c r="BJ973" s="31"/>
      <c r="BK973" s="31"/>
      <c r="BL973" s="31"/>
    </row>
    <row r="974" ht="15.7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31"/>
      <c r="AQ974" s="31"/>
      <c r="AR974" s="31"/>
      <c r="AS974" s="31"/>
      <c r="AT974" s="31"/>
      <c r="AU974" s="31"/>
      <c r="AV974" s="31"/>
      <c r="AW974" s="31"/>
      <c r="AX974" s="31"/>
      <c r="AY974" s="31"/>
      <c r="AZ974" s="31"/>
      <c r="BA974" s="31"/>
      <c r="BB974" s="31"/>
      <c r="BC974" s="31"/>
      <c r="BD974" s="31"/>
      <c r="BE974" s="31"/>
      <c r="BF974" s="31"/>
      <c r="BG974" s="31"/>
      <c r="BH974" s="31"/>
      <c r="BI974" s="31"/>
      <c r="BJ974" s="31"/>
      <c r="BK974" s="31"/>
      <c r="BL974" s="31"/>
    </row>
    <row r="975" ht="15.7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31"/>
      <c r="AQ975" s="31"/>
      <c r="AR975" s="31"/>
      <c r="AS975" s="31"/>
      <c r="AT975" s="31"/>
      <c r="AU975" s="31"/>
      <c r="AV975" s="31"/>
      <c r="AW975" s="31"/>
      <c r="AX975" s="31"/>
      <c r="AY975" s="31"/>
      <c r="AZ975" s="31"/>
      <c r="BA975" s="31"/>
      <c r="BB975" s="31"/>
      <c r="BC975" s="31"/>
      <c r="BD975" s="31"/>
      <c r="BE975" s="31"/>
      <c r="BF975" s="31"/>
      <c r="BG975" s="31"/>
      <c r="BH975" s="31"/>
      <c r="BI975" s="31"/>
      <c r="BJ975" s="31"/>
      <c r="BK975" s="31"/>
      <c r="BL975" s="31"/>
    </row>
    <row r="976" ht="15.7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31"/>
      <c r="AQ976" s="31"/>
      <c r="AR976" s="31"/>
      <c r="AS976" s="31"/>
      <c r="AT976" s="31"/>
      <c r="AU976" s="31"/>
      <c r="AV976" s="31"/>
      <c r="AW976" s="31"/>
      <c r="AX976" s="31"/>
      <c r="AY976" s="31"/>
      <c r="AZ976" s="31"/>
      <c r="BA976" s="31"/>
      <c r="BB976" s="31"/>
      <c r="BC976" s="31"/>
      <c r="BD976" s="31"/>
      <c r="BE976" s="31"/>
      <c r="BF976" s="31"/>
      <c r="BG976" s="31"/>
      <c r="BH976" s="31"/>
      <c r="BI976" s="31"/>
      <c r="BJ976" s="31"/>
      <c r="BK976" s="31"/>
      <c r="BL976" s="31"/>
    </row>
    <row r="977" ht="15.7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31"/>
      <c r="AQ977" s="31"/>
      <c r="AR977" s="31"/>
      <c r="AS977" s="31"/>
      <c r="AT977" s="31"/>
      <c r="AU977" s="31"/>
      <c r="AV977" s="31"/>
      <c r="AW977" s="31"/>
      <c r="AX977" s="31"/>
      <c r="AY977" s="31"/>
      <c r="AZ977" s="31"/>
      <c r="BA977" s="31"/>
      <c r="BB977" s="31"/>
      <c r="BC977" s="31"/>
      <c r="BD977" s="31"/>
      <c r="BE977" s="31"/>
      <c r="BF977" s="31"/>
      <c r="BG977" s="31"/>
      <c r="BH977" s="31"/>
      <c r="BI977" s="31"/>
      <c r="BJ977" s="31"/>
      <c r="BK977" s="31"/>
      <c r="BL977" s="31"/>
    </row>
    <row r="978" ht="15.7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31"/>
      <c r="AQ978" s="31"/>
      <c r="AR978" s="31"/>
      <c r="AS978" s="31"/>
      <c r="AT978" s="31"/>
      <c r="AU978" s="31"/>
      <c r="AV978" s="31"/>
      <c r="AW978" s="31"/>
      <c r="AX978" s="31"/>
      <c r="AY978" s="31"/>
      <c r="AZ978" s="31"/>
      <c r="BA978" s="31"/>
      <c r="BB978" s="31"/>
      <c r="BC978" s="31"/>
      <c r="BD978" s="31"/>
      <c r="BE978" s="31"/>
      <c r="BF978" s="31"/>
      <c r="BG978" s="31"/>
      <c r="BH978" s="31"/>
      <c r="BI978" s="31"/>
      <c r="BJ978" s="31"/>
      <c r="BK978" s="31"/>
      <c r="BL978" s="31"/>
    </row>
    <row r="979" ht="15.7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31"/>
      <c r="AQ979" s="31"/>
      <c r="AR979" s="31"/>
      <c r="AS979" s="31"/>
      <c r="AT979" s="31"/>
      <c r="AU979" s="31"/>
      <c r="AV979" s="31"/>
      <c r="AW979" s="31"/>
      <c r="AX979" s="31"/>
      <c r="AY979" s="31"/>
      <c r="AZ979" s="31"/>
      <c r="BA979" s="31"/>
      <c r="BB979" s="31"/>
      <c r="BC979" s="31"/>
      <c r="BD979" s="31"/>
      <c r="BE979" s="31"/>
      <c r="BF979" s="31"/>
      <c r="BG979" s="31"/>
      <c r="BH979" s="31"/>
      <c r="BI979" s="31"/>
      <c r="BJ979" s="31"/>
      <c r="BK979" s="31"/>
      <c r="BL979" s="31"/>
    </row>
    <row r="980" ht="15.7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31"/>
      <c r="AQ980" s="31"/>
      <c r="AR980" s="31"/>
      <c r="AS980" s="31"/>
      <c r="AT980" s="31"/>
      <c r="AU980" s="31"/>
      <c r="AV980" s="31"/>
      <c r="AW980" s="31"/>
      <c r="AX980" s="31"/>
      <c r="AY980" s="31"/>
      <c r="AZ980" s="31"/>
      <c r="BA980" s="31"/>
      <c r="BB980" s="31"/>
      <c r="BC980" s="31"/>
      <c r="BD980" s="31"/>
      <c r="BE980" s="31"/>
      <c r="BF980" s="31"/>
      <c r="BG980" s="31"/>
      <c r="BH980" s="31"/>
      <c r="BI980" s="31"/>
      <c r="BJ980" s="31"/>
      <c r="BK980" s="31"/>
      <c r="BL980" s="31"/>
    </row>
    <row r="981" ht="15.7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31"/>
      <c r="AQ981" s="31"/>
      <c r="AR981" s="31"/>
      <c r="AS981" s="31"/>
      <c r="AT981" s="31"/>
      <c r="AU981" s="31"/>
      <c r="AV981" s="31"/>
      <c r="AW981" s="31"/>
      <c r="AX981" s="31"/>
      <c r="AY981" s="31"/>
      <c r="AZ981" s="31"/>
      <c r="BA981" s="31"/>
      <c r="BB981" s="31"/>
      <c r="BC981" s="31"/>
      <c r="BD981" s="31"/>
      <c r="BE981" s="31"/>
      <c r="BF981" s="31"/>
      <c r="BG981" s="31"/>
      <c r="BH981" s="31"/>
      <c r="BI981" s="31"/>
      <c r="BJ981" s="31"/>
      <c r="BK981" s="31"/>
      <c r="BL981" s="31"/>
    </row>
    <row r="982" ht="15.7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31"/>
      <c r="AQ982" s="31"/>
      <c r="AR982" s="31"/>
      <c r="AS982" s="31"/>
      <c r="AT982" s="31"/>
      <c r="AU982" s="31"/>
      <c r="AV982" s="31"/>
      <c r="AW982" s="31"/>
      <c r="AX982" s="31"/>
      <c r="AY982" s="31"/>
      <c r="AZ982" s="31"/>
      <c r="BA982" s="31"/>
      <c r="BB982" s="31"/>
      <c r="BC982" s="31"/>
      <c r="BD982" s="31"/>
      <c r="BE982" s="31"/>
      <c r="BF982" s="31"/>
      <c r="BG982" s="31"/>
      <c r="BH982" s="31"/>
      <c r="BI982" s="31"/>
      <c r="BJ982" s="31"/>
      <c r="BK982" s="31"/>
      <c r="BL982" s="31"/>
    </row>
    <row r="983" ht="15.7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31"/>
      <c r="AQ983" s="31"/>
      <c r="AR983" s="31"/>
      <c r="AS983" s="31"/>
      <c r="AT983" s="31"/>
      <c r="AU983" s="31"/>
      <c r="AV983" s="31"/>
      <c r="AW983" s="31"/>
      <c r="AX983" s="31"/>
      <c r="AY983" s="31"/>
      <c r="AZ983" s="31"/>
      <c r="BA983" s="31"/>
      <c r="BB983" s="31"/>
      <c r="BC983" s="31"/>
      <c r="BD983" s="31"/>
      <c r="BE983" s="31"/>
      <c r="BF983" s="31"/>
      <c r="BG983" s="31"/>
      <c r="BH983" s="31"/>
      <c r="BI983" s="31"/>
      <c r="BJ983" s="31"/>
      <c r="BK983" s="31"/>
      <c r="BL983" s="31"/>
    </row>
    <row r="984" ht="15.7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31"/>
      <c r="AQ984" s="31"/>
      <c r="AR984" s="31"/>
      <c r="AS984" s="31"/>
      <c r="AT984" s="31"/>
      <c r="AU984" s="31"/>
      <c r="AV984" s="31"/>
      <c r="AW984" s="31"/>
      <c r="AX984" s="31"/>
      <c r="AY984" s="31"/>
      <c r="AZ984" s="31"/>
      <c r="BA984" s="31"/>
      <c r="BB984" s="31"/>
      <c r="BC984" s="31"/>
      <c r="BD984" s="31"/>
      <c r="BE984" s="31"/>
      <c r="BF984" s="31"/>
      <c r="BG984" s="31"/>
      <c r="BH984" s="31"/>
      <c r="BI984" s="31"/>
      <c r="BJ984" s="31"/>
      <c r="BK984" s="31"/>
      <c r="BL984" s="31"/>
    </row>
    <row r="985" ht="15.7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31"/>
      <c r="AQ985" s="31"/>
      <c r="AR985" s="31"/>
      <c r="AS985" s="31"/>
      <c r="AT985" s="31"/>
      <c r="AU985" s="31"/>
      <c r="AV985" s="31"/>
      <c r="AW985" s="31"/>
      <c r="AX985" s="31"/>
      <c r="AY985" s="31"/>
      <c r="AZ985" s="31"/>
      <c r="BA985" s="31"/>
      <c r="BB985" s="31"/>
      <c r="BC985" s="31"/>
      <c r="BD985" s="31"/>
      <c r="BE985" s="31"/>
      <c r="BF985" s="31"/>
      <c r="BG985" s="31"/>
      <c r="BH985" s="31"/>
      <c r="BI985" s="31"/>
      <c r="BJ985" s="31"/>
      <c r="BK985" s="31"/>
      <c r="BL985" s="31"/>
    </row>
    <row r="986" ht="15.7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31"/>
      <c r="AQ986" s="31"/>
      <c r="AR986" s="31"/>
      <c r="AS986" s="31"/>
      <c r="AT986" s="31"/>
      <c r="AU986" s="31"/>
      <c r="AV986" s="31"/>
      <c r="AW986" s="31"/>
      <c r="AX986" s="31"/>
      <c r="AY986" s="31"/>
      <c r="AZ986" s="31"/>
      <c r="BA986" s="31"/>
      <c r="BB986" s="31"/>
      <c r="BC986" s="31"/>
      <c r="BD986" s="31"/>
      <c r="BE986" s="31"/>
      <c r="BF986" s="31"/>
      <c r="BG986" s="31"/>
      <c r="BH986" s="31"/>
      <c r="BI986" s="31"/>
      <c r="BJ986" s="31"/>
      <c r="BK986" s="31"/>
      <c r="BL986" s="31"/>
    </row>
    <row r="987" ht="15.7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31"/>
      <c r="AQ987" s="31"/>
      <c r="AR987" s="31"/>
      <c r="AS987" s="31"/>
      <c r="AT987" s="31"/>
      <c r="AU987" s="31"/>
      <c r="AV987" s="31"/>
      <c r="AW987" s="31"/>
      <c r="AX987" s="31"/>
      <c r="AY987" s="31"/>
      <c r="AZ987" s="31"/>
      <c r="BA987" s="31"/>
      <c r="BB987" s="31"/>
      <c r="BC987" s="31"/>
      <c r="BD987" s="31"/>
      <c r="BE987" s="31"/>
      <c r="BF987" s="31"/>
      <c r="BG987" s="31"/>
      <c r="BH987" s="31"/>
      <c r="BI987" s="31"/>
      <c r="BJ987" s="31"/>
      <c r="BK987" s="31"/>
      <c r="BL987" s="31"/>
    </row>
    <row r="988" ht="15.7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31"/>
      <c r="AQ988" s="31"/>
      <c r="AR988" s="31"/>
      <c r="AS988" s="31"/>
      <c r="AT988" s="31"/>
      <c r="AU988" s="31"/>
      <c r="AV988" s="31"/>
      <c r="AW988" s="31"/>
      <c r="AX988" s="31"/>
      <c r="AY988" s="31"/>
      <c r="AZ988" s="31"/>
      <c r="BA988" s="31"/>
      <c r="BB988" s="31"/>
      <c r="BC988" s="31"/>
      <c r="BD988" s="31"/>
      <c r="BE988" s="31"/>
      <c r="BF988" s="31"/>
      <c r="BG988" s="31"/>
      <c r="BH988" s="31"/>
      <c r="BI988" s="31"/>
      <c r="BJ988" s="31"/>
      <c r="BK988" s="31"/>
      <c r="BL988" s="31"/>
    </row>
    <row r="989" ht="15.7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31"/>
      <c r="AQ989" s="31"/>
      <c r="AR989" s="31"/>
      <c r="AS989" s="31"/>
      <c r="AT989" s="31"/>
      <c r="AU989" s="31"/>
      <c r="AV989" s="31"/>
      <c r="AW989" s="31"/>
      <c r="AX989" s="31"/>
      <c r="AY989" s="31"/>
      <c r="AZ989" s="31"/>
      <c r="BA989" s="31"/>
      <c r="BB989" s="31"/>
      <c r="BC989" s="31"/>
      <c r="BD989" s="31"/>
      <c r="BE989" s="31"/>
      <c r="BF989" s="31"/>
      <c r="BG989" s="31"/>
      <c r="BH989" s="31"/>
      <c r="BI989" s="31"/>
      <c r="BJ989" s="31"/>
      <c r="BK989" s="31"/>
      <c r="BL989" s="31"/>
    </row>
    <row r="990" ht="15.7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31"/>
      <c r="AQ990" s="31"/>
      <c r="AR990" s="31"/>
      <c r="AS990" s="31"/>
      <c r="AT990" s="31"/>
      <c r="AU990" s="31"/>
      <c r="AV990" s="31"/>
      <c r="AW990" s="31"/>
      <c r="AX990" s="31"/>
      <c r="AY990" s="31"/>
      <c r="AZ990" s="31"/>
      <c r="BA990" s="31"/>
      <c r="BB990" s="31"/>
      <c r="BC990" s="31"/>
      <c r="BD990" s="31"/>
      <c r="BE990" s="31"/>
      <c r="BF990" s="31"/>
      <c r="BG990" s="31"/>
      <c r="BH990" s="31"/>
      <c r="BI990" s="31"/>
      <c r="BJ990" s="31"/>
      <c r="BK990" s="31"/>
      <c r="BL990" s="31"/>
    </row>
    <row r="991" ht="15.7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31"/>
      <c r="AQ991" s="31"/>
      <c r="AR991" s="31"/>
      <c r="AS991" s="31"/>
      <c r="AT991" s="31"/>
      <c r="AU991" s="31"/>
      <c r="AV991" s="31"/>
      <c r="AW991" s="31"/>
      <c r="AX991" s="31"/>
      <c r="AY991" s="31"/>
      <c r="AZ991" s="31"/>
      <c r="BA991" s="31"/>
      <c r="BB991" s="31"/>
      <c r="BC991" s="31"/>
      <c r="BD991" s="31"/>
      <c r="BE991" s="31"/>
      <c r="BF991" s="31"/>
      <c r="BG991" s="31"/>
      <c r="BH991" s="31"/>
      <c r="BI991" s="31"/>
      <c r="BJ991" s="31"/>
      <c r="BK991" s="31"/>
      <c r="BL991" s="31"/>
    </row>
    <row r="992" ht="15.7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31"/>
      <c r="AQ992" s="31"/>
      <c r="AR992" s="31"/>
      <c r="AS992" s="31"/>
      <c r="AT992" s="31"/>
      <c r="AU992" s="31"/>
      <c r="AV992" s="31"/>
      <c r="AW992" s="31"/>
      <c r="AX992" s="31"/>
      <c r="AY992" s="31"/>
      <c r="AZ992" s="31"/>
      <c r="BA992" s="31"/>
      <c r="BB992" s="31"/>
      <c r="BC992" s="31"/>
      <c r="BD992" s="31"/>
      <c r="BE992" s="31"/>
      <c r="BF992" s="31"/>
      <c r="BG992" s="31"/>
      <c r="BH992" s="31"/>
      <c r="BI992" s="31"/>
      <c r="BJ992" s="31"/>
      <c r="BK992" s="31"/>
      <c r="BL992" s="31"/>
    </row>
    <row r="993" ht="15.7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31"/>
      <c r="AQ993" s="31"/>
      <c r="AR993" s="31"/>
      <c r="AS993" s="31"/>
      <c r="AT993" s="31"/>
      <c r="AU993" s="31"/>
      <c r="AV993" s="31"/>
      <c r="AW993" s="31"/>
      <c r="AX993" s="31"/>
      <c r="AY993" s="31"/>
      <c r="AZ993" s="31"/>
      <c r="BA993" s="31"/>
      <c r="BB993" s="31"/>
      <c r="BC993" s="31"/>
      <c r="BD993" s="31"/>
      <c r="BE993" s="31"/>
      <c r="BF993" s="31"/>
      <c r="BG993" s="31"/>
      <c r="BH993" s="31"/>
      <c r="BI993" s="31"/>
      <c r="BJ993" s="31"/>
      <c r="BK993" s="31"/>
      <c r="BL993" s="31"/>
    </row>
    <row r="994" ht="15.7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31"/>
      <c r="AQ994" s="31"/>
      <c r="AR994" s="31"/>
      <c r="AS994" s="31"/>
      <c r="AT994" s="31"/>
      <c r="AU994" s="31"/>
      <c r="AV994" s="31"/>
      <c r="AW994" s="31"/>
      <c r="AX994" s="31"/>
      <c r="AY994" s="31"/>
      <c r="AZ994" s="31"/>
      <c r="BA994" s="31"/>
      <c r="BB994" s="31"/>
      <c r="BC994" s="31"/>
      <c r="BD994" s="31"/>
      <c r="BE994" s="31"/>
      <c r="BF994" s="31"/>
      <c r="BG994" s="31"/>
      <c r="BH994" s="31"/>
      <c r="BI994" s="31"/>
      <c r="BJ994" s="31"/>
      <c r="BK994" s="31"/>
      <c r="BL994" s="31"/>
    </row>
    <row r="995" ht="15.7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31"/>
      <c r="AQ995" s="31"/>
      <c r="AR995" s="31"/>
      <c r="AS995" s="31"/>
      <c r="AT995" s="31"/>
      <c r="AU995" s="31"/>
      <c r="AV995" s="31"/>
      <c r="AW995" s="31"/>
      <c r="AX995" s="31"/>
      <c r="AY995" s="31"/>
      <c r="AZ995" s="31"/>
      <c r="BA995" s="31"/>
      <c r="BB995" s="31"/>
      <c r="BC995" s="31"/>
      <c r="BD995" s="31"/>
      <c r="BE995" s="31"/>
      <c r="BF995" s="31"/>
      <c r="BG995" s="31"/>
      <c r="BH995" s="31"/>
      <c r="BI995" s="31"/>
      <c r="BJ995" s="31"/>
      <c r="BK995" s="31"/>
      <c r="BL995" s="31"/>
    </row>
    <row r="996" ht="15.7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31"/>
      <c r="AQ996" s="31"/>
      <c r="AR996" s="31"/>
      <c r="AS996" s="31"/>
      <c r="AT996" s="31"/>
      <c r="AU996" s="31"/>
      <c r="AV996" s="31"/>
      <c r="AW996" s="31"/>
      <c r="AX996" s="31"/>
      <c r="AY996" s="31"/>
      <c r="AZ996" s="31"/>
      <c r="BA996" s="31"/>
      <c r="BB996" s="31"/>
      <c r="BC996" s="31"/>
      <c r="BD996" s="31"/>
      <c r="BE996" s="31"/>
      <c r="BF996" s="31"/>
      <c r="BG996" s="31"/>
      <c r="BH996" s="31"/>
      <c r="BI996" s="31"/>
      <c r="BJ996" s="31"/>
      <c r="BK996" s="31"/>
      <c r="BL996" s="31"/>
    </row>
    <row r="997" ht="15.7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31"/>
      <c r="AQ997" s="31"/>
      <c r="AR997" s="31"/>
      <c r="AS997" s="31"/>
      <c r="AT997" s="31"/>
      <c r="AU997" s="31"/>
      <c r="AV997" s="31"/>
      <c r="AW997" s="31"/>
      <c r="AX997" s="31"/>
      <c r="AY997" s="31"/>
      <c r="AZ997" s="31"/>
      <c r="BA997" s="31"/>
      <c r="BB997" s="31"/>
      <c r="BC997" s="31"/>
      <c r="BD997" s="31"/>
      <c r="BE997" s="31"/>
      <c r="BF997" s="31"/>
      <c r="BG997" s="31"/>
      <c r="BH997" s="31"/>
      <c r="BI997" s="31"/>
      <c r="BJ997" s="31"/>
      <c r="BK997" s="31"/>
      <c r="BL997" s="31"/>
    </row>
    <row r="998" ht="15.7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31"/>
      <c r="AQ998" s="31"/>
      <c r="AR998" s="31"/>
      <c r="AS998" s="31"/>
      <c r="AT998" s="31"/>
      <c r="AU998" s="31"/>
      <c r="AV998" s="31"/>
      <c r="AW998" s="31"/>
      <c r="AX998" s="31"/>
      <c r="AY998" s="31"/>
      <c r="AZ998" s="31"/>
      <c r="BA998" s="31"/>
      <c r="BB998" s="31"/>
      <c r="BC998" s="31"/>
      <c r="BD998" s="31"/>
      <c r="BE998" s="31"/>
      <c r="BF998" s="31"/>
      <c r="BG998" s="31"/>
      <c r="BH998" s="31"/>
      <c r="BI998" s="31"/>
      <c r="BJ998" s="31"/>
      <c r="BK998" s="31"/>
      <c r="BL998" s="31"/>
    </row>
    <row r="999" ht="15.7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31"/>
      <c r="AQ999" s="31"/>
      <c r="AR999" s="31"/>
      <c r="AS999" s="31"/>
      <c r="AT999" s="31"/>
      <c r="AU999" s="31"/>
      <c r="AV999" s="31"/>
      <c r="AW999" s="31"/>
      <c r="AX999" s="31"/>
      <c r="AY999" s="31"/>
      <c r="AZ999" s="31"/>
      <c r="BA999" s="31"/>
      <c r="BB999" s="31"/>
      <c r="BC999" s="31"/>
      <c r="BD999" s="31"/>
      <c r="BE999" s="31"/>
      <c r="BF999" s="31"/>
      <c r="BG999" s="31"/>
      <c r="BH999" s="31"/>
      <c r="BI999" s="31"/>
      <c r="BJ999" s="31"/>
      <c r="BK999" s="31"/>
      <c r="BL999" s="31"/>
    </row>
    <row r="1000" ht="15.7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31"/>
      <c r="AQ1000" s="31"/>
      <c r="AR1000" s="31"/>
      <c r="AS1000" s="31"/>
      <c r="AT1000" s="31"/>
      <c r="AU1000" s="31"/>
      <c r="AV1000" s="31"/>
      <c r="AW1000" s="31"/>
      <c r="AX1000" s="31"/>
      <c r="AY1000" s="31"/>
      <c r="AZ1000" s="31"/>
      <c r="BA1000" s="31"/>
      <c r="BB1000" s="31"/>
      <c r="BC1000" s="31"/>
      <c r="BD1000" s="31"/>
      <c r="BE1000" s="31"/>
      <c r="BF1000" s="31"/>
      <c r="BG1000" s="31"/>
      <c r="BH1000" s="31"/>
      <c r="BI1000" s="31"/>
      <c r="BJ1000" s="31"/>
      <c r="BK1000" s="31"/>
      <c r="BL1000" s="31"/>
    </row>
  </sheetData>
  <printOptions/>
  <pageMargins bottom="0.787401575" footer="0.0" header="0.0" left="0.511811024" right="0.511811024" top="0.7874015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2023-06-20T13:16:01Z</dcterms:created>
  <dc:creator>Edgard Liberali Filho</dc:creator>
</cp:coreProperties>
</file>