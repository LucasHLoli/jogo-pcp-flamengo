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00_RESUMO_3_RODADAS" sheetId="1" state="visible" r:id="rId1"/>
    <sheet name="02_R1_Detalhe" sheetId="2" state="visible" r:id="rId2"/>
    <sheet name="03_R2_Detalhe" sheetId="3" state="visible" r:id="rId3"/>
    <sheet name="04_R3_Detalhe" sheetId="4" state="visible" r:id="rId4"/>
    <sheet name="05_DRE_Acumulada" sheetId="5" state="visible" r:id="rId5"/>
    <sheet name="06_Evolucao_Estoques" sheetId="6" state="visible" r:id="rId6"/>
    <sheet name="07_Checks_Globais" sheetId="7" state="visible" r:id="rId7"/>
  </sheets>
  <definedNames/>
  <calcPr calcId="124519" fullCalcOnLoad="1"/>
</workbook>
</file>

<file path=xl/styles.xml><?xml version="1.0" encoding="utf-8"?>
<styleSheet xmlns="http://schemas.openxmlformats.org/spreadsheetml/2006/main">
  <numFmts count="2">
    <numFmt numFmtId="164" formatCode="R$ #,##0.00;[Red]-R$ #,##0.00"/>
    <numFmt numFmtId="165" formatCode="0.0%"/>
  </numFmts>
  <fonts count="4">
    <font>
      <name val="Calibri"/>
      <family val="2"/>
      <color theme="1"/>
      <sz val="11"/>
      <scheme val="minor"/>
    </font>
    <font>
      <b val="1"/>
      <color rgb="00FFFFFF"/>
      <sz val="12"/>
    </font>
    <font>
      <b val="1"/>
    </font>
    <font>
      <b val="1"/>
      <sz val="11"/>
    </font>
  </fonts>
  <fills count="7">
    <fill>
      <patternFill/>
    </fill>
    <fill>
      <patternFill patternType="gray125"/>
    </fill>
    <fill>
      <patternFill patternType="solid">
        <fgColor rgb="001F4E78"/>
      </patternFill>
    </fill>
    <fill>
      <patternFill patternType="solid">
        <fgColor rgb="00DDEBF7"/>
      </patternFill>
    </fill>
    <fill>
      <patternFill patternType="solid">
        <fgColor rgb="00C6EFCE"/>
      </patternFill>
    </fill>
    <fill>
      <patternFill patternType="solid">
        <fgColor rgb="00FFC7CE"/>
      </patternFill>
    </fill>
    <fill>
      <patternFill patternType="solid">
        <fgColor rgb="009BC2E6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pivotButton="0" quotePrefix="0" xfId="0"/>
    <xf numFmtId="0" fontId="1" fillId="2" borderId="0" applyAlignment="1" pivotButton="0" quotePrefix="0" xfId="0">
      <alignment horizontal="center"/>
    </xf>
    <xf numFmtId="0" fontId="2" fillId="3" borderId="0" applyAlignment="1" pivotButton="0" quotePrefix="0" xfId="0">
      <alignment horizontal="center" wrapText="1"/>
    </xf>
    <xf numFmtId="0" fontId="0" fillId="4" borderId="0" pivotButton="0" quotePrefix="0" xfId="0"/>
    <xf numFmtId="164" fontId="0" fillId="0" borderId="0" pivotButton="0" quotePrefix="0" xfId="0"/>
    <xf numFmtId="164" fontId="0" fillId="5" borderId="0" pivotButton="0" quotePrefix="0" xfId="0"/>
    <xf numFmtId="164" fontId="0" fillId="4" borderId="0" pivotButton="0" quotePrefix="0" xfId="0"/>
    <xf numFmtId="0" fontId="2" fillId="0" borderId="0" pivotButton="0" quotePrefix="0" xfId="0"/>
    <xf numFmtId="164" fontId="2" fillId="4" borderId="0" pivotButton="0" quotePrefix="0" xfId="0"/>
    <xf numFmtId="0" fontId="3" fillId="6" borderId="0" pivotButton="0" quotePrefix="0" xfId="0"/>
    <xf numFmtId="165" fontId="0" fillId="0" borderId="0" pivotButton="0" quotePrefix="0" xfId="0"/>
    <xf numFmtId="164" fontId="2" fillId="5" borderId="0" pivotButton="0" quotePrefix="0" xfId="0"/>
    <xf numFmtId="0" fontId="0" fillId="5" borderId="0" pivotButton="0" quotePrefix="0" xfId="0"/>
    <xf numFmtId="164" fontId="2" fillId="0" borderId="0" pivotButton="0" quotePrefix="0" xfId="0"/>
    <xf numFmtId="0" fontId="2" fillId="3" borderId="0" pivotButton="0" quotePrefix="0" xfId="0"/>
    <xf numFmtId="0" fontId="2" fillId="5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styles" Target="styles.xml" Id="rId8" /><Relationship Type="http://schemas.openxmlformats.org/officeDocument/2006/relationships/theme" Target="theme/theme1.xml" Id="rId9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G16"/>
  <sheetViews>
    <sheetView workbookViewId="0">
      <selection activeCell="A1" sqref="A1"/>
    </sheetView>
  </sheetViews>
  <sheetFormatPr baseColWidth="8" defaultRowHeight="15"/>
  <cols>
    <col width="50" customWidth="1" min="1" max="1"/>
  </cols>
  <sheetData>
    <row r="1">
      <c r="A1" s="1" t="inlineStr">
        <is>
          <t>RESUMO 3 RODADAS — R1 + R2 + R3 (sanity check consolidado)</t>
        </is>
      </c>
    </row>
    <row r="2"/>
    <row r="3">
      <c r="A3" s="2" t="inlineStr">
        <is>
          <t>Indicador</t>
        </is>
      </c>
      <c r="B3" s="2" t="inlineStr">
        <is>
          <t>R1 (Setup)</t>
        </is>
      </c>
      <c r="C3" s="2" t="inlineStr">
        <is>
          <t>R2 (real)</t>
        </is>
      </c>
      <c r="D3" s="2" t="inlineStr">
        <is>
          <t>R3 (heurística)</t>
        </is>
      </c>
      <c r="E3" s="2" t="inlineStr">
        <is>
          <t>Total</t>
        </is>
      </c>
      <c r="F3" s="2" t="inlineStr">
        <is>
          <t>Limite/Esperado</t>
        </is>
      </c>
      <c r="G3" s="2" t="inlineStr">
        <is>
          <t>Status</t>
        </is>
      </c>
    </row>
    <row r="4">
      <c r="A4" t="inlineStr">
        <is>
          <t>🚚 Transportes (cap 220/rod)</t>
        </is>
      </c>
      <c r="B4" t="n">
        <v>13</v>
      </c>
      <c r="C4" t="n">
        <v>179</v>
      </c>
      <c r="D4" t="n">
        <v>165</v>
      </c>
      <c r="E4" t="n">
        <v>357</v>
      </c>
      <c r="F4" t="inlineStr">
        <is>
          <t>≤220 por rod</t>
        </is>
      </c>
      <c r="G4" s="3" t="inlineStr">
        <is>
          <t>✅</t>
        </is>
      </c>
    </row>
    <row r="5">
      <c r="A5" t="inlineStr">
        <is>
          <t>📊 NS (% atend no dia exato)</t>
        </is>
      </c>
      <c r="B5" t="inlineStr">
        <is>
          <t>0.0% (sem OPs)</t>
        </is>
      </c>
      <c r="C5" t="inlineStr">
        <is>
          <t>0.0%</t>
        </is>
      </c>
      <c r="D5" t="inlineStr">
        <is>
          <t>100.0%</t>
        </is>
      </c>
      <c r="E5" t="inlineStr">
        <is>
          <t>—</t>
        </is>
      </c>
      <c r="F5" t="inlineStr">
        <is>
          <t>—</t>
        </is>
      </c>
      <c r="G5" s="3" t="inlineStr">
        <is>
          <t>✅</t>
        </is>
      </c>
    </row>
    <row r="6">
      <c r="A6" t="inlineStr">
        <is>
          <t>🎯 OPs atendidas / total</t>
        </is>
      </c>
      <c r="B6" t="inlineStr">
        <is>
          <t>0/0</t>
        </is>
      </c>
      <c r="C6" t="inlineStr">
        <is>
          <t>0/0</t>
        </is>
      </c>
      <c r="D6" t="inlineStr">
        <is>
          <t>25/25</t>
        </is>
      </c>
      <c r="E6" t="inlineStr">
        <is>
          <t>—</t>
        </is>
      </c>
      <c r="F6" t="inlineStr">
        <is>
          <t>—</t>
        </is>
      </c>
    </row>
    <row r="7">
      <c r="A7" t="inlineStr">
        <is>
          <t>💰 Receita</t>
        </is>
      </c>
      <c r="B7" s="4" t="n">
        <v>0</v>
      </c>
      <c r="C7" s="4" t="n">
        <v>0</v>
      </c>
      <c r="D7" s="4" t="n">
        <v>42998176</v>
      </c>
      <c r="E7" s="4" t="n">
        <v>42998176</v>
      </c>
      <c r="F7" t="inlineStr">
        <is>
          <t>—</t>
        </is>
      </c>
    </row>
    <row r="8">
      <c r="A8" t="inlineStr">
        <is>
          <t>💸 Custo total</t>
        </is>
      </c>
      <c r="B8" s="4" t="n">
        <v>5706793.10239875</v>
      </c>
      <c r="C8" s="4" t="n">
        <v>12384707.3872</v>
      </c>
      <c r="D8" s="4" t="n">
        <v>6169538.911667501</v>
      </c>
      <c r="E8" s="4" t="n">
        <v>24261039.40126625</v>
      </c>
      <c r="F8" t="inlineStr">
        <is>
          <t>—</t>
        </is>
      </c>
    </row>
    <row r="9">
      <c r="A9" t="inlineStr">
        <is>
          <t>📈 Resultado da rodada</t>
        </is>
      </c>
      <c r="B9" s="5" t="n">
        <v>-5706793.10239875</v>
      </c>
      <c r="C9" s="5" t="n">
        <v>-12384707.3872</v>
      </c>
      <c r="D9" s="6" t="n">
        <v>36828637.0883325</v>
      </c>
      <c r="E9" s="6" t="n">
        <v>18737136.59873375</v>
      </c>
      <c r="F9" t="inlineStr">
        <is>
          <t>—</t>
        </is>
      </c>
    </row>
    <row r="10">
      <c r="A10" t="inlineStr">
        <is>
          <t>⏱️ Utilização fábrica</t>
        </is>
      </c>
      <c r="B10" t="inlineStr">
        <is>
          <t>0.0%</t>
        </is>
      </c>
      <c r="C10" t="inlineStr">
        <is>
          <t>35.3%</t>
        </is>
      </c>
      <c r="D10" t="inlineStr">
        <is>
          <t>49.7%</t>
        </is>
      </c>
      <c r="E10" t="inlineStr">
        <is>
          <t>—</t>
        </is>
      </c>
      <c r="F10" t="inlineStr">
        <is>
          <t>—</t>
        </is>
      </c>
      <c r="G10" s="3" t="inlineStr">
        <is>
          <t>✅</t>
        </is>
      </c>
    </row>
    <row r="11">
      <c r="A11" t="inlineStr">
        <is>
          <t>⚙️ Ociosidade fábrica</t>
        </is>
      </c>
      <c r="B11" t="inlineStr">
        <is>
          <t>100.0%</t>
        </is>
      </c>
      <c r="C11" t="inlineStr">
        <is>
          <t>64.7%</t>
        </is>
      </c>
      <c r="D11" t="inlineStr">
        <is>
          <t>50.3%</t>
        </is>
      </c>
      <c r="E11" t="inlineStr">
        <is>
          <t>—</t>
        </is>
      </c>
      <c r="F11" t="inlineStr">
        <is>
          <t>—</t>
        </is>
      </c>
    </row>
    <row r="12">
      <c r="A12" t="inlineStr">
        <is>
          <t>📦 Estoque MP1 fim (ton)</t>
        </is>
      </c>
      <c r="B12" t="n">
        <v>47</v>
      </c>
      <c r="C12" t="n">
        <v>78.98</v>
      </c>
      <c r="D12" t="n">
        <v>24</v>
      </c>
      <c r="E12" t="inlineStr">
        <is>
          <t>—</t>
        </is>
      </c>
      <c r="F12" t="inlineStr">
        <is>
          <t>≤ 127</t>
        </is>
      </c>
      <c r="G12" s="3" t="inlineStr">
        <is>
          <t>✅</t>
        </is>
      </c>
    </row>
    <row r="13">
      <c r="A13" t="inlineStr">
        <is>
          <t>📦 Estoque MP2 fim (ton)</t>
        </is>
      </c>
      <c r="B13" t="n">
        <v>48</v>
      </c>
      <c r="C13" t="n">
        <v>48.26</v>
      </c>
      <c r="D13" t="n">
        <v>0</v>
      </c>
      <c r="E13" t="inlineStr">
        <is>
          <t>—</t>
        </is>
      </c>
      <c r="F13" t="inlineStr">
        <is>
          <t>≤ 50.4</t>
        </is>
      </c>
      <c r="G13" s="3" t="inlineStr">
        <is>
          <t>✅</t>
        </is>
      </c>
    </row>
    <row r="14">
      <c r="A14" t="inlineStr">
        <is>
          <t>📦 Estoque MP3 fim (ton)</t>
        </is>
      </c>
      <c r="B14" t="n">
        <v>42</v>
      </c>
      <c r="C14" t="n">
        <v>48.14</v>
      </c>
      <c r="D14" t="n">
        <v>24</v>
      </c>
      <c r="E14" t="inlineStr">
        <is>
          <t>—</t>
        </is>
      </c>
      <c r="F14" t="inlineStr">
        <is>
          <t>≤ 75.6</t>
        </is>
      </c>
      <c r="G14" s="3" t="inlineStr">
        <is>
          <t>✅</t>
        </is>
      </c>
    </row>
    <row r="15">
      <c r="A15" t="inlineStr">
        <is>
          <t>🏪 PA total fim CDs (un)</t>
        </is>
      </c>
      <c r="B15" t="n">
        <v>525</v>
      </c>
      <c r="C15" t="n">
        <v>525</v>
      </c>
      <c r="D15" t="n">
        <v>79638</v>
      </c>
      <c r="E15" t="inlineStr">
        <is>
          <t>—</t>
        </is>
      </c>
      <c r="F15" t="inlineStr">
        <is>
          <t>—</t>
        </is>
      </c>
    </row>
    <row r="16">
      <c r="A16" s="7" t="inlineStr">
        <is>
          <t>💼 RESULTADO ACUMULADO R1+R2+R3</t>
        </is>
      </c>
      <c r="E16" s="8" t="n">
        <v>18737136.59873375</v>
      </c>
    </row>
  </sheetData>
  <mergeCells count="1">
    <mergeCell ref="A1:G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J59"/>
  <sheetViews>
    <sheetView workbookViewId="0">
      <selection activeCell="A1" sqref="A1"/>
    </sheetView>
  </sheetViews>
  <sheetFormatPr baseColWidth="8" defaultRowHeight="15"/>
  <cols>
    <col width="41" customWidth="1" min="1" max="1"/>
  </cols>
  <sheetData>
    <row r="1">
      <c r="A1" s="1" t="inlineStr">
        <is>
          <t>RODADA 1 — SIMULAÇÃO DIA A DIA</t>
        </is>
      </c>
    </row>
    <row r="2"/>
    <row r="3">
      <c r="A3" s="9" t="inlineStr">
        <is>
          <t>BLOCO 1 — Estoque MP F1 dia a dia</t>
        </is>
      </c>
    </row>
    <row r="4">
      <c r="A4" s="2" t="inlineStr">
        <is>
          <t>Dia</t>
        </is>
      </c>
      <c r="B4" s="2" t="inlineStr">
        <is>
          <t>MP</t>
        </is>
      </c>
      <c r="C4" s="2" t="inlineStr">
        <is>
          <t>Pré</t>
        </is>
      </c>
      <c r="D4" s="2" t="inlineStr">
        <is>
          <t>+Arr</t>
        </is>
      </c>
      <c r="E4" s="2" t="inlineStr">
        <is>
          <t>Pos</t>
        </is>
      </c>
      <c r="F4" s="2" t="inlineStr">
        <is>
          <t>Desc</t>
        </is>
      </c>
      <c r="G4" s="2" t="inlineStr">
        <is>
          <t>Consumo</t>
        </is>
      </c>
      <c r="H4" s="2" t="inlineStr">
        <is>
          <t>End</t>
        </is>
      </c>
      <c r="I4" s="2" t="inlineStr">
        <is>
          <t>Cap</t>
        </is>
      </c>
      <c r="J4" s="2" t="inlineStr">
        <is>
          <t>%</t>
        </is>
      </c>
    </row>
    <row r="5">
      <c r="A5" t="inlineStr">
        <is>
          <t>Dia 1</t>
        </is>
      </c>
      <c r="B5" t="inlineStr">
        <is>
          <t>MP1</t>
        </is>
      </c>
      <c r="C5" t="n">
        <v>0</v>
      </c>
      <c r="D5" t="n">
        <v>0</v>
      </c>
      <c r="E5" t="n">
        <v>0</v>
      </c>
      <c r="F5" t="n">
        <v>0</v>
      </c>
      <c r="G5" t="n">
        <v>0</v>
      </c>
      <c r="H5" t="n">
        <v>0</v>
      </c>
      <c r="I5" t="n">
        <v>127</v>
      </c>
      <c r="J5" s="10">
        <f>H5/I5</f>
        <v/>
      </c>
    </row>
    <row r="6">
      <c r="A6" t="inlineStr">
        <is>
          <t>Dia 1</t>
        </is>
      </c>
      <c r="B6" t="inlineStr">
        <is>
          <t>MP2</t>
        </is>
      </c>
      <c r="C6" t="n">
        <v>0</v>
      </c>
      <c r="D6" t="n">
        <v>0</v>
      </c>
      <c r="E6" t="n">
        <v>0</v>
      </c>
      <c r="F6" t="n">
        <v>0</v>
      </c>
      <c r="G6" t="n">
        <v>0</v>
      </c>
      <c r="H6" t="n">
        <v>0</v>
      </c>
      <c r="I6" t="n">
        <v>50.4</v>
      </c>
      <c r="J6" s="10">
        <f>H6/I6</f>
        <v/>
      </c>
    </row>
    <row r="7">
      <c r="A7" t="inlineStr">
        <is>
          <t>Dia 1</t>
        </is>
      </c>
      <c r="B7" t="inlineStr">
        <is>
          <t>MP3</t>
        </is>
      </c>
      <c r="C7" t="n">
        <v>0</v>
      </c>
      <c r="D7" t="n">
        <v>0</v>
      </c>
      <c r="E7" t="n">
        <v>0</v>
      </c>
      <c r="F7" t="n">
        <v>0</v>
      </c>
      <c r="G7" t="n">
        <v>0</v>
      </c>
      <c r="H7" t="n">
        <v>0</v>
      </c>
      <c r="I7" t="n">
        <v>75.59999999999999</v>
      </c>
      <c r="J7" s="10">
        <f>H7/I7</f>
        <v/>
      </c>
    </row>
    <row r="8"/>
    <row r="9">
      <c r="A9" t="inlineStr">
        <is>
          <t>Dia 2</t>
        </is>
      </c>
      <c r="B9" t="inlineStr">
        <is>
          <t>MP1</t>
        </is>
      </c>
      <c r="C9" t="n">
        <v>0</v>
      </c>
      <c r="D9" t="n">
        <v>0</v>
      </c>
      <c r="E9" t="n">
        <v>0</v>
      </c>
      <c r="F9" t="n">
        <v>0</v>
      </c>
      <c r="G9" t="n">
        <v>0</v>
      </c>
      <c r="H9" t="n">
        <v>0</v>
      </c>
      <c r="I9" t="n">
        <v>127</v>
      </c>
      <c r="J9" s="10">
        <f>H9/I9</f>
        <v/>
      </c>
    </row>
    <row r="10">
      <c r="A10" t="inlineStr">
        <is>
          <t>Dia 2</t>
        </is>
      </c>
      <c r="B10" t="inlineStr">
        <is>
          <t>MP2</t>
        </is>
      </c>
      <c r="C10" t="n">
        <v>0</v>
      </c>
      <c r="D10" t="n">
        <v>0</v>
      </c>
      <c r="E10" t="n">
        <v>0</v>
      </c>
      <c r="F10" t="n">
        <v>0</v>
      </c>
      <c r="G10" t="n">
        <v>0</v>
      </c>
      <c r="H10" t="n">
        <v>0</v>
      </c>
      <c r="I10" t="n">
        <v>50.4</v>
      </c>
      <c r="J10" s="10">
        <f>H10/I10</f>
        <v/>
      </c>
    </row>
    <row r="11">
      <c r="A11" t="inlineStr">
        <is>
          <t>Dia 2</t>
        </is>
      </c>
      <c r="B11" t="inlineStr">
        <is>
          <t>MP3</t>
        </is>
      </c>
      <c r="C11" t="n">
        <v>0</v>
      </c>
      <c r="D11" t="n">
        <v>42</v>
      </c>
      <c r="E11" t="n">
        <v>42</v>
      </c>
      <c r="F11" t="n">
        <v>0</v>
      </c>
      <c r="G11" t="n">
        <v>0</v>
      </c>
      <c r="H11" t="n">
        <v>42</v>
      </c>
      <c r="I11" t="n">
        <v>75.59999999999999</v>
      </c>
      <c r="J11" s="10">
        <f>H11/I11</f>
        <v/>
      </c>
    </row>
    <row r="12"/>
    <row r="13">
      <c r="A13" t="inlineStr">
        <is>
          <t>Dia 3</t>
        </is>
      </c>
      <c r="B13" t="inlineStr">
        <is>
          <t>MP1</t>
        </is>
      </c>
      <c r="C13" t="n">
        <v>0</v>
      </c>
      <c r="D13" t="n">
        <v>0</v>
      </c>
      <c r="E13" t="n">
        <v>0</v>
      </c>
      <c r="F13" t="n">
        <v>0</v>
      </c>
      <c r="G13" t="n">
        <v>0</v>
      </c>
      <c r="H13" t="n">
        <v>0</v>
      </c>
      <c r="I13" t="n">
        <v>127</v>
      </c>
      <c r="J13" s="10">
        <f>H13/I13</f>
        <v/>
      </c>
    </row>
    <row r="14">
      <c r="A14" t="inlineStr">
        <is>
          <t>Dia 3</t>
        </is>
      </c>
      <c r="B14" t="inlineStr">
        <is>
          <t>MP2</t>
        </is>
      </c>
      <c r="C14" t="n">
        <v>0</v>
      </c>
      <c r="D14" t="n">
        <v>48</v>
      </c>
      <c r="E14" t="n">
        <v>48</v>
      </c>
      <c r="F14" t="n">
        <v>0</v>
      </c>
      <c r="G14" t="n">
        <v>0</v>
      </c>
      <c r="H14" t="n">
        <v>48</v>
      </c>
      <c r="I14" t="n">
        <v>50.4</v>
      </c>
      <c r="J14" s="10">
        <f>H14/I14</f>
        <v/>
      </c>
    </row>
    <row r="15">
      <c r="A15" t="inlineStr">
        <is>
          <t>Dia 3</t>
        </is>
      </c>
      <c r="B15" t="inlineStr">
        <is>
          <t>MP3</t>
        </is>
      </c>
      <c r="C15" t="n">
        <v>42</v>
      </c>
      <c r="D15" t="n">
        <v>0</v>
      </c>
      <c r="E15" t="n">
        <v>42</v>
      </c>
      <c r="F15" t="n">
        <v>0</v>
      </c>
      <c r="G15" t="n">
        <v>0</v>
      </c>
      <c r="H15" t="n">
        <v>42</v>
      </c>
      <c r="I15" t="n">
        <v>75.59999999999999</v>
      </c>
      <c r="J15" s="10">
        <f>H15/I15</f>
        <v/>
      </c>
    </row>
    <row r="16"/>
    <row r="17">
      <c r="A17" t="inlineStr">
        <is>
          <t>Dia 4</t>
        </is>
      </c>
      <c r="B17" t="inlineStr">
        <is>
          <t>MP1</t>
        </is>
      </c>
      <c r="C17" t="n">
        <v>0</v>
      </c>
      <c r="D17" t="n">
        <v>47</v>
      </c>
      <c r="E17" t="n">
        <v>47</v>
      </c>
      <c r="F17" t="n">
        <v>0</v>
      </c>
      <c r="G17" t="n">
        <v>0</v>
      </c>
      <c r="H17" t="n">
        <v>47</v>
      </c>
      <c r="I17" t="n">
        <v>127</v>
      </c>
      <c r="J17" s="10">
        <f>H17/I17</f>
        <v/>
      </c>
    </row>
    <row r="18">
      <c r="A18" t="inlineStr">
        <is>
          <t>Dia 4</t>
        </is>
      </c>
      <c r="B18" t="inlineStr">
        <is>
          <t>MP2</t>
        </is>
      </c>
      <c r="C18" t="n">
        <v>48</v>
      </c>
      <c r="D18" t="n">
        <v>0</v>
      </c>
      <c r="E18" t="n">
        <v>48</v>
      </c>
      <c r="F18" t="n">
        <v>0</v>
      </c>
      <c r="G18" t="n">
        <v>0</v>
      </c>
      <c r="H18" t="n">
        <v>48</v>
      </c>
      <c r="I18" t="n">
        <v>50.4</v>
      </c>
      <c r="J18" s="10">
        <f>H18/I18</f>
        <v/>
      </c>
    </row>
    <row r="19">
      <c r="A19" t="inlineStr">
        <is>
          <t>Dia 4</t>
        </is>
      </c>
      <c r="B19" t="inlineStr">
        <is>
          <t>MP3</t>
        </is>
      </c>
      <c r="C19" t="n">
        <v>42</v>
      </c>
      <c r="D19" t="n">
        <v>0</v>
      </c>
      <c r="E19" t="n">
        <v>42</v>
      </c>
      <c r="F19" t="n">
        <v>0</v>
      </c>
      <c r="G19" t="n">
        <v>0</v>
      </c>
      <c r="H19" t="n">
        <v>42</v>
      </c>
      <c r="I19" t="n">
        <v>75.59999999999999</v>
      </c>
      <c r="J19" s="10">
        <f>H19/I19</f>
        <v/>
      </c>
    </row>
    <row r="20"/>
    <row r="21">
      <c r="A21" t="inlineStr">
        <is>
          <t>Dia 5</t>
        </is>
      </c>
      <c r="B21" t="inlineStr">
        <is>
          <t>MP1</t>
        </is>
      </c>
      <c r="C21" t="n">
        <v>47</v>
      </c>
      <c r="D21" t="n">
        <v>0</v>
      </c>
      <c r="E21" t="n">
        <v>47</v>
      </c>
      <c r="F21" t="n">
        <v>0</v>
      </c>
      <c r="G21" t="n">
        <v>0</v>
      </c>
      <c r="H21" t="n">
        <v>47</v>
      </c>
      <c r="I21" t="n">
        <v>127</v>
      </c>
      <c r="J21" s="10">
        <f>H21/I21</f>
        <v/>
      </c>
    </row>
    <row r="22">
      <c r="A22" t="inlineStr">
        <is>
          <t>Dia 5</t>
        </is>
      </c>
      <c r="B22" t="inlineStr">
        <is>
          <t>MP2</t>
        </is>
      </c>
      <c r="C22" t="n">
        <v>48</v>
      </c>
      <c r="D22" t="n">
        <v>0</v>
      </c>
      <c r="E22" t="n">
        <v>48</v>
      </c>
      <c r="F22" t="n">
        <v>0</v>
      </c>
      <c r="G22" t="n">
        <v>0</v>
      </c>
      <c r="H22" t="n">
        <v>48</v>
      </c>
      <c r="I22" t="n">
        <v>50.4</v>
      </c>
      <c r="J22" s="10">
        <f>H22/I22</f>
        <v/>
      </c>
    </row>
    <row r="23">
      <c r="A23" t="inlineStr">
        <is>
          <t>Dia 5</t>
        </is>
      </c>
      <c r="B23" t="inlineStr">
        <is>
          <t>MP3</t>
        </is>
      </c>
      <c r="C23" t="n">
        <v>42</v>
      </c>
      <c r="D23" t="n">
        <v>0</v>
      </c>
      <c r="E23" t="n">
        <v>42</v>
      </c>
      <c r="F23" t="n">
        <v>0</v>
      </c>
      <c r="G23" t="n">
        <v>0</v>
      </c>
      <c r="H23" t="n">
        <v>42</v>
      </c>
      <c r="I23" t="n">
        <v>75.59999999999999</v>
      </c>
      <c r="J23" s="10">
        <f>H23/I23</f>
        <v/>
      </c>
    </row>
    <row r="24"/>
    <row r="25"/>
    <row r="26">
      <c r="A26" s="9" t="inlineStr">
        <is>
          <t>BLOCO 2 — PA nos CDs dia a dia</t>
        </is>
      </c>
    </row>
    <row r="27">
      <c r="A27" s="2" t="inlineStr">
        <is>
          <t>Dia</t>
        </is>
      </c>
      <c r="B27" s="2" t="inlineStr">
        <is>
          <t>CD</t>
        </is>
      </c>
      <c r="C27" s="2" t="inlineStr">
        <is>
          <t>PA</t>
        </is>
      </c>
      <c r="D27" s="2" t="inlineStr">
        <is>
          <t>Pré</t>
        </is>
      </c>
      <c r="E27" s="2" t="inlineStr">
        <is>
          <t>+Arr</t>
        </is>
      </c>
      <c r="F27" s="2" t="inlineStr">
        <is>
          <t>-Saída</t>
        </is>
      </c>
      <c r="G27" s="2" t="inlineStr">
        <is>
          <t>Desc</t>
        </is>
      </c>
      <c r="H27" s="2" t="inlineStr">
        <is>
          <t>End</t>
        </is>
      </c>
      <c r="I27" s="2" t="inlineStr">
        <is>
          <t>Cap</t>
        </is>
      </c>
      <c r="J27" s="2" t="inlineStr">
        <is>
          <t>%</t>
        </is>
      </c>
    </row>
    <row r="28">
      <c r="A28" t="inlineStr">
        <is>
          <t>Dia 3</t>
        </is>
      </c>
      <c r="B28" t="inlineStr">
        <is>
          <t>CD2 (Santos)</t>
        </is>
      </c>
      <c r="C28" t="inlineStr">
        <is>
          <t>PA3</t>
        </is>
      </c>
      <c r="D28" t="n">
        <v>0</v>
      </c>
      <c r="E28" t="n">
        <v>192</v>
      </c>
      <c r="F28" t="n">
        <v>0</v>
      </c>
      <c r="G28" t="n">
        <v>0</v>
      </c>
      <c r="H28" t="n">
        <v>192</v>
      </c>
      <c r="I28" t="n">
        <v>8533333</v>
      </c>
      <c r="J28" s="10">
        <f>H28/I28</f>
        <v/>
      </c>
    </row>
    <row r="29">
      <c r="A29" t="inlineStr">
        <is>
          <t>Dia 4</t>
        </is>
      </c>
      <c r="B29" t="inlineStr">
        <is>
          <t>CD2 (Santos)</t>
        </is>
      </c>
      <c r="C29" t="inlineStr">
        <is>
          <t>PA2</t>
        </is>
      </c>
      <c r="D29" t="n">
        <v>0</v>
      </c>
      <c r="E29" t="n">
        <v>137</v>
      </c>
      <c r="F29" t="n">
        <v>0</v>
      </c>
      <c r="G29" t="n">
        <v>0</v>
      </c>
      <c r="H29" t="n">
        <v>137</v>
      </c>
      <c r="I29" t="n">
        <v>400000</v>
      </c>
      <c r="J29" s="10">
        <f>H29/I29</f>
        <v/>
      </c>
    </row>
    <row r="30">
      <c r="A30" t="inlineStr">
        <is>
          <t>Dia 4</t>
        </is>
      </c>
      <c r="B30" t="inlineStr">
        <is>
          <t>CD2 (Santos)</t>
        </is>
      </c>
      <c r="C30" t="inlineStr">
        <is>
          <t>PA3</t>
        </is>
      </c>
      <c r="D30" t="n">
        <v>192</v>
      </c>
      <c r="E30" t="n">
        <v>0</v>
      </c>
      <c r="F30" t="n">
        <v>0</v>
      </c>
      <c r="G30" t="n">
        <v>0</v>
      </c>
      <c r="H30" t="n">
        <v>192</v>
      </c>
      <c r="I30" t="n">
        <v>8533333</v>
      </c>
      <c r="J30" s="10">
        <f>H30/I30</f>
        <v/>
      </c>
    </row>
    <row r="31">
      <c r="A31" t="inlineStr">
        <is>
          <t>Dia 5</t>
        </is>
      </c>
      <c r="B31" t="inlineStr">
        <is>
          <t>CD1 (São Luís)</t>
        </is>
      </c>
      <c r="C31" t="inlineStr">
        <is>
          <t>PA3</t>
        </is>
      </c>
      <c r="D31" t="n">
        <v>0</v>
      </c>
      <c r="E31" t="n">
        <v>116</v>
      </c>
      <c r="F31" t="n">
        <v>0</v>
      </c>
      <c r="G31" t="n">
        <v>0</v>
      </c>
      <c r="H31" t="n">
        <v>116</v>
      </c>
      <c r="I31" t="n">
        <v>9312000</v>
      </c>
      <c r="J31" s="10">
        <f>H31/I31</f>
        <v/>
      </c>
    </row>
    <row r="32">
      <c r="A32" t="inlineStr">
        <is>
          <t>Dia 5</t>
        </is>
      </c>
      <c r="B32" t="inlineStr">
        <is>
          <t>CD2 (Santos)</t>
        </is>
      </c>
      <c r="C32" t="inlineStr">
        <is>
          <t>PA1</t>
        </is>
      </c>
      <c r="D32" t="n">
        <v>0</v>
      </c>
      <c r="E32" t="n">
        <v>82</v>
      </c>
      <c r="F32" t="n">
        <v>0</v>
      </c>
      <c r="G32" t="n">
        <v>0</v>
      </c>
      <c r="H32" t="n">
        <v>82</v>
      </c>
      <c r="I32" t="n">
        <v>666666</v>
      </c>
      <c r="J32" s="10">
        <f>H32/I32</f>
        <v/>
      </c>
    </row>
    <row r="33">
      <c r="A33" t="inlineStr">
        <is>
          <t>Dia 5</t>
        </is>
      </c>
      <c r="B33" t="inlineStr">
        <is>
          <t>CD2 (Santos)</t>
        </is>
      </c>
      <c r="C33" t="inlineStr">
        <is>
          <t>PA2</t>
        </is>
      </c>
      <c r="D33" t="n">
        <v>137</v>
      </c>
      <c r="E33" t="n">
        <v>0</v>
      </c>
      <c r="F33" t="n">
        <v>0</v>
      </c>
      <c r="G33" t="n">
        <v>0</v>
      </c>
      <c r="H33" t="n">
        <v>137</v>
      </c>
      <c r="I33" t="n">
        <v>400000</v>
      </c>
      <c r="J33" s="10">
        <f>H33/I33</f>
        <v/>
      </c>
    </row>
    <row r="34">
      <c r="A34" t="inlineStr">
        <is>
          <t>Dia 5</t>
        </is>
      </c>
      <c r="B34" t="inlineStr">
        <is>
          <t>CD2 (Santos)</t>
        </is>
      </c>
      <c r="C34" t="inlineStr">
        <is>
          <t>PA3</t>
        </is>
      </c>
      <c r="D34" t="n">
        <v>192</v>
      </c>
      <c r="E34" t="n">
        <v>0</v>
      </c>
      <c r="F34" t="n">
        <v>0</v>
      </c>
      <c r="G34" t="n">
        <v>0</v>
      </c>
      <c r="H34" t="n">
        <v>192</v>
      </c>
      <c r="I34" t="n">
        <v>8533333</v>
      </c>
      <c r="J34" s="10">
        <f>H34/I34</f>
        <v/>
      </c>
    </row>
    <row r="35"/>
    <row r="36">
      <c r="A36" s="9" t="inlineStr">
        <is>
          <t>BLOCO 3 — Produção + Utilização fábrica</t>
        </is>
      </c>
    </row>
    <row r="37">
      <c r="A37" s="2" t="inlineStr">
        <is>
          <t>Dia</t>
        </is>
      </c>
      <c r="B37" s="2" t="inlineStr">
        <is>
          <t>PA1</t>
        </is>
      </c>
      <c r="C37" s="2" t="inlineStr">
        <is>
          <t>PA2</t>
        </is>
      </c>
      <c r="D37" s="2" t="inlineStr">
        <is>
          <t>PA3</t>
        </is>
      </c>
      <c r="E37" s="2" t="inlineStr">
        <is>
          <t>Min PA1</t>
        </is>
      </c>
      <c r="F37" s="2" t="inlineStr">
        <is>
          <t>Min PA2</t>
        </is>
      </c>
      <c r="G37" s="2" t="inlineStr">
        <is>
          <t>Min PA3</t>
        </is>
      </c>
      <c r="H37" s="2" t="inlineStr">
        <is>
          <t>Min total</t>
        </is>
      </c>
      <c r="I37" s="2" t="inlineStr">
        <is>
          <t>Cap</t>
        </is>
      </c>
      <c r="J37" s="2" t="inlineStr">
        <is>
          <t>Util %</t>
        </is>
      </c>
    </row>
    <row r="38">
      <c r="A38" t="inlineStr">
        <is>
          <t>Dia 1</t>
        </is>
      </c>
      <c r="B38" t="n">
        <v>0</v>
      </c>
      <c r="C38" t="n">
        <v>0</v>
      </c>
      <c r="D38" t="n">
        <v>0</v>
      </c>
      <c r="E38">
        <f>B38/15</f>
        <v/>
      </c>
      <c r="F38">
        <f>C38/30</f>
        <v/>
      </c>
      <c r="G38">
        <f>D38/60</f>
        <v/>
      </c>
      <c r="H38">
        <f>E38+F38+G38</f>
        <v/>
      </c>
      <c r="I38" t="n">
        <v>10080</v>
      </c>
      <c r="J38" s="10">
        <f>H38/I38</f>
        <v/>
      </c>
    </row>
    <row r="39">
      <c r="A39" t="inlineStr">
        <is>
          <t>Dia 2</t>
        </is>
      </c>
      <c r="B39" t="n">
        <v>0</v>
      </c>
      <c r="C39" t="n">
        <v>0</v>
      </c>
      <c r="D39" t="n">
        <v>0</v>
      </c>
      <c r="E39">
        <f>B39/15</f>
        <v/>
      </c>
      <c r="F39">
        <f>C39/30</f>
        <v/>
      </c>
      <c r="G39">
        <f>D39/60</f>
        <v/>
      </c>
      <c r="H39">
        <f>E39+F39+G39</f>
        <v/>
      </c>
      <c r="I39" t="n">
        <v>10080</v>
      </c>
      <c r="J39" s="10">
        <f>H39/I39</f>
        <v/>
      </c>
    </row>
    <row r="40">
      <c r="A40" t="inlineStr">
        <is>
          <t>Dia 3</t>
        </is>
      </c>
      <c r="B40" t="n">
        <v>0</v>
      </c>
      <c r="C40" t="n">
        <v>0</v>
      </c>
      <c r="D40" t="n">
        <v>0</v>
      </c>
      <c r="E40">
        <f>B40/15</f>
        <v/>
      </c>
      <c r="F40">
        <f>C40/30</f>
        <v/>
      </c>
      <c r="G40">
        <f>D40/60</f>
        <v/>
      </c>
      <c r="H40">
        <f>E40+F40+G40</f>
        <v/>
      </c>
      <c r="I40" t="n">
        <v>10080</v>
      </c>
      <c r="J40" s="10">
        <f>H40/I40</f>
        <v/>
      </c>
    </row>
    <row r="41">
      <c r="A41" t="inlineStr">
        <is>
          <t>Dia 4</t>
        </is>
      </c>
      <c r="B41" t="n">
        <v>0</v>
      </c>
      <c r="C41" t="n">
        <v>0</v>
      </c>
      <c r="D41" t="n">
        <v>0</v>
      </c>
      <c r="E41">
        <f>B41/15</f>
        <v/>
      </c>
      <c r="F41">
        <f>C41/30</f>
        <v/>
      </c>
      <c r="G41">
        <f>D41/60</f>
        <v/>
      </c>
      <c r="H41">
        <f>E41+F41+G41</f>
        <v/>
      </c>
      <c r="I41" t="n">
        <v>10080</v>
      </c>
      <c r="J41" s="10">
        <f>H41/I41</f>
        <v/>
      </c>
    </row>
    <row r="42">
      <c r="A42" t="inlineStr">
        <is>
          <t>Dia 5</t>
        </is>
      </c>
      <c r="B42" t="n">
        <v>0</v>
      </c>
      <c r="C42" t="n">
        <v>0</v>
      </c>
      <c r="D42" t="n">
        <v>0</v>
      </c>
      <c r="E42">
        <f>B42/15</f>
        <v/>
      </c>
      <c r="F42">
        <f>C42/30</f>
        <v/>
      </c>
      <c r="G42">
        <f>D42/60</f>
        <v/>
      </c>
      <c r="H42">
        <f>E42+F42+G42</f>
        <v/>
      </c>
      <c r="I42" t="n">
        <v>10080</v>
      </c>
      <c r="J42" s="10">
        <f>H42/I42</f>
        <v/>
      </c>
    </row>
    <row r="43"/>
    <row r="44">
      <c r="A44" s="9" t="inlineStr">
        <is>
          <t>BLOCO 4 — Transportes por modal</t>
        </is>
      </c>
    </row>
    <row r="45">
      <c r="A45" s="2" t="inlineStr">
        <is>
          <t>Modal</t>
        </is>
      </c>
      <c r="B45" s="2" t="inlineStr">
        <is>
          <t>Viagens</t>
        </is>
      </c>
      <c r="C45" s="2" t="inlineStr">
        <is>
          <t>% do total</t>
        </is>
      </c>
    </row>
    <row r="46">
      <c r="A46" t="inlineStr">
        <is>
          <t>Caminhão</t>
        </is>
      </c>
      <c r="B46" t="n">
        <v>10</v>
      </c>
      <c r="C46" s="10" t="n">
        <v>0.7692307692307693</v>
      </c>
    </row>
    <row r="47">
      <c r="A47" t="inlineStr">
        <is>
          <t>Navio</t>
        </is>
      </c>
      <c r="B47" t="n">
        <v>3</v>
      </c>
      <c r="C47" s="10" t="n">
        <v>0.2307692307692308</v>
      </c>
    </row>
    <row r="48">
      <c r="A48" t="inlineStr">
        <is>
          <t>Avião</t>
        </is>
      </c>
      <c r="B48" t="n">
        <v>0</v>
      </c>
      <c r="C48" s="10" t="n">
        <v>0</v>
      </c>
    </row>
    <row r="49">
      <c r="A49" s="7" t="inlineStr">
        <is>
          <t>TOTAL</t>
        </is>
      </c>
      <c r="B49" s="7" t="n">
        <v>13</v>
      </c>
    </row>
    <row r="50"/>
    <row r="51">
      <c r="A51" s="9" t="inlineStr">
        <is>
          <t>BLOCO 5 — DRE Rodada 1</t>
        </is>
      </c>
    </row>
    <row r="52">
      <c r="A52" s="2" t="inlineStr">
        <is>
          <t>Linha</t>
        </is>
      </c>
      <c r="B52" s="2" t="inlineStr">
        <is>
          <t>Valor R$</t>
        </is>
      </c>
    </row>
    <row r="53">
      <c r="A53" t="inlineStr">
        <is>
          <t>Receita (PA atendidos no dia)</t>
        </is>
      </c>
      <c r="B53" s="4" t="n">
        <v>0</v>
      </c>
    </row>
    <row r="54">
      <c r="A54" t="inlineStr">
        <is>
          <t>(-) Custos fixos</t>
        </is>
      </c>
      <c r="B54" s="4" t="n">
        <v>-1123151</v>
      </c>
    </row>
    <row r="55">
      <c r="A55" t="inlineStr">
        <is>
          <t>(-) Compra MP</t>
        </is>
      </c>
      <c r="B55" s="4" t="n">
        <v>-4368000</v>
      </c>
    </row>
    <row r="56">
      <c r="A56" t="inlineStr">
        <is>
          <t>(-) Frete</t>
        </is>
      </c>
      <c r="B56" s="4" t="n">
        <v>-161310.56239875</v>
      </c>
    </row>
    <row r="57">
      <c r="A57" t="inlineStr">
        <is>
          <t>(-) Carregamento MP</t>
        </is>
      </c>
      <c r="B57" s="4" t="n">
        <v>-54100</v>
      </c>
    </row>
    <row r="58">
      <c r="A58" t="inlineStr">
        <is>
          <t>(-) Carregamento PA</t>
        </is>
      </c>
      <c r="B58" s="4" t="n">
        <v>-231.54</v>
      </c>
    </row>
    <row r="59">
      <c r="A59" s="7">
        <f> Resultado da rodada</f>
        <v/>
      </c>
      <c r="B59" s="11" t="n">
        <v>-5706793.10239875</v>
      </c>
    </row>
  </sheetData>
  <mergeCells count="6">
    <mergeCell ref="A44:J44"/>
    <mergeCell ref="A1:J1"/>
    <mergeCell ref="A36:J36"/>
    <mergeCell ref="A3:J3"/>
    <mergeCell ref="A26:J26"/>
    <mergeCell ref="A51:J5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J76"/>
  <sheetViews>
    <sheetView workbookViewId="0">
      <selection activeCell="A1" sqref="A1"/>
    </sheetView>
  </sheetViews>
  <sheetFormatPr baseColWidth="8" defaultRowHeight="15"/>
  <cols>
    <col width="41" customWidth="1" min="1" max="1"/>
  </cols>
  <sheetData>
    <row r="1">
      <c r="A1" s="1" t="inlineStr">
        <is>
          <t>RODADA 2 — SIMULAÇÃO DIA A DIA</t>
        </is>
      </c>
    </row>
    <row r="2"/>
    <row r="3">
      <c r="A3" s="9" t="inlineStr">
        <is>
          <t>BLOCO 1 — Estoque MP F1 dia a dia</t>
        </is>
      </c>
    </row>
    <row r="4">
      <c r="A4" s="2" t="inlineStr">
        <is>
          <t>Dia</t>
        </is>
      </c>
      <c r="B4" s="2" t="inlineStr">
        <is>
          <t>MP</t>
        </is>
      </c>
      <c r="C4" s="2" t="inlineStr">
        <is>
          <t>Pré</t>
        </is>
      </c>
      <c r="D4" s="2" t="inlineStr">
        <is>
          <t>+Arr</t>
        </is>
      </c>
      <c r="E4" s="2" t="inlineStr">
        <is>
          <t>Pos</t>
        </is>
      </c>
      <c r="F4" s="2" t="inlineStr">
        <is>
          <t>Desc</t>
        </is>
      </c>
      <c r="G4" s="2" t="inlineStr">
        <is>
          <t>Consumo</t>
        </is>
      </c>
      <c r="H4" s="2" t="inlineStr">
        <is>
          <t>End</t>
        </is>
      </c>
      <c r="I4" s="2" t="inlineStr">
        <is>
          <t>Cap</t>
        </is>
      </c>
      <c r="J4" s="2" t="inlineStr">
        <is>
          <t>%</t>
        </is>
      </c>
    </row>
    <row r="5">
      <c r="A5" t="inlineStr">
        <is>
          <t>Dia 1</t>
        </is>
      </c>
      <c r="B5" t="inlineStr">
        <is>
          <t>MP1</t>
        </is>
      </c>
      <c r="C5" t="n">
        <v>47</v>
      </c>
      <c r="D5" t="n">
        <v>0</v>
      </c>
      <c r="E5" t="n">
        <v>47</v>
      </c>
      <c r="F5" t="n">
        <v>0</v>
      </c>
      <c r="G5" t="n">
        <v>8.814</v>
      </c>
      <c r="H5" t="n">
        <v>38.186</v>
      </c>
      <c r="I5" t="n">
        <v>127</v>
      </c>
      <c r="J5" s="10">
        <f>H5/I5</f>
        <v/>
      </c>
    </row>
    <row r="6">
      <c r="A6" t="inlineStr">
        <is>
          <t>Dia 1</t>
        </is>
      </c>
      <c r="B6" t="inlineStr">
        <is>
          <t>MP2</t>
        </is>
      </c>
      <c r="C6" t="n">
        <v>48</v>
      </c>
      <c r="D6" t="n">
        <v>0</v>
      </c>
      <c r="E6" t="n">
        <v>48</v>
      </c>
      <c r="F6" t="n">
        <v>0</v>
      </c>
      <c r="G6" t="n">
        <v>13.22</v>
      </c>
      <c r="H6" t="n">
        <v>34.78</v>
      </c>
      <c r="I6" t="n">
        <v>50.4</v>
      </c>
      <c r="J6" s="10">
        <f>H6/I6</f>
        <v/>
      </c>
    </row>
    <row r="7">
      <c r="A7" t="inlineStr">
        <is>
          <t>Dia 1</t>
        </is>
      </c>
      <c r="B7" t="inlineStr">
        <is>
          <t>MP3</t>
        </is>
      </c>
      <c r="C7" t="n">
        <v>42</v>
      </c>
      <c r="D7" t="n">
        <v>0</v>
      </c>
      <c r="E7" t="n">
        <v>42</v>
      </c>
      <c r="F7" t="n">
        <v>0</v>
      </c>
      <c r="G7" t="n">
        <v>22.034</v>
      </c>
      <c r="H7" t="n">
        <v>19.966</v>
      </c>
      <c r="I7" t="n">
        <v>75.59999999999999</v>
      </c>
      <c r="J7" s="10">
        <f>H7/I7</f>
        <v/>
      </c>
    </row>
    <row r="8"/>
    <row r="9">
      <c r="A9" t="inlineStr">
        <is>
          <t>Dia 2</t>
        </is>
      </c>
      <c r="B9" t="inlineStr">
        <is>
          <t>MP1</t>
        </is>
      </c>
      <c r="C9" t="n">
        <v>38.186</v>
      </c>
      <c r="D9" t="n">
        <v>0</v>
      </c>
      <c r="E9" t="n">
        <v>38.186</v>
      </c>
      <c r="F9" t="n">
        <v>0</v>
      </c>
      <c r="G9" t="n">
        <v>4.183</v>
      </c>
      <c r="H9" t="n">
        <v>34.004</v>
      </c>
      <c r="I9" t="n">
        <v>127</v>
      </c>
      <c r="J9" s="10">
        <f>H9/I9</f>
        <v/>
      </c>
    </row>
    <row r="10">
      <c r="A10" t="inlineStr">
        <is>
          <t>Dia 2</t>
        </is>
      </c>
      <c r="B10" t="inlineStr">
        <is>
          <t>MP2</t>
        </is>
      </c>
      <c r="C10" t="n">
        <v>34.78</v>
      </c>
      <c r="D10" t="n">
        <v>0</v>
      </c>
      <c r="E10" t="n">
        <v>34.78</v>
      </c>
      <c r="F10" t="n">
        <v>0</v>
      </c>
      <c r="G10" t="n">
        <v>6.274</v>
      </c>
      <c r="H10" t="n">
        <v>28.506</v>
      </c>
      <c r="I10" t="n">
        <v>50.4</v>
      </c>
      <c r="J10" s="10">
        <f>H10/I10</f>
        <v/>
      </c>
    </row>
    <row r="11">
      <c r="A11" t="inlineStr">
        <is>
          <t>Dia 2</t>
        </is>
      </c>
      <c r="B11" t="inlineStr">
        <is>
          <t>MP3</t>
        </is>
      </c>
      <c r="C11" t="n">
        <v>19.966</v>
      </c>
      <c r="D11" t="n">
        <v>24</v>
      </c>
      <c r="E11" t="n">
        <v>43.966</v>
      </c>
      <c r="F11" t="n">
        <v>0</v>
      </c>
      <c r="G11" t="n">
        <v>10.456</v>
      </c>
      <c r="H11" t="n">
        <v>33.51</v>
      </c>
      <c r="I11" t="n">
        <v>75.59999999999999</v>
      </c>
      <c r="J11" s="10">
        <f>H11/I11</f>
        <v/>
      </c>
    </row>
    <row r="12"/>
    <row r="13">
      <c r="A13" t="inlineStr">
        <is>
          <t>Dia 3</t>
        </is>
      </c>
      <c r="B13" t="inlineStr">
        <is>
          <t>MP1</t>
        </is>
      </c>
      <c r="C13" t="n">
        <v>34.004</v>
      </c>
      <c r="D13" t="n">
        <v>0</v>
      </c>
      <c r="E13" t="n">
        <v>34.004</v>
      </c>
      <c r="F13" t="n">
        <v>0</v>
      </c>
      <c r="G13" t="n">
        <v>3.029</v>
      </c>
      <c r="H13" t="n">
        <v>30.975</v>
      </c>
      <c r="I13" t="n">
        <v>127</v>
      </c>
      <c r="J13" s="10">
        <f>H13/I13</f>
        <v/>
      </c>
    </row>
    <row r="14">
      <c r="A14" t="inlineStr">
        <is>
          <t>Dia 3</t>
        </is>
      </c>
      <c r="B14" t="inlineStr">
        <is>
          <t>MP2</t>
        </is>
      </c>
      <c r="C14" t="n">
        <v>28.506</v>
      </c>
      <c r="D14" t="n">
        <v>24</v>
      </c>
      <c r="E14" t="n">
        <v>50.4</v>
      </c>
      <c r="F14" s="12" t="n">
        <v>2.106</v>
      </c>
      <c r="G14" t="n">
        <v>4.543</v>
      </c>
      <c r="H14" t="n">
        <v>45.857</v>
      </c>
      <c r="I14" t="n">
        <v>50.4</v>
      </c>
      <c r="J14" s="10">
        <f>H14/I14</f>
        <v/>
      </c>
    </row>
    <row r="15">
      <c r="A15" t="inlineStr">
        <is>
          <t>Dia 3</t>
        </is>
      </c>
      <c r="B15" t="inlineStr">
        <is>
          <t>MP3</t>
        </is>
      </c>
      <c r="C15" t="n">
        <v>33.51</v>
      </c>
      <c r="D15" t="n">
        <v>22.2</v>
      </c>
      <c r="E15" t="n">
        <v>55.71</v>
      </c>
      <c r="F15" t="n">
        <v>0</v>
      </c>
      <c r="G15" t="n">
        <v>7.572</v>
      </c>
      <c r="H15" t="n">
        <v>48.138</v>
      </c>
      <c r="I15" t="n">
        <v>75.59999999999999</v>
      </c>
      <c r="J15" s="10">
        <f>H15/I15</f>
        <v/>
      </c>
    </row>
    <row r="16"/>
    <row r="17">
      <c r="A17" t="inlineStr">
        <is>
          <t>Dia 4</t>
        </is>
      </c>
      <c r="B17" t="inlineStr">
        <is>
          <t>MP1</t>
        </is>
      </c>
      <c r="C17" t="n">
        <v>30.975</v>
      </c>
      <c r="D17" t="n">
        <v>24</v>
      </c>
      <c r="E17" t="n">
        <v>54.975</v>
      </c>
      <c r="F17" t="n">
        <v>0</v>
      </c>
      <c r="G17" t="n">
        <v>0</v>
      </c>
      <c r="H17" t="n">
        <v>54.975</v>
      </c>
      <c r="I17" t="n">
        <v>127</v>
      </c>
      <c r="J17" s="10">
        <f>H17/I17</f>
        <v/>
      </c>
    </row>
    <row r="18">
      <c r="A18" t="inlineStr">
        <is>
          <t>Dia 4</t>
        </is>
      </c>
      <c r="B18" t="inlineStr">
        <is>
          <t>MP2</t>
        </is>
      </c>
      <c r="C18" t="n">
        <v>45.857</v>
      </c>
      <c r="D18" t="n">
        <v>2.4</v>
      </c>
      <c r="E18" t="n">
        <v>48.257</v>
      </c>
      <c r="F18" t="n">
        <v>0</v>
      </c>
      <c r="G18" t="n">
        <v>0</v>
      </c>
      <c r="H18" t="n">
        <v>48.257</v>
      </c>
      <c r="I18" t="n">
        <v>50.4</v>
      </c>
      <c r="J18" s="10">
        <f>H18/I18</f>
        <v/>
      </c>
    </row>
    <row r="19">
      <c r="A19" t="inlineStr">
        <is>
          <t>Dia 4</t>
        </is>
      </c>
      <c r="B19" t="inlineStr">
        <is>
          <t>MP3</t>
        </is>
      </c>
      <c r="C19" t="n">
        <v>48.138</v>
      </c>
      <c r="D19" t="n">
        <v>0</v>
      </c>
      <c r="E19" t="n">
        <v>48.138</v>
      </c>
      <c r="F19" t="n">
        <v>0</v>
      </c>
      <c r="G19" t="n">
        <v>0</v>
      </c>
      <c r="H19" t="n">
        <v>48.138</v>
      </c>
      <c r="I19" t="n">
        <v>75.59999999999999</v>
      </c>
      <c r="J19" s="10">
        <f>H19/I19</f>
        <v/>
      </c>
    </row>
    <row r="20"/>
    <row r="21">
      <c r="A21" t="inlineStr">
        <is>
          <t>Dia 5</t>
        </is>
      </c>
      <c r="B21" t="inlineStr">
        <is>
          <t>MP1</t>
        </is>
      </c>
      <c r="C21" t="n">
        <v>54.975</v>
      </c>
      <c r="D21" t="n">
        <v>24</v>
      </c>
      <c r="E21" t="n">
        <v>78.97499999999999</v>
      </c>
      <c r="F21" t="n">
        <v>0</v>
      </c>
      <c r="G21" t="n">
        <v>0</v>
      </c>
      <c r="H21" t="n">
        <v>78.97499999999999</v>
      </c>
      <c r="I21" t="n">
        <v>127</v>
      </c>
      <c r="J21" s="10">
        <f>H21/I21</f>
        <v/>
      </c>
    </row>
    <row r="22">
      <c r="A22" t="inlineStr">
        <is>
          <t>Dia 5</t>
        </is>
      </c>
      <c r="B22" t="inlineStr">
        <is>
          <t>MP2</t>
        </is>
      </c>
      <c r="C22" t="n">
        <v>48.257</v>
      </c>
      <c r="D22" t="n">
        <v>0</v>
      </c>
      <c r="E22" t="n">
        <v>48.257</v>
      </c>
      <c r="F22" t="n">
        <v>0</v>
      </c>
      <c r="G22" t="n">
        <v>0</v>
      </c>
      <c r="H22" t="n">
        <v>48.257</v>
      </c>
      <c r="I22" t="n">
        <v>50.4</v>
      </c>
      <c r="J22" s="10">
        <f>H22/I22</f>
        <v/>
      </c>
    </row>
    <row r="23">
      <c r="A23" t="inlineStr">
        <is>
          <t>Dia 5</t>
        </is>
      </c>
      <c r="B23" t="inlineStr">
        <is>
          <t>MP3</t>
        </is>
      </c>
      <c r="C23" t="n">
        <v>48.138</v>
      </c>
      <c r="D23" t="n">
        <v>0</v>
      </c>
      <c r="E23" t="n">
        <v>48.138</v>
      </c>
      <c r="F23" t="n">
        <v>0</v>
      </c>
      <c r="G23" t="n">
        <v>0</v>
      </c>
      <c r="H23" t="n">
        <v>48.138</v>
      </c>
      <c r="I23" t="n">
        <v>75.59999999999999</v>
      </c>
      <c r="J23" s="10">
        <f>H23/I23</f>
        <v/>
      </c>
    </row>
    <row r="24"/>
    <row r="25"/>
    <row r="26">
      <c r="A26" s="9" t="inlineStr">
        <is>
          <t>BLOCO 2 — PA nos CDs dia a dia</t>
        </is>
      </c>
    </row>
    <row r="27">
      <c r="A27" s="2" t="inlineStr">
        <is>
          <t>Dia</t>
        </is>
      </c>
      <c r="B27" s="2" t="inlineStr">
        <is>
          <t>CD</t>
        </is>
      </c>
      <c r="C27" s="2" t="inlineStr">
        <is>
          <t>PA</t>
        </is>
      </c>
      <c r="D27" s="2" t="inlineStr">
        <is>
          <t>Pré</t>
        </is>
      </c>
      <c r="E27" s="2" t="inlineStr">
        <is>
          <t>+Arr</t>
        </is>
      </c>
      <c r="F27" s="2" t="inlineStr">
        <is>
          <t>-Saída</t>
        </is>
      </c>
      <c r="G27" s="2" t="inlineStr">
        <is>
          <t>Desc</t>
        </is>
      </c>
      <c r="H27" s="2" t="inlineStr">
        <is>
          <t>End</t>
        </is>
      </c>
      <c r="I27" s="2" t="inlineStr">
        <is>
          <t>Cap</t>
        </is>
      </c>
      <c r="J27" s="2" t="inlineStr">
        <is>
          <t>%</t>
        </is>
      </c>
    </row>
    <row r="28">
      <c r="A28" t="inlineStr">
        <is>
          <t>Dia 1</t>
        </is>
      </c>
      <c r="B28" t="inlineStr">
        <is>
          <t>CD1 (São Luís)</t>
        </is>
      </c>
      <c r="C28" t="inlineStr">
        <is>
          <t>PA1</t>
        </is>
      </c>
      <c r="D28" t="n">
        <v>0</v>
      </c>
      <c r="E28" t="n">
        <v>146893</v>
      </c>
      <c r="F28" t="n">
        <v>0</v>
      </c>
      <c r="G28" t="n">
        <v>0</v>
      </c>
      <c r="H28" t="n">
        <v>146893</v>
      </c>
      <c r="I28" t="n">
        <v>733333</v>
      </c>
      <c r="J28" s="10">
        <f>H28/I28</f>
        <v/>
      </c>
    </row>
    <row r="29">
      <c r="A29" t="inlineStr">
        <is>
          <t>Dia 1</t>
        </is>
      </c>
      <c r="B29" t="inlineStr">
        <is>
          <t>CD1 (São Luís)</t>
        </is>
      </c>
      <c r="C29" t="inlineStr">
        <is>
          <t>PA3</t>
        </is>
      </c>
      <c r="D29" t="n">
        <v>115</v>
      </c>
      <c r="E29" t="n">
        <v>0</v>
      </c>
      <c r="F29" t="n">
        <v>0</v>
      </c>
      <c r="G29" t="n">
        <v>0</v>
      </c>
      <c r="H29" t="n">
        <v>115</v>
      </c>
      <c r="I29" t="n">
        <v>9312000</v>
      </c>
      <c r="J29" s="10">
        <f>H29/I29</f>
        <v/>
      </c>
    </row>
    <row r="30">
      <c r="A30" t="inlineStr">
        <is>
          <t>Dia 1</t>
        </is>
      </c>
      <c r="B30" t="inlineStr">
        <is>
          <t>CD2 (Santos)</t>
        </is>
      </c>
      <c r="C30" t="inlineStr">
        <is>
          <t>PA1</t>
        </is>
      </c>
      <c r="D30" t="n">
        <v>81</v>
      </c>
      <c r="E30" t="n">
        <v>0</v>
      </c>
      <c r="F30" t="n">
        <v>0</v>
      </c>
      <c r="G30" t="n">
        <v>0</v>
      </c>
      <c r="H30" t="n">
        <v>81</v>
      </c>
      <c r="I30" t="n">
        <v>666666</v>
      </c>
      <c r="J30" s="10">
        <f>H30/I30</f>
        <v/>
      </c>
    </row>
    <row r="31">
      <c r="A31" t="inlineStr">
        <is>
          <t>Dia 1</t>
        </is>
      </c>
      <c r="B31" t="inlineStr">
        <is>
          <t>CD2 (Santos)</t>
        </is>
      </c>
      <c r="C31" t="inlineStr">
        <is>
          <t>PA2</t>
        </is>
      </c>
      <c r="D31" t="n">
        <v>137</v>
      </c>
      <c r="E31" t="n">
        <v>0</v>
      </c>
      <c r="F31" t="n">
        <v>0</v>
      </c>
      <c r="G31" t="n">
        <v>0</v>
      </c>
      <c r="H31" t="n">
        <v>137</v>
      </c>
      <c r="I31" t="n">
        <v>400000</v>
      </c>
      <c r="J31" s="10">
        <f>H31/I31</f>
        <v/>
      </c>
    </row>
    <row r="32">
      <c r="A32" t="inlineStr">
        <is>
          <t>Dia 1</t>
        </is>
      </c>
      <c r="B32" t="inlineStr">
        <is>
          <t>CD2 (Santos)</t>
        </is>
      </c>
      <c r="C32" t="inlineStr">
        <is>
          <t>PA3</t>
        </is>
      </c>
      <c r="D32" t="n">
        <v>192</v>
      </c>
      <c r="E32" t="n">
        <v>0</v>
      </c>
      <c r="F32" t="n">
        <v>0</v>
      </c>
      <c r="G32" t="n">
        <v>0</v>
      </c>
      <c r="H32" t="n">
        <v>192</v>
      </c>
      <c r="I32" t="n">
        <v>8533333</v>
      </c>
      <c r="J32" s="10">
        <f>H32/I32</f>
        <v/>
      </c>
    </row>
    <row r="33">
      <c r="A33" t="inlineStr">
        <is>
          <t>Dia 2</t>
        </is>
      </c>
      <c r="B33" t="inlineStr">
        <is>
          <t>CD1 (São Luís)</t>
        </is>
      </c>
      <c r="C33" t="inlineStr">
        <is>
          <t>PA1</t>
        </is>
      </c>
      <c r="D33" t="n">
        <v>146893</v>
      </c>
      <c r="E33" t="n">
        <v>69709</v>
      </c>
      <c r="F33" t="n">
        <v>146893</v>
      </c>
      <c r="G33" t="n">
        <v>0</v>
      </c>
      <c r="H33" t="n">
        <v>69709</v>
      </c>
      <c r="I33" t="n">
        <v>733333</v>
      </c>
      <c r="J33" s="10">
        <f>H33/I33</f>
        <v/>
      </c>
    </row>
    <row r="34">
      <c r="A34" t="inlineStr">
        <is>
          <t>Dia 2</t>
        </is>
      </c>
      <c r="B34" t="inlineStr">
        <is>
          <t>CD1 (São Luís)</t>
        </is>
      </c>
      <c r="C34" t="inlineStr">
        <is>
          <t>PA3</t>
        </is>
      </c>
      <c r="D34" t="n">
        <v>115</v>
      </c>
      <c r="E34" t="n">
        <v>0</v>
      </c>
      <c r="F34" t="n">
        <v>0</v>
      </c>
      <c r="G34" t="n">
        <v>0</v>
      </c>
      <c r="H34" t="n">
        <v>115</v>
      </c>
      <c r="I34" t="n">
        <v>9312000</v>
      </c>
      <c r="J34" s="10">
        <f>H34/I34</f>
        <v/>
      </c>
    </row>
    <row r="35">
      <c r="A35" t="inlineStr">
        <is>
          <t>Dia 2</t>
        </is>
      </c>
      <c r="B35" t="inlineStr">
        <is>
          <t>CD2 (Santos)</t>
        </is>
      </c>
      <c r="C35" t="inlineStr">
        <is>
          <t>PA1</t>
        </is>
      </c>
      <c r="D35" t="n">
        <v>81</v>
      </c>
      <c r="E35" t="n">
        <v>0</v>
      </c>
      <c r="F35" t="n">
        <v>0</v>
      </c>
      <c r="G35" t="n">
        <v>0</v>
      </c>
      <c r="H35" t="n">
        <v>81</v>
      </c>
      <c r="I35" t="n">
        <v>666666</v>
      </c>
      <c r="J35" s="10">
        <f>H35/I35</f>
        <v/>
      </c>
    </row>
    <row r="36">
      <c r="A36" t="inlineStr">
        <is>
          <t>Dia 2</t>
        </is>
      </c>
      <c r="B36" t="inlineStr">
        <is>
          <t>CD2 (Santos)</t>
        </is>
      </c>
      <c r="C36" t="inlineStr">
        <is>
          <t>PA2</t>
        </is>
      </c>
      <c r="D36" t="n">
        <v>137</v>
      </c>
      <c r="E36" t="n">
        <v>0</v>
      </c>
      <c r="F36" t="n">
        <v>0</v>
      </c>
      <c r="G36" t="n">
        <v>0</v>
      </c>
      <c r="H36" t="n">
        <v>137</v>
      </c>
      <c r="I36" t="n">
        <v>400000</v>
      </c>
      <c r="J36" s="10">
        <f>H36/I36</f>
        <v/>
      </c>
    </row>
    <row r="37">
      <c r="A37" t="inlineStr">
        <is>
          <t>Dia 2</t>
        </is>
      </c>
      <c r="B37" t="inlineStr">
        <is>
          <t>CD2 (Santos)</t>
        </is>
      </c>
      <c r="C37" t="inlineStr">
        <is>
          <t>PA3</t>
        </is>
      </c>
      <c r="D37" t="n">
        <v>192</v>
      </c>
      <c r="E37" t="n">
        <v>0</v>
      </c>
      <c r="F37" t="n">
        <v>0</v>
      </c>
      <c r="G37" t="n">
        <v>0</v>
      </c>
      <c r="H37" t="n">
        <v>192</v>
      </c>
      <c r="I37" t="n">
        <v>8533333</v>
      </c>
      <c r="J37" s="10">
        <f>H37/I37</f>
        <v/>
      </c>
    </row>
    <row r="38">
      <c r="A38" t="inlineStr">
        <is>
          <t>Dia 3</t>
        </is>
      </c>
      <c r="B38" t="inlineStr">
        <is>
          <t>CD1 (São Luís)</t>
        </is>
      </c>
      <c r="C38" t="inlineStr">
        <is>
          <t>PA1</t>
        </is>
      </c>
      <c r="D38" t="n">
        <v>69709</v>
      </c>
      <c r="E38" t="n">
        <v>18028</v>
      </c>
      <c r="F38" t="n">
        <v>69709</v>
      </c>
      <c r="G38" t="n">
        <v>0</v>
      </c>
      <c r="H38" t="n">
        <v>18028</v>
      </c>
      <c r="I38" t="n">
        <v>733333</v>
      </c>
      <c r="J38" s="10">
        <f>H38/I38</f>
        <v/>
      </c>
    </row>
    <row r="39">
      <c r="A39" t="inlineStr">
        <is>
          <t>Dia 3</t>
        </is>
      </c>
      <c r="B39" t="inlineStr">
        <is>
          <t>CD1 (São Luís)</t>
        </is>
      </c>
      <c r="C39" t="inlineStr">
        <is>
          <t>PA3</t>
        </is>
      </c>
      <c r="D39" t="n">
        <v>115</v>
      </c>
      <c r="E39" t="n">
        <v>0</v>
      </c>
      <c r="F39" t="n">
        <v>0</v>
      </c>
      <c r="G39" t="n">
        <v>0</v>
      </c>
      <c r="H39" t="n">
        <v>115</v>
      </c>
      <c r="I39" t="n">
        <v>9312000</v>
      </c>
      <c r="J39" s="10">
        <f>H39/I39</f>
        <v/>
      </c>
    </row>
    <row r="40">
      <c r="A40" t="inlineStr">
        <is>
          <t>Dia 3</t>
        </is>
      </c>
      <c r="B40" t="inlineStr">
        <is>
          <t>CD2 (Santos)</t>
        </is>
      </c>
      <c r="C40" t="inlineStr">
        <is>
          <t>PA1</t>
        </is>
      </c>
      <c r="D40" t="n">
        <v>81</v>
      </c>
      <c r="E40" t="n">
        <v>32450</v>
      </c>
      <c r="F40" t="n">
        <v>0</v>
      </c>
      <c r="G40" t="n">
        <v>0</v>
      </c>
      <c r="H40" t="n">
        <v>32531</v>
      </c>
      <c r="I40" t="n">
        <v>666666</v>
      </c>
      <c r="J40" s="10">
        <f>H40/I40</f>
        <v/>
      </c>
    </row>
    <row r="41">
      <c r="A41" t="inlineStr">
        <is>
          <t>Dia 3</t>
        </is>
      </c>
      <c r="B41" t="inlineStr">
        <is>
          <t>CD2 (Santos)</t>
        </is>
      </c>
      <c r="C41" t="inlineStr">
        <is>
          <t>PA2</t>
        </is>
      </c>
      <c r="D41" t="n">
        <v>137</v>
      </c>
      <c r="E41" t="n">
        <v>0</v>
      </c>
      <c r="F41" t="n">
        <v>0</v>
      </c>
      <c r="G41" t="n">
        <v>0</v>
      </c>
      <c r="H41" t="n">
        <v>137</v>
      </c>
      <c r="I41" t="n">
        <v>400000</v>
      </c>
      <c r="J41" s="10">
        <f>H41/I41</f>
        <v/>
      </c>
    </row>
    <row r="42">
      <c r="A42" t="inlineStr">
        <is>
          <t>Dia 3</t>
        </is>
      </c>
      <c r="B42" t="inlineStr">
        <is>
          <t>CD2 (Santos)</t>
        </is>
      </c>
      <c r="C42" t="inlineStr">
        <is>
          <t>PA3</t>
        </is>
      </c>
      <c r="D42" t="n">
        <v>192</v>
      </c>
      <c r="E42" t="n">
        <v>0</v>
      </c>
      <c r="F42" t="n">
        <v>0</v>
      </c>
      <c r="G42" t="n">
        <v>0</v>
      </c>
      <c r="H42" t="n">
        <v>192</v>
      </c>
      <c r="I42" t="n">
        <v>8533333</v>
      </c>
      <c r="J42" s="10">
        <f>H42/I42</f>
        <v/>
      </c>
    </row>
    <row r="43">
      <c r="A43" t="inlineStr">
        <is>
          <t>Dia 4</t>
        </is>
      </c>
      <c r="B43" t="inlineStr">
        <is>
          <t>CD1 (São Luís)</t>
        </is>
      </c>
      <c r="C43" t="inlineStr">
        <is>
          <t>PA1</t>
        </is>
      </c>
      <c r="D43" t="n">
        <v>18028</v>
      </c>
      <c r="E43" t="n">
        <v>0</v>
      </c>
      <c r="F43" t="n">
        <v>18028</v>
      </c>
      <c r="G43" t="n">
        <v>0</v>
      </c>
      <c r="H43" t="n">
        <v>0</v>
      </c>
      <c r="I43" t="n">
        <v>733333</v>
      </c>
      <c r="J43" s="10">
        <f>H43/I43</f>
        <v/>
      </c>
    </row>
    <row r="44">
      <c r="A44" t="inlineStr">
        <is>
          <t>Dia 4</t>
        </is>
      </c>
      <c r="B44" t="inlineStr">
        <is>
          <t>CD1 (São Luís)</t>
        </is>
      </c>
      <c r="C44" t="inlineStr">
        <is>
          <t>PA3</t>
        </is>
      </c>
      <c r="D44" t="n">
        <v>115</v>
      </c>
      <c r="E44" t="n">
        <v>0</v>
      </c>
      <c r="F44" t="n">
        <v>0</v>
      </c>
      <c r="G44" t="n">
        <v>0</v>
      </c>
      <c r="H44" t="n">
        <v>115</v>
      </c>
      <c r="I44" t="n">
        <v>9312000</v>
      </c>
      <c r="J44" s="10">
        <f>H44/I44</f>
        <v/>
      </c>
    </row>
    <row r="45">
      <c r="A45" t="inlineStr">
        <is>
          <t>Dia 4</t>
        </is>
      </c>
      <c r="B45" t="inlineStr">
        <is>
          <t>CD2 (Santos)</t>
        </is>
      </c>
      <c r="C45" t="inlineStr">
        <is>
          <t>PA1</t>
        </is>
      </c>
      <c r="D45" t="n">
        <v>32531</v>
      </c>
      <c r="E45" t="n">
        <v>0</v>
      </c>
      <c r="F45" t="n">
        <v>32450</v>
      </c>
      <c r="G45" t="n">
        <v>0</v>
      </c>
      <c r="H45" t="n">
        <v>81</v>
      </c>
      <c r="I45" t="n">
        <v>666666</v>
      </c>
      <c r="J45" s="10">
        <f>H45/I45</f>
        <v/>
      </c>
    </row>
    <row r="46">
      <c r="A46" t="inlineStr">
        <is>
          <t>Dia 4</t>
        </is>
      </c>
      <c r="B46" t="inlineStr">
        <is>
          <t>CD2 (Santos)</t>
        </is>
      </c>
      <c r="C46" t="inlineStr">
        <is>
          <t>PA2</t>
        </is>
      </c>
      <c r="D46" t="n">
        <v>137</v>
      </c>
      <c r="E46" t="n">
        <v>0</v>
      </c>
      <c r="F46" t="n">
        <v>0</v>
      </c>
      <c r="G46" t="n">
        <v>0</v>
      </c>
      <c r="H46" t="n">
        <v>137</v>
      </c>
      <c r="I46" t="n">
        <v>400000</v>
      </c>
      <c r="J46" s="10">
        <f>H46/I46</f>
        <v/>
      </c>
    </row>
    <row r="47">
      <c r="A47" t="inlineStr">
        <is>
          <t>Dia 4</t>
        </is>
      </c>
      <c r="B47" t="inlineStr">
        <is>
          <t>CD2 (Santos)</t>
        </is>
      </c>
      <c r="C47" t="inlineStr">
        <is>
          <t>PA3</t>
        </is>
      </c>
      <c r="D47" t="n">
        <v>192</v>
      </c>
      <c r="E47" t="n">
        <v>0</v>
      </c>
      <c r="F47" t="n">
        <v>0</v>
      </c>
      <c r="G47" t="n">
        <v>0</v>
      </c>
      <c r="H47" t="n">
        <v>192</v>
      </c>
      <c r="I47" t="n">
        <v>8533333</v>
      </c>
      <c r="J47" s="10">
        <f>H47/I47</f>
        <v/>
      </c>
    </row>
    <row r="48">
      <c r="A48" t="inlineStr">
        <is>
          <t>Dia 5</t>
        </is>
      </c>
      <c r="B48" t="inlineStr">
        <is>
          <t>CD1 (São Luís)</t>
        </is>
      </c>
      <c r="C48" t="inlineStr">
        <is>
          <t>PA3</t>
        </is>
      </c>
      <c r="D48" t="n">
        <v>115</v>
      </c>
      <c r="E48" t="n">
        <v>0</v>
      </c>
      <c r="F48" t="n">
        <v>0</v>
      </c>
      <c r="G48" t="n">
        <v>0</v>
      </c>
      <c r="H48" t="n">
        <v>115</v>
      </c>
      <c r="I48" t="n">
        <v>9312000</v>
      </c>
      <c r="J48" s="10">
        <f>H48/I48</f>
        <v/>
      </c>
    </row>
    <row r="49">
      <c r="A49" t="inlineStr">
        <is>
          <t>Dia 5</t>
        </is>
      </c>
      <c r="B49" t="inlineStr">
        <is>
          <t>CD2 (Santos)</t>
        </is>
      </c>
      <c r="C49" t="inlineStr">
        <is>
          <t>PA1</t>
        </is>
      </c>
      <c r="D49" t="n">
        <v>81</v>
      </c>
      <c r="E49" t="n">
        <v>0</v>
      </c>
      <c r="F49" t="n">
        <v>0</v>
      </c>
      <c r="G49" t="n">
        <v>0</v>
      </c>
      <c r="H49" t="n">
        <v>81</v>
      </c>
      <c r="I49" t="n">
        <v>666666</v>
      </c>
      <c r="J49" s="10">
        <f>H49/I49</f>
        <v/>
      </c>
    </row>
    <row r="50">
      <c r="A50" t="inlineStr">
        <is>
          <t>Dia 5</t>
        </is>
      </c>
      <c r="B50" t="inlineStr">
        <is>
          <t>CD2 (Santos)</t>
        </is>
      </c>
      <c r="C50" t="inlineStr">
        <is>
          <t>PA2</t>
        </is>
      </c>
      <c r="D50" t="n">
        <v>137</v>
      </c>
      <c r="E50" t="n">
        <v>0</v>
      </c>
      <c r="F50" t="n">
        <v>0</v>
      </c>
      <c r="G50" t="n">
        <v>0</v>
      </c>
      <c r="H50" t="n">
        <v>137</v>
      </c>
      <c r="I50" t="n">
        <v>400000</v>
      </c>
      <c r="J50" s="10">
        <f>H50/I50</f>
        <v/>
      </c>
    </row>
    <row r="51">
      <c r="A51" t="inlineStr">
        <is>
          <t>Dia 5</t>
        </is>
      </c>
      <c r="B51" t="inlineStr">
        <is>
          <t>CD2 (Santos)</t>
        </is>
      </c>
      <c r="C51" t="inlineStr">
        <is>
          <t>PA3</t>
        </is>
      </c>
      <c r="D51" t="n">
        <v>192</v>
      </c>
      <c r="E51" t="n">
        <v>0</v>
      </c>
      <c r="F51" t="n">
        <v>0</v>
      </c>
      <c r="G51" t="n">
        <v>0</v>
      </c>
      <c r="H51" t="n">
        <v>192</v>
      </c>
      <c r="I51" t="n">
        <v>8533333</v>
      </c>
      <c r="J51" s="10">
        <f>H51/I51</f>
        <v/>
      </c>
    </row>
    <row r="52"/>
    <row r="53">
      <c r="A53" s="9" t="inlineStr">
        <is>
          <t>BLOCO 3 — Produção + Utilização fábrica</t>
        </is>
      </c>
    </row>
    <row r="54">
      <c r="A54" s="2" t="inlineStr">
        <is>
          <t>Dia</t>
        </is>
      </c>
      <c r="B54" s="2" t="inlineStr">
        <is>
          <t>PA1</t>
        </is>
      </c>
      <c r="C54" s="2" t="inlineStr">
        <is>
          <t>PA2</t>
        </is>
      </c>
      <c r="D54" s="2" t="inlineStr">
        <is>
          <t>PA3</t>
        </is>
      </c>
      <c r="E54" s="2" t="inlineStr">
        <is>
          <t>Min PA1</t>
        </is>
      </c>
      <c r="F54" s="2" t="inlineStr">
        <is>
          <t>Min PA2</t>
        </is>
      </c>
      <c r="G54" s="2" t="inlineStr">
        <is>
          <t>Min PA3</t>
        </is>
      </c>
      <c r="H54" s="2" t="inlineStr">
        <is>
          <t>Min total</t>
        </is>
      </c>
      <c r="I54" s="2" t="inlineStr">
        <is>
          <t>Cap</t>
        </is>
      </c>
      <c r="J54" s="2" t="inlineStr">
        <is>
          <t>Util %</t>
        </is>
      </c>
    </row>
    <row r="55">
      <c r="A55" t="inlineStr">
        <is>
          <t>Dia 1</t>
        </is>
      </c>
      <c r="B55" t="n">
        <v>146893</v>
      </c>
      <c r="C55" t="n">
        <v>0</v>
      </c>
      <c r="D55" t="n">
        <v>0</v>
      </c>
      <c r="E55">
        <f>B55/15</f>
        <v/>
      </c>
      <c r="F55">
        <f>C55/30</f>
        <v/>
      </c>
      <c r="G55">
        <f>D55/60</f>
        <v/>
      </c>
      <c r="H55">
        <f>E55+F55+G55</f>
        <v/>
      </c>
      <c r="I55" t="n">
        <v>10080</v>
      </c>
      <c r="J55" s="10">
        <f>H55/I55</f>
        <v/>
      </c>
    </row>
    <row r="56">
      <c r="A56" t="inlineStr">
        <is>
          <t>Dia 2</t>
        </is>
      </c>
      <c r="B56" t="n">
        <v>69709</v>
      </c>
      <c r="C56" t="n">
        <v>0</v>
      </c>
      <c r="D56" t="n">
        <v>0</v>
      </c>
      <c r="E56">
        <f>B56/15</f>
        <v/>
      </c>
      <c r="F56">
        <f>C56/30</f>
        <v/>
      </c>
      <c r="G56">
        <f>D56/60</f>
        <v/>
      </c>
      <c r="H56">
        <f>E56+F56+G56</f>
        <v/>
      </c>
      <c r="I56" t="n">
        <v>10080</v>
      </c>
      <c r="J56" s="10">
        <f>H56/I56</f>
        <v/>
      </c>
    </row>
    <row r="57">
      <c r="A57" t="inlineStr">
        <is>
          <t>Dia 3</t>
        </is>
      </c>
      <c r="B57" t="n">
        <v>50478</v>
      </c>
      <c r="C57" t="n">
        <v>0</v>
      </c>
      <c r="D57" t="n">
        <v>0</v>
      </c>
      <c r="E57">
        <f>B57/15</f>
        <v/>
      </c>
      <c r="F57">
        <f>C57/30</f>
        <v/>
      </c>
      <c r="G57">
        <f>D57/60</f>
        <v/>
      </c>
      <c r="H57">
        <f>E57+F57+G57</f>
        <v/>
      </c>
      <c r="I57" t="n">
        <v>10080</v>
      </c>
      <c r="J57" s="10">
        <f>H57/I57</f>
        <v/>
      </c>
    </row>
    <row r="58">
      <c r="A58" t="inlineStr">
        <is>
          <t>Dia 4</t>
        </is>
      </c>
      <c r="B58" t="n">
        <v>0</v>
      </c>
      <c r="C58" t="n">
        <v>0</v>
      </c>
      <c r="D58" t="n">
        <v>0</v>
      </c>
      <c r="E58">
        <f>B58/15</f>
        <v/>
      </c>
      <c r="F58">
        <f>C58/30</f>
        <v/>
      </c>
      <c r="G58">
        <f>D58/60</f>
        <v/>
      </c>
      <c r="H58">
        <f>E58+F58+G58</f>
        <v/>
      </c>
      <c r="I58" t="n">
        <v>10080</v>
      </c>
      <c r="J58" s="10">
        <f>H58/I58</f>
        <v/>
      </c>
    </row>
    <row r="59">
      <c r="A59" t="inlineStr">
        <is>
          <t>Dia 5</t>
        </is>
      </c>
      <c r="B59" t="n">
        <v>0</v>
      </c>
      <c r="C59" t="n">
        <v>0</v>
      </c>
      <c r="D59" t="n">
        <v>0</v>
      </c>
      <c r="E59">
        <f>B59/15</f>
        <v/>
      </c>
      <c r="F59">
        <f>C59/30</f>
        <v/>
      </c>
      <c r="G59">
        <f>D59/60</f>
        <v/>
      </c>
      <c r="H59">
        <f>E59+F59+G59</f>
        <v/>
      </c>
      <c r="I59" t="n">
        <v>10080</v>
      </c>
      <c r="J59" s="10">
        <f>H59/I59</f>
        <v/>
      </c>
    </row>
    <row r="60"/>
    <row r="61">
      <c r="A61" s="9" t="inlineStr">
        <is>
          <t>BLOCO 4 — Transportes por modal</t>
        </is>
      </c>
    </row>
    <row r="62">
      <c r="A62" s="2" t="inlineStr">
        <is>
          <t>Modal</t>
        </is>
      </c>
      <c r="B62" s="2" t="inlineStr">
        <is>
          <t>Viagens</t>
        </is>
      </c>
      <c r="C62" s="2" t="inlineStr">
        <is>
          <t>% do total</t>
        </is>
      </c>
    </row>
    <row r="63">
      <c r="A63" t="inlineStr">
        <is>
          <t>Caminhão</t>
        </is>
      </c>
      <c r="B63" t="n">
        <v>7</v>
      </c>
      <c r="C63" s="10" t="n">
        <v>0.03910614525139665</v>
      </c>
    </row>
    <row r="64">
      <c r="A64" t="inlineStr">
        <is>
          <t>Navio</t>
        </is>
      </c>
      <c r="B64" t="n">
        <v>0</v>
      </c>
      <c r="C64" s="10" t="n">
        <v>0</v>
      </c>
    </row>
    <row r="65">
      <c r="A65" t="inlineStr">
        <is>
          <t>Avião</t>
        </is>
      </c>
      <c r="B65" t="n">
        <v>172</v>
      </c>
      <c r="C65" s="10" t="n">
        <v>0.9608938547486033</v>
      </c>
    </row>
    <row r="66">
      <c r="A66" s="7" t="inlineStr">
        <is>
          <t>TOTAL</t>
        </is>
      </c>
      <c r="B66" s="7" t="n">
        <v>179</v>
      </c>
    </row>
    <row r="67"/>
    <row r="68">
      <c r="A68" s="9" t="inlineStr">
        <is>
          <t>BLOCO 5 — DRE Rodada 2</t>
        </is>
      </c>
    </row>
    <row r="69">
      <c r="A69" s="2" t="inlineStr">
        <is>
          <t>Linha</t>
        </is>
      </c>
      <c r="B69" s="2" t="inlineStr">
        <is>
          <t>Valor R$</t>
        </is>
      </c>
    </row>
    <row r="70">
      <c r="A70" t="inlineStr">
        <is>
          <t>Receita (PA atendidos no dia)</t>
        </is>
      </c>
      <c r="B70" s="4" t="n">
        <v>0</v>
      </c>
    </row>
    <row r="71">
      <c r="A71" t="inlineStr">
        <is>
          <t>(-) Custos fixos</t>
        </is>
      </c>
      <c r="B71" s="4" t="n">
        <v>-1123151</v>
      </c>
    </row>
    <row r="72">
      <c r="A72" t="inlineStr">
        <is>
          <t>(-) Compra MP</t>
        </is>
      </c>
      <c r="B72" s="4" t="n">
        <v>-4622400</v>
      </c>
    </row>
    <row r="73">
      <c r="A73" t="inlineStr">
        <is>
          <t>(-) Frete</t>
        </is>
      </c>
      <c r="B73" s="4" t="n">
        <v>-6564345.619600001</v>
      </c>
    </row>
    <row r="74">
      <c r="A74" t="inlineStr">
        <is>
          <t>(-) Carregamento MP</t>
        </is>
      </c>
      <c r="B74" s="4" t="n">
        <v>-74579.2276</v>
      </c>
    </row>
    <row r="75">
      <c r="A75" t="inlineStr">
        <is>
          <t>(-) Carregamento PA</t>
        </is>
      </c>
      <c r="B75" s="4" t="n">
        <v>-231.54</v>
      </c>
    </row>
    <row r="76">
      <c r="A76" s="7">
        <f> Resultado da rodada</f>
        <v/>
      </c>
      <c r="B76" s="11" t="n">
        <v>-12384707.3872</v>
      </c>
    </row>
  </sheetData>
  <mergeCells count="6">
    <mergeCell ref="A1:J1"/>
    <mergeCell ref="A61:J61"/>
    <mergeCell ref="A3:J3"/>
    <mergeCell ref="A53:J53"/>
    <mergeCell ref="A26:J26"/>
    <mergeCell ref="A68:J68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J101"/>
  <sheetViews>
    <sheetView workbookViewId="0">
      <selection activeCell="A1" sqref="A1"/>
    </sheetView>
  </sheetViews>
  <sheetFormatPr baseColWidth="8" defaultRowHeight="15"/>
  <cols>
    <col width="43" customWidth="1" min="1" max="1"/>
  </cols>
  <sheetData>
    <row r="1">
      <c r="A1" s="1" t="inlineStr">
        <is>
          <t>RODADA 3 — SIMULAÇÃO DIA A DIA</t>
        </is>
      </c>
    </row>
    <row r="2"/>
    <row r="3">
      <c r="A3" s="9" t="inlineStr">
        <is>
          <t>BLOCO 1 — Estoque MP F1 dia a dia</t>
        </is>
      </c>
    </row>
    <row r="4">
      <c r="A4" s="2" t="inlineStr">
        <is>
          <t>Dia</t>
        </is>
      </c>
      <c r="B4" s="2" t="inlineStr">
        <is>
          <t>MP</t>
        </is>
      </c>
      <c r="C4" s="2" t="inlineStr">
        <is>
          <t>Pré</t>
        </is>
      </c>
      <c r="D4" s="2" t="inlineStr">
        <is>
          <t>+Arr</t>
        </is>
      </c>
      <c r="E4" s="2" t="inlineStr">
        <is>
          <t>Pos</t>
        </is>
      </c>
      <c r="F4" s="2" t="inlineStr">
        <is>
          <t>Desc</t>
        </is>
      </c>
      <c r="G4" s="2" t="inlineStr">
        <is>
          <t>Consumo</t>
        </is>
      </c>
      <c r="H4" s="2" t="inlineStr">
        <is>
          <t>End</t>
        </is>
      </c>
      <c r="I4" s="2" t="inlineStr">
        <is>
          <t>Cap</t>
        </is>
      </c>
      <c r="J4" s="2" t="inlineStr">
        <is>
          <t>%</t>
        </is>
      </c>
    </row>
    <row r="5">
      <c r="A5" t="inlineStr">
        <is>
          <t>Dia 1</t>
        </is>
      </c>
      <c r="B5" t="inlineStr">
        <is>
          <t>MP1</t>
        </is>
      </c>
      <c r="C5" t="n">
        <v>78.97499999999999</v>
      </c>
      <c r="D5" t="n">
        <v>8.699999999999999</v>
      </c>
      <c r="E5" t="n">
        <v>87.675</v>
      </c>
      <c r="F5" t="n">
        <v>0</v>
      </c>
      <c r="G5" t="n">
        <v>44.795</v>
      </c>
      <c r="H5" t="n">
        <v>42.88</v>
      </c>
      <c r="I5" t="n">
        <v>127</v>
      </c>
      <c r="J5" s="10">
        <f>H5/I5</f>
        <v/>
      </c>
    </row>
    <row r="6">
      <c r="A6" t="inlineStr">
        <is>
          <t>Dia 1</t>
        </is>
      </c>
      <c r="B6" t="inlineStr">
        <is>
          <t>MP2</t>
        </is>
      </c>
      <c r="C6" t="n">
        <v>48.257</v>
      </c>
      <c r="D6" t="n">
        <v>0</v>
      </c>
      <c r="E6" t="n">
        <v>48.257</v>
      </c>
      <c r="F6" t="n">
        <v>0</v>
      </c>
      <c r="G6" t="n">
        <v>17.918</v>
      </c>
      <c r="H6" t="n">
        <v>30.339</v>
      </c>
      <c r="I6" t="n">
        <v>50.4</v>
      </c>
      <c r="J6" s="10">
        <f>H6/I6</f>
        <v/>
      </c>
    </row>
    <row r="7">
      <c r="A7" t="inlineStr">
        <is>
          <t>Dia 1</t>
        </is>
      </c>
      <c r="B7" t="inlineStr">
        <is>
          <t>MP3</t>
        </is>
      </c>
      <c r="C7" t="n">
        <v>48.138</v>
      </c>
      <c r="D7" t="n">
        <v>0</v>
      </c>
      <c r="E7" t="n">
        <v>48.138</v>
      </c>
      <c r="F7" t="n">
        <v>0</v>
      </c>
      <c r="G7" t="n">
        <v>26.877</v>
      </c>
      <c r="H7" t="n">
        <v>21.261</v>
      </c>
      <c r="I7" t="n">
        <v>75.59999999999999</v>
      </c>
      <c r="J7" s="10">
        <f>H7/I7</f>
        <v/>
      </c>
    </row>
    <row r="8"/>
    <row r="9">
      <c r="A9" t="inlineStr">
        <is>
          <t>Dia 2</t>
        </is>
      </c>
      <c r="B9" t="inlineStr">
        <is>
          <t>MP1</t>
        </is>
      </c>
      <c r="C9" t="n">
        <v>42.88</v>
      </c>
      <c r="D9" t="n">
        <v>0</v>
      </c>
      <c r="E9" t="n">
        <v>42.88</v>
      </c>
      <c r="F9" t="n">
        <v>0</v>
      </c>
      <c r="G9" t="n">
        <v>42.377</v>
      </c>
      <c r="H9" t="n">
        <v>0.503</v>
      </c>
      <c r="I9" t="n">
        <v>127</v>
      </c>
      <c r="J9" s="10">
        <f>H9/I9</f>
        <v/>
      </c>
    </row>
    <row r="10">
      <c r="A10" t="inlineStr">
        <is>
          <t>Dia 2</t>
        </is>
      </c>
      <c r="B10" t="inlineStr">
        <is>
          <t>MP2</t>
        </is>
      </c>
      <c r="C10" t="n">
        <v>30.339</v>
      </c>
      <c r="D10" t="n">
        <v>0</v>
      </c>
      <c r="E10" t="n">
        <v>30.339</v>
      </c>
      <c r="F10" t="n">
        <v>0</v>
      </c>
      <c r="G10" t="n">
        <v>16.951</v>
      </c>
      <c r="H10" t="n">
        <v>13.388</v>
      </c>
      <c r="I10" t="n">
        <v>50.4</v>
      </c>
      <c r="J10" s="10">
        <f>H10/I10</f>
        <v/>
      </c>
    </row>
    <row r="11">
      <c r="A11" t="inlineStr">
        <is>
          <t>Dia 2</t>
        </is>
      </c>
      <c r="B11" t="inlineStr">
        <is>
          <t>MP3</t>
        </is>
      </c>
      <c r="C11" t="n">
        <v>21.261</v>
      </c>
      <c r="D11" t="n">
        <v>20.14</v>
      </c>
      <c r="E11" t="n">
        <v>41.401</v>
      </c>
      <c r="F11" t="n">
        <v>0</v>
      </c>
      <c r="G11" t="n">
        <v>25.426</v>
      </c>
      <c r="H11" t="n">
        <v>15.975</v>
      </c>
      <c r="I11" t="n">
        <v>75.59999999999999</v>
      </c>
      <c r="J11" s="10">
        <f>H11/I11</f>
        <v/>
      </c>
    </row>
    <row r="12"/>
    <row r="13">
      <c r="A13" t="inlineStr">
        <is>
          <t>Dia 3</t>
        </is>
      </c>
      <c r="B13" t="inlineStr">
        <is>
          <t>MP1</t>
        </is>
      </c>
      <c r="C13" t="n">
        <v>0.503</v>
      </c>
      <c r="D13" t="n">
        <v>0</v>
      </c>
      <c r="E13" t="n">
        <v>0.503</v>
      </c>
      <c r="F13" t="n">
        <v>0</v>
      </c>
      <c r="G13" t="n">
        <v>0</v>
      </c>
      <c r="H13" t="n">
        <v>0.503</v>
      </c>
      <c r="I13" t="n">
        <v>127</v>
      </c>
      <c r="J13" s="10">
        <f>H13/I13</f>
        <v/>
      </c>
    </row>
    <row r="14">
      <c r="A14" t="inlineStr">
        <is>
          <t>Dia 3</t>
        </is>
      </c>
      <c r="B14" t="inlineStr">
        <is>
          <t>MP2</t>
        </is>
      </c>
      <c r="C14" t="n">
        <v>13.388</v>
      </c>
      <c r="D14" t="n">
        <v>0</v>
      </c>
      <c r="E14" t="n">
        <v>13.388</v>
      </c>
      <c r="F14" t="n">
        <v>0</v>
      </c>
      <c r="G14" t="n">
        <v>0</v>
      </c>
      <c r="H14" t="n">
        <v>13.388</v>
      </c>
      <c r="I14" t="n">
        <v>50.4</v>
      </c>
      <c r="J14" s="10">
        <f>H14/I14</f>
        <v/>
      </c>
    </row>
    <row r="15">
      <c r="A15" t="inlineStr">
        <is>
          <t>Dia 3</t>
        </is>
      </c>
      <c r="B15" t="inlineStr">
        <is>
          <t>MP3</t>
        </is>
      </c>
      <c r="C15" t="n">
        <v>15.975</v>
      </c>
      <c r="D15" t="n">
        <v>20.14</v>
      </c>
      <c r="E15" t="n">
        <v>36.115</v>
      </c>
      <c r="F15" t="n">
        <v>0</v>
      </c>
      <c r="G15" t="n">
        <v>0</v>
      </c>
      <c r="H15" t="n">
        <v>36.115</v>
      </c>
      <c r="I15" t="n">
        <v>75.59999999999999</v>
      </c>
      <c r="J15" s="10">
        <f>H15/I15</f>
        <v/>
      </c>
    </row>
    <row r="16"/>
    <row r="17">
      <c r="A17" t="inlineStr">
        <is>
          <t>Dia 4</t>
        </is>
      </c>
      <c r="B17" t="inlineStr">
        <is>
          <t>MP1</t>
        </is>
      </c>
      <c r="C17" t="n">
        <v>0.503</v>
      </c>
      <c r="D17" t="n">
        <v>21.52</v>
      </c>
      <c r="E17" t="n">
        <v>22.023</v>
      </c>
      <c r="F17" t="n">
        <v>0</v>
      </c>
      <c r="G17" t="n">
        <v>19.538</v>
      </c>
      <c r="H17" t="n">
        <v>2.485</v>
      </c>
      <c r="I17" t="n">
        <v>127</v>
      </c>
      <c r="J17" s="10">
        <f>H17/I17</f>
        <v/>
      </c>
    </row>
    <row r="18">
      <c r="A18" t="inlineStr">
        <is>
          <t>Dia 4</t>
        </is>
      </c>
      <c r="B18" t="inlineStr">
        <is>
          <t>MP2</t>
        </is>
      </c>
      <c r="C18" t="n">
        <v>13.388</v>
      </c>
      <c r="D18" t="n">
        <v>0</v>
      </c>
      <c r="E18" t="n">
        <v>13.388</v>
      </c>
      <c r="F18" t="n">
        <v>0</v>
      </c>
      <c r="G18" t="n">
        <v>15.331</v>
      </c>
      <c r="H18" s="12" t="n">
        <v>-1.943</v>
      </c>
      <c r="I18" t="n">
        <v>50.4</v>
      </c>
      <c r="J18" s="10">
        <f>H18/I18</f>
        <v/>
      </c>
    </row>
    <row r="19">
      <c r="A19" t="inlineStr">
        <is>
          <t>Dia 4</t>
        </is>
      </c>
      <c r="B19" t="inlineStr">
        <is>
          <t>MP3</t>
        </is>
      </c>
      <c r="C19" t="n">
        <v>36.115</v>
      </c>
      <c r="D19" t="n">
        <v>0</v>
      </c>
      <c r="E19" t="n">
        <v>36.115</v>
      </c>
      <c r="F19" t="n">
        <v>0</v>
      </c>
      <c r="G19" t="n">
        <v>12.119</v>
      </c>
      <c r="H19" t="n">
        <v>23.996</v>
      </c>
      <c r="I19" t="n">
        <v>75.59999999999999</v>
      </c>
      <c r="J19" s="10">
        <f>H19/I19</f>
        <v/>
      </c>
    </row>
    <row r="20"/>
    <row r="21">
      <c r="A21" t="inlineStr">
        <is>
          <t>Dia 5</t>
        </is>
      </c>
      <c r="B21" t="inlineStr">
        <is>
          <t>MP1</t>
        </is>
      </c>
      <c r="C21" t="n">
        <v>2.485</v>
      </c>
      <c r="D21" t="n">
        <v>21.52</v>
      </c>
      <c r="E21" t="n">
        <v>24.005</v>
      </c>
      <c r="F21" t="n">
        <v>0</v>
      </c>
      <c r="G21" t="n">
        <v>0</v>
      </c>
      <c r="H21" t="n">
        <v>24.005</v>
      </c>
      <c r="I21" t="n">
        <v>127</v>
      </c>
      <c r="J21" s="10">
        <f>H21/I21</f>
        <v/>
      </c>
    </row>
    <row r="22">
      <c r="A22" t="inlineStr">
        <is>
          <t>Dia 5</t>
        </is>
      </c>
      <c r="B22" t="inlineStr">
        <is>
          <t>MP2</t>
        </is>
      </c>
      <c r="C22" t="n">
        <v>0</v>
      </c>
      <c r="D22" t="n">
        <v>0</v>
      </c>
      <c r="E22" t="n">
        <v>0</v>
      </c>
      <c r="F22" t="n">
        <v>0</v>
      </c>
      <c r="G22" t="n">
        <v>0</v>
      </c>
      <c r="H22" t="n">
        <v>0</v>
      </c>
      <c r="I22" t="n">
        <v>50.4</v>
      </c>
      <c r="J22" s="10">
        <f>H22/I22</f>
        <v/>
      </c>
    </row>
    <row r="23">
      <c r="A23" t="inlineStr">
        <is>
          <t>Dia 5</t>
        </is>
      </c>
      <c r="B23" t="inlineStr">
        <is>
          <t>MP3</t>
        </is>
      </c>
      <c r="C23" t="n">
        <v>23.996</v>
      </c>
      <c r="D23" t="n">
        <v>0</v>
      </c>
      <c r="E23" t="n">
        <v>23.996</v>
      </c>
      <c r="F23" t="n">
        <v>0</v>
      </c>
      <c r="G23" t="n">
        <v>0</v>
      </c>
      <c r="H23" t="n">
        <v>23.996</v>
      </c>
      <c r="I23" t="n">
        <v>75.59999999999999</v>
      </c>
      <c r="J23" s="10">
        <f>H23/I23</f>
        <v/>
      </c>
    </row>
    <row r="24"/>
    <row r="25"/>
    <row r="26">
      <c r="A26" s="9" t="inlineStr">
        <is>
          <t>BLOCO 2 — PA nos CDs dia a dia</t>
        </is>
      </c>
    </row>
    <row r="27">
      <c r="A27" s="2" t="inlineStr">
        <is>
          <t>Dia</t>
        </is>
      </c>
      <c r="B27" s="2" t="inlineStr">
        <is>
          <t>CD</t>
        </is>
      </c>
      <c r="C27" s="2" t="inlineStr">
        <is>
          <t>PA</t>
        </is>
      </c>
      <c r="D27" s="2" t="inlineStr">
        <is>
          <t>Pré</t>
        </is>
      </c>
      <c r="E27" s="2" t="inlineStr">
        <is>
          <t>+Arr</t>
        </is>
      </c>
      <c r="F27" s="2" t="inlineStr">
        <is>
          <t>-Saída</t>
        </is>
      </c>
      <c r="G27" s="2" t="inlineStr">
        <is>
          <t>Desc</t>
        </is>
      </c>
      <c r="H27" s="2" t="inlineStr">
        <is>
          <t>End</t>
        </is>
      </c>
      <c r="I27" s="2" t="inlineStr">
        <is>
          <t>Cap</t>
        </is>
      </c>
      <c r="J27" s="2" t="inlineStr">
        <is>
          <t>%</t>
        </is>
      </c>
    </row>
    <row r="28">
      <c r="A28" t="inlineStr">
        <is>
          <t>Dia 1</t>
        </is>
      </c>
      <c r="B28" t="inlineStr">
        <is>
          <t>CD1 (São Luís)</t>
        </is>
      </c>
      <c r="C28" t="inlineStr">
        <is>
          <t>PA3</t>
        </is>
      </c>
      <c r="D28" t="n">
        <v>115</v>
      </c>
      <c r="E28" t="n">
        <v>0</v>
      </c>
      <c r="F28" t="n">
        <v>0</v>
      </c>
      <c r="G28" t="n">
        <v>0</v>
      </c>
      <c r="H28" t="n">
        <v>115</v>
      </c>
      <c r="I28" t="n">
        <v>9312000</v>
      </c>
      <c r="J28" s="10">
        <f>H28/I28</f>
        <v/>
      </c>
    </row>
    <row r="29">
      <c r="A29" t="inlineStr">
        <is>
          <t>Dia 1</t>
        </is>
      </c>
      <c r="B29" t="inlineStr">
        <is>
          <t>CD2 (Santos)</t>
        </is>
      </c>
      <c r="C29" t="inlineStr">
        <is>
          <t>PA1</t>
        </is>
      </c>
      <c r="D29" t="n">
        <v>81</v>
      </c>
      <c r="E29" t="n">
        <v>0</v>
      </c>
      <c r="F29" t="n">
        <v>0</v>
      </c>
      <c r="G29" t="n">
        <v>0</v>
      </c>
      <c r="H29" t="n">
        <v>81</v>
      </c>
      <c r="I29" t="n">
        <v>666666</v>
      </c>
      <c r="J29" s="10">
        <f>H29/I29</f>
        <v/>
      </c>
    </row>
    <row r="30">
      <c r="A30" t="inlineStr">
        <is>
          <t>Dia 1</t>
        </is>
      </c>
      <c r="B30" t="inlineStr">
        <is>
          <t>CD2 (Santos)</t>
        </is>
      </c>
      <c r="C30" t="inlineStr">
        <is>
          <t>PA2</t>
        </is>
      </c>
      <c r="D30" t="n">
        <v>137</v>
      </c>
      <c r="E30" t="n">
        <v>0</v>
      </c>
      <c r="F30" t="n">
        <v>0</v>
      </c>
      <c r="G30" t="n">
        <v>0</v>
      </c>
      <c r="H30" t="n">
        <v>137</v>
      </c>
      <c r="I30" t="n">
        <v>400000</v>
      </c>
      <c r="J30" s="10">
        <f>H30/I30</f>
        <v/>
      </c>
    </row>
    <row r="31">
      <c r="A31" t="inlineStr">
        <is>
          <t>Dia 1</t>
        </is>
      </c>
      <c r="B31" t="inlineStr">
        <is>
          <t>CD2 (Santos)</t>
        </is>
      </c>
      <c r="C31" t="inlineStr">
        <is>
          <t>PA3</t>
        </is>
      </c>
      <c r="D31" t="n">
        <v>192</v>
      </c>
      <c r="E31" t="n">
        <v>103464</v>
      </c>
      <c r="F31" t="n">
        <v>103464</v>
      </c>
      <c r="G31" t="n">
        <v>0</v>
      </c>
      <c r="H31" t="n">
        <v>192</v>
      </c>
      <c r="I31" t="n">
        <v>8533333</v>
      </c>
      <c r="J31" s="10">
        <f>H31/I31</f>
        <v/>
      </c>
    </row>
    <row r="32">
      <c r="A32" t="inlineStr">
        <is>
          <t>Dia 2</t>
        </is>
      </c>
      <c r="B32" t="inlineStr">
        <is>
          <t>CD1 (São Luís)</t>
        </is>
      </c>
      <c r="C32" t="inlineStr">
        <is>
          <t>PA3</t>
        </is>
      </c>
      <c r="D32" t="n">
        <v>115</v>
      </c>
      <c r="E32" t="n">
        <v>0</v>
      </c>
      <c r="F32" t="n">
        <v>0</v>
      </c>
      <c r="G32" t="n">
        <v>0</v>
      </c>
      <c r="H32" t="n">
        <v>115</v>
      </c>
      <c r="I32" t="n">
        <v>9312000</v>
      </c>
      <c r="J32" s="10">
        <f>H32/I32</f>
        <v/>
      </c>
    </row>
    <row r="33">
      <c r="A33" t="inlineStr">
        <is>
          <t>Dia 2</t>
        </is>
      </c>
      <c r="B33" t="inlineStr">
        <is>
          <t>CD2 (Santos)</t>
        </is>
      </c>
      <c r="C33" t="inlineStr">
        <is>
          <t>PA1</t>
        </is>
      </c>
      <c r="D33" t="n">
        <v>81</v>
      </c>
      <c r="E33" t="n">
        <v>0</v>
      </c>
      <c r="F33" t="n">
        <v>0</v>
      </c>
      <c r="G33" t="n">
        <v>0</v>
      </c>
      <c r="H33" t="n">
        <v>81</v>
      </c>
      <c r="I33" t="n">
        <v>666666</v>
      </c>
      <c r="J33" s="10">
        <f>H33/I33</f>
        <v/>
      </c>
    </row>
    <row r="34">
      <c r="A34" t="inlineStr">
        <is>
          <t>Dia 2</t>
        </is>
      </c>
      <c r="B34" t="inlineStr">
        <is>
          <t>CD2 (Santos)</t>
        </is>
      </c>
      <c r="C34" t="inlineStr">
        <is>
          <t>PA2</t>
        </is>
      </c>
      <c r="D34" t="n">
        <v>137</v>
      </c>
      <c r="E34" t="n">
        <v>0</v>
      </c>
      <c r="F34" t="n">
        <v>0</v>
      </c>
      <c r="G34" t="n">
        <v>0</v>
      </c>
      <c r="H34" t="n">
        <v>137</v>
      </c>
      <c r="I34" t="n">
        <v>400000</v>
      </c>
      <c r="J34" s="10">
        <f>H34/I34</f>
        <v/>
      </c>
    </row>
    <row r="35">
      <c r="A35" t="inlineStr">
        <is>
          <t>Dia 2</t>
        </is>
      </c>
      <c r="B35" t="inlineStr">
        <is>
          <t>CD2 (Santos)</t>
        </is>
      </c>
      <c r="C35" t="inlineStr">
        <is>
          <t>PA3</t>
        </is>
      </c>
      <c r="D35" t="n">
        <v>192</v>
      </c>
      <c r="E35" t="n">
        <v>1058832</v>
      </c>
      <c r="F35" t="n">
        <v>1058832</v>
      </c>
      <c r="G35" t="n">
        <v>0</v>
      </c>
      <c r="H35" t="n">
        <v>192</v>
      </c>
      <c r="I35" t="n">
        <v>8533333</v>
      </c>
      <c r="J35" s="10">
        <f>H35/I35</f>
        <v/>
      </c>
    </row>
    <row r="36">
      <c r="A36" t="inlineStr">
        <is>
          <t>Dia 3</t>
        </is>
      </c>
      <c r="B36" t="inlineStr">
        <is>
          <t>CD1 (São Luís)</t>
        </is>
      </c>
      <c r="C36" t="inlineStr">
        <is>
          <t>PA3</t>
        </is>
      </c>
      <c r="D36" t="n">
        <v>115</v>
      </c>
      <c r="E36" t="n">
        <v>0</v>
      </c>
      <c r="F36" t="n">
        <v>0</v>
      </c>
      <c r="G36" t="n">
        <v>0</v>
      </c>
      <c r="H36" t="n">
        <v>115</v>
      </c>
      <c r="I36" t="n">
        <v>9312000</v>
      </c>
      <c r="J36" s="10">
        <f>H36/I36</f>
        <v/>
      </c>
    </row>
    <row r="37">
      <c r="A37" t="inlineStr">
        <is>
          <t>Dia 3</t>
        </is>
      </c>
      <c r="B37" t="inlineStr">
        <is>
          <t>CD2 (Santos)</t>
        </is>
      </c>
      <c r="C37" t="inlineStr">
        <is>
          <t>PA1</t>
        </is>
      </c>
      <c r="D37" t="n">
        <v>81</v>
      </c>
      <c r="E37" t="n">
        <v>0</v>
      </c>
      <c r="F37" t="n">
        <v>0</v>
      </c>
      <c r="G37" t="n">
        <v>0</v>
      </c>
      <c r="H37" t="n">
        <v>81</v>
      </c>
      <c r="I37" t="n">
        <v>666666</v>
      </c>
      <c r="J37" s="10">
        <f>H37/I37</f>
        <v/>
      </c>
    </row>
    <row r="38">
      <c r="A38" t="inlineStr">
        <is>
          <t>Dia 3</t>
        </is>
      </c>
      <c r="B38" t="inlineStr">
        <is>
          <t>CD2 (Santos)</t>
        </is>
      </c>
      <c r="C38" t="inlineStr">
        <is>
          <t>PA2</t>
        </is>
      </c>
      <c r="D38" t="n">
        <v>137</v>
      </c>
      <c r="E38" t="n">
        <v>0</v>
      </c>
      <c r="F38" t="n">
        <v>0</v>
      </c>
      <c r="G38" t="n">
        <v>0</v>
      </c>
      <c r="H38" t="n">
        <v>137</v>
      </c>
      <c r="I38" t="n">
        <v>400000</v>
      </c>
      <c r="J38" s="10">
        <f>H38/I38</f>
        <v/>
      </c>
    </row>
    <row r="39">
      <c r="A39" t="inlineStr">
        <is>
          <t>Dia 3</t>
        </is>
      </c>
      <c r="B39" t="inlineStr">
        <is>
          <t>CD2 (Santos)</t>
        </is>
      </c>
      <c r="C39" t="inlineStr">
        <is>
          <t>PA3</t>
        </is>
      </c>
      <c r="D39" t="n">
        <v>192</v>
      </c>
      <c r="E39" t="n">
        <v>0</v>
      </c>
      <c r="F39" t="n">
        <v>0</v>
      </c>
      <c r="G39" t="n">
        <v>0</v>
      </c>
      <c r="H39" t="n">
        <v>192</v>
      </c>
      <c r="I39" t="n">
        <v>8533333</v>
      </c>
      <c r="J39" s="10">
        <f>H39/I39</f>
        <v/>
      </c>
    </row>
    <row r="40">
      <c r="A40" t="inlineStr">
        <is>
          <t>Dia 4</t>
        </is>
      </c>
      <c r="B40" t="inlineStr">
        <is>
          <t>CD1 (São Luís)</t>
        </is>
      </c>
      <c r="C40" t="inlineStr">
        <is>
          <t>PA3</t>
        </is>
      </c>
      <c r="D40" t="n">
        <v>115</v>
      </c>
      <c r="E40" t="n">
        <v>0</v>
      </c>
      <c r="F40" t="n">
        <v>0</v>
      </c>
      <c r="G40" t="n">
        <v>0</v>
      </c>
      <c r="H40" t="n">
        <v>115</v>
      </c>
      <c r="I40" t="n">
        <v>9312000</v>
      </c>
      <c r="J40" s="10">
        <f>H40/I40</f>
        <v/>
      </c>
    </row>
    <row r="41">
      <c r="A41" t="inlineStr">
        <is>
          <t>Dia 4</t>
        </is>
      </c>
      <c r="B41" t="inlineStr">
        <is>
          <t>CD2 (Santos)</t>
        </is>
      </c>
      <c r="C41" t="inlineStr">
        <is>
          <t>PA1</t>
        </is>
      </c>
      <c r="D41" t="n">
        <v>81</v>
      </c>
      <c r="E41" t="n">
        <v>0</v>
      </c>
      <c r="F41" t="n">
        <v>0</v>
      </c>
      <c r="G41" t="n">
        <v>0</v>
      </c>
      <c r="H41" t="n">
        <v>81</v>
      </c>
      <c r="I41" t="n">
        <v>666666</v>
      </c>
      <c r="J41" s="10">
        <f>H41/I41</f>
        <v/>
      </c>
    </row>
    <row r="42">
      <c r="A42" t="inlineStr">
        <is>
          <t>Dia 4</t>
        </is>
      </c>
      <c r="B42" t="inlineStr">
        <is>
          <t>CD2 (Santos)</t>
        </is>
      </c>
      <c r="C42" t="inlineStr">
        <is>
          <t>PA2</t>
        </is>
      </c>
      <c r="D42" t="n">
        <v>137</v>
      </c>
      <c r="E42" t="n">
        <v>0</v>
      </c>
      <c r="F42" t="n">
        <v>0</v>
      </c>
      <c r="G42" t="n">
        <v>0</v>
      </c>
      <c r="H42" t="n">
        <v>137</v>
      </c>
      <c r="I42" t="n">
        <v>400000</v>
      </c>
      <c r="J42" s="10">
        <f>H42/I42</f>
        <v/>
      </c>
    </row>
    <row r="43">
      <c r="A43" t="inlineStr">
        <is>
          <t>Dia 4</t>
        </is>
      </c>
      <c r="B43" t="inlineStr">
        <is>
          <t>CD2 (Santos)</t>
        </is>
      </c>
      <c r="C43" t="inlineStr">
        <is>
          <t>PA3</t>
        </is>
      </c>
      <c r="D43" t="n">
        <v>192</v>
      </c>
      <c r="E43" t="n">
        <v>12093</v>
      </c>
      <c r="F43" t="n">
        <v>12093</v>
      </c>
      <c r="G43" t="n">
        <v>0</v>
      </c>
      <c r="H43" t="n">
        <v>192</v>
      </c>
      <c r="I43" t="n">
        <v>8533333</v>
      </c>
      <c r="J43" s="10">
        <f>H43/I43</f>
        <v/>
      </c>
    </row>
    <row r="44">
      <c r="A44" t="inlineStr">
        <is>
          <t>Dia 5</t>
        </is>
      </c>
      <c r="B44" t="inlineStr">
        <is>
          <t>CD1 (São Luís)</t>
        </is>
      </c>
      <c r="C44" t="inlineStr">
        <is>
          <t>PA3</t>
        </is>
      </c>
      <c r="D44" t="n">
        <v>115</v>
      </c>
      <c r="E44" t="n">
        <v>0</v>
      </c>
      <c r="F44" t="n">
        <v>0</v>
      </c>
      <c r="G44" t="n">
        <v>0</v>
      </c>
      <c r="H44" t="n">
        <v>115</v>
      </c>
      <c r="I44" t="n">
        <v>9312000</v>
      </c>
      <c r="J44" s="10">
        <f>H44/I44</f>
        <v/>
      </c>
    </row>
    <row r="45">
      <c r="A45" t="inlineStr">
        <is>
          <t>Dia 5</t>
        </is>
      </c>
      <c r="B45" t="inlineStr">
        <is>
          <t>CD2 (Santos)</t>
        </is>
      </c>
      <c r="C45" t="inlineStr">
        <is>
          <t>PA1</t>
        </is>
      </c>
      <c r="D45" t="n">
        <v>81</v>
      </c>
      <c r="E45" t="n">
        <v>0</v>
      </c>
      <c r="F45" t="n">
        <v>0</v>
      </c>
      <c r="G45" t="n">
        <v>0</v>
      </c>
      <c r="H45" t="n">
        <v>81</v>
      </c>
      <c r="I45" t="n">
        <v>666666</v>
      </c>
      <c r="J45" s="10">
        <f>H45/I45</f>
        <v/>
      </c>
    </row>
    <row r="46">
      <c r="A46" t="inlineStr">
        <is>
          <t>Dia 5</t>
        </is>
      </c>
      <c r="B46" t="inlineStr">
        <is>
          <t>CD2 (Santos)</t>
        </is>
      </c>
      <c r="C46" t="inlineStr">
        <is>
          <t>PA2</t>
        </is>
      </c>
      <c r="D46" t="n">
        <v>137</v>
      </c>
      <c r="E46" t="n">
        <v>79113</v>
      </c>
      <c r="F46" t="n">
        <v>0</v>
      </c>
      <c r="G46" t="n">
        <v>0</v>
      </c>
      <c r="H46" t="n">
        <v>79250</v>
      </c>
      <c r="I46" t="n">
        <v>400000</v>
      </c>
      <c r="J46" s="10">
        <f>H46/I46</f>
        <v/>
      </c>
    </row>
    <row r="47">
      <c r="A47" t="inlineStr">
        <is>
          <t>Dia 5</t>
        </is>
      </c>
      <c r="B47" t="inlineStr">
        <is>
          <t>CD2 (Santos)</t>
        </is>
      </c>
      <c r="C47" t="inlineStr">
        <is>
          <t>PA3</t>
        </is>
      </c>
      <c r="D47" t="n">
        <v>192</v>
      </c>
      <c r="E47" t="n">
        <v>169304</v>
      </c>
      <c r="F47" t="n">
        <v>169304</v>
      </c>
      <c r="G47" t="n">
        <v>0</v>
      </c>
      <c r="H47" t="n">
        <v>192</v>
      </c>
      <c r="I47" t="n">
        <v>8533333</v>
      </c>
      <c r="J47" s="10">
        <f>H47/I47</f>
        <v/>
      </c>
    </row>
    <row r="48"/>
    <row r="49">
      <c r="A49" s="9" t="inlineStr">
        <is>
          <t>BLOCO 3 — Produção + Utilização fábrica</t>
        </is>
      </c>
    </row>
    <row r="50">
      <c r="A50" s="2" t="inlineStr">
        <is>
          <t>Dia</t>
        </is>
      </c>
      <c r="B50" s="2" t="inlineStr">
        <is>
          <t>PA1</t>
        </is>
      </c>
      <c r="C50" s="2" t="inlineStr">
        <is>
          <t>PA2</t>
        </is>
      </c>
      <c r="D50" s="2" t="inlineStr">
        <is>
          <t>PA3</t>
        </is>
      </c>
      <c r="E50" s="2" t="inlineStr">
        <is>
          <t>Min PA1</t>
        </is>
      </c>
      <c r="F50" s="2" t="inlineStr">
        <is>
          <t>Min PA2</t>
        </is>
      </c>
      <c r="G50" s="2" t="inlineStr">
        <is>
          <t>Min PA3</t>
        </is>
      </c>
      <c r="H50" s="2" t="inlineStr">
        <is>
          <t>Min total</t>
        </is>
      </c>
      <c r="I50" s="2" t="inlineStr">
        <is>
          <t>Cap</t>
        </is>
      </c>
      <c r="J50" s="2" t="inlineStr">
        <is>
          <t>Util %</t>
        </is>
      </c>
    </row>
    <row r="51">
      <c r="A51" t="inlineStr">
        <is>
          <t>Dia 1</t>
        </is>
      </c>
      <c r="B51" t="n">
        <v>0</v>
      </c>
      <c r="C51" t="n">
        <v>0</v>
      </c>
      <c r="D51" t="n">
        <v>597271</v>
      </c>
      <c r="E51">
        <f>B51/15</f>
        <v/>
      </c>
      <c r="F51">
        <f>C51/30</f>
        <v/>
      </c>
      <c r="G51">
        <f>D51/60</f>
        <v/>
      </c>
      <c r="H51">
        <f>E51+F51+G51</f>
        <v/>
      </c>
      <c r="I51" t="n">
        <v>10080</v>
      </c>
      <c r="J51" s="10">
        <f>H51/I51</f>
        <v/>
      </c>
    </row>
    <row r="52">
      <c r="A52" t="inlineStr">
        <is>
          <t>Dia 2</t>
        </is>
      </c>
      <c r="B52" t="n">
        <v>0</v>
      </c>
      <c r="C52" t="n">
        <v>0</v>
      </c>
      <c r="D52" t="n">
        <v>565025</v>
      </c>
      <c r="E52">
        <f>B52/15</f>
        <v/>
      </c>
      <c r="F52">
        <f>C52/30</f>
        <v/>
      </c>
      <c r="G52">
        <f>D52/60</f>
        <v/>
      </c>
      <c r="H52">
        <f>E52+F52+G52</f>
        <v/>
      </c>
      <c r="I52" t="n">
        <v>10080</v>
      </c>
      <c r="J52" s="10">
        <f>H52/I52</f>
        <v/>
      </c>
    </row>
    <row r="53">
      <c r="A53" t="inlineStr">
        <is>
          <t>Dia 3</t>
        </is>
      </c>
      <c r="B53" t="n">
        <v>0</v>
      </c>
      <c r="C53" t="n">
        <v>0</v>
      </c>
      <c r="D53" t="n">
        <v>0</v>
      </c>
      <c r="E53">
        <f>B53/15</f>
        <v/>
      </c>
      <c r="F53">
        <f>C53/30</f>
        <v/>
      </c>
      <c r="G53">
        <f>D53/60</f>
        <v/>
      </c>
      <c r="H53">
        <f>E53+F53+G53</f>
        <v/>
      </c>
      <c r="I53" t="n">
        <v>10080</v>
      </c>
      <c r="J53" s="10">
        <f>H53/I53</f>
        <v/>
      </c>
    </row>
    <row r="54">
      <c r="A54" t="inlineStr">
        <is>
          <t>Dia 4</t>
        </is>
      </c>
      <c r="B54" t="n">
        <v>0</v>
      </c>
      <c r="C54" t="n">
        <v>79113</v>
      </c>
      <c r="D54" t="n">
        <v>181397</v>
      </c>
      <c r="E54">
        <f>B54/15</f>
        <v/>
      </c>
      <c r="F54">
        <f>C54/30</f>
        <v/>
      </c>
      <c r="G54">
        <f>D54/60</f>
        <v/>
      </c>
      <c r="H54">
        <f>E54+F54+G54</f>
        <v/>
      </c>
      <c r="I54" t="n">
        <v>10080</v>
      </c>
      <c r="J54" s="10">
        <f>H54/I54</f>
        <v/>
      </c>
    </row>
    <row r="55">
      <c r="A55" t="inlineStr">
        <is>
          <t>Dia 5</t>
        </is>
      </c>
      <c r="B55" t="n">
        <v>0</v>
      </c>
      <c r="C55" t="n">
        <v>0</v>
      </c>
      <c r="D55" t="n">
        <v>0</v>
      </c>
      <c r="E55">
        <f>B55/15</f>
        <v/>
      </c>
      <c r="F55">
        <f>C55/30</f>
        <v/>
      </c>
      <c r="G55">
        <f>D55/60</f>
        <v/>
      </c>
      <c r="H55">
        <f>E55+F55+G55</f>
        <v/>
      </c>
      <c r="I55" t="n">
        <v>10080</v>
      </c>
      <c r="J55" s="10">
        <f>H55/I55</f>
        <v/>
      </c>
    </row>
    <row r="56"/>
    <row r="57">
      <c r="A57" s="9" t="inlineStr">
        <is>
          <t>BLOCO 4 — Transportes por modal</t>
        </is>
      </c>
    </row>
    <row r="58">
      <c r="A58" s="2" t="inlineStr">
        <is>
          <t>Modal</t>
        </is>
      </c>
      <c r="B58" s="2" t="inlineStr">
        <is>
          <t>Viagens</t>
        </is>
      </c>
      <c r="C58" s="2" t="inlineStr">
        <is>
          <t>% do total</t>
        </is>
      </c>
    </row>
    <row r="59">
      <c r="A59" t="inlineStr">
        <is>
          <t>Caminhão</t>
        </is>
      </c>
      <c r="B59" t="n">
        <v>17</v>
      </c>
      <c r="C59" s="10" t="n">
        <v>0.103030303030303</v>
      </c>
    </row>
    <row r="60">
      <c r="A60" t="inlineStr">
        <is>
          <t>Navio</t>
        </is>
      </c>
      <c r="B60" t="n">
        <v>8</v>
      </c>
      <c r="C60" s="10" t="n">
        <v>0.04848484848484848</v>
      </c>
    </row>
    <row r="61">
      <c r="A61" t="inlineStr">
        <is>
          <t>Avião</t>
        </is>
      </c>
      <c r="B61" t="n">
        <v>140</v>
      </c>
      <c r="C61" s="10" t="n">
        <v>0.8484848484848485</v>
      </c>
    </row>
    <row r="62">
      <c r="A62" s="7" t="inlineStr">
        <is>
          <t>TOTAL</t>
        </is>
      </c>
      <c r="B62" s="7" t="n">
        <v>165</v>
      </c>
    </row>
    <row r="63"/>
    <row r="64">
      <c r="A64" s="9" t="inlineStr">
        <is>
          <t>BLOCO 5 — DRE Rodada 3</t>
        </is>
      </c>
    </row>
    <row r="65">
      <c r="A65" s="2" t="inlineStr">
        <is>
          <t>Linha</t>
        </is>
      </c>
      <c r="B65" s="2" t="inlineStr">
        <is>
          <t>Valor R$</t>
        </is>
      </c>
    </row>
    <row r="66">
      <c r="A66" t="inlineStr">
        <is>
          <t>Receita (PA atendidos no dia)</t>
        </is>
      </c>
      <c r="B66" s="4" t="n">
        <v>42998176</v>
      </c>
    </row>
    <row r="67">
      <c r="A67" t="inlineStr">
        <is>
          <t>(-) Custos fixos</t>
        </is>
      </c>
      <c r="B67" s="4" t="n">
        <v>-1123151</v>
      </c>
    </row>
    <row r="68">
      <c r="A68" t="inlineStr">
        <is>
          <t>(-) Compra MP</t>
        </is>
      </c>
      <c r="B68" s="4" t="n">
        <v>-3354880</v>
      </c>
    </row>
    <row r="69">
      <c r="A69" t="inlineStr">
        <is>
          <t>(-) Frete</t>
        </is>
      </c>
      <c r="B69" s="4" t="n">
        <v>-1628438.7840175</v>
      </c>
    </row>
    <row r="70">
      <c r="A70" t="inlineStr">
        <is>
          <t>(-) Carregamento MP</t>
        </is>
      </c>
      <c r="B70" s="4" t="n">
        <v>-23281.08765</v>
      </c>
    </row>
    <row r="71">
      <c r="A71" t="inlineStr">
        <is>
          <t>(-) Carregamento PA</t>
        </is>
      </c>
      <c r="B71" s="4" t="n">
        <v>-39788.04</v>
      </c>
    </row>
    <row r="72">
      <c r="A72" s="7">
        <f> Resultado da rodada</f>
        <v/>
      </c>
      <c r="B72" s="8" t="n">
        <v>36828637.0883325</v>
      </c>
    </row>
    <row r="73"/>
    <row r="74"/>
    <row r="75">
      <c r="A75" s="9" t="inlineStr">
        <is>
          <t>BLOCO 6 — OPs entregues (NS no dia exato)</t>
        </is>
      </c>
    </row>
    <row r="76">
      <c r="A76" s="2" t="inlineStr">
        <is>
          <t>Cidade</t>
        </is>
      </c>
      <c r="B76" s="2" t="inlineStr">
        <is>
          <t>PA</t>
        </is>
      </c>
      <c r="C76" s="2" t="inlineStr">
        <is>
          <t>Qtd planejada</t>
        </is>
      </c>
      <c r="D76" s="2" t="inlineStr">
        <is>
          <t>Dia entrega</t>
        </is>
      </c>
      <c r="E76" s="2" t="inlineStr">
        <is>
          <t>Qtd no dia exato</t>
        </is>
      </c>
      <c r="F76" s="2" t="inlineStr">
        <is>
          <t>✅/❌</t>
        </is>
      </c>
    </row>
    <row r="77">
      <c r="A77" t="inlineStr">
        <is>
          <t>Belém</t>
        </is>
      </c>
      <c r="B77" t="inlineStr">
        <is>
          <t>PA3</t>
        </is>
      </c>
      <c r="C77" t="n">
        <v>20155</v>
      </c>
      <c r="D77" t="n">
        <v>5</v>
      </c>
      <c r="E77" t="n">
        <v>20155</v>
      </c>
      <c r="F77" s="3" t="inlineStr">
        <is>
          <t>✅</t>
        </is>
      </c>
    </row>
    <row r="78">
      <c r="A78" t="inlineStr">
        <is>
          <t>Belo Horizonte</t>
        </is>
      </c>
      <c r="B78" t="inlineStr">
        <is>
          <t>PA3</t>
        </is>
      </c>
      <c r="C78" t="n">
        <v>70544</v>
      </c>
      <c r="D78" t="n">
        <v>3</v>
      </c>
      <c r="E78" t="n">
        <v>70544</v>
      </c>
      <c r="F78" s="3" t="inlineStr">
        <is>
          <t>✅</t>
        </is>
      </c>
    </row>
    <row r="79">
      <c r="A79" t="inlineStr">
        <is>
          <t>Brasília</t>
        </is>
      </c>
      <c r="B79" t="inlineStr">
        <is>
          <t>PA3</t>
        </is>
      </c>
      <c r="C79" t="n">
        <v>117573</v>
      </c>
      <c r="D79" t="n">
        <v>3</v>
      </c>
      <c r="E79" t="n">
        <v>117573</v>
      </c>
      <c r="F79" s="3" t="inlineStr">
        <is>
          <t>✅</t>
        </is>
      </c>
    </row>
    <row r="80">
      <c r="A80" t="inlineStr">
        <is>
          <t>Campinas</t>
        </is>
      </c>
      <c r="B80" t="inlineStr">
        <is>
          <t>PA3</t>
        </is>
      </c>
      <c r="C80" t="n">
        <v>56435</v>
      </c>
      <c r="D80" t="n">
        <v>2</v>
      </c>
      <c r="E80" t="n">
        <v>56435</v>
      </c>
      <c r="F80" s="3" t="inlineStr">
        <is>
          <t>✅</t>
        </is>
      </c>
    </row>
    <row r="81">
      <c r="A81" t="inlineStr">
        <is>
          <t>Campo Grande</t>
        </is>
      </c>
      <c r="B81" t="inlineStr">
        <is>
          <t>PA3</t>
        </is>
      </c>
      <c r="C81" t="n">
        <v>23515</v>
      </c>
      <c r="D81" t="n">
        <v>3</v>
      </c>
      <c r="E81" t="n">
        <v>23515</v>
      </c>
      <c r="F81" s="3" t="inlineStr">
        <is>
          <t>✅</t>
        </is>
      </c>
    </row>
    <row r="82">
      <c r="A82" t="inlineStr">
        <is>
          <t>Cuiabá</t>
        </is>
      </c>
      <c r="B82" t="inlineStr">
        <is>
          <t>PA3</t>
        </is>
      </c>
      <c r="C82" t="n">
        <v>28218</v>
      </c>
      <c r="D82" t="n">
        <v>3</v>
      </c>
      <c r="E82" t="n">
        <v>28218</v>
      </c>
      <c r="F82" s="3" t="inlineStr">
        <is>
          <t>✅</t>
        </is>
      </c>
    </row>
    <row r="83">
      <c r="A83" t="inlineStr">
        <is>
          <t>Curitiba</t>
        </is>
      </c>
      <c r="B83" t="inlineStr">
        <is>
          <t>PA3</t>
        </is>
      </c>
      <c r="C83" t="n">
        <v>103464</v>
      </c>
      <c r="D83" t="n">
        <v>2</v>
      </c>
      <c r="E83" t="n">
        <v>103464</v>
      </c>
      <c r="F83" s="3" t="inlineStr">
        <is>
          <t>✅</t>
        </is>
      </c>
    </row>
    <row r="84">
      <c r="A84" t="inlineStr">
        <is>
          <t>Fortaleza</t>
        </is>
      </c>
      <c r="B84" t="inlineStr">
        <is>
          <t>PA3</t>
        </is>
      </c>
      <c r="C84" t="n">
        <v>68528</v>
      </c>
      <c r="D84" t="n">
        <v>5</v>
      </c>
      <c r="E84" t="n">
        <v>68528</v>
      </c>
      <c r="F84" s="3" t="inlineStr">
        <is>
          <t>✅</t>
        </is>
      </c>
    </row>
    <row r="85">
      <c r="A85" t="inlineStr">
        <is>
          <t>Goiânia</t>
        </is>
      </c>
      <c r="B85" t="inlineStr">
        <is>
          <t>PA3</t>
        </is>
      </c>
      <c r="C85" t="n">
        <v>65841</v>
      </c>
      <c r="D85" t="n">
        <v>3</v>
      </c>
      <c r="E85" t="n">
        <v>65841</v>
      </c>
      <c r="F85" s="3" t="inlineStr">
        <is>
          <t>✅</t>
        </is>
      </c>
    </row>
    <row r="86">
      <c r="A86" t="inlineStr">
        <is>
          <t>João Pessoa</t>
        </is>
      </c>
      <c r="B86" t="inlineStr">
        <is>
          <t>PA3</t>
        </is>
      </c>
      <c r="C86" t="n">
        <v>40311</v>
      </c>
      <c r="D86" t="n">
        <v>4</v>
      </c>
      <c r="E86" t="n">
        <v>40311</v>
      </c>
      <c r="F86" s="3" t="inlineStr">
        <is>
          <t>✅</t>
        </is>
      </c>
    </row>
    <row r="87">
      <c r="A87" t="inlineStr">
        <is>
          <t>Joinville</t>
        </is>
      </c>
      <c r="B87" t="inlineStr">
        <is>
          <t>PA3</t>
        </is>
      </c>
      <c r="C87" t="n">
        <v>28218</v>
      </c>
      <c r="D87" t="n">
        <v>2</v>
      </c>
      <c r="E87" t="n">
        <v>28218</v>
      </c>
      <c r="F87" s="3" t="inlineStr">
        <is>
          <t>✅</t>
        </is>
      </c>
    </row>
    <row r="88">
      <c r="A88" t="inlineStr">
        <is>
          <t>Maceió</t>
        </is>
      </c>
      <c r="B88" t="inlineStr">
        <is>
          <t>PA3</t>
        </is>
      </c>
      <c r="C88" t="n">
        <v>40311</v>
      </c>
      <c r="D88" t="n">
        <v>4</v>
      </c>
      <c r="E88" t="n">
        <v>40311</v>
      </c>
      <c r="F88" s="3" t="inlineStr">
        <is>
          <t>✅</t>
        </is>
      </c>
    </row>
    <row r="89">
      <c r="A89" t="inlineStr">
        <is>
          <t>Manaus</t>
        </is>
      </c>
      <c r="B89" t="inlineStr">
        <is>
          <t>PA3</t>
        </is>
      </c>
      <c r="C89" t="n">
        <v>20155</v>
      </c>
      <c r="D89" t="n">
        <v>5</v>
      </c>
      <c r="E89" t="n">
        <v>20155</v>
      </c>
      <c r="F89" s="3" t="inlineStr">
        <is>
          <t>✅</t>
        </is>
      </c>
    </row>
    <row r="90">
      <c r="A90" t="inlineStr">
        <is>
          <t>Natal</t>
        </is>
      </c>
      <c r="B90" t="inlineStr">
        <is>
          <t>PA3</t>
        </is>
      </c>
      <c r="C90" t="n">
        <v>40311</v>
      </c>
      <c r="D90" t="n">
        <v>5</v>
      </c>
      <c r="E90" t="n">
        <v>40311</v>
      </c>
      <c r="F90" s="3" t="inlineStr">
        <is>
          <t>✅</t>
        </is>
      </c>
    </row>
    <row r="91">
      <c r="A91" t="inlineStr">
        <is>
          <t>Porto Alegre</t>
        </is>
      </c>
      <c r="B91" t="inlineStr">
        <is>
          <t>PA3</t>
        </is>
      </c>
      <c r="C91" t="n">
        <v>103464</v>
      </c>
      <c r="D91" t="n">
        <v>2</v>
      </c>
      <c r="E91" t="n">
        <v>103464</v>
      </c>
      <c r="F91" s="3" t="inlineStr">
        <is>
          <t>✅</t>
        </is>
      </c>
    </row>
    <row r="92">
      <c r="A92" t="inlineStr">
        <is>
          <t>Recife</t>
        </is>
      </c>
      <c r="B92" t="inlineStr">
        <is>
          <t>PA3</t>
        </is>
      </c>
      <c r="C92" t="n">
        <v>60466</v>
      </c>
      <c r="D92" t="n">
        <v>4</v>
      </c>
      <c r="E92" t="n">
        <v>60466</v>
      </c>
      <c r="F92" s="3" t="inlineStr">
        <is>
          <t>✅</t>
        </is>
      </c>
    </row>
    <row r="93">
      <c r="A93" t="inlineStr">
        <is>
          <t>Ribeirão Preto</t>
        </is>
      </c>
      <c r="B93" t="inlineStr">
        <is>
          <t>PA3</t>
        </is>
      </c>
      <c r="C93" t="n">
        <v>47029</v>
      </c>
      <c r="D93" t="n">
        <v>2</v>
      </c>
      <c r="E93" t="n">
        <v>47029</v>
      </c>
      <c r="F93" s="3" t="inlineStr">
        <is>
          <t>✅</t>
        </is>
      </c>
    </row>
    <row r="94">
      <c r="A94" t="inlineStr">
        <is>
          <t>Rio de Janeiro</t>
        </is>
      </c>
      <c r="B94" t="inlineStr">
        <is>
          <t>PA3</t>
        </is>
      </c>
      <c r="C94" t="n">
        <v>94059</v>
      </c>
      <c r="D94" t="n">
        <v>3</v>
      </c>
      <c r="E94" t="n">
        <v>94059</v>
      </c>
      <c r="F94" s="3" t="inlineStr">
        <is>
          <t>✅</t>
        </is>
      </c>
    </row>
    <row r="95">
      <c r="A95" t="inlineStr">
        <is>
          <t>Salvador</t>
        </is>
      </c>
      <c r="B95" t="inlineStr">
        <is>
          <t>PA3</t>
        </is>
      </c>
      <c r="C95" t="n">
        <v>80622</v>
      </c>
      <c r="D95" t="n">
        <v>4</v>
      </c>
      <c r="E95" t="n">
        <v>80622</v>
      </c>
      <c r="F95" s="3" t="inlineStr">
        <is>
          <t>✅</t>
        </is>
      </c>
    </row>
    <row r="96">
      <c r="A96" t="inlineStr">
        <is>
          <t>Santos</t>
        </is>
      </c>
      <c r="B96" t="inlineStr">
        <is>
          <t>PA3</t>
        </is>
      </c>
      <c r="C96" t="n">
        <v>47029</v>
      </c>
      <c r="D96" t="n">
        <v>2</v>
      </c>
      <c r="E96" t="n">
        <v>47029</v>
      </c>
      <c r="F96" s="3" t="inlineStr">
        <is>
          <t>✅</t>
        </is>
      </c>
    </row>
    <row r="97">
      <c r="A97" t="inlineStr">
        <is>
          <t>São Luís</t>
        </is>
      </c>
      <c r="B97" t="inlineStr">
        <is>
          <t>PA3</t>
        </is>
      </c>
      <c r="C97" t="n">
        <v>20155</v>
      </c>
      <c r="D97" t="n">
        <v>5</v>
      </c>
      <c r="E97" t="n">
        <v>20155</v>
      </c>
      <c r="F97" s="3" t="inlineStr">
        <is>
          <t>✅</t>
        </is>
      </c>
    </row>
    <row r="98">
      <c r="A98" t="inlineStr">
        <is>
          <t>São Paulo</t>
        </is>
      </c>
      <c r="B98" t="inlineStr">
        <is>
          <t>PA3</t>
        </is>
      </c>
      <c r="C98" t="n">
        <v>117573</v>
      </c>
      <c r="D98" t="n">
        <v>2</v>
      </c>
      <c r="E98" t="n">
        <v>117573</v>
      </c>
      <c r="F98" s="3" t="inlineStr">
        <is>
          <t>✅</t>
        </is>
      </c>
    </row>
    <row r="99">
      <c r="A99" t="inlineStr">
        <is>
          <t>Uberlândia</t>
        </is>
      </c>
      <c r="B99" t="inlineStr">
        <is>
          <t>PA3</t>
        </is>
      </c>
      <c r="C99" t="n">
        <v>23515</v>
      </c>
      <c r="D99" t="n">
        <v>3</v>
      </c>
      <c r="E99" t="n">
        <v>23515</v>
      </c>
      <c r="F99" s="3" t="inlineStr">
        <is>
          <t>✅</t>
        </is>
      </c>
    </row>
    <row r="100">
      <c r="A100" t="inlineStr">
        <is>
          <t>Vitória</t>
        </is>
      </c>
      <c r="B100" t="inlineStr">
        <is>
          <t>PA3</t>
        </is>
      </c>
      <c r="C100" t="n">
        <v>14109</v>
      </c>
      <c r="D100" t="n">
        <v>3</v>
      </c>
      <c r="E100" t="n">
        <v>14109</v>
      </c>
      <c r="F100" s="3" t="inlineStr">
        <is>
          <t>✅</t>
        </is>
      </c>
    </row>
    <row r="101">
      <c r="A101" t="inlineStr">
        <is>
          <t>Vitória da Conquista</t>
        </is>
      </c>
      <c r="B101" t="inlineStr">
        <is>
          <t>PA3</t>
        </is>
      </c>
      <c r="C101" t="n">
        <v>12093</v>
      </c>
      <c r="D101" t="n">
        <v>4</v>
      </c>
      <c r="E101" t="n">
        <v>12093</v>
      </c>
      <c r="F101" s="3" t="inlineStr">
        <is>
          <t>✅</t>
        </is>
      </c>
    </row>
  </sheetData>
  <mergeCells count="7">
    <mergeCell ref="A1:J1"/>
    <mergeCell ref="A75:J75"/>
    <mergeCell ref="A3:J3"/>
    <mergeCell ref="A57:J57"/>
    <mergeCell ref="A26:J26"/>
    <mergeCell ref="A64:J64"/>
    <mergeCell ref="A49:J49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G10"/>
  <sheetViews>
    <sheetView workbookViewId="0">
      <selection activeCell="A1" sqref="A1"/>
    </sheetView>
  </sheetViews>
  <sheetFormatPr baseColWidth="8" defaultRowHeight="15"/>
  <cols>
    <col width="28" customWidth="1" min="1" max="1"/>
  </cols>
  <sheetData>
    <row r="1">
      <c r="A1" s="1" t="inlineStr">
        <is>
          <t>DRE ACUMULADA R1 + R2 + R3</t>
        </is>
      </c>
    </row>
    <row r="2"/>
    <row r="3">
      <c r="A3" s="2" t="inlineStr">
        <is>
          <t>Linha DRE</t>
        </is>
      </c>
      <c r="B3" s="2" t="inlineStr">
        <is>
          <t>R1</t>
        </is>
      </c>
      <c r="C3" s="2" t="inlineStr">
        <is>
          <t>R2</t>
        </is>
      </c>
      <c r="D3" s="2" t="inlineStr">
        <is>
          <t>R3</t>
        </is>
      </c>
      <c r="E3" s="2" t="inlineStr">
        <is>
          <t>Acumulado</t>
        </is>
      </c>
      <c r="F3" s="2" t="inlineStr">
        <is>
          <t>Fórmula</t>
        </is>
      </c>
    </row>
    <row r="4">
      <c r="A4" t="inlineStr">
        <is>
          <t>Receita</t>
        </is>
      </c>
      <c r="B4" s="4" t="n">
        <v>0</v>
      </c>
      <c r="C4" s="4" t="n">
        <v>0</v>
      </c>
      <c r="D4" s="4" t="n">
        <v>42998176</v>
      </c>
      <c r="E4" s="4">
        <f>B4+C4+D4</f>
        <v/>
      </c>
    </row>
    <row r="5">
      <c r="A5" t="inlineStr">
        <is>
          <t>(-) Custos fixos</t>
        </is>
      </c>
      <c r="B5" s="4" t="n">
        <v>-1123151</v>
      </c>
      <c r="C5" s="4" t="n">
        <v>-1123151</v>
      </c>
      <c r="D5" s="4" t="n">
        <v>-1123151</v>
      </c>
      <c r="E5" s="4">
        <f>B5+C5+D5</f>
        <v/>
      </c>
    </row>
    <row r="6">
      <c r="A6" t="inlineStr">
        <is>
          <t>(-) Compra MP</t>
        </is>
      </c>
      <c r="B6" s="4" t="n">
        <v>-4368000</v>
      </c>
      <c r="C6" s="4" t="n">
        <v>-4622400</v>
      </c>
      <c r="D6" s="4" t="n">
        <v>-3354880</v>
      </c>
      <c r="E6" s="4">
        <f>B6+C6+D6</f>
        <v/>
      </c>
    </row>
    <row r="7">
      <c r="A7" t="inlineStr">
        <is>
          <t>(-) Frete</t>
        </is>
      </c>
      <c r="B7" s="4" t="n">
        <v>-161310.56239875</v>
      </c>
      <c r="C7" s="4" t="n">
        <v>-6564345.619600001</v>
      </c>
      <c r="D7" s="4" t="n">
        <v>-1628438.7840175</v>
      </c>
      <c r="E7" s="4">
        <f>B7+C7+D7</f>
        <v/>
      </c>
    </row>
    <row r="8">
      <c r="A8" t="inlineStr">
        <is>
          <t>(-) Carreg MP</t>
        </is>
      </c>
      <c r="B8" s="4" t="n">
        <v>-54100</v>
      </c>
      <c r="C8" s="4" t="n">
        <v>-74579.2276</v>
      </c>
      <c r="D8" s="4" t="n">
        <v>-23281.08765</v>
      </c>
      <c r="E8" s="4">
        <f>B8+C8+D8</f>
        <v/>
      </c>
    </row>
    <row r="9">
      <c r="A9" t="inlineStr">
        <is>
          <t>(-) Carreg PA</t>
        </is>
      </c>
      <c r="B9" s="4" t="n">
        <v>-231.54</v>
      </c>
      <c r="C9" s="4" t="n">
        <v>-231.54</v>
      </c>
      <c r="D9" s="4" t="n">
        <v>-39788.04</v>
      </c>
      <c r="E9" s="4">
        <f>B9+C9+D9</f>
        <v/>
      </c>
    </row>
    <row r="10">
      <c r="A10" s="7">
        <f> Resultado</f>
        <v/>
      </c>
      <c r="B10" s="13" t="n">
        <v>-5706793.10239875</v>
      </c>
      <c r="C10" s="13" t="n">
        <v>-12384707.3872</v>
      </c>
      <c r="D10" s="13" t="n">
        <v>36828637.0883325</v>
      </c>
      <c r="E10" s="8">
        <f>B10+C10+D10</f>
        <v/>
      </c>
    </row>
  </sheetData>
  <mergeCells count="1">
    <mergeCell ref="A1:G1"/>
  </mergeCells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J18"/>
  <sheetViews>
    <sheetView workbookViewId="0">
      <selection activeCell="A1" sqref="A1"/>
    </sheetView>
  </sheetViews>
  <sheetFormatPr baseColWidth="8" defaultRowHeight="15"/>
  <cols>
    <col width="44" customWidth="1" min="1" max="1"/>
  </cols>
  <sheetData>
    <row r="1">
      <c r="A1" s="1" t="inlineStr">
        <is>
          <t>EVOLUÇÃO ESTOQUE MP F1 (15 dias absolutos)</t>
        </is>
      </c>
    </row>
    <row r="2"/>
    <row r="3">
      <c r="A3" s="2" t="inlineStr">
        <is>
          <t>Dia abs</t>
        </is>
      </c>
      <c r="B3" s="2" t="inlineStr">
        <is>
          <t>Rodada</t>
        </is>
      </c>
      <c r="C3" s="2" t="inlineStr">
        <is>
          <t>Dia rel</t>
        </is>
      </c>
      <c r="D3" s="2" t="inlineStr">
        <is>
          <t>MP1 fim</t>
        </is>
      </c>
      <c r="E3" s="2" t="inlineStr">
        <is>
          <t>MP2 fim</t>
        </is>
      </c>
      <c r="F3" s="2" t="inlineStr">
        <is>
          <t>MP3 fim</t>
        </is>
      </c>
      <c r="G3" s="2" t="inlineStr">
        <is>
          <t>Cap MP1</t>
        </is>
      </c>
      <c r="H3" s="2" t="inlineStr">
        <is>
          <t>Cap MP2</t>
        </is>
      </c>
      <c r="I3" s="2" t="inlineStr">
        <is>
          <t>Cap MP3</t>
        </is>
      </c>
      <c r="J3" s="2" t="inlineStr">
        <is>
          <t>Total ton</t>
        </is>
      </c>
    </row>
    <row r="4">
      <c r="A4" t="n">
        <v>1</v>
      </c>
      <c r="B4" t="inlineStr">
        <is>
          <t>R1</t>
        </is>
      </c>
      <c r="C4" t="n">
        <v>1</v>
      </c>
      <c r="D4" t="n">
        <v>0</v>
      </c>
      <c r="E4" t="n">
        <v>0</v>
      </c>
      <c r="F4" t="n">
        <v>0</v>
      </c>
      <c r="G4" t="n">
        <v>127</v>
      </c>
      <c r="H4" t="n">
        <v>50.4</v>
      </c>
      <c r="I4" t="n">
        <v>75.59999999999999</v>
      </c>
      <c r="J4">
        <f>D4+E4+F4</f>
        <v/>
      </c>
    </row>
    <row r="5">
      <c r="A5" t="n">
        <v>2</v>
      </c>
      <c r="B5" t="inlineStr">
        <is>
          <t>R1</t>
        </is>
      </c>
      <c r="C5" t="n">
        <v>2</v>
      </c>
      <c r="D5" t="n">
        <v>0</v>
      </c>
      <c r="E5" t="n">
        <v>0</v>
      </c>
      <c r="F5" t="n">
        <v>42</v>
      </c>
      <c r="G5" t="n">
        <v>127</v>
      </c>
      <c r="H5" t="n">
        <v>50.4</v>
      </c>
      <c r="I5" t="n">
        <v>75.59999999999999</v>
      </c>
      <c r="J5">
        <f>D5+E5+F5</f>
        <v/>
      </c>
    </row>
    <row r="6">
      <c r="A6" t="n">
        <v>3</v>
      </c>
      <c r="B6" t="inlineStr">
        <is>
          <t>R1</t>
        </is>
      </c>
      <c r="C6" t="n">
        <v>3</v>
      </c>
      <c r="D6" t="n">
        <v>0</v>
      </c>
      <c r="E6" t="n">
        <v>48</v>
      </c>
      <c r="F6" t="n">
        <v>42</v>
      </c>
      <c r="G6" t="n">
        <v>127</v>
      </c>
      <c r="H6" t="n">
        <v>50.4</v>
      </c>
      <c r="I6" t="n">
        <v>75.59999999999999</v>
      </c>
      <c r="J6">
        <f>D6+E6+F6</f>
        <v/>
      </c>
    </row>
    <row r="7">
      <c r="A7" t="n">
        <v>4</v>
      </c>
      <c r="B7" t="inlineStr">
        <is>
          <t>R1</t>
        </is>
      </c>
      <c r="C7" t="n">
        <v>4</v>
      </c>
      <c r="D7" t="n">
        <v>47</v>
      </c>
      <c r="E7" t="n">
        <v>48</v>
      </c>
      <c r="F7" t="n">
        <v>42</v>
      </c>
      <c r="G7" t="n">
        <v>127</v>
      </c>
      <c r="H7" t="n">
        <v>50.4</v>
      </c>
      <c r="I7" t="n">
        <v>75.59999999999999</v>
      </c>
      <c r="J7">
        <f>D7+E7+F7</f>
        <v/>
      </c>
    </row>
    <row r="8">
      <c r="A8" t="n">
        <v>5</v>
      </c>
      <c r="B8" t="inlineStr">
        <is>
          <t>R1</t>
        </is>
      </c>
      <c r="C8" t="n">
        <v>5</v>
      </c>
      <c r="D8" t="n">
        <v>47</v>
      </c>
      <c r="E8" t="n">
        <v>48</v>
      </c>
      <c r="F8" t="n">
        <v>42</v>
      </c>
      <c r="G8" t="n">
        <v>127</v>
      </c>
      <c r="H8" t="n">
        <v>50.4</v>
      </c>
      <c r="I8" t="n">
        <v>75.59999999999999</v>
      </c>
      <c r="J8">
        <f>D8+E8+F8</f>
        <v/>
      </c>
    </row>
    <row r="9">
      <c r="A9" t="n">
        <v>6</v>
      </c>
      <c r="B9" t="inlineStr">
        <is>
          <t>R2</t>
        </is>
      </c>
      <c r="C9" t="n">
        <v>1</v>
      </c>
      <c r="D9" t="n">
        <v>38.19</v>
      </c>
      <c r="E9" t="n">
        <v>34.78</v>
      </c>
      <c r="F9" t="n">
        <v>19.97</v>
      </c>
      <c r="G9" t="n">
        <v>127</v>
      </c>
      <c r="H9" t="n">
        <v>50.4</v>
      </c>
      <c r="I9" t="n">
        <v>75.59999999999999</v>
      </c>
      <c r="J9">
        <f>D9+E9+F9</f>
        <v/>
      </c>
    </row>
    <row r="10">
      <c r="A10" t="n">
        <v>7</v>
      </c>
      <c r="B10" t="inlineStr">
        <is>
          <t>R2</t>
        </is>
      </c>
      <c r="C10" t="n">
        <v>2</v>
      </c>
      <c r="D10" t="n">
        <v>34</v>
      </c>
      <c r="E10" t="n">
        <v>28.51</v>
      </c>
      <c r="F10" t="n">
        <v>33.51</v>
      </c>
      <c r="G10" t="n">
        <v>127</v>
      </c>
      <c r="H10" t="n">
        <v>50.4</v>
      </c>
      <c r="I10" t="n">
        <v>75.59999999999999</v>
      </c>
      <c r="J10">
        <f>D10+E10+F10</f>
        <v/>
      </c>
    </row>
    <row r="11">
      <c r="A11" t="n">
        <v>8</v>
      </c>
      <c r="B11" t="inlineStr">
        <is>
          <t>R2</t>
        </is>
      </c>
      <c r="C11" t="n">
        <v>3</v>
      </c>
      <c r="D11" t="n">
        <v>30.98</v>
      </c>
      <c r="E11" t="n">
        <v>45.86</v>
      </c>
      <c r="F11" t="n">
        <v>48.14</v>
      </c>
      <c r="G11" t="n">
        <v>127</v>
      </c>
      <c r="H11" t="n">
        <v>50.4</v>
      </c>
      <c r="I11" t="n">
        <v>75.59999999999999</v>
      </c>
      <c r="J11">
        <f>D11+E11+F11</f>
        <v/>
      </c>
    </row>
    <row r="12">
      <c r="A12" t="n">
        <v>9</v>
      </c>
      <c r="B12" t="inlineStr">
        <is>
          <t>R2</t>
        </is>
      </c>
      <c r="C12" t="n">
        <v>4</v>
      </c>
      <c r="D12" t="n">
        <v>54.98</v>
      </c>
      <c r="E12" t="n">
        <v>48.26</v>
      </c>
      <c r="F12" t="n">
        <v>48.14</v>
      </c>
      <c r="G12" t="n">
        <v>127</v>
      </c>
      <c r="H12" t="n">
        <v>50.4</v>
      </c>
      <c r="I12" t="n">
        <v>75.59999999999999</v>
      </c>
      <c r="J12">
        <f>D12+E12+F12</f>
        <v/>
      </c>
    </row>
    <row r="13">
      <c r="A13" t="n">
        <v>10</v>
      </c>
      <c r="B13" t="inlineStr">
        <is>
          <t>R2</t>
        </is>
      </c>
      <c r="C13" t="n">
        <v>5</v>
      </c>
      <c r="D13" t="n">
        <v>78.98</v>
      </c>
      <c r="E13" t="n">
        <v>48.26</v>
      </c>
      <c r="F13" t="n">
        <v>48.14</v>
      </c>
      <c r="G13" t="n">
        <v>127</v>
      </c>
      <c r="H13" t="n">
        <v>50.4</v>
      </c>
      <c r="I13" t="n">
        <v>75.59999999999999</v>
      </c>
      <c r="J13">
        <f>D13+E13+F13</f>
        <v/>
      </c>
    </row>
    <row r="14">
      <c r="A14" t="n">
        <v>11</v>
      </c>
      <c r="B14" t="inlineStr">
        <is>
          <t>R3</t>
        </is>
      </c>
      <c r="C14" t="n">
        <v>1</v>
      </c>
      <c r="D14" t="n">
        <v>42.88</v>
      </c>
      <c r="E14" t="n">
        <v>30.34</v>
      </c>
      <c r="F14" t="n">
        <v>21.26</v>
      </c>
      <c r="G14" t="n">
        <v>127</v>
      </c>
      <c r="H14" t="n">
        <v>50.4</v>
      </c>
      <c r="I14" t="n">
        <v>75.59999999999999</v>
      </c>
      <c r="J14">
        <f>D14+E14+F14</f>
        <v/>
      </c>
    </row>
    <row r="15">
      <c r="A15" t="n">
        <v>12</v>
      </c>
      <c r="B15" t="inlineStr">
        <is>
          <t>R3</t>
        </is>
      </c>
      <c r="C15" t="n">
        <v>2</v>
      </c>
      <c r="D15" t="n">
        <v>0.5</v>
      </c>
      <c r="E15" t="n">
        <v>13.39</v>
      </c>
      <c r="F15" t="n">
        <v>15.97</v>
      </c>
      <c r="G15" t="n">
        <v>127</v>
      </c>
      <c r="H15" t="n">
        <v>50.4</v>
      </c>
      <c r="I15" t="n">
        <v>75.59999999999999</v>
      </c>
      <c r="J15">
        <f>D15+E15+F15</f>
        <v/>
      </c>
    </row>
    <row r="16">
      <c r="A16" t="n">
        <v>13</v>
      </c>
      <c r="B16" t="inlineStr">
        <is>
          <t>R3</t>
        </is>
      </c>
      <c r="C16" t="n">
        <v>3</v>
      </c>
      <c r="D16" t="n">
        <v>0.5</v>
      </c>
      <c r="E16" t="n">
        <v>13.39</v>
      </c>
      <c r="F16" t="n">
        <v>36.11</v>
      </c>
      <c r="G16" t="n">
        <v>127</v>
      </c>
      <c r="H16" t="n">
        <v>50.4</v>
      </c>
      <c r="I16" t="n">
        <v>75.59999999999999</v>
      </c>
      <c r="J16">
        <f>D16+E16+F16</f>
        <v/>
      </c>
    </row>
    <row r="17">
      <c r="A17" t="n">
        <v>14</v>
      </c>
      <c r="B17" t="inlineStr">
        <is>
          <t>R3</t>
        </is>
      </c>
      <c r="C17" t="n">
        <v>4</v>
      </c>
      <c r="D17" t="n">
        <v>2.48</v>
      </c>
      <c r="E17" t="n">
        <v>-1.94</v>
      </c>
      <c r="F17" t="n">
        <v>24</v>
      </c>
      <c r="G17" t="n">
        <v>127</v>
      </c>
      <c r="H17" t="n">
        <v>50.4</v>
      </c>
      <c r="I17" t="n">
        <v>75.59999999999999</v>
      </c>
      <c r="J17">
        <f>D17+E17+F17</f>
        <v/>
      </c>
    </row>
    <row r="18">
      <c r="A18" t="n">
        <v>15</v>
      </c>
      <c r="B18" t="inlineStr">
        <is>
          <t>R3</t>
        </is>
      </c>
      <c r="C18" t="n">
        <v>5</v>
      </c>
      <c r="D18" t="n">
        <v>24</v>
      </c>
      <c r="E18" t="n">
        <v>0</v>
      </c>
      <c r="F18" t="n">
        <v>24</v>
      </c>
      <c r="G18" t="n">
        <v>127</v>
      </c>
      <c r="H18" t="n">
        <v>50.4</v>
      </c>
      <c r="I18" t="n">
        <v>75.59999999999999</v>
      </c>
      <c r="J18">
        <f>D18+E18+F18</f>
        <v/>
      </c>
    </row>
  </sheetData>
  <mergeCells count="1">
    <mergeCell ref="A1:J1"/>
  </mergeCells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E18"/>
  <sheetViews>
    <sheetView workbookViewId="0">
      <selection activeCell="A1" sqref="A1"/>
    </sheetView>
  </sheetViews>
  <sheetFormatPr baseColWidth="8" defaultRowHeight="15"/>
  <cols>
    <col width="36" customWidth="1" min="1" max="1"/>
  </cols>
  <sheetData>
    <row r="1">
      <c r="A1" s="1" t="inlineStr">
        <is>
          <t>SANITY CHECKS GLOBAIS (R1, R2, R3)</t>
        </is>
      </c>
    </row>
    <row r="2"/>
    <row r="3">
      <c r="A3" s="2" t="inlineStr">
        <is>
          <t>#</t>
        </is>
      </c>
      <c r="B3" s="2" t="inlineStr">
        <is>
          <t>Checagem</t>
        </is>
      </c>
      <c r="C3" s="2" t="inlineStr">
        <is>
          <t>R1</t>
        </is>
      </c>
      <c r="D3" s="2" t="inlineStr">
        <is>
          <t>R2</t>
        </is>
      </c>
      <c r="E3" s="2" t="inlineStr">
        <is>
          <t>R3</t>
        </is>
      </c>
    </row>
    <row r="4">
      <c r="A4" t="n">
        <v>1</v>
      </c>
      <c r="B4" t="inlineStr">
        <is>
          <t>Transportes ≤ 220 por rodada</t>
        </is>
      </c>
      <c r="C4" s="3" t="inlineStr">
        <is>
          <t>13 ✅</t>
        </is>
      </c>
      <c r="D4" s="3" t="inlineStr">
        <is>
          <t>179 ✅</t>
        </is>
      </c>
      <c r="E4" s="3" t="inlineStr">
        <is>
          <t>165 ✅</t>
        </is>
      </c>
    </row>
    <row r="5">
      <c r="A5" t="n">
        <v>2</v>
      </c>
      <c r="B5" t="inlineStr">
        <is>
          <t>Min usados/dia ≤ 10.080</t>
        </is>
      </c>
      <c r="C5" s="3" t="inlineStr">
        <is>
          <t>0/10080 ✅</t>
        </is>
      </c>
      <c r="D5" s="3" t="inlineStr">
        <is>
          <t>9793/10080 ✅</t>
        </is>
      </c>
      <c r="E5" s="3" t="inlineStr">
        <is>
          <t>9955/10080 ✅</t>
        </is>
      </c>
    </row>
    <row r="6">
      <c r="A6" t="n">
        <v>3</v>
      </c>
      <c r="B6" t="inlineStr">
        <is>
          <t>Estoque MP1 nunca negativo</t>
        </is>
      </c>
      <c r="C6" s="3" t="inlineStr">
        <is>
          <t>0.0 ✅</t>
        </is>
      </c>
      <c r="D6" s="3" t="inlineStr">
        <is>
          <t>31.0 ✅</t>
        </is>
      </c>
      <c r="E6" s="3" t="inlineStr">
        <is>
          <t>0.5 ✅</t>
        </is>
      </c>
    </row>
    <row r="7">
      <c r="A7" t="n">
        <v>4</v>
      </c>
      <c r="B7" t="inlineStr">
        <is>
          <t>Estoque MP2 nunca negativo</t>
        </is>
      </c>
      <c r="C7" s="3" t="inlineStr">
        <is>
          <t>0.0 ✅</t>
        </is>
      </c>
      <c r="D7" s="3" t="inlineStr">
        <is>
          <t>28.5 ✅</t>
        </is>
      </c>
      <c r="E7" s="12" t="inlineStr">
        <is>
          <t>-1.9 ❌</t>
        </is>
      </c>
    </row>
    <row r="8">
      <c r="A8" t="n">
        <v>5</v>
      </c>
      <c r="B8" t="inlineStr">
        <is>
          <t>Estoque MP3 nunca negativo</t>
        </is>
      </c>
      <c r="C8" s="3" t="inlineStr">
        <is>
          <t>0.0 ✅</t>
        </is>
      </c>
      <c r="D8" s="3" t="inlineStr">
        <is>
          <t>20.0 ✅</t>
        </is>
      </c>
      <c r="E8" s="3" t="inlineStr">
        <is>
          <t>16.0 ✅</t>
        </is>
      </c>
    </row>
    <row r="9">
      <c r="A9" t="n">
        <v>6</v>
      </c>
      <c r="B9" t="inlineStr">
        <is>
          <t>Estoque MP1 ≤ cap (sem descarte)</t>
        </is>
      </c>
      <c r="C9" s="3" t="inlineStr">
        <is>
          <t>47.0/127 ✅</t>
        </is>
      </c>
      <c r="D9" s="3" t="inlineStr">
        <is>
          <t>79.0/127 ✅</t>
        </is>
      </c>
      <c r="E9" s="3" t="inlineStr">
        <is>
          <t>42.9/127 ✅</t>
        </is>
      </c>
    </row>
    <row r="10">
      <c r="A10" t="n">
        <v>7</v>
      </c>
      <c r="B10" t="inlineStr">
        <is>
          <t>Estoque MP2 ≤ cap (sem descarte)</t>
        </is>
      </c>
      <c r="C10" s="3" t="inlineStr">
        <is>
          <t>48.0/50 ✅</t>
        </is>
      </c>
      <c r="D10" s="3" t="inlineStr">
        <is>
          <t>48.3/50 ✅</t>
        </is>
      </c>
      <c r="E10" s="3" t="inlineStr">
        <is>
          <t>30.3/50 ✅</t>
        </is>
      </c>
    </row>
    <row r="11">
      <c r="A11" t="n">
        <v>8</v>
      </c>
      <c r="B11" t="inlineStr">
        <is>
          <t>Estoque MP3 ≤ cap (sem descarte)</t>
        </is>
      </c>
      <c r="C11" s="3" t="inlineStr">
        <is>
          <t>42.0/76 ✅</t>
        </is>
      </c>
      <c r="D11" s="3" t="inlineStr">
        <is>
          <t>48.1/76 ✅</t>
        </is>
      </c>
      <c r="E11" s="3" t="inlineStr">
        <is>
          <t>36.1/76 ✅</t>
        </is>
      </c>
    </row>
    <row r="12">
      <c r="A12" t="n">
        <v>9</v>
      </c>
      <c r="B12" t="inlineStr">
        <is>
          <t>Descarte MP1 = 0 (ton)</t>
        </is>
      </c>
      <c r="C12" s="3" t="inlineStr">
        <is>
          <t>0.00t ✅</t>
        </is>
      </c>
      <c r="D12" s="3" t="inlineStr">
        <is>
          <t>0.00t ✅</t>
        </is>
      </c>
      <c r="E12" s="3" t="inlineStr">
        <is>
          <t>0.00t ✅</t>
        </is>
      </c>
    </row>
    <row r="13">
      <c r="A13" t="n">
        <v>10</v>
      </c>
      <c r="B13" t="inlineStr">
        <is>
          <t>Descarte MP2 = 0 (ton)</t>
        </is>
      </c>
      <c r="C13" s="3" t="inlineStr">
        <is>
          <t>0.00t ✅</t>
        </is>
      </c>
      <c r="D13" s="12" t="inlineStr">
        <is>
          <t>2.11t ❌</t>
        </is>
      </c>
      <c r="E13" s="3" t="inlineStr">
        <is>
          <t>0.00t ✅</t>
        </is>
      </c>
    </row>
    <row r="14">
      <c r="A14" t="n">
        <v>11</v>
      </c>
      <c r="B14" t="inlineStr">
        <is>
          <t>Descarte MP3 = 0 (ton)</t>
        </is>
      </c>
      <c r="C14" s="3" t="inlineStr">
        <is>
          <t>0.00t ✅</t>
        </is>
      </c>
      <c r="D14" s="3" t="inlineStr">
        <is>
          <t>0.00t ✅</t>
        </is>
      </c>
      <c r="E14" s="3" t="inlineStr">
        <is>
          <t>0.00t ✅</t>
        </is>
      </c>
    </row>
    <row r="15"/>
    <row r="16"/>
    <row r="17">
      <c r="A17" s="14" t="inlineStr">
        <is>
          <t>RESUMO GLOBAL</t>
        </is>
      </c>
    </row>
    <row r="18">
      <c r="A18" s="15" t="inlineStr">
        <is>
          <t>Total checks: 11 | Falhas: 2</t>
        </is>
      </c>
    </row>
  </sheetData>
  <mergeCells count="2">
    <mergeCell ref="A1:E1"/>
    <mergeCell ref="A17:E17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2026-05-26T22:20:10Z</dcterms:created>
  <dcterms:modified xsi:type="dcterms:W3CDTF">2026-05-26T22:20:10Z</dcterms:modified>
</cp:coreProperties>
</file>