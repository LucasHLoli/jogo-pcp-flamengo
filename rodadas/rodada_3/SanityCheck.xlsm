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00_RESUMO" sheetId="1" state="visible" r:id="rId1"/>
    <sheet name="01_Regras" sheetId="2" state="visible" r:id="rId2"/>
    <sheet name="02_Layout" sheetId="3" state="visible" r:id="rId3"/>
    <sheet name="03_LeadTimes" sheetId="4" state="visible" r:id="rId4"/>
    <sheet name="04_CapModais" sheetId="5" state="visible" r:id="rId5"/>
    <sheet name="05_OPs_R3" sheetId="6" state="visible" r:id="rId6"/>
    <sheet name="06_Transportes_R3" sheetId="7" state="visible" r:id="rId7"/>
    <sheet name="07_Producao" sheetId="8" state="visible" r:id="rId8"/>
    <sheet name="08_Estoque_MP_Dia" sheetId="9" state="visible" r:id="rId9"/>
    <sheet name="09_Estoque_PA_Dia" sheetId="10" state="visible" r:id="rId10"/>
    <sheet name="10_Estoque_FimR3" sheetId="11" state="visible" r:id="rId11"/>
    <sheet name="11_Custo_Transp" sheetId="12" state="visible" r:id="rId12"/>
    <sheet name="12_DRE_R1_R2_R3" sheetId="13" state="visible" r:id="rId13"/>
    <sheet name="13_Indicadores" sheetId="14" state="visible" r:id="rId14"/>
    <sheet name="14_Checks" sheetId="15" state="visible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R$ #,##0.00;[Red]-R$ #,##0.00"/>
    <numFmt numFmtId="165" formatCode="0.0%"/>
  </numFmts>
  <fonts count="5">
    <font>
      <name val="Calibri"/>
      <family val="2"/>
      <color theme="1"/>
      <sz val="11"/>
      <scheme val="minor"/>
    </font>
    <font>
      <b val="1"/>
      <color rgb="00FFFFFF"/>
      <sz val="12"/>
    </font>
    <font>
      <b val="1"/>
    </font>
    <font>
      <b val="1"/>
      <sz val="11"/>
    </font>
    <font>
      <i val="1"/>
    </font>
  </fonts>
  <fills count="9">
    <fill>
      <patternFill/>
    </fill>
    <fill>
      <patternFill patternType="gray125"/>
    </fill>
    <fill>
      <patternFill patternType="solid">
        <fgColor rgb="001F4E78"/>
      </patternFill>
    </fill>
    <fill>
      <patternFill patternType="solid">
        <fgColor rgb="009BC2E6"/>
      </patternFill>
    </fill>
    <fill>
      <patternFill patternType="solid">
        <fgColor rgb="00DDEBF7"/>
      </patternFill>
    </fill>
    <fill>
      <patternFill patternType="solid">
        <fgColor rgb="00C6EFCE"/>
      </patternFill>
    </fill>
    <fill>
      <patternFill patternType="solid">
        <fgColor rgb="00FFC7CE"/>
      </patternFill>
    </fill>
    <fill>
      <patternFill patternType="solid">
        <fgColor rgb="00FFEB9C"/>
      </patternFill>
    </fill>
    <fill>
      <patternFill patternType="solid">
        <fgColor rgb="00FFF2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2" fillId="3" borderId="0" pivotButton="0" quotePrefix="0" xfId="0"/>
    <xf numFmtId="0" fontId="2" fillId="0" borderId="0" pivotButton="0" quotePrefix="0" xfId="0"/>
    <xf numFmtId="0" fontId="2" fillId="4" borderId="0" applyAlignment="1" pivotButton="0" quotePrefix="0" xfId="0">
      <alignment horizontal="center" wrapText="1"/>
    </xf>
    <xf numFmtId="0" fontId="0" fillId="0" borderId="0" applyAlignment="1" pivotButton="0" quotePrefix="0" xfId="0">
      <alignment vertical="top" wrapText="1"/>
    </xf>
    <xf numFmtId="0" fontId="3" fillId="3" borderId="0" pivotButton="0" quotePrefix="0" xfId="0"/>
    <xf numFmtId="164" fontId="0" fillId="0" borderId="0" pivotButton="0" quotePrefix="0" xfId="0"/>
    <xf numFmtId="0" fontId="0" fillId="5" borderId="0" pivotButton="0" quotePrefix="0" xfId="0"/>
    <xf numFmtId="165" fontId="0" fillId="0" borderId="0" pivotButton="0" quotePrefix="0" xfId="0"/>
    <xf numFmtId="165" fontId="2" fillId="0" borderId="0" pivotButton="0" quotePrefix="0" xfId="0"/>
    <xf numFmtId="0" fontId="4" fillId="0" borderId="0" pivotButton="0" quotePrefix="0" xfId="0"/>
    <xf numFmtId="0" fontId="2" fillId="5" borderId="0" pivotButton="0" quotePrefix="0" xfId="0"/>
    <xf numFmtId="164" fontId="2" fillId="5" borderId="0" pivotButton="0" quotePrefix="0" xfId="0"/>
    <xf numFmtId="0" fontId="0" fillId="0" borderId="0" applyAlignment="1" pivotButton="0" quotePrefix="0" xfId="0">
      <alignment wrapText="1"/>
    </xf>
    <xf numFmtId="0" fontId="2" fillId="6" borderId="0" pivotButton="0" quotePrefix="0" xfId="0"/>
    <xf numFmtId="164" fontId="2" fillId="6" borderId="0" pivotButton="0" quotePrefix="0" xfId="0"/>
    <xf numFmtId="0" fontId="2" fillId="7" borderId="0" pivotButton="0" quotePrefix="0" xfId="0"/>
    <xf numFmtId="0" fontId="0" fillId="8" borderId="0" pivotButton="0" quotePrefix="0" xfId="0"/>
    <xf numFmtId="165" fontId="0" fillId="5" borderId="0" pivotButton="0" quotePrefix="0" xfId="0"/>
    <xf numFmtId="165" fontId="0" fillId="7" borderId="0" pivotButton="0" quotePrefix="0" xfId="0"/>
    <xf numFmtId="165" fontId="2" fillId="5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16"/>
  <sheetViews>
    <sheetView workbookViewId="0">
      <selection activeCell="A1" sqref="A1"/>
    </sheetView>
  </sheetViews>
  <sheetFormatPr baseColWidth="8" defaultRowHeight="15"/>
  <cols>
    <col width="50" customWidth="1" min="1" max="1"/>
  </cols>
  <sheetData>
    <row r="1" ht="22" customHeight="1">
      <c r="A1" s="1" t="inlineStr">
        <is>
          <t>RESUMO EXECUTIVO — RODADA 3 (Dia 11 a Dia 15 absoluto)</t>
        </is>
      </c>
    </row>
    <row r="2"/>
    <row r="3">
      <c r="A3" s="2" t="inlineStr">
        <is>
          <t>INDICADOR</t>
        </is>
      </c>
      <c r="B3" s="2" t="inlineStr">
        <is>
          <t>VALOR</t>
        </is>
      </c>
      <c r="C3" s="2" t="inlineStr">
        <is>
          <t>DETALHE</t>
        </is>
      </c>
      <c r="D3" s="2" t="inlineStr">
        <is>
          <t>FÓRMULA / CHECK</t>
        </is>
      </c>
    </row>
    <row r="4">
      <c r="A4" t="inlineStr">
        <is>
          <t>🎯 NS R3 (Nível de Serviço)</t>
        </is>
      </c>
      <c r="B4" s="3" t="inlineStr">
        <is>
          <t>25/25 (100.0%)</t>
        </is>
      </c>
      <c r="C4" t="inlineStr">
        <is>
          <t>1,343,693 de 1,343,693 frascos</t>
        </is>
      </c>
      <c r="D4" t="inlineStr">
        <is>
          <t>OPs no dia EXATO / Total</t>
        </is>
      </c>
    </row>
    <row r="5">
      <c r="A5" t="inlineStr">
        <is>
          <t>💰 Receita R3 (PA3)</t>
        </is>
      </c>
      <c r="B5" s="3" t="inlineStr">
        <is>
          <t>R$ 42,998,176</t>
        </is>
      </c>
      <c r="C5" t="inlineStr">
        <is>
          <t>1,343,693 frascos × R$ 32.00</t>
        </is>
      </c>
      <c r="D5" t="inlineStr">
        <is>
          <t>qty × preço = 1,343,693 × 32.0</t>
        </is>
      </c>
    </row>
    <row r="6">
      <c r="A6" t="inlineStr">
        <is>
          <t>💸 Custo Total R3</t>
        </is>
      </c>
      <c r="B6" s="3" t="inlineStr">
        <is>
          <t>R$ 8,138,413</t>
        </is>
      </c>
      <c r="C6" t="inlineStr">
        <is>
          <t>Fixos + MP + Frete + Carregamento</t>
        </is>
      </c>
      <c r="D6" t="inlineStr">
        <is>
          <t>ver aba 12_DRE</t>
        </is>
      </c>
    </row>
    <row r="7">
      <c r="A7" t="inlineStr">
        <is>
          <t>📈 Resultado R3</t>
        </is>
      </c>
      <c r="B7" s="3" t="inlineStr">
        <is>
          <t>R$ 34,859,763</t>
        </is>
      </c>
      <c r="C7" t="inlineStr">
        <is>
          <t>Receita − Custos</t>
        </is>
      </c>
      <c r="D7" t="inlineStr">
        <is>
          <t>ver aba 12_DRE</t>
        </is>
      </c>
    </row>
    <row r="8">
      <c r="A8" t="inlineStr">
        <is>
          <t>⏱️ Utilização fábrica</t>
        </is>
      </c>
      <c r="B8" s="3" t="inlineStr">
        <is>
          <t>49.7%</t>
        </is>
      </c>
      <c r="C8" t="inlineStr">
        <is>
          <t>25042/50400 min</t>
        </is>
      </c>
      <c r="D8" t="inlineStr">
        <is>
          <t>Σ min / cap min sem</t>
        </is>
      </c>
    </row>
    <row r="9">
      <c r="A9" t="inlineStr">
        <is>
          <t>⚙️ Ociosidade</t>
        </is>
      </c>
      <c r="B9" s="3" t="inlineStr">
        <is>
          <t>50.3%</t>
        </is>
      </c>
      <c r="C9" t="inlineStr">
        <is>
          <t>min ociosos = sobra fabril</t>
        </is>
      </c>
      <c r="D9" t="inlineStr">
        <is>
          <t>1 − utilização</t>
        </is>
      </c>
    </row>
    <row r="10">
      <c r="A10" t="inlineStr">
        <is>
          <t>🚚 Transportes R3</t>
        </is>
      </c>
      <c r="B10" s="3" t="inlineStr">
        <is>
          <t>167/220</t>
        </is>
      </c>
      <c r="C10" t="inlineStr">
        <is>
          <t>cap 220/semana</t>
        </is>
      </c>
      <c r="D10" t="inlineStr">
        <is>
          <t>≤ 220 = OK</t>
        </is>
      </c>
    </row>
    <row r="11">
      <c r="A11" t="inlineStr">
        <is>
          <t>📦 Buffer PA2 R4</t>
        </is>
      </c>
      <c r="B11" s="3" t="inlineStr">
        <is>
          <t>79,113</t>
        </is>
      </c>
      <c r="C11" t="inlineStr">
        <is>
          <t>estocado em CD2 Santos (cap PA2=400,000)</t>
        </is>
      </c>
      <c r="D11" t="inlineStr">
        <is>
          <t>Forecast R4 PA2 Flamengo = 560,438</t>
        </is>
      </c>
    </row>
    <row r="12">
      <c r="A12" t="inlineStr">
        <is>
          <t>📍 MP1 final F1</t>
        </is>
      </c>
      <c r="B12" s="3" t="inlineStr">
        <is>
          <t>25.65 t</t>
        </is>
      </c>
      <c r="C12" t="inlineStr">
        <is>
          <t>cap 127.0 ton (20.2%)</t>
        </is>
      </c>
      <c r="D12" t="inlineStr">
        <is>
          <t>ver aba 08_Estoque_MP_Dia</t>
        </is>
      </c>
    </row>
    <row r="13">
      <c r="A13" t="inlineStr">
        <is>
          <t>📍 MP2 final F1</t>
        </is>
      </c>
      <c r="B13" s="3" t="inlineStr">
        <is>
          <t>0.16 t</t>
        </is>
      </c>
      <c r="C13" t="inlineStr">
        <is>
          <t>cap 50.4 ton (0.3%)</t>
        </is>
      </c>
      <c r="D13" t="inlineStr">
        <is>
          <t>ver aba 08_Estoque_MP_Dia</t>
        </is>
      </c>
    </row>
    <row r="14">
      <c r="A14" t="inlineStr">
        <is>
          <t>📍 MP3 final F1</t>
        </is>
      </c>
      <c r="B14" s="3" t="inlineStr">
        <is>
          <t>48.01 t</t>
        </is>
      </c>
      <c r="C14" t="inlineStr">
        <is>
          <t>cap 75.6 ton (63.5%)</t>
        </is>
      </c>
      <c r="D14" t="inlineStr">
        <is>
          <t>ver aba 08_Estoque_MP_Dia</t>
        </is>
      </c>
    </row>
    <row r="15">
      <c r="A15" t="inlineStr">
        <is>
          <t>🏪 PA2 final CD1 (São Luís)</t>
        </is>
      </c>
      <c r="B15" s="3" t="inlineStr">
        <is>
          <t>0</t>
        </is>
      </c>
      <c r="C15" t="inlineStr">
        <is>
          <t>cap 432,000</t>
        </is>
      </c>
      <c r="D15" t="inlineStr">
        <is>
          <t>ver aba 09_Estoque_PA_Dia</t>
        </is>
      </c>
    </row>
    <row r="16">
      <c r="A16" t="inlineStr">
        <is>
          <t>🏪 PA2 final CD2 (Santos)</t>
        </is>
      </c>
      <c r="B16" s="3" t="inlineStr">
        <is>
          <t>79,113.0</t>
        </is>
      </c>
      <c r="C16" t="inlineStr">
        <is>
          <t>cap 400,000</t>
        </is>
      </c>
      <c r="D16" t="inlineStr">
        <is>
          <t>ver aba 09_Estoque_PA_Dia</t>
        </is>
      </c>
    </row>
  </sheetData>
  <mergeCells count="1">
    <mergeCell ref="A1:F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3:D22"/>
  <sheetViews>
    <sheetView workbookViewId="0">
      <selection activeCell="A1" sqref="A1"/>
    </sheetView>
  </sheetViews>
  <sheetFormatPr baseColWidth="8" defaultRowHeight="15"/>
  <cols>
    <col width="6" customWidth="1" min="1" max="1"/>
    <col width="50" customWidth="1" min="2" max="2"/>
    <col width="50" customWidth="1" min="3" max="3"/>
    <col width="32" customWidth="1" min="4" max="4"/>
  </cols>
  <sheetData>
    <row r="3">
      <c r="A3" s="1" t="inlineStr">
        <is>
          <t>REGRAS DO JOGO MODELADAS NO PLANNER V3</t>
        </is>
      </c>
    </row>
    <row r="4">
      <c r="A4" s="4" t="inlineStr">
        <is>
          <t>#</t>
        </is>
      </c>
      <c r="B4" s="4" t="inlineStr">
        <is>
          <t>Regra</t>
        </is>
      </c>
      <c r="C4" s="4" t="inlineStr">
        <is>
          <t>Modelagem</t>
        </is>
      </c>
      <c r="D4" s="4" t="inlineStr">
        <is>
          <t>Validação</t>
        </is>
      </c>
    </row>
    <row r="5" ht="28" customHeight="1">
      <c r="A5" s="3" t="inlineStr">
        <is>
          <t>R1</t>
        </is>
      </c>
      <c r="B5" s="5" t="inlineStr">
        <is>
          <t>PA chega EXATAMENTE no dia solicitado</t>
        </is>
      </c>
      <c r="C5" s="5" t="inlineStr">
        <is>
          <t>dia_prod + lt_F1 + lt_CD == dia_entrega</t>
        </is>
      </c>
      <c r="D5" s="5" t="inlineStr">
        <is>
          <t>aba 05_OPs_R3 col ✅</t>
        </is>
      </c>
    </row>
    <row r="6" ht="28" customHeight="1">
      <c r="A6" s="3" t="inlineStr">
        <is>
          <t>R2</t>
        </is>
      </c>
      <c r="B6" s="5" t="inlineStr">
        <is>
          <t>PA sai da F1 no MESMO dia da produção</t>
        </is>
      </c>
      <c r="C6" s="5" t="inlineStr">
        <is>
          <t>F1→CD: Dia_Coleta = dia_producao</t>
        </is>
      </c>
      <c r="D6" s="5" t="inlineStr">
        <is>
          <t>aba 14 teste 4</t>
        </is>
      </c>
    </row>
    <row r="7" ht="28" customHeight="1">
      <c r="A7" s="3" t="inlineStr">
        <is>
          <t>R3</t>
        </is>
      </c>
      <c r="B7" s="5" t="inlineStr">
        <is>
          <t>MP sem espaço na F1 é descartada</t>
        </is>
      </c>
      <c r="C7" s="5" t="inlineStr">
        <is>
          <t>Compra limita p/ estoque ≤ cap; simula dia a dia</t>
        </is>
      </c>
      <c r="D7" s="5" t="inlineStr">
        <is>
          <t>aba 08 col Desc</t>
        </is>
      </c>
    </row>
    <row r="8" ht="28" customHeight="1">
      <c r="A8" s="3" t="inlineStr">
        <is>
          <t>R4</t>
        </is>
      </c>
      <c r="B8" s="5" t="inlineStr">
        <is>
          <t>Máx 220 transportes/semana</t>
        </is>
      </c>
      <c r="C8" s="5" t="inlineStr">
        <is>
          <t>Planner conta + alerta</t>
        </is>
      </c>
      <c r="D8" s="5" t="inlineStr">
        <is>
          <t>aba 14 teste 1</t>
        </is>
      </c>
    </row>
    <row r="9" ht="28" customHeight="1">
      <c r="A9" s="3" t="inlineStr">
        <is>
          <t>R5</t>
        </is>
      </c>
      <c r="B9" s="5" t="inlineStr">
        <is>
          <t>Lead times oficiais (Av=0, Cam/Navio var.)</t>
        </is>
      </c>
      <c r="C9" s="5" t="inlineStr">
        <is>
          <t>Lookup Orig_Dest no data/lead_times.json</t>
        </is>
      </c>
      <c r="D9" s="5" t="inlineStr">
        <is>
          <t>aba 03_LeadTimes</t>
        </is>
      </c>
    </row>
    <row r="10" ht="28" customHeight="1">
      <c r="A10" s="3" t="inlineStr">
        <is>
          <t>R6</t>
        </is>
      </c>
      <c r="B10" s="5" t="inlineStr">
        <is>
          <t>Cap modal: Av=1t, Cam=24t, Navio=100t</t>
        </is>
      </c>
      <c r="C10" s="5" t="inlineStr">
        <is>
          <t>Cada viagem ≤ cap; quebrado em N viagens</t>
        </is>
      </c>
      <c r="D10" s="5" t="inlineStr">
        <is>
          <t>aba 04_CapModais</t>
        </is>
      </c>
    </row>
    <row r="11" ht="28" customHeight="1">
      <c r="A11" s="3" t="inlineStr">
        <is>
          <t>R7</t>
        </is>
      </c>
      <c r="B11" s="5" t="inlineStr">
        <is>
          <t>Frete ≥80%: viagem; &lt;80%: peso</t>
        </is>
      </c>
      <c r="C11" s="5" t="inlineStr">
        <is>
          <t>Função custo_total_modal</t>
        </is>
      </c>
      <c r="D11" s="5" t="inlineStr">
        <is>
          <t>aba 11_Custo_Transp</t>
        </is>
      </c>
    </row>
    <row r="12" ht="28" customHeight="1">
      <c r="A12" s="3" t="inlineStr">
        <is>
          <t>R8</t>
        </is>
      </c>
      <c r="B12" s="5" t="inlineStr">
        <is>
          <t>Cap fábrica = 7×3×8×60 = 10.080 min/dia</t>
        </is>
      </c>
      <c r="C12" s="5" t="inlineStr">
        <is>
          <t>alocar_no_dia checa cap_restante[dia]</t>
        </is>
      </c>
      <c r="D12" s="5" t="inlineStr">
        <is>
          <t>aba 14 teste 2</t>
        </is>
      </c>
    </row>
    <row r="13" ht="28" customHeight="1">
      <c r="A13" s="3" t="inlineStr">
        <is>
          <t>R9</t>
        </is>
      </c>
      <c r="B13" s="5" t="inlineStr">
        <is>
          <t>Velocidade: PA1=15 PA2=30 PA3=60 un/min</t>
        </is>
      </c>
      <c r="C13" s="5" t="inlineStr">
        <is>
          <t>min_necessarios = ceil(qtd/vel)</t>
        </is>
      </c>
      <c r="D13" s="5" t="inlineStr">
        <is>
          <t>aba 07_Producao</t>
        </is>
      </c>
    </row>
    <row r="14" ht="28" customHeight="1">
      <c r="A14" s="3" t="inlineStr">
        <is>
          <t>R10</t>
        </is>
      </c>
      <c r="B14" s="5" t="inlineStr">
        <is>
          <t>BoM: PA1=60/90/150 PA2=75/125/50 PA3=75/30/45 g/un</t>
        </is>
      </c>
      <c r="C14" s="5" t="inlineStr">
        <is>
          <t>Consumo MP por produção</t>
        </is>
      </c>
      <c r="D14" s="5" t="inlineStr">
        <is>
          <t>aba 07_Producao</t>
        </is>
      </c>
    </row>
    <row r="15" ht="28" customHeight="1">
      <c r="A15" s="3" t="inlineStr">
        <is>
          <t>R11</t>
        </is>
      </c>
      <c r="B15" s="5" t="inlineStr">
        <is>
          <t>F1 só estoca MP (PA vai 100% pro CD)</t>
        </is>
      </c>
      <c r="C15" s="5" t="inlineStr">
        <is>
          <t>Sem stock PA em F1; envio 100% mesmo dia</t>
        </is>
      </c>
      <c r="D15" s="5" t="inlineStr">
        <is>
          <t>aba 09_Estoque_PA</t>
        </is>
      </c>
    </row>
    <row r="16" ht="28" customHeight="1">
      <c r="A16" s="3" t="inlineStr">
        <is>
          <t>R12</t>
        </is>
      </c>
      <c r="B16" s="5" t="inlineStr">
        <is>
          <t>Cap MP F1 = área×pé_direito×densidade</t>
        </is>
      </c>
      <c r="C16" s="5" t="inlineStr">
        <is>
          <t>MP1=127t MP2=50.4t MP3=75.6t</t>
        </is>
      </c>
      <c r="D16" s="5" t="inlineStr">
        <is>
          <t>aba 02_Layout</t>
        </is>
      </c>
    </row>
    <row r="17" ht="28" customHeight="1">
      <c r="A17" s="3" t="inlineStr">
        <is>
          <t>R13</t>
        </is>
      </c>
      <c r="B17" s="5" t="inlineStr">
        <is>
          <t>Cap PA CD = área×pé_direito×densidade</t>
        </is>
      </c>
      <c r="C17" s="5" t="inlineStr">
        <is>
          <t>PA por PA por CD</t>
        </is>
      </c>
      <c r="D17" s="5" t="inlineStr">
        <is>
          <t>aba 02_Layout</t>
        </is>
      </c>
    </row>
    <row r="18" ht="28" customHeight="1">
      <c r="A18" s="3" t="inlineStr">
        <is>
          <t>R14</t>
        </is>
      </c>
      <c r="B18" s="5" t="inlineStr">
        <is>
          <t>Setup imutável (F1+CDs já definidos)</t>
        </is>
      </c>
      <c r="C18" s="5" t="inlineStr">
        <is>
          <t>Lido de INSTALAÇÕES</t>
        </is>
      </c>
      <c r="D18" s="5" t="inlineStr">
        <is>
          <t>aba 02_Layout</t>
        </is>
      </c>
    </row>
    <row r="19" ht="28" customHeight="1">
      <c r="A19" s="3" t="inlineStr">
        <is>
          <t>R15</t>
        </is>
      </c>
      <c r="B19" s="5" t="inlineStr">
        <is>
          <t>Preço PA3 R3 = R$ 32 (IND_FLAMENGO)</t>
        </is>
      </c>
      <c r="C19" s="5" t="inlineStr">
        <is>
          <t>Hardcoded</t>
        </is>
      </c>
      <c r="D19" s="5" t="inlineStr">
        <is>
          <t>aba 12_DRE</t>
        </is>
      </c>
    </row>
    <row r="20" ht="28" customHeight="1">
      <c r="A20" s="3" t="inlineStr">
        <is>
          <t>R16</t>
        </is>
      </c>
      <c r="B20" s="5" t="inlineStr">
        <is>
          <t>Carreg MP = qty × maior preço × 1%</t>
        </is>
      </c>
      <c r="C20" s="5" t="inlineStr">
        <is>
          <t>Por MP no estoque final</t>
        </is>
      </c>
      <c r="D20" s="5" t="inlineStr">
        <is>
          <t>aba 12_DRE</t>
        </is>
      </c>
    </row>
    <row r="21" ht="28" customHeight="1">
      <c r="A21" s="3" t="inlineStr">
        <is>
          <t>R17</t>
        </is>
      </c>
      <c r="B21" s="5" t="inlineStr">
        <is>
          <t>Carreg PA = qty × preço tabela × 1%</t>
        </is>
      </c>
      <c r="C21" s="5" t="inlineStr">
        <is>
          <t>Por PA no estoque final</t>
        </is>
      </c>
      <c r="D21" s="5" t="inlineStr">
        <is>
          <t>aba 12_DRE</t>
        </is>
      </c>
    </row>
    <row r="22" ht="28" customHeight="1">
      <c r="A22" s="3" t="inlineStr">
        <is>
          <t>R18</t>
        </is>
      </c>
      <c r="B22" s="5" t="inlineStr">
        <is>
          <t>MP em trânsito de R2 chega em R3 conforme lt</t>
        </is>
      </c>
      <c r="C22" s="5" t="inlineStr">
        <is>
          <t>Soma em arrivals_mp_dia</t>
        </is>
      </c>
      <c r="D22" s="5" t="inlineStr">
        <is>
          <t>aba 08 col +Arr</t>
        </is>
      </c>
    </row>
  </sheetData>
  <mergeCells count="1">
    <mergeCell ref="A3:D3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20"/>
  <sheetViews>
    <sheetView workbookViewId="0">
      <selection activeCell="A1" sqref="A1"/>
    </sheetView>
  </sheetViews>
  <sheetFormatPr baseColWidth="8" defaultRowHeight="15"/>
  <cols>
    <col width="50" customWidth="1" min="1" max="1"/>
  </cols>
  <sheetData>
    <row r="1">
      <c r="A1" s="1" t="inlineStr">
        <is>
          <t>LAYOUT E CAPACIDADES (lido do FLAMENGO.xlsm INSTALAÇÕES)</t>
        </is>
      </c>
    </row>
    <row r="2"/>
    <row r="3">
      <c r="A3" s="6" t="inlineStr">
        <is>
          <t>FÁBRICA F1</t>
        </is>
      </c>
    </row>
    <row r="4">
      <c r="A4" s="4" t="inlineStr">
        <is>
          <t>Item</t>
        </is>
      </c>
      <c r="B4" s="4" t="inlineStr">
        <is>
          <t>Valor</t>
        </is>
      </c>
      <c r="C4" s="4" t="inlineStr">
        <is>
          <t>Unidade</t>
        </is>
      </c>
      <c r="D4" s="4" t="inlineStr">
        <is>
          <t>Cálculo derivado</t>
        </is>
      </c>
      <c r="E4" s="4" t="inlineStr">
        <is>
          <t>Valor</t>
        </is>
      </c>
    </row>
    <row r="5">
      <c r="A5" t="inlineStr">
        <is>
          <t>Cidade</t>
        </is>
      </c>
      <c r="B5" t="inlineStr">
        <is>
          <t>Joinville</t>
        </is>
      </c>
      <c r="C5" t="inlineStr">
        <is>
          <t>—</t>
        </is>
      </c>
      <c r="D5" t="inlineStr"/>
      <c r="E5" t="inlineStr"/>
    </row>
    <row r="6">
      <c r="A6" t="inlineStr">
        <is>
          <t>Máquinas</t>
        </is>
      </c>
      <c r="B6" t="n">
        <v>7</v>
      </c>
      <c r="C6" t="inlineStr">
        <is>
          <t>máq</t>
        </is>
      </c>
      <c r="D6" t="inlineStr"/>
      <c r="E6" t="inlineStr"/>
    </row>
    <row r="7">
      <c r="A7" t="inlineStr">
        <is>
          <t>Turnos/dia</t>
        </is>
      </c>
      <c r="B7" t="n">
        <v>3</v>
      </c>
      <c r="C7" t="inlineStr">
        <is>
          <t>turnos</t>
        </is>
      </c>
      <c r="D7" t="inlineStr"/>
      <c r="E7" t="inlineStr"/>
    </row>
    <row r="8">
      <c r="A8" t="inlineStr">
        <is>
          <t>MO</t>
        </is>
      </c>
      <c r="B8" t="n">
        <v>21</v>
      </c>
      <c r="C8" t="inlineStr">
        <is>
          <t>operários</t>
        </is>
      </c>
      <c r="D8" t="inlineStr"/>
      <c r="E8" t="inlineStr"/>
    </row>
    <row r="9">
      <c r="A9" t="inlineStr">
        <is>
          <t>Horas/turno</t>
        </is>
      </c>
      <c r="B9" t="n">
        <v>8</v>
      </c>
      <c r="C9" t="inlineStr">
        <is>
          <t>h</t>
        </is>
      </c>
      <c r="D9" t="inlineStr">
        <is>
          <t>Cap min/dia = M×T×8×60</t>
        </is>
      </c>
      <c r="E9" t="n">
        <v>10080</v>
      </c>
    </row>
    <row r="10">
      <c r="A10" t="inlineStr">
        <is>
          <t>Dias/rodada</t>
        </is>
      </c>
      <c r="B10" t="n">
        <v>5</v>
      </c>
      <c r="C10" t="inlineStr">
        <is>
          <t>dias</t>
        </is>
      </c>
      <c r="D10" t="inlineStr">
        <is>
          <t>Cap min/rodada = ↑ × 5</t>
        </is>
      </c>
      <c r="E10" t="n">
        <v>50400</v>
      </c>
    </row>
    <row r="11">
      <c r="A11" t="inlineStr"/>
      <c r="B11" t="inlineStr"/>
      <c r="C11" t="inlineStr"/>
      <c r="D11" t="inlineStr">
        <is>
          <t>Cap HH/sem = M×T×8×5</t>
        </is>
      </c>
      <c r="E11" t="n">
        <v>840</v>
      </c>
    </row>
    <row r="12">
      <c r="A12" t="inlineStr">
        <is>
          <t>Área MP1</t>
        </is>
      </c>
      <c r="B12" t="n">
        <v>127</v>
      </c>
      <c r="C12" t="inlineStr">
        <is>
          <t>m²</t>
        </is>
      </c>
      <c r="D12" t="inlineStr">
        <is>
          <t>Cap MP1 = área × 2m × dens</t>
        </is>
      </c>
      <c r="E12" t="n">
        <v>127</v>
      </c>
    </row>
    <row r="13">
      <c r="A13" t="inlineStr">
        <is>
          <t>Área MP2</t>
        </is>
      </c>
      <c r="B13" t="n">
        <v>36</v>
      </c>
      <c r="C13" t="inlineStr">
        <is>
          <t>m²</t>
        </is>
      </c>
      <c r="D13" t="inlineStr">
        <is>
          <t>Cap MP2 = área × 2m × dens</t>
        </is>
      </c>
      <c r="E13" t="n">
        <v>50.4</v>
      </c>
    </row>
    <row r="14">
      <c r="A14" t="inlineStr">
        <is>
          <t>Área MP3</t>
        </is>
      </c>
      <c r="B14" t="n">
        <v>42</v>
      </c>
      <c r="C14" t="inlineStr">
        <is>
          <t>m²</t>
        </is>
      </c>
      <c r="D14" t="inlineStr">
        <is>
          <t>Cap MP3 = área × 2m × dens</t>
        </is>
      </c>
      <c r="E14" t="n">
        <v>75.59999999999999</v>
      </c>
    </row>
    <row r="15"/>
    <row r="16"/>
    <row r="17">
      <c r="A17" s="6" t="inlineStr">
        <is>
          <t>CDs</t>
        </is>
      </c>
    </row>
    <row r="18">
      <c r="A18" s="4" t="inlineStr">
        <is>
          <t>CD</t>
        </is>
      </c>
      <c r="B18" s="4" t="inlineStr">
        <is>
          <t>Cidade</t>
        </is>
      </c>
      <c r="C18" s="4" t="inlineStr">
        <is>
          <t>Área PA1 (m²)</t>
        </is>
      </c>
      <c r="D18" s="4" t="inlineStr">
        <is>
          <t>Área PA2 (m²)</t>
        </is>
      </c>
      <c r="E18" s="4" t="inlineStr">
        <is>
          <t>Área PA3 (m²)</t>
        </is>
      </c>
      <c r="F18" s="4" t="inlineStr">
        <is>
          <t>Área total</t>
        </is>
      </c>
      <c r="G18" s="4" t="inlineStr">
        <is>
          <t>Cap PA1 (un)</t>
        </is>
      </c>
      <c r="H18" s="4" t="inlineStr">
        <is>
          <t>Cap PA2 (un)</t>
        </is>
      </c>
      <c r="I18" s="4" t="inlineStr">
        <is>
          <t>Cap PA3 (un)</t>
        </is>
      </c>
    </row>
    <row r="19">
      <c r="A19" t="inlineStr">
        <is>
          <t>CD1</t>
        </is>
      </c>
      <c r="B19" t="inlineStr">
        <is>
          <t>São Luís</t>
        </is>
      </c>
      <c r="C19" t="n">
        <v>110</v>
      </c>
      <c r="D19" t="n">
        <v>108</v>
      </c>
      <c r="E19" t="n">
        <v>873</v>
      </c>
      <c r="F19" t="n">
        <v>1091</v>
      </c>
      <c r="G19" t="n">
        <v>733333</v>
      </c>
      <c r="H19" t="n">
        <v>432000</v>
      </c>
      <c r="I19" t="n">
        <v>9312000</v>
      </c>
    </row>
    <row r="20">
      <c r="A20" t="inlineStr">
        <is>
          <t>CD2</t>
        </is>
      </c>
      <c r="B20" t="inlineStr">
        <is>
          <t>Santos</t>
        </is>
      </c>
      <c r="C20" t="n">
        <v>100</v>
      </c>
      <c r="D20" t="n">
        <v>100</v>
      </c>
      <c r="E20" t="n">
        <v>800</v>
      </c>
      <c r="F20" t="n">
        <v>1000</v>
      </c>
      <c r="G20" t="n">
        <v>666666</v>
      </c>
      <c r="H20" t="n">
        <v>400000</v>
      </c>
      <c r="I20" t="n">
        <v>8533333</v>
      </c>
    </row>
  </sheetData>
  <mergeCells count="3">
    <mergeCell ref="A1:I1"/>
    <mergeCell ref="A17:I17"/>
    <mergeCell ref="A3:I3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46"/>
  <sheetViews>
    <sheetView workbookViewId="0">
      <selection activeCell="A1" sqref="A1"/>
    </sheetView>
  </sheetViews>
  <sheetFormatPr baseColWidth="8" defaultRowHeight="15"/>
  <cols>
    <col width="50" customWidth="1" min="1" max="1"/>
  </cols>
  <sheetData>
    <row r="1">
      <c r="A1" s="1" t="inlineStr">
        <is>
          <t>LEAD TIMES OFICIAIS (lookup Orig_Dest do jogo). Avião=0 SEMPRE</t>
        </is>
      </c>
    </row>
    <row r="2"/>
    <row r="3">
      <c r="A3" s="6" t="inlineStr">
        <is>
          <t>F1 (Joinville) → CDs</t>
        </is>
      </c>
    </row>
    <row r="4">
      <c r="A4" s="4" t="inlineStr">
        <is>
          <t>Modal</t>
        </is>
      </c>
      <c r="B4" s="4" t="inlineStr">
        <is>
          <t>CD1 (São Luís)</t>
        </is>
      </c>
      <c r="C4" s="4" t="inlineStr">
        <is>
          <t>CD2 (Santos)</t>
        </is>
      </c>
    </row>
    <row r="5">
      <c r="A5" t="inlineStr">
        <is>
          <t>Caminhão</t>
        </is>
      </c>
      <c r="B5" t="n">
        <v>3</v>
      </c>
      <c r="C5" t="n">
        <v>1</v>
      </c>
    </row>
    <row r="6">
      <c r="A6" t="inlineStr">
        <is>
          <t>Navio</t>
        </is>
      </c>
      <c r="B6" t="n">
        <v>6</v>
      </c>
      <c r="C6" t="n">
        <v>1</v>
      </c>
    </row>
    <row r="7">
      <c r="A7" t="inlineStr">
        <is>
          <t>Avião</t>
        </is>
      </c>
      <c r="B7" t="n">
        <v>0</v>
      </c>
      <c r="C7" t="n">
        <v>0</v>
      </c>
    </row>
    <row r="8"/>
    <row r="9"/>
    <row r="10">
      <c r="A10" s="6" t="inlineStr">
        <is>
          <t>Fornecedores → F1</t>
        </is>
      </c>
    </row>
    <row r="11">
      <c r="A11" s="4" t="inlineStr">
        <is>
          <t>MP</t>
        </is>
      </c>
      <c r="B11" s="4" t="inlineStr">
        <is>
          <t>Fornecedor</t>
        </is>
      </c>
      <c r="C11" s="4" t="inlineStr">
        <is>
          <t>Lead Cam (d)</t>
        </is>
      </c>
      <c r="D11" s="4" t="inlineStr">
        <is>
          <t>Custo R$/ton</t>
        </is>
      </c>
    </row>
    <row r="12">
      <c r="A12" t="inlineStr">
        <is>
          <t>MP1</t>
        </is>
      </c>
      <c r="B12" t="inlineStr">
        <is>
          <t>Manaus</t>
        </is>
      </c>
      <c r="C12" t="n">
        <v>3</v>
      </c>
      <c r="D12" t="n">
        <v>48000</v>
      </c>
    </row>
    <row r="13">
      <c r="A13" t="inlineStr">
        <is>
          <t>MP1</t>
        </is>
      </c>
      <c r="B13" t="inlineStr">
        <is>
          <t>Belém</t>
        </is>
      </c>
      <c r="C13" t="n">
        <v>3</v>
      </c>
      <c r="D13" t="n">
        <v>56000</v>
      </c>
    </row>
    <row r="14">
      <c r="A14" t="inlineStr">
        <is>
          <t>MP2</t>
        </is>
      </c>
      <c r="B14" t="inlineStr">
        <is>
          <t>Cuiabá</t>
        </is>
      </c>
      <c r="C14" t="n">
        <v>2</v>
      </c>
      <c r="D14" t="n">
        <v>16000</v>
      </c>
    </row>
    <row r="15">
      <c r="A15" t="inlineStr">
        <is>
          <t>MP2</t>
        </is>
      </c>
      <c r="B15" t="inlineStr">
        <is>
          <t>Vitória da Conquista</t>
        </is>
      </c>
      <c r="C15" t="n">
        <v>2</v>
      </c>
      <c r="D15" t="n">
        <v>22000</v>
      </c>
    </row>
    <row r="16">
      <c r="A16" t="inlineStr">
        <is>
          <t>MP3</t>
        </is>
      </c>
      <c r="B16" t="inlineStr">
        <is>
          <t>Joinville</t>
        </is>
      </c>
      <c r="C16" t="n">
        <v>0</v>
      </c>
      <c r="D16" t="n">
        <v>41000</v>
      </c>
    </row>
    <row r="17">
      <c r="A17" t="inlineStr">
        <is>
          <t>MP3</t>
        </is>
      </c>
      <c r="B17" t="inlineStr">
        <is>
          <t>Porto Alegre</t>
        </is>
      </c>
      <c r="C17" t="n">
        <v>1</v>
      </c>
      <c r="D17" t="n">
        <v>32000</v>
      </c>
    </row>
    <row r="18"/>
    <row r="19"/>
    <row r="20">
      <c r="A20" s="6" t="inlineStr">
        <is>
          <t>CDs → Varejistas R3 (todas as 25 cidades)</t>
        </is>
      </c>
    </row>
    <row r="21">
      <c r="A21" s="4" t="inlineStr">
        <is>
          <t>Varejo</t>
        </is>
      </c>
      <c r="B21" s="4" t="inlineStr">
        <is>
          <t>SL Cam</t>
        </is>
      </c>
      <c r="C21" s="4" t="inlineStr">
        <is>
          <t>SL Av</t>
        </is>
      </c>
      <c r="D21" s="4" t="inlineStr">
        <is>
          <t>Sant Cam</t>
        </is>
      </c>
      <c r="E21" s="4" t="inlineStr">
        <is>
          <t>Sant Av</t>
        </is>
      </c>
      <c r="F21" s="4" t="inlineStr">
        <is>
          <t>Sant Navio</t>
        </is>
      </c>
    </row>
    <row r="22">
      <c r="A22" t="inlineStr">
        <is>
          <t>Belo Horizonte</t>
        </is>
      </c>
      <c r="B22" t="n">
        <v>2</v>
      </c>
      <c r="C22" t="n">
        <v>0</v>
      </c>
      <c r="D22" t="n">
        <v>1</v>
      </c>
      <c r="E22" t="n">
        <v>0</v>
      </c>
      <c r="F22" t="inlineStr">
        <is>
          <t>—</t>
        </is>
      </c>
    </row>
    <row r="23">
      <c r="A23" t="inlineStr">
        <is>
          <t>Belém</t>
        </is>
      </c>
      <c r="B23" t="n">
        <v>1</v>
      </c>
      <c r="C23" t="n">
        <v>0</v>
      </c>
      <c r="D23" t="n">
        <v>3</v>
      </c>
      <c r="E23" t="n">
        <v>0</v>
      </c>
      <c r="F23" t="n">
        <v>6</v>
      </c>
    </row>
    <row r="24">
      <c r="A24" t="inlineStr">
        <is>
          <t>Brasília</t>
        </is>
      </c>
      <c r="B24" t="n">
        <v>2</v>
      </c>
      <c r="C24" t="n">
        <v>0</v>
      </c>
      <c r="D24" t="n">
        <v>1</v>
      </c>
      <c r="E24" t="n">
        <v>0</v>
      </c>
      <c r="F24" t="inlineStr">
        <is>
          <t>—</t>
        </is>
      </c>
    </row>
    <row r="25">
      <c r="A25" t="inlineStr">
        <is>
          <t>Campinas</t>
        </is>
      </c>
      <c r="B25" t="n">
        <v>2</v>
      </c>
      <c r="C25" t="n">
        <v>0</v>
      </c>
      <c r="D25" t="n">
        <v>0</v>
      </c>
      <c r="E25" t="n">
        <v>0</v>
      </c>
      <c r="F25" t="inlineStr">
        <is>
          <t>—</t>
        </is>
      </c>
    </row>
    <row r="26">
      <c r="A26" t="inlineStr">
        <is>
          <t>Campo Grande</t>
        </is>
      </c>
      <c r="B26" t="n">
        <v>2</v>
      </c>
      <c r="C26" t="n">
        <v>0</v>
      </c>
      <c r="D26" t="n">
        <v>1</v>
      </c>
      <c r="E26" t="n">
        <v>0</v>
      </c>
      <c r="F26" t="inlineStr">
        <is>
          <t>—</t>
        </is>
      </c>
    </row>
    <row r="27">
      <c r="A27" t="inlineStr">
        <is>
          <t>Cuiabá</t>
        </is>
      </c>
      <c r="B27" t="n">
        <v>2</v>
      </c>
      <c r="C27" t="n">
        <v>0</v>
      </c>
      <c r="D27" t="n">
        <v>1</v>
      </c>
      <c r="E27" t="n">
        <v>0</v>
      </c>
      <c r="F27" t="inlineStr">
        <is>
          <t>—</t>
        </is>
      </c>
    </row>
    <row r="28">
      <c r="A28" t="inlineStr">
        <is>
          <t>Curitiba</t>
        </is>
      </c>
      <c r="B28" t="n">
        <v>3</v>
      </c>
      <c r="C28" t="n">
        <v>0</v>
      </c>
      <c r="D28" t="n">
        <v>0</v>
      </c>
      <c r="E28" t="n">
        <v>0</v>
      </c>
      <c r="F28" t="n">
        <v>0</v>
      </c>
    </row>
    <row r="29">
      <c r="A29" t="inlineStr">
        <is>
          <t>Fortaleza</t>
        </is>
      </c>
      <c r="B29" t="n">
        <v>1</v>
      </c>
      <c r="C29" t="n">
        <v>0</v>
      </c>
      <c r="D29" t="n">
        <v>3</v>
      </c>
      <c r="E29" t="n">
        <v>0</v>
      </c>
      <c r="F29" t="n">
        <v>4</v>
      </c>
    </row>
    <row r="30">
      <c r="A30" t="inlineStr">
        <is>
          <t>Goiânia</t>
        </is>
      </c>
      <c r="B30" t="n">
        <v>2</v>
      </c>
      <c r="C30" t="n">
        <v>0</v>
      </c>
      <c r="D30" t="n">
        <v>1</v>
      </c>
      <c r="E30" t="n">
        <v>0</v>
      </c>
      <c r="F30" t="inlineStr">
        <is>
          <t>—</t>
        </is>
      </c>
    </row>
    <row r="31">
      <c r="A31" t="inlineStr">
        <is>
          <t>Joinville</t>
        </is>
      </c>
      <c r="B31" t="n">
        <v>3</v>
      </c>
      <c r="C31" t="n">
        <v>0</v>
      </c>
      <c r="D31" t="n">
        <v>1</v>
      </c>
      <c r="E31" t="n">
        <v>0</v>
      </c>
      <c r="F31" t="n">
        <v>1</v>
      </c>
    </row>
    <row r="32">
      <c r="A32" t="inlineStr">
        <is>
          <t>João Pessoa</t>
        </is>
      </c>
      <c r="B32" t="n">
        <v>1</v>
      </c>
      <c r="C32" t="n">
        <v>0</v>
      </c>
      <c r="D32" t="n">
        <v>2</v>
      </c>
      <c r="E32" t="n">
        <v>0</v>
      </c>
      <c r="F32" t="inlineStr">
        <is>
          <t>—</t>
        </is>
      </c>
    </row>
    <row r="33">
      <c r="A33" t="inlineStr">
        <is>
          <t>Maceió</t>
        </is>
      </c>
      <c r="B33" t="n">
        <v>1</v>
      </c>
      <c r="C33" t="n">
        <v>0</v>
      </c>
      <c r="D33" t="n">
        <v>2</v>
      </c>
      <c r="E33" t="n">
        <v>0</v>
      </c>
      <c r="F33" t="n">
        <v>3</v>
      </c>
    </row>
    <row r="34">
      <c r="A34" t="inlineStr">
        <is>
          <t>Manaus</t>
        </is>
      </c>
      <c r="B34" t="n">
        <v>4</v>
      </c>
      <c r="C34" t="n">
        <v>0</v>
      </c>
      <c r="D34" t="n">
        <v>3</v>
      </c>
      <c r="E34" t="n">
        <v>0</v>
      </c>
      <c r="F34" t="n">
        <v>8</v>
      </c>
    </row>
    <row r="35">
      <c r="A35" t="inlineStr">
        <is>
          <t>Natal</t>
        </is>
      </c>
      <c r="B35" t="n">
        <v>1</v>
      </c>
      <c r="C35" t="n">
        <v>0</v>
      </c>
      <c r="D35" t="n">
        <v>3</v>
      </c>
      <c r="E35" t="n">
        <v>0</v>
      </c>
      <c r="F35" t="n">
        <v>4</v>
      </c>
    </row>
    <row r="36">
      <c r="A36" t="inlineStr">
        <is>
          <t>Porto Alegre</t>
        </is>
      </c>
      <c r="B36" t="n">
        <v>3</v>
      </c>
      <c r="C36" t="n">
        <v>0</v>
      </c>
      <c r="D36" t="n">
        <v>1</v>
      </c>
      <c r="E36" t="n">
        <v>0</v>
      </c>
      <c r="F36" t="n">
        <v>2</v>
      </c>
    </row>
    <row r="37">
      <c r="A37" t="inlineStr">
        <is>
          <t>Recife</t>
        </is>
      </c>
      <c r="B37" t="n">
        <v>1</v>
      </c>
      <c r="C37" t="n">
        <v>0</v>
      </c>
      <c r="D37" t="n">
        <v>2</v>
      </c>
      <c r="E37" t="n">
        <v>0</v>
      </c>
      <c r="F37" t="n">
        <v>3</v>
      </c>
    </row>
    <row r="38">
      <c r="A38" t="inlineStr">
        <is>
          <t>Ribeirão Preto</t>
        </is>
      </c>
      <c r="B38" t="n">
        <v>2</v>
      </c>
      <c r="C38" t="n">
        <v>0</v>
      </c>
      <c r="D38" t="n">
        <v>0</v>
      </c>
      <c r="E38" t="n">
        <v>0</v>
      </c>
      <c r="F38" t="inlineStr">
        <is>
          <t>—</t>
        </is>
      </c>
    </row>
    <row r="39">
      <c r="A39" t="inlineStr">
        <is>
          <t>Rio de Janeiro</t>
        </is>
      </c>
      <c r="B39" t="n">
        <v>3</v>
      </c>
      <c r="C39" t="n">
        <v>0</v>
      </c>
      <c r="D39" t="n">
        <v>0</v>
      </c>
      <c r="E39" t="n">
        <v>0</v>
      </c>
      <c r="F39" t="n">
        <v>1</v>
      </c>
    </row>
    <row r="40">
      <c r="A40" t="inlineStr">
        <is>
          <t>Salvador</t>
        </is>
      </c>
      <c r="B40" t="n">
        <v>1</v>
      </c>
      <c r="C40" t="n">
        <v>0</v>
      </c>
      <c r="D40" t="n">
        <v>2</v>
      </c>
      <c r="E40" t="n">
        <v>0</v>
      </c>
      <c r="F40" t="n">
        <v>2</v>
      </c>
    </row>
    <row r="41">
      <c r="A41" t="inlineStr">
        <is>
          <t>Santos</t>
        </is>
      </c>
      <c r="B41" t="n">
        <v>3</v>
      </c>
      <c r="C41" t="n">
        <v>0</v>
      </c>
      <c r="D41" t="n">
        <v>0</v>
      </c>
      <c r="E41" t="n">
        <v>0</v>
      </c>
      <c r="F41" t="n">
        <v>0</v>
      </c>
    </row>
    <row r="42">
      <c r="A42" t="inlineStr">
        <is>
          <t>São Luís</t>
        </is>
      </c>
      <c r="B42" t="n">
        <v>0</v>
      </c>
      <c r="C42" t="n">
        <v>0</v>
      </c>
      <c r="D42" t="n">
        <v>3</v>
      </c>
      <c r="E42" t="n">
        <v>0</v>
      </c>
      <c r="F42" t="n">
        <v>5</v>
      </c>
    </row>
    <row r="43">
      <c r="A43" t="inlineStr">
        <is>
          <t>São Paulo</t>
        </is>
      </c>
      <c r="B43" t="n">
        <v>2</v>
      </c>
      <c r="C43" t="n">
        <v>0</v>
      </c>
      <c r="D43" t="n">
        <v>0</v>
      </c>
      <c r="E43" t="n">
        <v>0</v>
      </c>
      <c r="F43" t="inlineStr">
        <is>
          <t>—</t>
        </is>
      </c>
    </row>
    <row r="44">
      <c r="A44" t="inlineStr">
        <is>
          <t>Uberlândia</t>
        </is>
      </c>
      <c r="B44" t="n">
        <v>2</v>
      </c>
      <c r="C44" t="n">
        <v>0</v>
      </c>
      <c r="D44" t="n">
        <v>1</v>
      </c>
      <c r="E44" t="n">
        <v>0</v>
      </c>
      <c r="F44" t="inlineStr">
        <is>
          <t>—</t>
        </is>
      </c>
    </row>
    <row r="45">
      <c r="A45" t="inlineStr">
        <is>
          <t>Vitória</t>
        </is>
      </c>
      <c r="B45" t="n">
        <v>2</v>
      </c>
      <c r="C45" t="n">
        <v>0</v>
      </c>
      <c r="D45" t="n">
        <v>1</v>
      </c>
      <c r="E45" t="n">
        <v>0</v>
      </c>
      <c r="F45" t="n">
        <v>1</v>
      </c>
    </row>
    <row r="46">
      <c r="A46" t="inlineStr">
        <is>
          <t>Vitória da Conquista</t>
        </is>
      </c>
      <c r="B46" t="n">
        <v>2</v>
      </c>
      <c r="C46" t="n">
        <v>0</v>
      </c>
      <c r="D46" t="n">
        <v>1</v>
      </c>
      <c r="E46" t="n">
        <v>0</v>
      </c>
      <c r="F46" t="inlineStr">
        <is>
          <t>—</t>
        </is>
      </c>
    </row>
  </sheetData>
  <mergeCells count="4">
    <mergeCell ref="A3:F3"/>
    <mergeCell ref="A20:F20"/>
    <mergeCell ref="A1:F1"/>
    <mergeCell ref="A10:F10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6"/>
  <sheetViews>
    <sheetView workbookViewId="0">
      <selection activeCell="A1" sqref="A1"/>
    </sheetView>
  </sheetViews>
  <sheetFormatPr baseColWidth="8" defaultRowHeight="15"/>
  <cols>
    <col width="47" customWidth="1" min="1" max="1"/>
    <col width="17" customWidth="1" min="9" max="9"/>
  </cols>
  <sheetData>
    <row r="1">
      <c r="A1" s="1" t="inlineStr">
        <is>
          <t>CAPACIDADES POR MODAL — qty máxima por viagem</t>
        </is>
      </c>
    </row>
    <row r="2"/>
    <row r="3">
      <c r="A3" s="4" t="inlineStr">
        <is>
          <t>Modal</t>
        </is>
      </c>
      <c r="B3" s="4" t="inlineStr">
        <is>
          <t>Cap (ton)</t>
        </is>
      </c>
      <c r="C3" s="4" t="inlineStr">
        <is>
          <t>Vel (km/h)</t>
        </is>
      </c>
      <c r="D3" s="4" t="inlineStr">
        <is>
          <t>Frete Viagem</t>
        </is>
      </c>
      <c r="E3" s="4" t="inlineStr">
        <is>
          <t>Frete Peso R$/(km·ton)</t>
        </is>
      </c>
      <c r="F3" s="4" t="inlineStr">
        <is>
          <t>Doc CT-e</t>
        </is>
      </c>
      <c r="G3" s="4" t="inlineStr">
        <is>
          <t>PA1 (un/viagem)</t>
        </is>
      </c>
      <c r="H3" s="4" t="inlineStr">
        <is>
          <t>PA2 (un/viagem)</t>
        </is>
      </c>
      <c r="I3" s="4" t="inlineStr">
        <is>
          <t>PA3 (un/viagem)</t>
        </is>
      </c>
    </row>
    <row r="4">
      <c r="A4" t="inlineStr">
        <is>
          <t>Avião</t>
        </is>
      </c>
      <c r="B4" t="n">
        <v>1</v>
      </c>
      <c r="C4" t="n">
        <v>700</v>
      </c>
      <c r="D4" t="n">
        <v>12</v>
      </c>
      <c r="E4" t="n">
        <v>18</v>
      </c>
      <c r="F4" t="n">
        <v>200</v>
      </c>
      <c r="G4" t="n">
        <v>3333</v>
      </c>
      <c r="H4" t="n">
        <v>4000</v>
      </c>
      <c r="I4" t="n">
        <v>6666</v>
      </c>
    </row>
    <row r="5">
      <c r="A5" t="inlineStr">
        <is>
          <t>Caminhão</t>
        </is>
      </c>
      <c r="B5" t="n">
        <v>24</v>
      </c>
      <c r="C5" t="n">
        <v>50</v>
      </c>
      <c r="D5" t="n">
        <v>8</v>
      </c>
      <c r="E5" t="n">
        <v>0.5</v>
      </c>
      <c r="F5" t="n">
        <v>100</v>
      </c>
      <c r="G5" t="n">
        <v>80000</v>
      </c>
      <c r="H5" t="n">
        <v>96000</v>
      </c>
      <c r="I5" t="n">
        <v>160000</v>
      </c>
    </row>
    <row r="6">
      <c r="A6" t="inlineStr">
        <is>
          <t>Navio</t>
        </is>
      </c>
      <c r="B6" t="n">
        <v>100</v>
      </c>
      <c r="C6" t="n">
        <v>30</v>
      </c>
      <c r="D6" t="n">
        <v>5</v>
      </c>
      <c r="E6" t="n">
        <v>0.075</v>
      </c>
      <c r="F6" t="n">
        <v>50</v>
      </c>
      <c r="G6" t="n">
        <v>333333</v>
      </c>
      <c r="H6" t="n">
        <v>400000</v>
      </c>
      <c r="I6" t="n">
        <v>666666</v>
      </c>
    </row>
  </sheetData>
  <mergeCells count="1"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N28"/>
  <sheetViews>
    <sheetView workbookViewId="0">
      <selection activeCell="A1" sqref="A1"/>
    </sheetView>
  </sheetViews>
  <sheetFormatPr baseColWidth="8" defaultRowHeight="15"/>
  <cols>
    <col width="50" customWidth="1" min="1" max="1"/>
  </cols>
  <sheetData>
    <row r="1">
      <c r="A1" s="1" t="inlineStr">
        <is>
          <t>OPs R3 — rota escolhida, validação dia exato, custo logístico</t>
        </is>
      </c>
    </row>
    <row r="2"/>
    <row r="3">
      <c r="A3" s="4" t="inlineStr">
        <is>
          <t>#</t>
        </is>
      </c>
      <c r="B3" s="4" t="inlineStr">
        <is>
          <t>Cidade</t>
        </is>
      </c>
      <c r="C3" s="4" t="inlineStr">
        <is>
          <t>PA</t>
        </is>
      </c>
      <c r="D3" s="4" t="inlineStr">
        <is>
          <t>Qtd</t>
        </is>
      </c>
      <c r="E3" s="4" t="inlineStr">
        <is>
          <t>Dia entrega</t>
        </is>
      </c>
      <c r="F3" s="4" t="inlineStr">
        <is>
          <t>CD</t>
        </is>
      </c>
      <c r="G3" s="4" t="inlineStr">
        <is>
          <t>Modal F1→CD</t>
        </is>
      </c>
      <c r="H3" s="4" t="inlineStr">
        <is>
          <t>lt F1</t>
        </is>
      </c>
      <c r="I3" s="4" t="inlineStr">
        <is>
          <t>Modal CD→V</t>
        </is>
      </c>
      <c r="J3" s="4" t="inlineStr">
        <is>
          <t>lt CD</t>
        </is>
      </c>
      <c r="K3" s="4" t="inlineStr">
        <is>
          <t>Dia prod</t>
        </is>
      </c>
      <c r="L3" s="4" t="inlineStr">
        <is>
          <t>Dia chega</t>
        </is>
      </c>
      <c r="M3" s="4" t="inlineStr">
        <is>
          <t>Custo log (R$)</t>
        </is>
      </c>
      <c r="N3" s="4" t="inlineStr">
        <is>
          <t>✅/❌</t>
        </is>
      </c>
    </row>
    <row r="4">
      <c r="A4" t="n">
        <v>1</v>
      </c>
      <c r="B4" t="inlineStr">
        <is>
          <t>São Paulo</t>
        </is>
      </c>
      <c r="C4" t="inlineStr">
        <is>
          <t>PA3</t>
        </is>
      </c>
      <c r="D4" t="n">
        <v>117573</v>
      </c>
      <c r="E4" t="n">
        <v>2</v>
      </c>
      <c r="F4" t="inlineStr">
        <is>
          <t>Santos</t>
        </is>
      </c>
      <c r="G4" t="inlineStr">
        <is>
          <t>Navio</t>
        </is>
      </c>
      <c r="H4" t="n">
        <v>1</v>
      </c>
      <c r="I4" t="inlineStr">
        <is>
          <t>Caminhão</t>
        </is>
      </c>
      <c r="J4" t="n">
        <v>0</v>
      </c>
      <c r="K4" t="n">
        <v>1</v>
      </c>
      <c r="L4" t="n">
        <v>2</v>
      </c>
      <c r="M4" s="7" t="n">
        <v>2674.6</v>
      </c>
      <c r="N4" s="8" t="inlineStr">
        <is>
          <t>✅</t>
        </is>
      </c>
    </row>
    <row r="5">
      <c r="A5" t="n">
        <v>2</v>
      </c>
      <c r="B5" t="inlineStr">
        <is>
          <t>Curitiba</t>
        </is>
      </c>
      <c r="C5" t="inlineStr">
        <is>
          <t>PA3</t>
        </is>
      </c>
      <c r="D5" t="n">
        <v>103464</v>
      </c>
      <c r="E5" t="n">
        <v>2</v>
      </c>
      <c r="F5" t="inlineStr">
        <is>
          <t>Santos</t>
        </is>
      </c>
      <c r="G5" t="inlineStr">
        <is>
          <t>Navio</t>
        </is>
      </c>
      <c r="H5" t="n">
        <v>1</v>
      </c>
      <c r="I5" t="inlineStr">
        <is>
          <t>Navio</t>
        </is>
      </c>
      <c r="J5" t="n">
        <v>0</v>
      </c>
      <c r="K5" t="n">
        <v>1</v>
      </c>
      <c r="L5" t="n">
        <v>2</v>
      </c>
      <c r="M5" s="7" t="n">
        <v>2774.7</v>
      </c>
      <c r="N5" s="8" t="inlineStr">
        <is>
          <t>✅</t>
        </is>
      </c>
    </row>
    <row r="6">
      <c r="A6" t="n">
        <v>3</v>
      </c>
      <c r="B6" t="inlineStr">
        <is>
          <t>Porto Alegre</t>
        </is>
      </c>
      <c r="C6" t="inlineStr">
        <is>
          <t>PA3</t>
        </is>
      </c>
      <c r="D6" t="n">
        <v>103464</v>
      </c>
      <c r="E6" t="n">
        <v>2</v>
      </c>
      <c r="F6" t="inlineStr">
        <is>
          <t>Santos</t>
        </is>
      </c>
      <c r="G6" t="inlineStr">
        <is>
          <t>Avião</t>
        </is>
      </c>
      <c r="H6" t="n">
        <v>0</v>
      </c>
      <c r="I6" t="inlineStr">
        <is>
          <t>Caminhão</t>
        </is>
      </c>
      <c r="J6" t="n">
        <v>1</v>
      </c>
      <c r="K6" t="n">
        <v>1</v>
      </c>
      <c r="L6" t="n">
        <v>2</v>
      </c>
      <c r="M6" s="7" t="n">
        <v>87076.32000000001</v>
      </c>
      <c r="N6" s="8" t="inlineStr">
        <is>
          <t>✅</t>
        </is>
      </c>
    </row>
    <row r="7">
      <c r="A7" t="n">
        <v>4</v>
      </c>
      <c r="B7" t="inlineStr">
        <is>
          <t>Campinas</t>
        </is>
      </c>
      <c r="C7" t="inlineStr">
        <is>
          <t>PA3</t>
        </is>
      </c>
      <c r="D7" t="n">
        <v>56435</v>
      </c>
      <c r="E7" t="n">
        <v>2</v>
      </c>
      <c r="F7" t="inlineStr">
        <is>
          <t>Santos</t>
        </is>
      </c>
      <c r="G7" t="inlineStr">
        <is>
          <t>Navio</t>
        </is>
      </c>
      <c r="H7" t="n">
        <v>1</v>
      </c>
      <c r="I7" t="inlineStr">
        <is>
          <t>Caminhão</t>
        </is>
      </c>
      <c r="J7" t="n">
        <v>0</v>
      </c>
      <c r="K7" t="n">
        <v>1</v>
      </c>
      <c r="L7" t="n">
        <v>2</v>
      </c>
      <c r="M7" s="7" t="n">
        <v>2871.3</v>
      </c>
      <c r="N7" s="8" t="inlineStr">
        <is>
          <t>✅</t>
        </is>
      </c>
    </row>
    <row r="8">
      <c r="A8" t="n">
        <v>5</v>
      </c>
      <c r="B8" t="inlineStr">
        <is>
          <t>Ribeirão Preto</t>
        </is>
      </c>
      <c r="C8" t="inlineStr">
        <is>
          <t>PA3</t>
        </is>
      </c>
      <c r="D8" t="n">
        <v>47029</v>
      </c>
      <c r="E8" t="n">
        <v>2</v>
      </c>
      <c r="F8" t="inlineStr">
        <is>
          <t>Santos</t>
        </is>
      </c>
      <c r="G8" t="inlineStr">
        <is>
          <t>Navio</t>
        </is>
      </c>
      <c r="H8" t="n">
        <v>1</v>
      </c>
      <c r="I8" t="inlineStr">
        <is>
          <t>Caminhão</t>
        </is>
      </c>
      <c r="J8" t="n">
        <v>0</v>
      </c>
      <c r="K8" t="n">
        <v>1</v>
      </c>
      <c r="L8" t="n">
        <v>2</v>
      </c>
      <c r="M8" s="7" t="n">
        <v>4362.31</v>
      </c>
      <c r="N8" s="8" t="inlineStr">
        <is>
          <t>✅</t>
        </is>
      </c>
    </row>
    <row r="9">
      <c r="A9" t="n">
        <v>6</v>
      </c>
      <c r="B9" t="inlineStr">
        <is>
          <t>Santos</t>
        </is>
      </c>
      <c r="C9" t="inlineStr">
        <is>
          <t>PA3</t>
        </is>
      </c>
      <c r="D9" t="n">
        <v>47029</v>
      </c>
      <c r="E9" t="n">
        <v>2</v>
      </c>
      <c r="F9" t="inlineStr">
        <is>
          <t>Santos</t>
        </is>
      </c>
      <c r="G9" t="inlineStr">
        <is>
          <t>Navio</t>
        </is>
      </c>
      <c r="H9" t="n">
        <v>1</v>
      </c>
      <c r="I9" t="inlineStr">
        <is>
          <t>Navio</t>
        </is>
      </c>
      <c r="J9" t="n">
        <v>0</v>
      </c>
      <c r="K9" t="n">
        <v>1</v>
      </c>
      <c r="L9" t="n">
        <v>2</v>
      </c>
      <c r="M9" s="7" t="n">
        <v>1369.18</v>
      </c>
      <c r="N9" s="8" t="inlineStr">
        <is>
          <t>✅</t>
        </is>
      </c>
    </row>
    <row r="10">
      <c r="A10" t="n">
        <v>7</v>
      </c>
      <c r="B10" t="inlineStr">
        <is>
          <t>Joinville</t>
        </is>
      </c>
      <c r="C10" t="inlineStr">
        <is>
          <t>PA3</t>
        </is>
      </c>
      <c r="D10" t="n">
        <v>28218</v>
      </c>
      <c r="E10" t="n">
        <v>2</v>
      </c>
      <c r="F10" t="inlineStr">
        <is>
          <t>Santos</t>
        </is>
      </c>
      <c r="G10" t="inlineStr">
        <is>
          <t>Navio</t>
        </is>
      </c>
      <c r="H10" t="n">
        <v>1</v>
      </c>
      <c r="I10" t="inlineStr">
        <is>
          <t>Avião</t>
        </is>
      </c>
      <c r="J10" t="n">
        <v>0</v>
      </c>
      <c r="K10" t="n">
        <v>1</v>
      </c>
      <c r="L10" t="n">
        <v>2</v>
      </c>
      <c r="M10" s="7" t="n">
        <v>24070.51</v>
      </c>
      <c r="N10" s="8" t="inlineStr">
        <is>
          <t>✅</t>
        </is>
      </c>
    </row>
    <row r="11">
      <c r="A11" t="n">
        <v>8</v>
      </c>
      <c r="B11" t="inlineStr">
        <is>
          <t>Brasília</t>
        </is>
      </c>
      <c r="C11" t="inlineStr">
        <is>
          <t>PA3</t>
        </is>
      </c>
      <c r="D11" t="n">
        <v>117573</v>
      </c>
      <c r="E11" t="n">
        <v>3</v>
      </c>
      <c r="F11" t="inlineStr">
        <is>
          <t>Santos</t>
        </is>
      </c>
      <c r="G11" t="inlineStr">
        <is>
          <t>Avião</t>
        </is>
      </c>
      <c r="H11" t="n">
        <v>0</v>
      </c>
      <c r="I11" t="inlineStr">
        <is>
          <t>Caminhão</t>
        </is>
      </c>
      <c r="J11" t="n">
        <v>1</v>
      </c>
      <c r="K11" t="n">
        <v>2</v>
      </c>
      <c r="L11" t="n">
        <v>3</v>
      </c>
      <c r="M11" s="7" t="n">
        <v>96257.14</v>
      </c>
      <c r="N11" s="8" t="inlineStr">
        <is>
          <t>✅</t>
        </is>
      </c>
    </row>
    <row r="12">
      <c r="A12" t="n">
        <v>9</v>
      </c>
      <c r="B12" t="inlineStr">
        <is>
          <t>Rio de Janeiro</t>
        </is>
      </c>
      <c r="C12" t="inlineStr">
        <is>
          <t>PA3</t>
        </is>
      </c>
      <c r="D12" t="n">
        <v>94059</v>
      </c>
      <c r="E12" t="n">
        <v>3</v>
      </c>
      <c r="F12" t="inlineStr">
        <is>
          <t>Santos</t>
        </is>
      </c>
      <c r="G12" t="inlineStr">
        <is>
          <t>Navio</t>
        </is>
      </c>
      <c r="H12" t="n">
        <v>1</v>
      </c>
      <c r="I12" t="inlineStr">
        <is>
          <t>Navio</t>
        </is>
      </c>
      <c r="J12" t="n">
        <v>1</v>
      </c>
      <c r="K12" t="n">
        <v>1</v>
      </c>
      <c r="L12" t="n">
        <v>3</v>
      </c>
      <c r="M12" s="7" t="n">
        <v>3039.04</v>
      </c>
      <c r="N12" s="8" t="inlineStr">
        <is>
          <t>✅</t>
        </is>
      </c>
    </row>
    <row r="13">
      <c r="A13" t="n">
        <v>10</v>
      </c>
      <c r="B13" t="inlineStr">
        <is>
          <t>Belo Horizonte</t>
        </is>
      </c>
      <c r="C13" t="inlineStr">
        <is>
          <t>PA3</t>
        </is>
      </c>
      <c r="D13" t="n">
        <v>70544</v>
      </c>
      <c r="E13" t="n">
        <v>3</v>
      </c>
      <c r="F13" t="inlineStr">
        <is>
          <t>Santos</t>
        </is>
      </c>
      <c r="G13" t="inlineStr">
        <is>
          <t>Avião</t>
        </is>
      </c>
      <c r="H13" t="n">
        <v>0</v>
      </c>
      <c r="I13" t="inlineStr">
        <is>
          <t>Caminhão</t>
        </is>
      </c>
      <c r="J13" t="n">
        <v>1</v>
      </c>
      <c r="K13" t="n">
        <v>2</v>
      </c>
      <c r="L13" t="n">
        <v>3</v>
      </c>
      <c r="M13" s="7" t="n">
        <v>56461.35</v>
      </c>
      <c r="N13" s="8" t="inlineStr">
        <is>
          <t>✅</t>
        </is>
      </c>
    </row>
    <row r="14">
      <c r="A14" t="n">
        <v>11</v>
      </c>
      <c r="B14" t="inlineStr">
        <is>
          <t>Goiânia</t>
        </is>
      </c>
      <c r="C14" t="inlineStr">
        <is>
          <t>PA3</t>
        </is>
      </c>
      <c r="D14" t="n">
        <v>65841</v>
      </c>
      <c r="E14" t="n">
        <v>3</v>
      </c>
      <c r="F14" t="inlineStr">
        <is>
          <t>Santos</t>
        </is>
      </c>
      <c r="G14" t="inlineStr">
        <is>
          <t>Avião</t>
        </is>
      </c>
      <c r="H14" t="n">
        <v>0</v>
      </c>
      <c r="I14" t="inlineStr">
        <is>
          <t>Caminhão</t>
        </is>
      </c>
      <c r="J14" t="n">
        <v>1</v>
      </c>
      <c r="K14" t="n">
        <v>2</v>
      </c>
      <c r="L14" t="n">
        <v>3</v>
      </c>
      <c r="M14" s="7" t="n">
        <v>54700.2</v>
      </c>
      <c r="N14" s="8" t="inlineStr">
        <is>
          <t>✅</t>
        </is>
      </c>
    </row>
    <row r="15">
      <c r="A15" t="n">
        <v>12</v>
      </c>
      <c r="B15" t="inlineStr">
        <is>
          <t>Cuiabá</t>
        </is>
      </c>
      <c r="C15" t="inlineStr">
        <is>
          <t>PA3</t>
        </is>
      </c>
      <c r="D15" t="n">
        <v>28218</v>
      </c>
      <c r="E15" t="n">
        <v>3</v>
      </c>
      <c r="F15" t="inlineStr">
        <is>
          <t>Santos</t>
        </is>
      </c>
      <c r="G15" t="inlineStr">
        <is>
          <t>Avião</t>
        </is>
      </c>
      <c r="H15" t="n">
        <v>0</v>
      </c>
      <c r="I15" t="inlineStr">
        <is>
          <t>Caminhão</t>
        </is>
      </c>
      <c r="J15" t="n">
        <v>1</v>
      </c>
      <c r="K15" t="n">
        <v>2</v>
      </c>
      <c r="L15" t="n">
        <v>3</v>
      </c>
      <c r="M15" s="7" t="n">
        <v>33252.17</v>
      </c>
      <c r="N15" s="8" t="inlineStr">
        <is>
          <t>✅</t>
        </is>
      </c>
    </row>
    <row r="16">
      <c r="A16" t="n">
        <v>13</v>
      </c>
      <c r="B16" t="inlineStr">
        <is>
          <t>Campo Grande</t>
        </is>
      </c>
      <c r="C16" t="inlineStr">
        <is>
          <t>PA3</t>
        </is>
      </c>
      <c r="D16" t="n">
        <v>23515</v>
      </c>
      <c r="E16" t="n">
        <v>3</v>
      </c>
      <c r="F16" t="inlineStr">
        <is>
          <t>Santos</t>
        </is>
      </c>
      <c r="G16" t="inlineStr">
        <is>
          <t>Avião</t>
        </is>
      </c>
      <c r="H16" t="n">
        <v>0</v>
      </c>
      <c r="I16" t="inlineStr">
        <is>
          <t>Caminhão</t>
        </is>
      </c>
      <c r="J16" t="n">
        <v>1</v>
      </c>
      <c r="K16" t="n">
        <v>2</v>
      </c>
      <c r="L16" t="n">
        <v>3</v>
      </c>
      <c r="M16" s="7" t="n">
        <v>24631.3</v>
      </c>
      <c r="N16" s="8" t="inlineStr">
        <is>
          <t>✅</t>
        </is>
      </c>
    </row>
    <row r="17">
      <c r="A17" t="n">
        <v>14</v>
      </c>
      <c r="B17" t="inlineStr">
        <is>
          <t>Uberlândia</t>
        </is>
      </c>
      <c r="C17" t="inlineStr">
        <is>
          <t>PA3</t>
        </is>
      </c>
      <c r="D17" t="n">
        <v>23515</v>
      </c>
      <c r="E17" t="n">
        <v>3</v>
      </c>
      <c r="F17" t="inlineStr">
        <is>
          <t>Santos</t>
        </is>
      </c>
      <c r="G17" t="inlineStr">
        <is>
          <t>Avião</t>
        </is>
      </c>
      <c r="H17" t="n">
        <v>0</v>
      </c>
      <c r="I17" t="inlineStr">
        <is>
          <t>Caminhão</t>
        </is>
      </c>
      <c r="J17" t="n">
        <v>1</v>
      </c>
      <c r="K17" t="n">
        <v>2</v>
      </c>
      <c r="L17" t="n">
        <v>3</v>
      </c>
      <c r="M17" s="7" t="n">
        <v>22187.52</v>
      </c>
      <c r="N17" s="8" t="inlineStr">
        <is>
          <t>✅</t>
        </is>
      </c>
    </row>
    <row r="18">
      <c r="A18" t="n">
        <v>15</v>
      </c>
      <c r="B18" t="inlineStr">
        <is>
          <t>Vitória</t>
        </is>
      </c>
      <c r="C18" t="inlineStr">
        <is>
          <t>PA3</t>
        </is>
      </c>
      <c r="D18" t="n">
        <v>14109</v>
      </c>
      <c r="E18" t="n">
        <v>3</v>
      </c>
      <c r="F18" t="inlineStr">
        <is>
          <t>Santos</t>
        </is>
      </c>
      <c r="G18" t="inlineStr">
        <is>
          <t>Avião</t>
        </is>
      </c>
      <c r="H18" t="n">
        <v>0</v>
      </c>
      <c r="I18" t="inlineStr">
        <is>
          <t>Navio</t>
        </is>
      </c>
      <c r="J18" t="n">
        <v>1</v>
      </c>
      <c r="K18" t="n">
        <v>2</v>
      </c>
      <c r="L18" t="n">
        <v>3</v>
      </c>
      <c r="M18" s="7" t="n">
        <v>23431.93</v>
      </c>
      <c r="N18" s="8" t="inlineStr">
        <is>
          <t>✅</t>
        </is>
      </c>
    </row>
    <row r="19">
      <c r="A19" t="n">
        <v>16</v>
      </c>
      <c r="B19" t="inlineStr">
        <is>
          <t>Salvador</t>
        </is>
      </c>
      <c r="C19" t="inlineStr">
        <is>
          <t>PA3</t>
        </is>
      </c>
      <c r="D19" t="n">
        <v>80622</v>
      </c>
      <c r="E19" t="n">
        <v>4</v>
      </c>
      <c r="F19" t="inlineStr">
        <is>
          <t>Santos</t>
        </is>
      </c>
      <c r="G19" t="inlineStr">
        <is>
          <t>Avião</t>
        </is>
      </c>
      <c r="H19" t="n">
        <v>0</v>
      </c>
      <c r="I19" t="inlineStr">
        <is>
          <t>Navio</t>
        </is>
      </c>
      <c r="J19" t="n">
        <v>2</v>
      </c>
      <c r="K19" t="n">
        <v>2</v>
      </c>
      <c r="L19" t="n">
        <v>4</v>
      </c>
      <c r="M19" s="7" t="n">
        <v>65386.02</v>
      </c>
      <c r="N19" s="8" t="inlineStr">
        <is>
          <t>✅</t>
        </is>
      </c>
    </row>
    <row r="20">
      <c r="A20" t="n">
        <v>17</v>
      </c>
      <c r="B20" t="inlineStr">
        <is>
          <t>Recife</t>
        </is>
      </c>
      <c r="C20" t="inlineStr">
        <is>
          <t>PA3</t>
        </is>
      </c>
      <c r="D20" t="n">
        <v>60466</v>
      </c>
      <c r="E20" t="n">
        <v>4</v>
      </c>
      <c r="F20" t="inlineStr">
        <is>
          <t>Santos</t>
        </is>
      </c>
      <c r="G20" t="inlineStr">
        <is>
          <t>Avião</t>
        </is>
      </c>
      <c r="H20" t="n">
        <v>0</v>
      </c>
      <c r="I20" t="inlineStr">
        <is>
          <t>Caminhão</t>
        </is>
      </c>
      <c r="J20" t="n">
        <v>2</v>
      </c>
      <c r="K20" t="n">
        <v>2</v>
      </c>
      <c r="L20" t="n">
        <v>4</v>
      </c>
      <c r="M20" s="7" t="n">
        <v>69097.48</v>
      </c>
      <c r="N20" s="8" t="inlineStr">
        <is>
          <t>✅</t>
        </is>
      </c>
    </row>
    <row r="21">
      <c r="A21" t="n">
        <v>18</v>
      </c>
      <c r="B21" t="inlineStr">
        <is>
          <t>João Pessoa</t>
        </is>
      </c>
      <c r="C21" t="inlineStr">
        <is>
          <t>PA3</t>
        </is>
      </c>
      <c r="D21" t="n">
        <v>40311</v>
      </c>
      <c r="E21" t="n">
        <v>4</v>
      </c>
      <c r="F21" t="inlineStr">
        <is>
          <t>Santos</t>
        </is>
      </c>
      <c r="G21" t="inlineStr">
        <is>
          <t>Avião</t>
        </is>
      </c>
      <c r="H21" t="n">
        <v>0</v>
      </c>
      <c r="I21" t="inlineStr">
        <is>
          <t>Caminhão</t>
        </is>
      </c>
      <c r="J21" t="n">
        <v>2</v>
      </c>
      <c r="K21" t="n">
        <v>2</v>
      </c>
      <c r="L21" t="n">
        <v>4</v>
      </c>
      <c r="M21" s="7" t="n">
        <v>52036.29</v>
      </c>
      <c r="N21" s="8" t="inlineStr">
        <is>
          <t>✅</t>
        </is>
      </c>
    </row>
    <row r="22">
      <c r="A22" t="n">
        <v>19</v>
      </c>
      <c r="B22" t="inlineStr">
        <is>
          <t>Maceió</t>
        </is>
      </c>
      <c r="C22" t="inlineStr">
        <is>
          <t>PA3</t>
        </is>
      </c>
      <c r="D22" t="n">
        <v>40311</v>
      </c>
      <c r="E22" t="n">
        <v>4</v>
      </c>
      <c r="F22" t="inlineStr">
        <is>
          <t>Santos</t>
        </is>
      </c>
      <c r="G22" t="inlineStr">
        <is>
          <t>Avião</t>
        </is>
      </c>
      <c r="H22" t="n">
        <v>0</v>
      </c>
      <c r="I22" t="inlineStr">
        <is>
          <t>Caminhão</t>
        </is>
      </c>
      <c r="J22" t="n">
        <v>2</v>
      </c>
      <c r="K22" t="n">
        <v>2</v>
      </c>
      <c r="L22" t="n">
        <v>4</v>
      </c>
      <c r="M22" s="7" t="n">
        <v>49809.9</v>
      </c>
      <c r="N22" s="8" t="inlineStr">
        <is>
          <t>✅</t>
        </is>
      </c>
    </row>
    <row r="23">
      <c r="A23" t="n">
        <v>20</v>
      </c>
      <c r="B23" t="inlineStr">
        <is>
          <t>Vitória da Conquista</t>
        </is>
      </c>
      <c r="C23" t="inlineStr">
        <is>
          <t>PA3</t>
        </is>
      </c>
      <c r="D23" t="n">
        <v>12093</v>
      </c>
      <c r="E23" t="n">
        <v>4</v>
      </c>
      <c r="F23" t="inlineStr">
        <is>
          <t>Santos</t>
        </is>
      </c>
      <c r="G23" t="inlineStr">
        <is>
          <t>Avião</t>
        </is>
      </c>
      <c r="H23" t="n">
        <v>0</v>
      </c>
      <c r="I23" t="inlineStr">
        <is>
          <t>Avião</t>
        </is>
      </c>
      <c r="J23" t="n">
        <v>0</v>
      </c>
      <c r="K23" t="n">
        <v>4</v>
      </c>
      <c r="L23" t="n">
        <v>4</v>
      </c>
      <c r="M23" s="7" t="n">
        <v>37472</v>
      </c>
      <c r="N23" s="8" t="inlineStr">
        <is>
          <t>✅</t>
        </is>
      </c>
    </row>
    <row r="24">
      <c r="A24" t="n">
        <v>21</v>
      </c>
      <c r="B24" t="inlineStr">
        <is>
          <t>Fortaleza</t>
        </is>
      </c>
      <c r="C24" t="inlineStr">
        <is>
          <t>PA3</t>
        </is>
      </c>
      <c r="D24" t="n">
        <v>68528</v>
      </c>
      <c r="E24" t="n">
        <v>5</v>
      </c>
      <c r="F24" t="inlineStr">
        <is>
          <t>Santos</t>
        </is>
      </c>
      <c r="G24" t="inlineStr">
        <is>
          <t>Navio</t>
        </is>
      </c>
      <c r="H24" t="n">
        <v>1</v>
      </c>
      <c r="I24" t="inlineStr">
        <is>
          <t>Avião</t>
        </is>
      </c>
      <c r="J24" t="n">
        <v>0</v>
      </c>
      <c r="K24" t="n">
        <v>4</v>
      </c>
      <c r="L24" t="n">
        <v>5</v>
      </c>
      <c r="M24" s="7" t="n">
        <v>320684.52</v>
      </c>
      <c r="N24" s="8" t="inlineStr">
        <is>
          <t>✅</t>
        </is>
      </c>
    </row>
    <row r="25">
      <c r="A25" t="n">
        <v>22</v>
      </c>
      <c r="B25" t="inlineStr">
        <is>
          <t>Natal</t>
        </is>
      </c>
      <c r="C25" t="inlineStr">
        <is>
          <t>PA3</t>
        </is>
      </c>
      <c r="D25" t="n">
        <v>40311</v>
      </c>
      <c r="E25" t="n">
        <v>5</v>
      </c>
      <c r="F25" t="inlineStr">
        <is>
          <t>Santos</t>
        </is>
      </c>
      <c r="G25" t="inlineStr">
        <is>
          <t>Navio</t>
        </is>
      </c>
      <c r="H25" t="n">
        <v>1</v>
      </c>
      <c r="I25" t="inlineStr">
        <is>
          <t>Avião</t>
        </is>
      </c>
      <c r="J25" t="n">
        <v>0</v>
      </c>
      <c r="K25" t="n">
        <v>4</v>
      </c>
      <c r="L25" t="n">
        <v>5</v>
      </c>
      <c r="M25" s="7" t="n">
        <v>199919.52</v>
      </c>
      <c r="N25" s="8" t="inlineStr">
        <is>
          <t>✅</t>
        </is>
      </c>
    </row>
    <row r="26">
      <c r="A26" t="n">
        <v>23</v>
      </c>
      <c r="B26" t="inlineStr">
        <is>
          <t>Belém</t>
        </is>
      </c>
      <c r="C26" t="inlineStr">
        <is>
          <t>PA3</t>
        </is>
      </c>
      <c r="D26" t="n">
        <v>20155</v>
      </c>
      <c r="E26" t="n">
        <v>5</v>
      </c>
      <c r="F26" t="inlineStr">
        <is>
          <t>Santos</t>
        </is>
      </c>
      <c r="G26" t="inlineStr">
        <is>
          <t>Navio</t>
        </is>
      </c>
      <c r="H26" t="n">
        <v>1</v>
      </c>
      <c r="I26" t="inlineStr">
        <is>
          <t>Avião</t>
        </is>
      </c>
      <c r="J26" t="n">
        <v>0</v>
      </c>
      <c r="K26" t="n">
        <v>4</v>
      </c>
      <c r="L26" t="n">
        <v>5</v>
      </c>
      <c r="M26" s="7" t="n">
        <v>199215.03</v>
      </c>
      <c r="N26" s="8" t="inlineStr">
        <is>
          <t>✅</t>
        </is>
      </c>
    </row>
    <row r="27">
      <c r="A27" t="n">
        <v>24</v>
      </c>
      <c r="B27" t="inlineStr">
        <is>
          <t>Manaus</t>
        </is>
      </c>
      <c r="C27" t="inlineStr">
        <is>
          <t>PA3</t>
        </is>
      </c>
      <c r="D27" t="n">
        <v>20155</v>
      </c>
      <c r="E27" t="n">
        <v>5</v>
      </c>
      <c r="F27" t="inlineStr">
        <is>
          <t>Santos</t>
        </is>
      </c>
      <c r="G27" t="inlineStr">
        <is>
          <t>Navio</t>
        </is>
      </c>
      <c r="H27" t="n">
        <v>1</v>
      </c>
      <c r="I27" t="inlineStr">
        <is>
          <t>Avião</t>
        </is>
      </c>
      <c r="J27" t="n">
        <v>0</v>
      </c>
      <c r="K27" t="n">
        <v>4</v>
      </c>
      <c r="L27" t="n">
        <v>5</v>
      </c>
      <c r="M27" s="7" t="n">
        <v>217329.71</v>
      </c>
      <c r="N27" s="8" t="inlineStr">
        <is>
          <t>✅</t>
        </is>
      </c>
    </row>
    <row r="28">
      <c r="A28" t="n">
        <v>25</v>
      </c>
      <c r="B28" t="inlineStr">
        <is>
          <t>São Luís</t>
        </is>
      </c>
      <c r="C28" t="inlineStr">
        <is>
          <t>PA3</t>
        </is>
      </c>
      <c r="D28" t="n">
        <v>20155</v>
      </c>
      <c r="E28" t="n">
        <v>5</v>
      </c>
      <c r="F28" t="inlineStr">
        <is>
          <t>Santos</t>
        </is>
      </c>
      <c r="G28" t="inlineStr">
        <is>
          <t>Navio</t>
        </is>
      </c>
      <c r="H28" t="n">
        <v>1</v>
      </c>
      <c r="I28" t="inlineStr">
        <is>
          <t>Avião</t>
        </is>
      </c>
      <c r="J28" t="n">
        <v>0</v>
      </c>
      <c r="K28" t="n">
        <v>4</v>
      </c>
      <c r="L28" t="n">
        <v>5</v>
      </c>
      <c r="M28" s="7" t="n">
        <v>275280.98</v>
      </c>
      <c r="N28" s="8" t="inlineStr">
        <is>
          <t>✅</t>
        </is>
      </c>
    </row>
  </sheetData>
  <mergeCells count="1">
    <mergeCell ref="A1:N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170"/>
  <sheetViews>
    <sheetView workbookViewId="0">
      <selection activeCell="A1" sqref="A1"/>
    </sheetView>
  </sheetViews>
  <sheetFormatPr baseColWidth="8" defaultRowHeight="15"/>
  <cols>
    <col width="46" customWidth="1" min="1" max="1"/>
  </cols>
  <sheetData>
    <row r="1">
      <c r="A1" s="1" t="inlineStr">
        <is>
          <t>TRANSPORTES R3 — 167 linhas (cap 220/semana)</t>
        </is>
      </c>
    </row>
    <row r="2"/>
    <row r="3">
      <c r="A3" s="4" t="inlineStr">
        <is>
          <t>#</t>
        </is>
      </c>
      <c r="B3" s="4" t="inlineStr">
        <is>
          <t>Rodada</t>
        </is>
      </c>
      <c r="C3" s="4" t="inlineStr">
        <is>
          <t>Origem</t>
        </is>
      </c>
      <c r="D3" s="4" t="inlineStr">
        <is>
          <t>Cidade</t>
        </is>
      </c>
      <c r="E3" s="4" t="inlineStr">
        <is>
          <t>Dia coleta</t>
        </is>
      </c>
      <c r="F3" s="4" t="inlineStr">
        <is>
          <t>Modal</t>
        </is>
      </c>
      <c r="G3" s="4" t="inlineStr">
        <is>
          <t>Item</t>
        </is>
      </c>
      <c r="H3" s="4" t="inlineStr">
        <is>
          <t>Qtd</t>
        </is>
      </c>
      <c r="I3" s="4" t="inlineStr">
        <is>
          <t>Destino</t>
        </is>
      </c>
      <c r="J3" s="4" t="inlineStr">
        <is>
          <t>Cidade dest</t>
        </is>
      </c>
      <c r="K3" s="4" t="inlineStr">
        <is>
          <t>Lead time (d)</t>
        </is>
      </c>
    </row>
    <row r="4">
      <c r="A4" t="n">
        <v>1</v>
      </c>
      <c r="B4" t="inlineStr">
        <is>
          <t>Rodada_3</t>
        </is>
      </c>
      <c r="C4" t="inlineStr">
        <is>
          <t>Fornecedor</t>
        </is>
      </c>
      <c r="D4" t="inlineStr">
        <is>
          <t>Manaus</t>
        </is>
      </c>
      <c r="E4" t="inlineStr">
        <is>
          <t>Dia 1</t>
        </is>
      </c>
      <c r="F4" t="inlineStr">
        <is>
          <t>Caminhão</t>
        </is>
      </c>
      <c r="G4" t="inlineStr">
        <is>
          <t>MP1</t>
        </is>
      </c>
      <c r="H4" t="n">
        <v>22.34</v>
      </c>
      <c r="I4" t="inlineStr">
        <is>
          <t>Fábrica</t>
        </is>
      </c>
      <c r="J4" t="inlineStr">
        <is>
          <t>Joinville</t>
        </is>
      </c>
      <c r="K4" t="n">
        <v>3</v>
      </c>
    </row>
    <row r="5">
      <c r="A5" t="n">
        <v>2</v>
      </c>
      <c r="B5" t="inlineStr">
        <is>
          <t>Rodada_3</t>
        </is>
      </c>
      <c r="C5" t="inlineStr">
        <is>
          <t>Fornecedor</t>
        </is>
      </c>
      <c r="D5" t="inlineStr">
        <is>
          <t>Manaus</t>
        </is>
      </c>
      <c r="E5" t="inlineStr">
        <is>
          <t>Dia 2</t>
        </is>
      </c>
      <c r="F5" t="inlineStr">
        <is>
          <t>Caminhão</t>
        </is>
      </c>
      <c r="G5" t="inlineStr">
        <is>
          <t>MP1</t>
        </is>
      </c>
      <c r="H5" t="n">
        <v>22.34</v>
      </c>
      <c r="I5" t="inlineStr">
        <is>
          <t>Fábrica</t>
        </is>
      </c>
      <c r="J5" t="inlineStr">
        <is>
          <t>Joinville</t>
        </is>
      </c>
      <c r="K5" t="n">
        <v>3</v>
      </c>
    </row>
    <row r="6">
      <c r="A6" t="n">
        <v>3</v>
      </c>
      <c r="B6" t="inlineStr">
        <is>
          <t>Rodada_3</t>
        </is>
      </c>
      <c r="C6" t="inlineStr">
        <is>
          <t>Fornecedor</t>
        </is>
      </c>
      <c r="D6" t="inlineStr">
        <is>
          <t>Manaus</t>
        </is>
      </c>
      <c r="E6" t="inlineStr">
        <is>
          <t>Dia 3</t>
        </is>
      </c>
      <c r="F6" t="inlineStr">
        <is>
          <t>Caminhão</t>
        </is>
      </c>
      <c r="G6" t="inlineStr">
        <is>
          <t>MP1</t>
        </is>
      </c>
      <c r="H6" t="n">
        <v>22.34</v>
      </c>
      <c r="I6" t="inlineStr">
        <is>
          <t>Fábrica</t>
        </is>
      </c>
      <c r="J6" t="inlineStr">
        <is>
          <t>Joinville</t>
        </is>
      </c>
      <c r="K6" t="n">
        <v>3</v>
      </c>
    </row>
    <row r="7">
      <c r="A7" t="n">
        <v>4</v>
      </c>
      <c r="B7" t="inlineStr">
        <is>
          <t>Rodada_3</t>
        </is>
      </c>
      <c r="C7" t="inlineStr">
        <is>
          <t>Fornecedor</t>
        </is>
      </c>
      <c r="D7" t="inlineStr">
        <is>
          <t>Porto Alegre</t>
        </is>
      </c>
      <c r="E7" t="inlineStr">
        <is>
          <t>Dia 1</t>
        </is>
      </c>
      <c r="F7" t="inlineStr">
        <is>
          <t>Caminhão</t>
        </is>
      </c>
      <c r="G7" t="inlineStr">
        <is>
          <t>MP3</t>
        </is>
      </c>
      <c r="H7" t="n">
        <v>21.43</v>
      </c>
      <c r="I7" t="inlineStr">
        <is>
          <t>Fábrica</t>
        </is>
      </c>
      <c r="J7" t="inlineStr">
        <is>
          <t>Joinville</t>
        </is>
      </c>
      <c r="K7" t="n">
        <v>1</v>
      </c>
    </row>
    <row r="8">
      <c r="A8" t="n">
        <v>5</v>
      </c>
      <c r="B8" t="inlineStr">
        <is>
          <t>Rodada_3</t>
        </is>
      </c>
      <c r="C8" t="inlineStr">
        <is>
          <t>Fornecedor</t>
        </is>
      </c>
      <c r="D8" t="inlineStr">
        <is>
          <t>Porto Alegre</t>
        </is>
      </c>
      <c r="E8" t="inlineStr">
        <is>
          <t>Dia 2</t>
        </is>
      </c>
      <c r="F8" t="inlineStr">
        <is>
          <t>Caminhão</t>
        </is>
      </c>
      <c r="G8" t="inlineStr">
        <is>
          <t>MP3</t>
        </is>
      </c>
      <c r="H8" t="n">
        <v>21.43</v>
      </c>
      <c r="I8" t="inlineStr">
        <is>
          <t>Fábrica</t>
        </is>
      </c>
      <c r="J8" t="inlineStr">
        <is>
          <t>Joinville</t>
        </is>
      </c>
      <c r="K8" t="n">
        <v>1</v>
      </c>
    </row>
    <row r="9">
      <c r="A9" t="n">
        <v>6</v>
      </c>
      <c r="B9" t="inlineStr">
        <is>
          <t>Rodada_3</t>
        </is>
      </c>
      <c r="C9" t="inlineStr">
        <is>
          <t>Fornecedor</t>
        </is>
      </c>
      <c r="D9" t="inlineStr">
        <is>
          <t>Porto Alegre</t>
        </is>
      </c>
      <c r="E9" t="inlineStr">
        <is>
          <t>Dia 3</t>
        </is>
      </c>
      <c r="F9" t="inlineStr">
        <is>
          <t>Caminhão</t>
        </is>
      </c>
      <c r="G9" t="inlineStr">
        <is>
          <t>MP3</t>
        </is>
      </c>
      <c r="H9" t="n">
        <v>21.43</v>
      </c>
      <c r="I9" t="inlineStr">
        <is>
          <t>Fábrica</t>
        </is>
      </c>
      <c r="J9" t="inlineStr">
        <is>
          <t>Joinville</t>
        </is>
      </c>
      <c r="K9" t="n">
        <v>1</v>
      </c>
    </row>
    <row r="10">
      <c r="A10" t="n">
        <v>7</v>
      </c>
      <c r="B10" t="inlineStr">
        <is>
          <t>Rodada_3</t>
        </is>
      </c>
      <c r="C10" t="inlineStr">
        <is>
          <t>Fábrica</t>
        </is>
      </c>
      <c r="D10" t="inlineStr">
        <is>
          <t>Joinville</t>
        </is>
      </c>
      <c r="E10" t="inlineStr">
        <is>
          <t>Dia 1</t>
        </is>
      </c>
      <c r="F10" t="inlineStr">
        <is>
          <t>Avião</t>
        </is>
      </c>
      <c r="G10" t="inlineStr">
        <is>
          <t>PA3</t>
        </is>
      </c>
      <c r="H10" t="n">
        <v>6666</v>
      </c>
      <c r="I10" t="inlineStr">
        <is>
          <t>CD</t>
        </is>
      </c>
      <c r="J10" t="inlineStr">
        <is>
          <t>Santos</t>
        </is>
      </c>
      <c r="K10" t="n">
        <v>0</v>
      </c>
    </row>
    <row r="11">
      <c r="A11" t="n">
        <v>8</v>
      </c>
      <c r="B11" t="inlineStr">
        <is>
          <t>Rodada_3</t>
        </is>
      </c>
      <c r="C11" t="inlineStr">
        <is>
          <t>Fábrica</t>
        </is>
      </c>
      <c r="D11" t="inlineStr">
        <is>
          <t>Joinville</t>
        </is>
      </c>
      <c r="E11" t="inlineStr">
        <is>
          <t>Dia 1</t>
        </is>
      </c>
      <c r="F11" t="inlineStr">
        <is>
          <t>Avião</t>
        </is>
      </c>
      <c r="G11" t="inlineStr">
        <is>
          <t>PA3</t>
        </is>
      </c>
      <c r="H11" t="n">
        <v>6666</v>
      </c>
      <c r="I11" t="inlineStr">
        <is>
          <t>CD</t>
        </is>
      </c>
      <c r="J11" t="inlineStr">
        <is>
          <t>Santos</t>
        </is>
      </c>
      <c r="K11" t="n">
        <v>0</v>
      </c>
    </row>
    <row r="12">
      <c r="A12" t="n">
        <v>9</v>
      </c>
      <c r="B12" t="inlineStr">
        <is>
          <t>Rodada_3</t>
        </is>
      </c>
      <c r="C12" t="inlineStr">
        <is>
          <t>Fábrica</t>
        </is>
      </c>
      <c r="D12" t="inlineStr">
        <is>
          <t>Joinville</t>
        </is>
      </c>
      <c r="E12" t="inlineStr">
        <is>
          <t>Dia 1</t>
        </is>
      </c>
      <c r="F12" t="inlineStr">
        <is>
          <t>Avião</t>
        </is>
      </c>
      <c r="G12" t="inlineStr">
        <is>
          <t>PA3</t>
        </is>
      </c>
      <c r="H12" t="n">
        <v>6666</v>
      </c>
      <c r="I12" t="inlineStr">
        <is>
          <t>CD</t>
        </is>
      </c>
      <c r="J12" t="inlineStr">
        <is>
          <t>Santos</t>
        </is>
      </c>
      <c r="K12" t="n">
        <v>0</v>
      </c>
    </row>
    <row r="13">
      <c r="A13" t="n">
        <v>10</v>
      </c>
      <c r="B13" t="inlineStr">
        <is>
          <t>Rodada_3</t>
        </is>
      </c>
      <c r="C13" t="inlineStr">
        <is>
          <t>Fábrica</t>
        </is>
      </c>
      <c r="D13" t="inlineStr">
        <is>
          <t>Joinville</t>
        </is>
      </c>
      <c r="E13" t="inlineStr">
        <is>
          <t>Dia 1</t>
        </is>
      </c>
      <c r="F13" t="inlineStr">
        <is>
          <t>Avião</t>
        </is>
      </c>
      <c r="G13" t="inlineStr">
        <is>
          <t>PA3</t>
        </is>
      </c>
      <c r="H13" t="n">
        <v>6666</v>
      </c>
      <c r="I13" t="inlineStr">
        <is>
          <t>CD</t>
        </is>
      </c>
      <c r="J13" t="inlineStr">
        <is>
          <t>Santos</t>
        </is>
      </c>
      <c r="K13" t="n">
        <v>0</v>
      </c>
    </row>
    <row r="14">
      <c r="A14" t="n">
        <v>11</v>
      </c>
      <c r="B14" t="inlineStr">
        <is>
          <t>Rodada_3</t>
        </is>
      </c>
      <c r="C14" t="inlineStr">
        <is>
          <t>Fábrica</t>
        </is>
      </c>
      <c r="D14" t="inlineStr">
        <is>
          <t>Joinville</t>
        </is>
      </c>
      <c r="E14" t="inlineStr">
        <is>
          <t>Dia 1</t>
        </is>
      </c>
      <c r="F14" t="inlineStr">
        <is>
          <t>Avião</t>
        </is>
      </c>
      <c r="G14" t="inlineStr">
        <is>
          <t>PA3</t>
        </is>
      </c>
      <c r="H14" t="n">
        <v>6666</v>
      </c>
      <c r="I14" t="inlineStr">
        <is>
          <t>CD</t>
        </is>
      </c>
      <c r="J14" t="inlineStr">
        <is>
          <t>Santos</t>
        </is>
      </c>
      <c r="K14" t="n">
        <v>0</v>
      </c>
    </row>
    <row r="15">
      <c r="A15" t="n">
        <v>12</v>
      </c>
      <c r="B15" t="inlineStr">
        <is>
          <t>Rodada_3</t>
        </is>
      </c>
      <c r="C15" t="inlineStr">
        <is>
          <t>Fábrica</t>
        </is>
      </c>
      <c r="D15" t="inlineStr">
        <is>
          <t>Joinville</t>
        </is>
      </c>
      <c r="E15" t="inlineStr">
        <is>
          <t>Dia 1</t>
        </is>
      </c>
      <c r="F15" t="inlineStr">
        <is>
          <t>Avião</t>
        </is>
      </c>
      <c r="G15" t="inlineStr">
        <is>
          <t>PA3</t>
        </is>
      </c>
      <c r="H15" t="n">
        <v>6666</v>
      </c>
      <c r="I15" t="inlineStr">
        <is>
          <t>CD</t>
        </is>
      </c>
      <c r="J15" t="inlineStr">
        <is>
          <t>Santos</t>
        </is>
      </c>
      <c r="K15" t="n">
        <v>0</v>
      </c>
    </row>
    <row r="16">
      <c r="A16" t="n">
        <v>13</v>
      </c>
      <c r="B16" t="inlineStr">
        <is>
          <t>Rodada_3</t>
        </is>
      </c>
      <c r="C16" t="inlineStr">
        <is>
          <t>Fábrica</t>
        </is>
      </c>
      <c r="D16" t="inlineStr">
        <is>
          <t>Joinville</t>
        </is>
      </c>
      <c r="E16" t="inlineStr">
        <is>
          <t>Dia 1</t>
        </is>
      </c>
      <c r="F16" t="inlineStr">
        <is>
          <t>Avião</t>
        </is>
      </c>
      <c r="G16" t="inlineStr">
        <is>
          <t>PA3</t>
        </is>
      </c>
      <c r="H16" t="n">
        <v>6666</v>
      </c>
      <c r="I16" t="inlineStr">
        <is>
          <t>CD</t>
        </is>
      </c>
      <c r="J16" t="inlineStr">
        <is>
          <t>Santos</t>
        </is>
      </c>
      <c r="K16" t="n">
        <v>0</v>
      </c>
    </row>
    <row r="17">
      <c r="A17" t="n">
        <v>14</v>
      </c>
      <c r="B17" t="inlineStr">
        <is>
          <t>Rodada_3</t>
        </is>
      </c>
      <c r="C17" t="inlineStr">
        <is>
          <t>Fábrica</t>
        </is>
      </c>
      <c r="D17" t="inlineStr">
        <is>
          <t>Joinville</t>
        </is>
      </c>
      <c r="E17" t="inlineStr">
        <is>
          <t>Dia 1</t>
        </is>
      </c>
      <c r="F17" t="inlineStr">
        <is>
          <t>Avião</t>
        </is>
      </c>
      <c r="G17" t="inlineStr">
        <is>
          <t>PA3</t>
        </is>
      </c>
      <c r="H17" t="n">
        <v>6666</v>
      </c>
      <c r="I17" t="inlineStr">
        <is>
          <t>CD</t>
        </is>
      </c>
      <c r="J17" t="inlineStr">
        <is>
          <t>Santos</t>
        </is>
      </c>
      <c r="K17" t="n">
        <v>0</v>
      </c>
    </row>
    <row r="18">
      <c r="A18" t="n">
        <v>15</v>
      </c>
      <c r="B18" t="inlineStr">
        <is>
          <t>Rodada_3</t>
        </is>
      </c>
      <c r="C18" t="inlineStr">
        <is>
          <t>Fábrica</t>
        </is>
      </c>
      <c r="D18" t="inlineStr">
        <is>
          <t>Joinville</t>
        </is>
      </c>
      <c r="E18" t="inlineStr">
        <is>
          <t>Dia 1</t>
        </is>
      </c>
      <c r="F18" t="inlineStr">
        <is>
          <t>Avião</t>
        </is>
      </c>
      <c r="G18" t="inlineStr">
        <is>
          <t>PA3</t>
        </is>
      </c>
      <c r="H18" t="n">
        <v>6666</v>
      </c>
      <c r="I18" t="inlineStr">
        <is>
          <t>CD</t>
        </is>
      </c>
      <c r="J18" t="inlineStr">
        <is>
          <t>Santos</t>
        </is>
      </c>
      <c r="K18" t="n">
        <v>0</v>
      </c>
    </row>
    <row r="19">
      <c r="A19" t="n">
        <v>16</v>
      </c>
      <c r="B19" t="inlineStr">
        <is>
          <t>Rodada_3</t>
        </is>
      </c>
      <c r="C19" t="inlineStr">
        <is>
          <t>Fábrica</t>
        </is>
      </c>
      <c r="D19" t="inlineStr">
        <is>
          <t>Joinville</t>
        </is>
      </c>
      <c r="E19" t="inlineStr">
        <is>
          <t>Dia 1</t>
        </is>
      </c>
      <c r="F19" t="inlineStr">
        <is>
          <t>Avião</t>
        </is>
      </c>
      <c r="G19" t="inlineStr">
        <is>
          <t>PA3</t>
        </is>
      </c>
      <c r="H19" t="n">
        <v>6666</v>
      </c>
      <c r="I19" t="inlineStr">
        <is>
          <t>CD</t>
        </is>
      </c>
      <c r="J19" t="inlineStr">
        <is>
          <t>Santos</t>
        </is>
      </c>
      <c r="K19" t="n">
        <v>0</v>
      </c>
    </row>
    <row r="20">
      <c r="A20" t="n">
        <v>17</v>
      </c>
      <c r="B20" t="inlineStr">
        <is>
          <t>Rodada_3</t>
        </is>
      </c>
      <c r="C20" t="inlineStr">
        <is>
          <t>Fábrica</t>
        </is>
      </c>
      <c r="D20" t="inlineStr">
        <is>
          <t>Joinville</t>
        </is>
      </c>
      <c r="E20" t="inlineStr">
        <is>
          <t>Dia 1</t>
        </is>
      </c>
      <c r="F20" t="inlineStr">
        <is>
          <t>Avião</t>
        </is>
      </c>
      <c r="G20" t="inlineStr">
        <is>
          <t>PA3</t>
        </is>
      </c>
      <c r="H20" t="n">
        <v>6666</v>
      </c>
      <c r="I20" t="inlineStr">
        <is>
          <t>CD</t>
        </is>
      </c>
      <c r="J20" t="inlineStr">
        <is>
          <t>Santos</t>
        </is>
      </c>
      <c r="K20" t="n">
        <v>0</v>
      </c>
    </row>
    <row r="21">
      <c r="A21" t="n">
        <v>18</v>
      </c>
      <c r="B21" t="inlineStr">
        <is>
          <t>Rodada_3</t>
        </is>
      </c>
      <c r="C21" t="inlineStr">
        <is>
          <t>Fábrica</t>
        </is>
      </c>
      <c r="D21" t="inlineStr">
        <is>
          <t>Joinville</t>
        </is>
      </c>
      <c r="E21" t="inlineStr">
        <is>
          <t>Dia 1</t>
        </is>
      </c>
      <c r="F21" t="inlineStr">
        <is>
          <t>Avião</t>
        </is>
      </c>
      <c r="G21" t="inlineStr">
        <is>
          <t>PA3</t>
        </is>
      </c>
      <c r="H21" t="n">
        <v>6666</v>
      </c>
      <c r="I21" t="inlineStr">
        <is>
          <t>CD</t>
        </is>
      </c>
      <c r="J21" t="inlineStr">
        <is>
          <t>Santos</t>
        </is>
      </c>
      <c r="K21" t="n">
        <v>0</v>
      </c>
    </row>
    <row r="22">
      <c r="A22" t="n">
        <v>19</v>
      </c>
      <c r="B22" t="inlineStr">
        <is>
          <t>Rodada_3</t>
        </is>
      </c>
      <c r="C22" t="inlineStr">
        <is>
          <t>Fábrica</t>
        </is>
      </c>
      <c r="D22" t="inlineStr">
        <is>
          <t>Joinville</t>
        </is>
      </c>
      <c r="E22" t="inlineStr">
        <is>
          <t>Dia 1</t>
        </is>
      </c>
      <c r="F22" t="inlineStr">
        <is>
          <t>Avião</t>
        </is>
      </c>
      <c r="G22" t="inlineStr">
        <is>
          <t>PA3</t>
        </is>
      </c>
      <c r="H22" t="n">
        <v>6666</v>
      </c>
      <c r="I22" t="inlineStr">
        <is>
          <t>CD</t>
        </is>
      </c>
      <c r="J22" t="inlineStr">
        <is>
          <t>Santos</t>
        </is>
      </c>
      <c r="K22" t="n">
        <v>0</v>
      </c>
    </row>
    <row r="23">
      <c r="A23" t="n">
        <v>20</v>
      </c>
      <c r="B23" t="inlineStr">
        <is>
          <t>Rodada_3</t>
        </is>
      </c>
      <c r="C23" t="inlineStr">
        <is>
          <t>Fábrica</t>
        </is>
      </c>
      <c r="D23" t="inlineStr">
        <is>
          <t>Joinville</t>
        </is>
      </c>
      <c r="E23" t="inlineStr">
        <is>
          <t>Dia 1</t>
        </is>
      </c>
      <c r="F23" t="inlineStr">
        <is>
          <t>Avião</t>
        </is>
      </c>
      <c r="G23" t="inlineStr">
        <is>
          <t>PA3</t>
        </is>
      </c>
      <c r="H23" t="n">
        <v>6666</v>
      </c>
      <c r="I23" t="inlineStr">
        <is>
          <t>CD</t>
        </is>
      </c>
      <c r="J23" t="inlineStr">
        <is>
          <t>Santos</t>
        </is>
      </c>
      <c r="K23" t="n">
        <v>0</v>
      </c>
    </row>
    <row r="24">
      <c r="A24" t="n">
        <v>21</v>
      </c>
      <c r="B24" t="inlineStr">
        <is>
          <t>Rodada_3</t>
        </is>
      </c>
      <c r="C24" t="inlineStr">
        <is>
          <t>Fábrica</t>
        </is>
      </c>
      <c r="D24" t="inlineStr">
        <is>
          <t>Joinville</t>
        </is>
      </c>
      <c r="E24" t="inlineStr">
        <is>
          <t>Dia 1</t>
        </is>
      </c>
      <c r="F24" t="inlineStr">
        <is>
          <t>Avião</t>
        </is>
      </c>
      <c r="G24" t="inlineStr">
        <is>
          <t>PA3</t>
        </is>
      </c>
      <c r="H24" t="n">
        <v>6666</v>
      </c>
      <c r="I24" t="inlineStr">
        <is>
          <t>CD</t>
        </is>
      </c>
      <c r="J24" t="inlineStr">
        <is>
          <t>Santos</t>
        </is>
      </c>
      <c r="K24" t="n">
        <v>0</v>
      </c>
    </row>
    <row r="25">
      <c r="A25" t="n">
        <v>22</v>
      </c>
      <c r="B25" t="inlineStr">
        <is>
          <t>Rodada_3</t>
        </is>
      </c>
      <c r="C25" t="inlineStr">
        <is>
          <t>Fábrica</t>
        </is>
      </c>
      <c r="D25" t="inlineStr">
        <is>
          <t>Joinville</t>
        </is>
      </c>
      <c r="E25" t="inlineStr">
        <is>
          <t>Dia 1</t>
        </is>
      </c>
      <c r="F25" t="inlineStr">
        <is>
          <t>Avião</t>
        </is>
      </c>
      <c r="G25" t="inlineStr">
        <is>
          <t>PA3</t>
        </is>
      </c>
      <c r="H25" t="n">
        <v>3474</v>
      </c>
      <c r="I25" t="inlineStr">
        <is>
          <t>CD</t>
        </is>
      </c>
      <c r="J25" t="inlineStr">
        <is>
          <t>Santos</t>
        </is>
      </c>
      <c r="K25" t="n">
        <v>0</v>
      </c>
    </row>
    <row r="26">
      <c r="A26" t="n">
        <v>23</v>
      </c>
      <c r="B26" t="inlineStr">
        <is>
          <t>Rodada_3</t>
        </is>
      </c>
      <c r="C26" t="inlineStr">
        <is>
          <t>Fábrica</t>
        </is>
      </c>
      <c r="D26" t="inlineStr">
        <is>
          <t>Joinville</t>
        </is>
      </c>
      <c r="E26" t="inlineStr">
        <is>
          <t>Dia 1</t>
        </is>
      </c>
      <c r="F26" t="inlineStr">
        <is>
          <t>Navio</t>
        </is>
      </c>
      <c r="G26" t="inlineStr">
        <is>
          <t>PA3</t>
        </is>
      </c>
      <c r="H26" t="n">
        <v>493807</v>
      </c>
      <c r="I26" t="inlineStr">
        <is>
          <t>CD</t>
        </is>
      </c>
      <c r="J26" t="inlineStr">
        <is>
          <t>Santos</t>
        </is>
      </c>
      <c r="K26" t="n">
        <v>1</v>
      </c>
    </row>
    <row r="27">
      <c r="A27" t="n">
        <v>24</v>
      </c>
      <c r="B27" t="inlineStr">
        <is>
          <t>Rodada_3</t>
        </is>
      </c>
      <c r="C27" t="inlineStr">
        <is>
          <t>Fábrica</t>
        </is>
      </c>
      <c r="D27" t="inlineStr">
        <is>
          <t>Joinville</t>
        </is>
      </c>
      <c r="E27" t="inlineStr">
        <is>
          <t>Dia 2</t>
        </is>
      </c>
      <c r="F27" t="inlineStr">
        <is>
          <t>Avião</t>
        </is>
      </c>
      <c r="G27" t="inlineStr">
        <is>
          <t>PA3</t>
        </is>
      </c>
      <c r="H27" t="n">
        <v>6666</v>
      </c>
      <c r="I27" t="inlineStr">
        <is>
          <t>CD</t>
        </is>
      </c>
      <c r="J27" t="inlineStr">
        <is>
          <t>Santos</t>
        </is>
      </c>
      <c r="K27" t="n">
        <v>0</v>
      </c>
    </row>
    <row r="28">
      <c r="A28" t="n">
        <v>25</v>
      </c>
      <c r="B28" t="inlineStr">
        <is>
          <t>Rodada_3</t>
        </is>
      </c>
      <c r="C28" t="inlineStr">
        <is>
          <t>Fábrica</t>
        </is>
      </c>
      <c r="D28" t="inlineStr">
        <is>
          <t>Joinville</t>
        </is>
      </c>
      <c r="E28" t="inlineStr">
        <is>
          <t>Dia 2</t>
        </is>
      </c>
      <c r="F28" t="inlineStr">
        <is>
          <t>Avião</t>
        </is>
      </c>
      <c r="G28" t="inlineStr">
        <is>
          <t>PA3</t>
        </is>
      </c>
      <c r="H28" t="n">
        <v>6666</v>
      </c>
      <c r="I28" t="inlineStr">
        <is>
          <t>CD</t>
        </is>
      </c>
      <c r="J28" t="inlineStr">
        <is>
          <t>Santos</t>
        </is>
      </c>
      <c r="K28" t="n">
        <v>0</v>
      </c>
    </row>
    <row r="29">
      <c r="A29" t="n">
        <v>26</v>
      </c>
      <c r="B29" t="inlineStr">
        <is>
          <t>Rodada_3</t>
        </is>
      </c>
      <c r="C29" t="inlineStr">
        <is>
          <t>Fábrica</t>
        </is>
      </c>
      <c r="D29" t="inlineStr">
        <is>
          <t>Joinville</t>
        </is>
      </c>
      <c r="E29" t="inlineStr">
        <is>
          <t>Dia 2</t>
        </is>
      </c>
      <c r="F29" t="inlineStr">
        <is>
          <t>Avião</t>
        </is>
      </c>
      <c r="G29" t="inlineStr">
        <is>
          <t>PA3</t>
        </is>
      </c>
      <c r="H29" t="n">
        <v>6666</v>
      </c>
      <c r="I29" t="inlineStr">
        <is>
          <t>CD</t>
        </is>
      </c>
      <c r="J29" t="inlineStr">
        <is>
          <t>Santos</t>
        </is>
      </c>
      <c r="K29" t="n">
        <v>0</v>
      </c>
    </row>
    <row r="30">
      <c r="A30" t="n">
        <v>27</v>
      </c>
      <c r="B30" t="inlineStr">
        <is>
          <t>Rodada_3</t>
        </is>
      </c>
      <c r="C30" t="inlineStr">
        <is>
          <t>Fábrica</t>
        </is>
      </c>
      <c r="D30" t="inlineStr">
        <is>
          <t>Joinville</t>
        </is>
      </c>
      <c r="E30" t="inlineStr">
        <is>
          <t>Dia 2</t>
        </is>
      </c>
      <c r="F30" t="inlineStr">
        <is>
          <t>Avião</t>
        </is>
      </c>
      <c r="G30" t="inlineStr">
        <is>
          <t>PA3</t>
        </is>
      </c>
      <c r="H30" t="n">
        <v>6666</v>
      </c>
      <c r="I30" t="inlineStr">
        <is>
          <t>CD</t>
        </is>
      </c>
      <c r="J30" t="inlineStr">
        <is>
          <t>Santos</t>
        </is>
      </c>
      <c r="K30" t="n">
        <v>0</v>
      </c>
    </row>
    <row r="31">
      <c r="A31" t="n">
        <v>28</v>
      </c>
      <c r="B31" t="inlineStr">
        <is>
          <t>Rodada_3</t>
        </is>
      </c>
      <c r="C31" t="inlineStr">
        <is>
          <t>Fábrica</t>
        </is>
      </c>
      <c r="D31" t="inlineStr">
        <is>
          <t>Joinville</t>
        </is>
      </c>
      <c r="E31" t="inlineStr">
        <is>
          <t>Dia 2</t>
        </is>
      </c>
      <c r="F31" t="inlineStr">
        <is>
          <t>Avião</t>
        </is>
      </c>
      <c r="G31" t="inlineStr">
        <is>
          <t>PA3</t>
        </is>
      </c>
      <c r="H31" t="n">
        <v>6666</v>
      </c>
      <c r="I31" t="inlineStr">
        <is>
          <t>CD</t>
        </is>
      </c>
      <c r="J31" t="inlineStr">
        <is>
          <t>Santos</t>
        </is>
      </c>
      <c r="K31" t="n">
        <v>0</v>
      </c>
    </row>
    <row r="32">
      <c r="A32" t="n">
        <v>29</v>
      </c>
      <c r="B32" t="inlineStr">
        <is>
          <t>Rodada_3</t>
        </is>
      </c>
      <c r="C32" t="inlineStr">
        <is>
          <t>Fábrica</t>
        </is>
      </c>
      <c r="D32" t="inlineStr">
        <is>
          <t>Joinville</t>
        </is>
      </c>
      <c r="E32" t="inlineStr">
        <is>
          <t>Dia 2</t>
        </is>
      </c>
      <c r="F32" t="inlineStr">
        <is>
          <t>Avião</t>
        </is>
      </c>
      <c r="G32" t="inlineStr">
        <is>
          <t>PA3</t>
        </is>
      </c>
      <c r="H32" t="n">
        <v>6666</v>
      </c>
      <c r="I32" t="inlineStr">
        <is>
          <t>CD</t>
        </is>
      </c>
      <c r="J32" t="inlineStr">
        <is>
          <t>Santos</t>
        </is>
      </c>
      <c r="K32" t="n">
        <v>0</v>
      </c>
    </row>
    <row r="33">
      <c r="A33" t="n">
        <v>30</v>
      </c>
      <c r="B33" t="inlineStr">
        <is>
          <t>Rodada_3</t>
        </is>
      </c>
      <c r="C33" t="inlineStr">
        <is>
          <t>Fábrica</t>
        </is>
      </c>
      <c r="D33" t="inlineStr">
        <is>
          <t>Joinville</t>
        </is>
      </c>
      <c r="E33" t="inlineStr">
        <is>
          <t>Dia 2</t>
        </is>
      </c>
      <c r="F33" t="inlineStr">
        <is>
          <t>Avião</t>
        </is>
      </c>
      <c r="G33" t="inlineStr">
        <is>
          <t>PA3</t>
        </is>
      </c>
      <c r="H33" t="n">
        <v>6666</v>
      </c>
      <c r="I33" t="inlineStr">
        <is>
          <t>CD</t>
        </is>
      </c>
      <c r="J33" t="inlineStr">
        <is>
          <t>Santos</t>
        </is>
      </c>
      <c r="K33" t="n">
        <v>0</v>
      </c>
    </row>
    <row r="34">
      <c r="A34" t="n">
        <v>31</v>
      </c>
      <c r="B34" t="inlineStr">
        <is>
          <t>Rodada_3</t>
        </is>
      </c>
      <c r="C34" t="inlineStr">
        <is>
          <t>Fábrica</t>
        </is>
      </c>
      <c r="D34" t="inlineStr">
        <is>
          <t>Joinville</t>
        </is>
      </c>
      <c r="E34" t="inlineStr">
        <is>
          <t>Dia 2</t>
        </is>
      </c>
      <c r="F34" t="inlineStr">
        <is>
          <t>Avião</t>
        </is>
      </c>
      <c r="G34" t="inlineStr">
        <is>
          <t>PA3</t>
        </is>
      </c>
      <c r="H34" t="n">
        <v>6666</v>
      </c>
      <c r="I34" t="inlineStr">
        <is>
          <t>CD</t>
        </is>
      </c>
      <c r="J34" t="inlineStr">
        <is>
          <t>Santos</t>
        </is>
      </c>
      <c r="K34" t="n">
        <v>0</v>
      </c>
    </row>
    <row r="35">
      <c r="A35" t="n">
        <v>32</v>
      </c>
      <c r="B35" t="inlineStr">
        <is>
          <t>Rodada_3</t>
        </is>
      </c>
      <c r="C35" t="inlineStr">
        <is>
          <t>Fábrica</t>
        </is>
      </c>
      <c r="D35" t="inlineStr">
        <is>
          <t>Joinville</t>
        </is>
      </c>
      <c r="E35" t="inlineStr">
        <is>
          <t>Dia 2</t>
        </is>
      </c>
      <c r="F35" t="inlineStr">
        <is>
          <t>Avião</t>
        </is>
      </c>
      <c r="G35" t="inlineStr">
        <is>
          <t>PA3</t>
        </is>
      </c>
      <c r="H35" t="n">
        <v>6666</v>
      </c>
      <c r="I35" t="inlineStr">
        <is>
          <t>CD</t>
        </is>
      </c>
      <c r="J35" t="inlineStr">
        <is>
          <t>Santos</t>
        </is>
      </c>
      <c r="K35" t="n">
        <v>0</v>
      </c>
    </row>
    <row r="36">
      <c r="A36" t="n">
        <v>33</v>
      </c>
      <c r="B36" t="inlineStr">
        <is>
          <t>Rodada_3</t>
        </is>
      </c>
      <c r="C36" t="inlineStr">
        <is>
          <t>Fábrica</t>
        </is>
      </c>
      <c r="D36" t="inlineStr">
        <is>
          <t>Joinville</t>
        </is>
      </c>
      <c r="E36" t="inlineStr">
        <is>
          <t>Dia 2</t>
        </is>
      </c>
      <c r="F36" t="inlineStr">
        <is>
          <t>Avião</t>
        </is>
      </c>
      <c r="G36" t="inlineStr">
        <is>
          <t>PA3</t>
        </is>
      </c>
      <c r="H36" t="n">
        <v>6666</v>
      </c>
      <c r="I36" t="inlineStr">
        <is>
          <t>CD</t>
        </is>
      </c>
      <c r="J36" t="inlineStr">
        <is>
          <t>Santos</t>
        </is>
      </c>
      <c r="K36" t="n">
        <v>0</v>
      </c>
    </row>
    <row r="37">
      <c r="A37" t="n">
        <v>34</v>
      </c>
      <c r="B37" t="inlineStr">
        <is>
          <t>Rodada_3</t>
        </is>
      </c>
      <c r="C37" t="inlineStr">
        <is>
          <t>Fábrica</t>
        </is>
      </c>
      <c r="D37" t="inlineStr">
        <is>
          <t>Joinville</t>
        </is>
      </c>
      <c r="E37" t="inlineStr">
        <is>
          <t>Dia 2</t>
        </is>
      </c>
      <c r="F37" t="inlineStr">
        <is>
          <t>Avião</t>
        </is>
      </c>
      <c r="G37" t="inlineStr">
        <is>
          <t>PA3</t>
        </is>
      </c>
      <c r="H37" t="n">
        <v>6666</v>
      </c>
      <c r="I37" t="inlineStr">
        <is>
          <t>CD</t>
        </is>
      </c>
      <c r="J37" t="inlineStr">
        <is>
          <t>Santos</t>
        </is>
      </c>
      <c r="K37" t="n">
        <v>0</v>
      </c>
    </row>
    <row r="38">
      <c r="A38" t="n">
        <v>35</v>
      </c>
      <c r="B38" t="inlineStr">
        <is>
          <t>Rodada_3</t>
        </is>
      </c>
      <c r="C38" t="inlineStr">
        <is>
          <t>Fábrica</t>
        </is>
      </c>
      <c r="D38" t="inlineStr">
        <is>
          <t>Joinville</t>
        </is>
      </c>
      <c r="E38" t="inlineStr">
        <is>
          <t>Dia 2</t>
        </is>
      </c>
      <c r="F38" t="inlineStr">
        <is>
          <t>Avião</t>
        </is>
      </c>
      <c r="G38" t="inlineStr">
        <is>
          <t>PA3</t>
        </is>
      </c>
      <c r="H38" t="n">
        <v>6666</v>
      </c>
      <c r="I38" t="inlineStr">
        <is>
          <t>CD</t>
        </is>
      </c>
      <c r="J38" t="inlineStr">
        <is>
          <t>Santos</t>
        </is>
      </c>
      <c r="K38" t="n">
        <v>0</v>
      </c>
    </row>
    <row r="39">
      <c r="A39" t="n">
        <v>36</v>
      </c>
      <c r="B39" t="inlineStr">
        <is>
          <t>Rodada_3</t>
        </is>
      </c>
      <c r="C39" t="inlineStr">
        <is>
          <t>Fábrica</t>
        </is>
      </c>
      <c r="D39" t="inlineStr">
        <is>
          <t>Joinville</t>
        </is>
      </c>
      <c r="E39" t="inlineStr">
        <is>
          <t>Dia 2</t>
        </is>
      </c>
      <c r="F39" t="inlineStr">
        <is>
          <t>Avião</t>
        </is>
      </c>
      <c r="G39" t="inlineStr">
        <is>
          <t>PA3</t>
        </is>
      </c>
      <c r="H39" t="n">
        <v>6666</v>
      </c>
      <c r="I39" t="inlineStr">
        <is>
          <t>CD</t>
        </is>
      </c>
      <c r="J39" t="inlineStr">
        <is>
          <t>Santos</t>
        </is>
      </c>
      <c r="K39" t="n">
        <v>0</v>
      </c>
    </row>
    <row r="40">
      <c r="A40" t="n">
        <v>37</v>
      </c>
      <c r="B40" t="inlineStr">
        <is>
          <t>Rodada_3</t>
        </is>
      </c>
      <c r="C40" t="inlineStr">
        <is>
          <t>Fábrica</t>
        </is>
      </c>
      <c r="D40" t="inlineStr">
        <is>
          <t>Joinville</t>
        </is>
      </c>
      <c r="E40" t="inlineStr">
        <is>
          <t>Dia 2</t>
        </is>
      </c>
      <c r="F40" t="inlineStr">
        <is>
          <t>Avião</t>
        </is>
      </c>
      <c r="G40" t="inlineStr">
        <is>
          <t>PA3</t>
        </is>
      </c>
      <c r="H40" t="n">
        <v>6666</v>
      </c>
      <c r="I40" t="inlineStr">
        <is>
          <t>CD</t>
        </is>
      </c>
      <c r="J40" t="inlineStr">
        <is>
          <t>Santos</t>
        </is>
      </c>
      <c r="K40" t="n">
        <v>0</v>
      </c>
    </row>
    <row r="41">
      <c r="A41" t="n">
        <v>38</v>
      </c>
      <c r="B41" t="inlineStr">
        <is>
          <t>Rodada_3</t>
        </is>
      </c>
      <c r="C41" t="inlineStr">
        <is>
          <t>Fábrica</t>
        </is>
      </c>
      <c r="D41" t="inlineStr">
        <is>
          <t>Joinville</t>
        </is>
      </c>
      <c r="E41" t="inlineStr">
        <is>
          <t>Dia 2</t>
        </is>
      </c>
      <c r="F41" t="inlineStr">
        <is>
          <t>Avião</t>
        </is>
      </c>
      <c r="G41" t="inlineStr">
        <is>
          <t>PA3</t>
        </is>
      </c>
      <c r="H41" t="n">
        <v>6666</v>
      </c>
      <c r="I41" t="inlineStr">
        <is>
          <t>CD</t>
        </is>
      </c>
      <c r="J41" t="inlineStr">
        <is>
          <t>Santos</t>
        </is>
      </c>
      <c r="K41" t="n">
        <v>0</v>
      </c>
    </row>
    <row r="42">
      <c r="A42" t="n">
        <v>39</v>
      </c>
      <c r="B42" t="inlineStr">
        <is>
          <t>Rodada_3</t>
        </is>
      </c>
      <c r="C42" t="inlineStr">
        <is>
          <t>Fábrica</t>
        </is>
      </c>
      <c r="D42" t="inlineStr">
        <is>
          <t>Joinville</t>
        </is>
      </c>
      <c r="E42" t="inlineStr">
        <is>
          <t>Dia 2</t>
        </is>
      </c>
      <c r="F42" t="inlineStr">
        <is>
          <t>Avião</t>
        </is>
      </c>
      <c r="G42" t="inlineStr">
        <is>
          <t>PA3</t>
        </is>
      </c>
      <c r="H42" t="n">
        <v>6666</v>
      </c>
      <c r="I42" t="inlineStr">
        <is>
          <t>CD</t>
        </is>
      </c>
      <c r="J42" t="inlineStr">
        <is>
          <t>Santos</t>
        </is>
      </c>
      <c r="K42" t="n">
        <v>0</v>
      </c>
    </row>
    <row r="43">
      <c r="A43" t="n">
        <v>40</v>
      </c>
      <c r="B43" t="inlineStr">
        <is>
          <t>Rodada_3</t>
        </is>
      </c>
      <c r="C43" t="inlineStr">
        <is>
          <t>Fábrica</t>
        </is>
      </c>
      <c r="D43" t="inlineStr">
        <is>
          <t>Joinville</t>
        </is>
      </c>
      <c r="E43" t="inlineStr">
        <is>
          <t>Dia 2</t>
        </is>
      </c>
      <c r="F43" t="inlineStr">
        <is>
          <t>Avião</t>
        </is>
      </c>
      <c r="G43" t="inlineStr">
        <is>
          <t>PA3</t>
        </is>
      </c>
      <c r="H43" t="n">
        <v>6666</v>
      </c>
      <c r="I43" t="inlineStr">
        <is>
          <t>CD</t>
        </is>
      </c>
      <c r="J43" t="inlineStr">
        <is>
          <t>Santos</t>
        </is>
      </c>
      <c r="K43" t="n">
        <v>0</v>
      </c>
    </row>
    <row r="44">
      <c r="A44" t="n">
        <v>41</v>
      </c>
      <c r="B44" t="inlineStr">
        <is>
          <t>Rodada_3</t>
        </is>
      </c>
      <c r="C44" t="inlineStr">
        <is>
          <t>Fábrica</t>
        </is>
      </c>
      <c r="D44" t="inlineStr">
        <is>
          <t>Joinville</t>
        </is>
      </c>
      <c r="E44" t="inlineStr">
        <is>
          <t>Dia 2</t>
        </is>
      </c>
      <c r="F44" t="inlineStr">
        <is>
          <t>Avião</t>
        </is>
      </c>
      <c r="G44" t="inlineStr">
        <is>
          <t>PA3</t>
        </is>
      </c>
      <c r="H44" t="n">
        <v>6666</v>
      </c>
      <c r="I44" t="inlineStr">
        <is>
          <t>CD</t>
        </is>
      </c>
      <c r="J44" t="inlineStr">
        <is>
          <t>Santos</t>
        </is>
      </c>
      <c r="K44" t="n">
        <v>0</v>
      </c>
    </row>
    <row r="45">
      <c r="A45" t="n">
        <v>42</v>
      </c>
      <c r="B45" t="inlineStr">
        <is>
          <t>Rodada_3</t>
        </is>
      </c>
      <c r="C45" t="inlineStr">
        <is>
          <t>Fábrica</t>
        </is>
      </c>
      <c r="D45" t="inlineStr">
        <is>
          <t>Joinville</t>
        </is>
      </c>
      <c r="E45" t="inlineStr">
        <is>
          <t>Dia 2</t>
        </is>
      </c>
      <c r="F45" t="inlineStr">
        <is>
          <t>Avião</t>
        </is>
      </c>
      <c r="G45" t="inlineStr">
        <is>
          <t>PA3</t>
        </is>
      </c>
      <c r="H45" t="n">
        <v>6666</v>
      </c>
      <c r="I45" t="inlineStr">
        <is>
          <t>CD</t>
        </is>
      </c>
      <c r="J45" t="inlineStr">
        <is>
          <t>Santos</t>
        </is>
      </c>
      <c r="K45" t="n">
        <v>0</v>
      </c>
    </row>
    <row r="46">
      <c r="A46" t="n">
        <v>43</v>
      </c>
      <c r="B46" t="inlineStr">
        <is>
          <t>Rodada_3</t>
        </is>
      </c>
      <c r="C46" t="inlineStr">
        <is>
          <t>Fábrica</t>
        </is>
      </c>
      <c r="D46" t="inlineStr">
        <is>
          <t>Joinville</t>
        </is>
      </c>
      <c r="E46" t="inlineStr">
        <is>
          <t>Dia 2</t>
        </is>
      </c>
      <c r="F46" t="inlineStr">
        <is>
          <t>Avião</t>
        </is>
      </c>
      <c r="G46" t="inlineStr">
        <is>
          <t>PA3</t>
        </is>
      </c>
      <c r="H46" t="n">
        <v>6666</v>
      </c>
      <c r="I46" t="inlineStr">
        <is>
          <t>CD</t>
        </is>
      </c>
      <c r="J46" t="inlineStr">
        <is>
          <t>Santos</t>
        </is>
      </c>
      <c r="K46" t="n">
        <v>0</v>
      </c>
    </row>
    <row r="47">
      <c r="A47" t="n">
        <v>44</v>
      </c>
      <c r="B47" t="inlineStr">
        <is>
          <t>Rodada_3</t>
        </is>
      </c>
      <c r="C47" t="inlineStr">
        <is>
          <t>Fábrica</t>
        </is>
      </c>
      <c r="D47" t="inlineStr">
        <is>
          <t>Joinville</t>
        </is>
      </c>
      <c r="E47" t="inlineStr">
        <is>
          <t>Dia 2</t>
        </is>
      </c>
      <c r="F47" t="inlineStr">
        <is>
          <t>Avião</t>
        </is>
      </c>
      <c r="G47" t="inlineStr">
        <is>
          <t>PA3</t>
        </is>
      </c>
      <c r="H47" t="n">
        <v>6666</v>
      </c>
      <c r="I47" t="inlineStr">
        <is>
          <t>CD</t>
        </is>
      </c>
      <c r="J47" t="inlineStr">
        <is>
          <t>Santos</t>
        </is>
      </c>
      <c r="K47" t="n">
        <v>0</v>
      </c>
    </row>
    <row r="48">
      <c r="A48" t="n">
        <v>45</v>
      </c>
      <c r="B48" t="inlineStr">
        <is>
          <t>Rodada_3</t>
        </is>
      </c>
      <c r="C48" t="inlineStr">
        <is>
          <t>Fábrica</t>
        </is>
      </c>
      <c r="D48" t="inlineStr">
        <is>
          <t>Joinville</t>
        </is>
      </c>
      <c r="E48" t="inlineStr">
        <is>
          <t>Dia 2</t>
        </is>
      </c>
      <c r="F48" t="inlineStr">
        <is>
          <t>Avião</t>
        </is>
      </c>
      <c r="G48" t="inlineStr">
        <is>
          <t>PA3</t>
        </is>
      </c>
      <c r="H48" t="n">
        <v>6666</v>
      </c>
      <c r="I48" t="inlineStr">
        <is>
          <t>CD</t>
        </is>
      </c>
      <c r="J48" t="inlineStr">
        <is>
          <t>Santos</t>
        </is>
      </c>
      <c r="K48" t="n">
        <v>0</v>
      </c>
    </row>
    <row r="49">
      <c r="A49" t="n">
        <v>46</v>
      </c>
      <c r="B49" t="inlineStr">
        <is>
          <t>Rodada_3</t>
        </is>
      </c>
      <c r="C49" t="inlineStr">
        <is>
          <t>Fábrica</t>
        </is>
      </c>
      <c r="D49" t="inlineStr">
        <is>
          <t>Joinville</t>
        </is>
      </c>
      <c r="E49" t="inlineStr">
        <is>
          <t>Dia 2</t>
        </is>
      </c>
      <c r="F49" t="inlineStr">
        <is>
          <t>Avião</t>
        </is>
      </c>
      <c r="G49" t="inlineStr">
        <is>
          <t>PA3</t>
        </is>
      </c>
      <c r="H49" t="n">
        <v>6666</v>
      </c>
      <c r="I49" t="inlineStr">
        <is>
          <t>CD</t>
        </is>
      </c>
      <c r="J49" t="inlineStr">
        <is>
          <t>Santos</t>
        </is>
      </c>
      <c r="K49" t="n">
        <v>0</v>
      </c>
    </row>
    <row r="50">
      <c r="A50" t="n">
        <v>47</v>
      </c>
      <c r="B50" t="inlineStr">
        <is>
          <t>Rodada_3</t>
        </is>
      </c>
      <c r="C50" t="inlineStr">
        <is>
          <t>Fábrica</t>
        </is>
      </c>
      <c r="D50" t="inlineStr">
        <is>
          <t>Joinville</t>
        </is>
      </c>
      <c r="E50" t="inlineStr">
        <is>
          <t>Dia 2</t>
        </is>
      </c>
      <c r="F50" t="inlineStr">
        <is>
          <t>Avião</t>
        </is>
      </c>
      <c r="G50" t="inlineStr">
        <is>
          <t>PA3</t>
        </is>
      </c>
      <c r="H50" t="n">
        <v>6666</v>
      </c>
      <c r="I50" t="inlineStr">
        <is>
          <t>CD</t>
        </is>
      </c>
      <c r="J50" t="inlineStr">
        <is>
          <t>Santos</t>
        </is>
      </c>
      <c r="K50" t="n">
        <v>0</v>
      </c>
    </row>
    <row r="51">
      <c r="A51" t="n">
        <v>48</v>
      </c>
      <c r="B51" t="inlineStr">
        <is>
          <t>Rodada_3</t>
        </is>
      </c>
      <c r="C51" t="inlineStr">
        <is>
          <t>Fábrica</t>
        </is>
      </c>
      <c r="D51" t="inlineStr">
        <is>
          <t>Joinville</t>
        </is>
      </c>
      <c r="E51" t="inlineStr">
        <is>
          <t>Dia 2</t>
        </is>
      </c>
      <c r="F51" t="inlineStr">
        <is>
          <t>Avião</t>
        </is>
      </c>
      <c r="G51" t="inlineStr">
        <is>
          <t>PA3</t>
        </is>
      </c>
      <c r="H51" t="n">
        <v>6666</v>
      </c>
      <c r="I51" t="inlineStr">
        <is>
          <t>CD</t>
        </is>
      </c>
      <c r="J51" t="inlineStr">
        <is>
          <t>Santos</t>
        </is>
      </c>
      <c r="K51" t="n">
        <v>0</v>
      </c>
    </row>
    <row r="52">
      <c r="A52" t="n">
        <v>49</v>
      </c>
      <c r="B52" t="inlineStr">
        <is>
          <t>Rodada_3</t>
        </is>
      </c>
      <c r="C52" t="inlineStr">
        <is>
          <t>Fábrica</t>
        </is>
      </c>
      <c r="D52" t="inlineStr">
        <is>
          <t>Joinville</t>
        </is>
      </c>
      <c r="E52" t="inlineStr">
        <is>
          <t>Dia 2</t>
        </is>
      </c>
      <c r="F52" t="inlineStr">
        <is>
          <t>Avião</t>
        </is>
      </c>
      <c r="G52" t="inlineStr">
        <is>
          <t>PA3</t>
        </is>
      </c>
      <c r="H52" t="n">
        <v>6666</v>
      </c>
      <c r="I52" t="inlineStr">
        <is>
          <t>CD</t>
        </is>
      </c>
      <c r="J52" t="inlineStr">
        <is>
          <t>Santos</t>
        </is>
      </c>
      <c r="K52" t="n">
        <v>0</v>
      </c>
    </row>
    <row r="53">
      <c r="A53" t="n">
        <v>50</v>
      </c>
      <c r="B53" t="inlineStr">
        <is>
          <t>Rodada_3</t>
        </is>
      </c>
      <c r="C53" t="inlineStr">
        <is>
          <t>Fábrica</t>
        </is>
      </c>
      <c r="D53" t="inlineStr">
        <is>
          <t>Joinville</t>
        </is>
      </c>
      <c r="E53" t="inlineStr">
        <is>
          <t>Dia 2</t>
        </is>
      </c>
      <c r="F53" t="inlineStr">
        <is>
          <t>Avião</t>
        </is>
      </c>
      <c r="G53" t="inlineStr">
        <is>
          <t>PA3</t>
        </is>
      </c>
      <c r="H53" t="n">
        <v>6666</v>
      </c>
      <c r="I53" t="inlineStr">
        <is>
          <t>CD</t>
        </is>
      </c>
      <c r="J53" t="inlineStr">
        <is>
          <t>Santos</t>
        </is>
      </c>
      <c r="K53" t="n">
        <v>0</v>
      </c>
    </row>
    <row r="54">
      <c r="A54" t="n">
        <v>51</v>
      </c>
      <c r="B54" t="inlineStr">
        <is>
          <t>Rodada_3</t>
        </is>
      </c>
      <c r="C54" t="inlineStr">
        <is>
          <t>Fábrica</t>
        </is>
      </c>
      <c r="D54" t="inlineStr">
        <is>
          <t>Joinville</t>
        </is>
      </c>
      <c r="E54" t="inlineStr">
        <is>
          <t>Dia 2</t>
        </is>
      </c>
      <c r="F54" t="inlineStr">
        <is>
          <t>Avião</t>
        </is>
      </c>
      <c r="G54" t="inlineStr">
        <is>
          <t>PA3</t>
        </is>
      </c>
      <c r="H54" t="n">
        <v>6666</v>
      </c>
      <c r="I54" t="inlineStr">
        <is>
          <t>CD</t>
        </is>
      </c>
      <c r="J54" t="inlineStr">
        <is>
          <t>Santos</t>
        </is>
      </c>
      <c r="K54" t="n">
        <v>0</v>
      </c>
    </row>
    <row r="55">
      <c r="A55" t="n">
        <v>52</v>
      </c>
      <c r="B55" t="inlineStr">
        <is>
          <t>Rodada_3</t>
        </is>
      </c>
      <c r="C55" t="inlineStr">
        <is>
          <t>Fábrica</t>
        </is>
      </c>
      <c r="D55" t="inlineStr">
        <is>
          <t>Joinville</t>
        </is>
      </c>
      <c r="E55" t="inlineStr">
        <is>
          <t>Dia 2</t>
        </is>
      </c>
      <c r="F55" t="inlineStr">
        <is>
          <t>Avião</t>
        </is>
      </c>
      <c r="G55" t="inlineStr">
        <is>
          <t>PA3</t>
        </is>
      </c>
      <c r="H55" t="n">
        <v>6666</v>
      </c>
      <c r="I55" t="inlineStr">
        <is>
          <t>CD</t>
        </is>
      </c>
      <c r="J55" t="inlineStr">
        <is>
          <t>Santos</t>
        </is>
      </c>
      <c r="K55" t="n">
        <v>0</v>
      </c>
    </row>
    <row r="56">
      <c r="A56" t="n">
        <v>53</v>
      </c>
      <c r="B56" t="inlineStr">
        <is>
          <t>Rodada_3</t>
        </is>
      </c>
      <c r="C56" t="inlineStr">
        <is>
          <t>Fábrica</t>
        </is>
      </c>
      <c r="D56" t="inlineStr">
        <is>
          <t>Joinville</t>
        </is>
      </c>
      <c r="E56" t="inlineStr">
        <is>
          <t>Dia 2</t>
        </is>
      </c>
      <c r="F56" t="inlineStr">
        <is>
          <t>Avião</t>
        </is>
      </c>
      <c r="G56" t="inlineStr">
        <is>
          <t>PA3</t>
        </is>
      </c>
      <c r="H56" t="n">
        <v>6666</v>
      </c>
      <c r="I56" t="inlineStr">
        <is>
          <t>CD</t>
        </is>
      </c>
      <c r="J56" t="inlineStr">
        <is>
          <t>Santos</t>
        </is>
      </c>
      <c r="K56" t="n">
        <v>0</v>
      </c>
    </row>
    <row r="57">
      <c r="A57" t="n">
        <v>54</v>
      </c>
      <c r="B57" t="inlineStr">
        <is>
          <t>Rodada_3</t>
        </is>
      </c>
      <c r="C57" t="inlineStr">
        <is>
          <t>Fábrica</t>
        </is>
      </c>
      <c r="D57" t="inlineStr">
        <is>
          <t>Joinville</t>
        </is>
      </c>
      <c r="E57" t="inlineStr">
        <is>
          <t>Dia 2</t>
        </is>
      </c>
      <c r="F57" t="inlineStr">
        <is>
          <t>Avião</t>
        </is>
      </c>
      <c r="G57" t="inlineStr">
        <is>
          <t>PA3</t>
        </is>
      </c>
      <c r="H57" t="n">
        <v>6666</v>
      </c>
      <c r="I57" t="inlineStr">
        <is>
          <t>CD</t>
        </is>
      </c>
      <c r="J57" t="inlineStr">
        <is>
          <t>Santos</t>
        </is>
      </c>
      <c r="K57" t="n">
        <v>0</v>
      </c>
    </row>
    <row r="58">
      <c r="A58" t="n">
        <v>55</v>
      </c>
      <c r="B58" t="inlineStr">
        <is>
          <t>Rodada_3</t>
        </is>
      </c>
      <c r="C58" t="inlineStr">
        <is>
          <t>Fábrica</t>
        </is>
      </c>
      <c r="D58" t="inlineStr">
        <is>
          <t>Joinville</t>
        </is>
      </c>
      <c r="E58" t="inlineStr">
        <is>
          <t>Dia 2</t>
        </is>
      </c>
      <c r="F58" t="inlineStr">
        <is>
          <t>Avião</t>
        </is>
      </c>
      <c r="G58" t="inlineStr">
        <is>
          <t>PA3</t>
        </is>
      </c>
      <c r="H58" t="n">
        <v>6666</v>
      </c>
      <c r="I58" t="inlineStr">
        <is>
          <t>CD</t>
        </is>
      </c>
      <c r="J58" t="inlineStr">
        <is>
          <t>Santos</t>
        </is>
      </c>
      <c r="K58" t="n">
        <v>0</v>
      </c>
    </row>
    <row r="59">
      <c r="A59" t="n">
        <v>56</v>
      </c>
      <c r="B59" t="inlineStr">
        <is>
          <t>Rodada_3</t>
        </is>
      </c>
      <c r="C59" t="inlineStr">
        <is>
          <t>Fábrica</t>
        </is>
      </c>
      <c r="D59" t="inlineStr">
        <is>
          <t>Joinville</t>
        </is>
      </c>
      <c r="E59" t="inlineStr">
        <is>
          <t>Dia 2</t>
        </is>
      </c>
      <c r="F59" t="inlineStr">
        <is>
          <t>Avião</t>
        </is>
      </c>
      <c r="G59" t="inlineStr">
        <is>
          <t>PA3</t>
        </is>
      </c>
      <c r="H59" t="n">
        <v>6666</v>
      </c>
      <c r="I59" t="inlineStr">
        <is>
          <t>CD</t>
        </is>
      </c>
      <c r="J59" t="inlineStr">
        <is>
          <t>Santos</t>
        </is>
      </c>
      <c r="K59" t="n">
        <v>0</v>
      </c>
    </row>
    <row r="60">
      <c r="A60" t="n">
        <v>57</v>
      </c>
      <c r="B60" t="inlineStr">
        <is>
          <t>Rodada_3</t>
        </is>
      </c>
      <c r="C60" t="inlineStr">
        <is>
          <t>Fábrica</t>
        </is>
      </c>
      <c r="D60" t="inlineStr">
        <is>
          <t>Joinville</t>
        </is>
      </c>
      <c r="E60" t="inlineStr">
        <is>
          <t>Dia 2</t>
        </is>
      </c>
      <c r="F60" t="inlineStr">
        <is>
          <t>Avião</t>
        </is>
      </c>
      <c r="G60" t="inlineStr">
        <is>
          <t>PA3</t>
        </is>
      </c>
      <c r="H60" t="n">
        <v>6666</v>
      </c>
      <c r="I60" t="inlineStr">
        <is>
          <t>CD</t>
        </is>
      </c>
      <c r="J60" t="inlineStr">
        <is>
          <t>Santos</t>
        </is>
      </c>
      <c r="K60" t="n">
        <v>0</v>
      </c>
    </row>
    <row r="61">
      <c r="A61" t="n">
        <v>58</v>
      </c>
      <c r="B61" t="inlineStr">
        <is>
          <t>Rodada_3</t>
        </is>
      </c>
      <c r="C61" t="inlineStr">
        <is>
          <t>Fábrica</t>
        </is>
      </c>
      <c r="D61" t="inlineStr">
        <is>
          <t>Joinville</t>
        </is>
      </c>
      <c r="E61" t="inlineStr">
        <is>
          <t>Dia 2</t>
        </is>
      </c>
      <c r="F61" t="inlineStr">
        <is>
          <t>Avião</t>
        </is>
      </c>
      <c r="G61" t="inlineStr">
        <is>
          <t>PA3</t>
        </is>
      </c>
      <c r="H61" t="n">
        <v>6666</v>
      </c>
      <c r="I61" t="inlineStr">
        <is>
          <t>CD</t>
        </is>
      </c>
      <c r="J61" t="inlineStr">
        <is>
          <t>Santos</t>
        </is>
      </c>
      <c r="K61" t="n">
        <v>0</v>
      </c>
    </row>
    <row r="62">
      <c r="A62" t="n">
        <v>59</v>
      </c>
      <c r="B62" t="inlineStr">
        <is>
          <t>Rodada_3</t>
        </is>
      </c>
      <c r="C62" t="inlineStr">
        <is>
          <t>Fábrica</t>
        </is>
      </c>
      <c r="D62" t="inlineStr">
        <is>
          <t>Joinville</t>
        </is>
      </c>
      <c r="E62" t="inlineStr">
        <is>
          <t>Dia 2</t>
        </is>
      </c>
      <c r="F62" t="inlineStr">
        <is>
          <t>Avião</t>
        </is>
      </c>
      <c r="G62" t="inlineStr">
        <is>
          <t>PA3</t>
        </is>
      </c>
      <c r="H62" t="n">
        <v>6666</v>
      </c>
      <c r="I62" t="inlineStr">
        <is>
          <t>CD</t>
        </is>
      </c>
      <c r="J62" t="inlineStr">
        <is>
          <t>Santos</t>
        </is>
      </c>
      <c r="K62" t="n">
        <v>0</v>
      </c>
    </row>
    <row r="63">
      <c r="A63" t="n">
        <v>60</v>
      </c>
      <c r="B63" t="inlineStr">
        <is>
          <t>Rodada_3</t>
        </is>
      </c>
      <c r="C63" t="inlineStr">
        <is>
          <t>Fábrica</t>
        </is>
      </c>
      <c r="D63" t="inlineStr">
        <is>
          <t>Joinville</t>
        </is>
      </c>
      <c r="E63" t="inlineStr">
        <is>
          <t>Dia 2</t>
        </is>
      </c>
      <c r="F63" t="inlineStr">
        <is>
          <t>Avião</t>
        </is>
      </c>
      <c r="G63" t="inlineStr">
        <is>
          <t>PA3</t>
        </is>
      </c>
      <c r="H63" t="n">
        <v>6666</v>
      </c>
      <c r="I63" t="inlineStr">
        <is>
          <t>CD</t>
        </is>
      </c>
      <c r="J63" t="inlineStr">
        <is>
          <t>Santos</t>
        </is>
      </c>
      <c r="K63" t="n">
        <v>0</v>
      </c>
    </row>
    <row r="64">
      <c r="A64" t="n">
        <v>61</v>
      </c>
      <c r="B64" t="inlineStr">
        <is>
          <t>Rodada_3</t>
        </is>
      </c>
      <c r="C64" t="inlineStr">
        <is>
          <t>Fábrica</t>
        </is>
      </c>
      <c r="D64" t="inlineStr">
        <is>
          <t>Joinville</t>
        </is>
      </c>
      <c r="E64" t="inlineStr">
        <is>
          <t>Dia 2</t>
        </is>
      </c>
      <c r="F64" t="inlineStr">
        <is>
          <t>Avião</t>
        </is>
      </c>
      <c r="G64" t="inlineStr">
        <is>
          <t>PA3</t>
        </is>
      </c>
      <c r="H64" t="n">
        <v>6666</v>
      </c>
      <c r="I64" t="inlineStr">
        <is>
          <t>CD</t>
        </is>
      </c>
      <c r="J64" t="inlineStr">
        <is>
          <t>Santos</t>
        </is>
      </c>
      <c r="K64" t="n">
        <v>0</v>
      </c>
    </row>
    <row r="65">
      <c r="A65" t="n">
        <v>62</v>
      </c>
      <c r="B65" t="inlineStr">
        <is>
          <t>Rodada_3</t>
        </is>
      </c>
      <c r="C65" t="inlineStr">
        <is>
          <t>Fábrica</t>
        </is>
      </c>
      <c r="D65" t="inlineStr">
        <is>
          <t>Joinville</t>
        </is>
      </c>
      <c r="E65" t="inlineStr">
        <is>
          <t>Dia 2</t>
        </is>
      </c>
      <c r="F65" t="inlineStr">
        <is>
          <t>Avião</t>
        </is>
      </c>
      <c r="G65" t="inlineStr">
        <is>
          <t>PA3</t>
        </is>
      </c>
      <c r="H65" t="n">
        <v>6666</v>
      </c>
      <c r="I65" t="inlineStr">
        <is>
          <t>CD</t>
        </is>
      </c>
      <c r="J65" t="inlineStr">
        <is>
          <t>Santos</t>
        </is>
      </c>
      <c r="K65" t="n">
        <v>0</v>
      </c>
    </row>
    <row r="66">
      <c r="A66" t="n">
        <v>63</v>
      </c>
      <c r="B66" t="inlineStr">
        <is>
          <t>Rodada_3</t>
        </is>
      </c>
      <c r="C66" t="inlineStr">
        <is>
          <t>Fábrica</t>
        </is>
      </c>
      <c r="D66" t="inlineStr">
        <is>
          <t>Joinville</t>
        </is>
      </c>
      <c r="E66" t="inlineStr">
        <is>
          <t>Dia 2</t>
        </is>
      </c>
      <c r="F66" t="inlineStr">
        <is>
          <t>Avião</t>
        </is>
      </c>
      <c r="G66" t="inlineStr">
        <is>
          <t>PA3</t>
        </is>
      </c>
      <c r="H66" t="n">
        <v>6666</v>
      </c>
      <c r="I66" t="inlineStr">
        <is>
          <t>CD</t>
        </is>
      </c>
      <c r="J66" t="inlineStr">
        <is>
          <t>Santos</t>
        </is>
      </c>
      <c r="K66" t="n">
        <v>0</v>
      </c>
    </row>
    <row r="67">
      <c r="A67" t="n">
        <v>64</v>
      </c>
      <c r="B67" t="inlineStr">
        <is>
          <t>Rodada_3</t>
        </is>
      </c>
      <c r="C67" t="inlineStr">
        <is>
          <t>Fábrica</t>
        </is>
      </c>
      <c r="D67" t="inlineStr">
        <is>
          <t>Joinville</t>
        </is>
      </c>
      <c r="E67" t="inlineStr">
        <is>
          <t>Dia 2</t>
        </is>
      </c>
      <c r="F67" t="inlineStr">
        <is>
          <t>Avião</t>
        </is>
      </c>
      <c r="G67" t="inlineStr">
        <is>
          <t>PA3</t>
        </is>
      </c>
      <c r="H67" t="n">
        <v>6666</v>
      </c>
      <c r="I67" t="inlineStr">
        <is>
          <t>CD</t>
        </is>
      </c>
      <c r="J67" t="inlineStr">
        <is>
          <t>Santos</t>
        </is>
      </c>
      <c r="K67" t="n">
        <v>0</v>
      </c>
    </row>
    <row r="68">
      <c r="A68" t="n">
        <v>65</v>
      </c>
      <c r="B68" t="inlineStr">
        <is>
          <t>Rodada_3</t>
        </is>
      </c>
      <c r="C68" t="inlineStr">
        <is>
          <t>Fábrica</t>
        </is>
      </c>
      <c r="D68" t="inlineStr">
        <is>
          <t>Joinville</t>
        </is>
      </c>
      <c r="E68" t="inlineStr">
        <is>
          <t>Dia 2</t>
        </is>
      </c>
      <c r="F68" t="inlineStr">
        <is>
          <t>Avião</t>
        </is>
      </c>
      <c r="G68" t="inlineStr">
        <is>
          <t>PA3</t>
        </is>
      </c>
      <c r="H68" t="n">
        <v>6666</v>
      </c>
      <c r="I68" t="inlineStr">
        <is>
          <t>CD</t>
        </is>
      </c>
      <c r="J68" t="inlineStr">
        <is>
          <t>Santos</t>
        </is>
      </c>
      <c r="K68" t="n">
        <v>0</v>
      </c>
    </row>
    <row r="69">
      <c r="A69" t="n">
        <v>66</v>
      </c>
      <c r="B69" t="inlineStr">
        <is>
          <t>Rodada_3</t>
        </is>
      </c>
      <c r="C69" t="inlineStr">
        <is>
          <t>Fábrica</t>
        </is>
      </c>
      <c r="D69" t="inlineStr">
        <is>
          <t>Joinville</t>
        </is>
      </c>
      <c r="E69" t="inlineStr">
        <is>
          <t>Dia 2</t>
        </is>
      </c>
      <c r="F69" t="inlineStr">
        <is>
          <t>Avião</t>
        </is>
      </c>
      <c r="G69" t="inlineStr">
        <is>
          <t>PA3</t>
        </is>
      </c>
      <c r="H69" t="n">
        <v>6666</v>
      </c>
      <c r="I69" t="inlineStr">
        <is>
          <t>CD</t>
        </is>
      </c>
      <c r="J69" t="inlineStr">
        <is>
          <t>Santos</t>
        </is>
      </c>
      <c r="K69" t="n">
        <v>0</v>
      </c>
    </row>
    <row r="70">
      <c r="A70" t="n">
        <v>67</v>
      </c>
      <c r="B70" t="inlineStr">
        <is>
          <t>Rodada_3</t>
        </is>
      </c>
      <c r="C70" t="inlineStr">
        <is>
          <t>Fábrica</t>
        </is>
      </c>
      <c r="D70" t="inlineStr">
        <is>
          <t>Joinville</t>
        </is>
      </c>
      <c r="E70" t="inlineStr">
        <is>
          <t>Dia 2</t>
        </is>
      </c>
      <c r="F70" t="inlineStr">
        <is>
          <t>Avião</t>
        </is>
      </c>
      <c r="G70" t="inlineStr">
        <is>
          <t>PA3</t>
        </is>
      </c>
      <c r="H70" t="n">
        <v>6666</v>
      </c>
      <c r="I70" t="inlineStr">
        <is>
          <t>CD</t>
        </is>
      </c>
      <c r="J70" t="inlineStr">
        <is>
          <t>Santos</t>
        </is>
      </c>
      <c r="K70" t="n">
        <v>0</v>
      </c>
    </row>
    <row r="71">
      <c r="A71" t="n">
        <v>68</v>
      </c>
      <c r="B71" t="inlineStr">
        <is>
          <t>Rodada_3</t>
        </is>
      </c>
      <c r="C71" t="inlineStr">
        <is>
          <t>Fábrica</t>
        </is>
      </c>
      <c r="D71" t="inlineStr">
        <is>
          <t>Joinville</t>
        </is>
      </c>
      <c r="E71" t="inlineStr">
        <is>
          <t>Dia 2</t>
        </is>
      </c>
      <c r="F71" t="inlineStr">
        <is>
          <t>Avião</t>
        </is>
      </c>
      <c r="G71" t="inlineStr">
        <is>
          <t>PA3</t>
        </is>
      </c>
      <c r="H71" t="n">
        <v>6666</v>
      </c>
      <c r="I71" t="inlineStr">
        <is>
          <t>CD</t>
        </is>
      </c>
      <c r="J71" t="inlineStr">
        <is>
          <t>Santos</t>
        </is>
      </c>
      <c r="K71" t="n">
        <v>0</v>
      </c>
    </row>
    <row r="72">
      <c r="A72" t="n">
        <v>69</v>
      </c>
      <c r="B72" t="inlineStr">
        <is>
          <t>Rodada_3</t>
        </is>
      </c>
      <c r="C72" t="inlineStr">
        <is>
          <t>Fábrica</t>
        </is>
      </c>
      <c r="D72" t="inlineStr">
        <is>
          <t>Joinville</t>
        </is>
      </c>
      <c r="E72" t="inlineStr">
        <is>
          <t>Dia 2</t>
        </is>
      </c>
      <c r="F72" t="inlineStr">
        <is>
          <t>Avião</t>
        </is>
      </c>
      <c r="G72" t="inlineStr">
        <is>
          <t>PA3</t>
        </is>
      </c>
      <c r="H72" t="n">
        <v>6666</v>
      </c>
      <c r="I72" t="inlineStr">
        <is>
          <t>CD</t>
        </is>
      </c>
      <c r="J72" t="inlineStr">
        <is>
          <t>Santos</t>
        </is>
      </c>
      <c r="K72" t="n">
        <v>0</v>
      </c>
    </row>
    <row r="73">
      <c r="A73" t="n">
        <v>70</v>
      </c>
      <c r="B73" t="inlineStr">
        <is>
          <t>Rodada_3</t>
        </is>
      </c>
      <c r="C73" t="inlineStr">
        <is>
          <t>Fábrica</t>
        </is>
      </c>
      <c r="D73" t="inlineStr">
        <is>
          <t>Joinville</t>
        </is>
      </c>
      <c r="E73" t="inlineStr">
        <is>
          <t>Dia 2</t>
        </is>
      </c>
      <c r="F73" t="inlineStr">
        <is>
          <t>Avião</t>
        </is>
      </c>
      <c r="G73" t="inlineStr">
        <is>
          <t>PA3</t>
        </is>
      </c>
      <c r="H73" t="n">
        <v>6666</v>
      </c>
      <c r="I73" t="inlineStr">
        <is>
          <t>CD</t>
        </is>
      </c>
      <c r="J73" t="inlineStr">
        <is>
          <t>Santos</t>
        </is>
      </c>
      <c r="K73" t="n">
        <v>0</v>
      </c>
    </row>
    <row r="74">
      <c r="A74" t="n">
        <v>71</v>
      </c>
      <c r="B74" t="inlineStr">
        <is>
          <t>Rodada_3</t>
        </is>
      </c>
      <c r="C74" t="inlineStr">
        <is>
          <t>Fábrica</t>
        </is>
      </c>
      <c r="D74" t="inlineStr">
        <is>
          <t>Joinville</t>
        </is>
      </c>
      <c r="E74" t="inlineStr">
        <is>
          <t>Dia 2</t>
        </is>
      </c>
      <c r="F74" t="inlineStr">
        <is>
          <t>Avião</t>
        </is>
      </c>
      <c r="G74" t="inlineStr">
        <is>
          <t>PA3</t>
        </is>
      </c>
      <c r="H74" t="n">
        <v>6666</v>
      </c>
      <c r="I74" t="inlineStr">
        <is>
          <t>CD</t>
        </is>
      </c>
      <c r="J74" t="inlineStr">
        <is>
          <t>Santos</t>
        </is>
      </c>
      <c r="K74" t="n">
        <v>0</v>
      </c>
    </row>
    <row r="75">
      <c r="A75" t="n">
        <v>72</v>
      </c>
      <c r="B75" t="inlineStr">
        <is>
          <t>Rodada_3</t>
        </is>
      </c>
      <c r="C75" t="inlineStr">
        <is>
          <t>Fábrica</t>
        </is>
      </c>
      <c r="D75" t="inlineStr">
        <is>
          <t>Joinville</t>
        </is>
      </c>
      <c r="E75" t="inlineStr">
        <is>
          <t>Dia 2</t>
        </is>
      </c>
      <c r="F75" t="inlineStr">
        <is>
          <t>Avião</t>
        </is>
      </c>
      <c r="G75" t="inlineStr">
        <is>
          <t>PA3</t>
        </is>
      </c>
      <c r="H75" t="n">
        <v>6666</v>
      </c>
      <c r="I75" t="inlineStr">
        <is>
          <t>CD</t>
        </is>
      </c>
      <c r="J75" t="inlineStr">
        <is>
          <t>Santos</t>
        </is>
      </c>
      <c r="K75" t="n">
        <v>0</v>
      </c>
    </row>
    <row r="76">
      <c r="A76" t="n">
        <v>73</v>
      </c>
      <c r="B76" t="inlineStr">
        <is>
          <t>Rodada_3</t>
        </is>
      </c>
      <c r="C76" t="inlineStr">
        <is>
          <t>Fábrica</t>
        </is>
      </c>
      <c r="D76" t="inlineStr">
        <is>
          <t>Joinville</t>
        </is>
      </c>
      <c r="E76" t="inlineStr">
        <is>
          <t>Dia 2</t>
        </is>
      </c>
      <c r="F76" t="inlineStr">
        <is>
          <t>Avião</t>
        </is>
      </c>
      <c r="G76" t="inlineStr">
        <is>
          <t>PA3</t>
        </is>
      </c>
      <c r="H76" t="n">
        <v>6666</v>
      </c>
      <c r="I76" t="inlineStr">
        <is>
          <t>CD</t>
        </is>
      </c>
      <c r="J76" t="inlineStr">
        <is>
          <t>Santos</t>
        </is>
      </c>
      <c r="K76" t="n">
        <v>0</v>
      </c>
    </row>
    <row r="77">
      <c r="A77" t="n">
        <v>74</v>
      </c>
      <c r="B77" t="inlineStr">
        <is>
          <t>Rodada_3</t>
        </is>
      </c>
      <c r="C77" t="inlineStr">
        <is>
          <t>Fábrica</t>
        </is>
      </c>
      <c r="D77" t="inlineStr">
        <is>
          <t>Joinville</t>
        </is>
      </c>
      <c r="E77" t="inlineStr">
        <is>
          <t>Dia 2</t>
        </is>
      </c>
      <c r="F77" t="inlineStr">
        <is>
          <t>Avião</t>
        </is>
      </c>
      <c r="G77" t="inlineStr">
        <is>
          <t>PA3</t>
        </is>
      </c>
      <c r="H77" t="n">
        <v>6666</v>
      </c>
      <c r="I77" t="inlineStr">
        <is>
          <t>CD</t>
        </is>
      </c>
      <c r="J77" t="inlineStr">
        <is>
          <t>Santos</t>
        </is>
      </c>
      <c r="K77" t="n">
        <v>0</v>
      </c>
    </row>
    <row r="78">
      <c r="A78" t="n">
        <v>75</v>
      </c>
      <c r="B78" t="inlineStr">
        <is>
          <t>Rodada_3</t>
        </is>
      </c>
      <c r="C78" t="inlineStr">
        <is>
          <t>Fábrica</t>
        </is>
      </c>
      <c r="D78" t="inlineStr">
        <is>
          <t>Joinville</t>
        </is>
      </c>
      <c r="E78" t="inlineStr">
        <is>
          <t>Dia 2</t>
        </is>
      </c>
      <c r="F78" t="inlineStr">
        <is>
          <t>Avião</t>
        </is>
      </c>
      <c r="G78" t="inlineStr">
        <is>
          <t>PA3</t>
        </is>
      </c>
      <c r="H78" t="n">
        <v>6666</v>
      </c>
      <c r="I78" t="inlineStr">
        <is>
          <t>CD</t>
        </is>
      </c>
      <c r="J78" t="inlineStr">
        <is>
          <t>Santos</t>
        </is>
      </c>
      <c r="K78" t="n">
        <v>0</v>
      </c>
    </row>
    <row r="79">
      <c r="A79" t="n">
        <v>76</v>
      </c>
      <c r="B79" t="inlineStr">
        <is>
          <t>Rodada_3</t>
        </is>
      </c>
      <c r="C79" t="inlineStr">
        <is>
          <t>Fábrica</t>
        </is>
      </c>
      <c r="D79" t="inlineStr">
        <is>
          <t>Joinville</t>
        </is>
      </c>
      <c r="E79" t="inlineStr">
        <is>
          <t>Dia 2</t>
        </is>
      </c>
      <c r="F79" t="inlineStr">
        <is>
          <t>Avião</t>
        </is>
      </c>
      <c r="G79" t="inlineStr">
        <is>
          <t>PA3</t>
        </is>
      </c>
      <c r="H79" t="n">
        <v>6666</v>
      </c>
      <c r="I79" t="inlineStr">
        <is>
          <t>CD</t>
        </is>
      </c>
      <c r="J79" t="inlineStr">
        <is>
          <t>Santos</t>
        </is>
      </c>
      <c r="K79" t="n">
        <v>0</v>
      </c>
    </row>
    <row r="80">
      <c r="A80" t="n">
        <v>77</v>
      </c>
      <c r="B80" t="inlineStr">
        <is>
          <t>Rodada_3</t>
        </is>
      </c>
      <c r="C80" t="inlineStr">
        <is>
          <t>Fábrica</t>
        </is>
      </c>
      <c r="D80" t="inlineStr">
        <is>
          <t>Joinville</t>
        </is>
      </c>
      <c r="E80" t="inlineStr">
        <is>
          <t>Dia 2</t>
        </is>
      </c>
      <c r="F80" t="inlineStr">
        <is>
          <t>Avião</t>
        </is>
      </c>
      <c r="G80" t="inlineStr">
        <is>
          <t>PA3</t>
        </is>
      </c>
      <c r="H80" t="n">
        <v>6666</v>
      </c>
      <c r="I80" t="inlineStr">
        <is>
          <t>CD</t>
        </is>
      </c>
      <c r="J80" t="inlineStr">
        <is>
          <t>Santos</t>
        </is>
      </c>
      <c r="K80" t="n">
        <v>0</v>
      </c>
    </row>
    <row r="81">
      <c r="A81" t="n">
        <v>78</v>
      </c>
      <c r="B81" t="inlineStr">
        <is>
          <t>Rodada_3</t>
        </is>
      </c>
      <c r="C81" t="inlineStr">
        <is>
          <t>Fábrica</t>
        </is>
      </c>
      <c r="D81" t="inlineStr">
        <is>
          <t>Joinville</t>
        </is>
      </c>
      <c r="E81" t="inlineStr">
        <is>
          <t>Dia 2</t>
        </is>
      </c>
      <c r="F81" t="inlineStr">
        <is>
          <t>Avião</t>
        </is>
      </c>
      <c r="G81" t="inlineStr">
        <is>
          <t>PA3</t>
        </is>
      </c>
      <c r="H81" t="n">
        <v>6666</v>
      </c>
      <c r="I81" t="inlineStr">
        <is>
          <t>CD</t>
        </is>
      </c>
      <c r="J81" t="inlineStr">
        <is>
          <t>Santos</t>
        </is>
      </c>
      <c r="K81" t="n">
        <v>0</v>
      </c>
    </row>
    <row r="82">
      <c r="A82" t="n">
        <v>79</v>
      </c>
      <c r="B82" t="inlineStr">
        <is>
          <t>Rodada_3</t>
        </is>
      </c>
      <c r="C82" t="inlineStr">
        <is>
          <t>Fábrica</t>
        </is>
      </c>
      <c r="D82" t="inlineStr">
        <is>
          <t>Joinville</t>
        </is>
      </c>
      <c r="E82" t="inlineStr">
        <is>
          <t>Dia 2</t>
        </is>
      </c>
      <c r="F82" t="inlineStr">
        <is>
          <t>Avião</t>
        </is>
      </c>
      <c r="G82" t="inlineStr">
        <is>
          <t>PA3</t>
        </is>
      </c>
      <c r="H82" t="n">
        <v>6666</v>
      </c>
      <c r="I82" t="inlineStr">
        <is>
          <t>CD</t>
        </is>
      </c>
      <c r="J82" t="inlineStr">
        <is>
          <t>Santos</t>
        </is>
      </c>
      <c r="K82" t="n">
        <v>0</v>
      </c>
    </row>
    <row r="83">
      <c r="A83" t="n">
        <v>80</v>
      </c>
      <c r="B83" t="inlineStr">
        <is>
          <t>Rodada_3</t>
        </is>
      </c>
      <c r="C83" t="inlineStr">
        <is>
          <t>Fábrica</t>
        </is>
      </c>
      <c r="D83" t="inlineStr">
        <is>
          <t>Joinville</t>
        </is>
      </c>
      <c r="E83" t="inlineStr">
        <is>
          <t>Dia 2</t>
        </is>
      </c>
      <c r="F83" t="inlineStr">
        <is>
          <t>Avião</t>
        </is>
      </c>
      <c r="G83" t="inlineStr">
        <is>
          <t>PA3</t>
        </is>
      </c>
      <c r="H83" t="n">
        <v>6666</v>
      </c>
      <c r="I83" t="inlineStr">
        <is>
          <t>CD</t>
        </is>
      </c>
      <c r="J83" t="inlineStr">
        <is>
          <t>Santos</t>
        </is>
      </c>
      <c r="K83" t="n">
        <v>0</v>
      </c>
    </row>
    <row r="84">
      <c r="A84" t="n">
        <v>81</v>
      </c>
      <c r="B84" t="inlineStr">
        <is>
          <t>Rodada_3</t>
        </is>
      </c>
      <c r="C84" t="inlineStr">
        <is>
          <t>Fábrica</t>
        </is>
      </c>
      <c r="D84" t="inlineStr">
        <is>
          <t>Joinville</t>
        </is>
      </c>
      <c r="E84" t="inlineStr">
        <is>
          <t>Dia 2</t>
        </is>
      </c>
      <c r="F84" t="inlineStr">
        <is>
          <t>Avião</t>
        </is>
      </c>
      <c r="G84" t="inlineStr">
        <is>
          <t>PA3</t>
        </is>
      </c>
      <c r="H84" t="n">
        <v>6666</v>
      </c>
      <c r="I84" t="inlineStr">
        <is>
          <t>CD</t>
        </is>
      </c>
      <c r="J84" t="inlineStr">
        <is>
          <t>Santos</t>
        </is>
      </c>
      <c r="K84" t="n">
        <v>0</v>
      </c>
    </row>
    <row r="85">
      <c r="A85" t="n">
        <v>82</v>
      </c>
      <c r="B85" t="inlineStr">
        <is>
          <t>Rodada_3</t>
        </is>
      </c>
      <c r="C85" t="inlineStr">
        <is>
          <t>Fábrica</t>
        </is>
      </c>
      <c r="D85" t="inlineStr">
        <is>
          <t>Joinville</t>
        </is>
      </c>
      <c r="E85" t="inlineStr">
        <is>
          <t>Dia 2</t>
        </is>
      </c>
      <c r="F85" t="inlineStr">
        <is>
          <t>Avião</t>
        </is>
      </c>
      <c r="G85" t="inlineStr">
        <is>
          <t>PA3</t>
        </is>
      </c>
      <c r="H85" t="n">
        <v>6666</v>
      </c>
      <c r="I85" t="inlineStr">
        <is>
          <t>CD</t>
        </is>
      </c>
      <c r="J85" t="inlineStr">
        <is>
          <t>Santos</t>
        </is>
      </c>
      <c r="K85" t="n">
        <v>0</v>
      </c>
    </row>
    <row r="86">
      <c r="A86" t="n">
        <v>83</v>
      </c>
      <c r="B86" t="inlineStr">
        <is>
          <t>Rodada_3</t>
        </is>
      </c>
      <c r="C86" t="inlineStr">
        <is>
          <t>Fábrica</t>
        </is>
      </c>
      <c r="D86" t="inlineStr">
        <is>
          <t>Joinville</t>
        </is>
      </c>
      <c r="E86" t="inlineStr">
        <is>
          <t>Dia 2</t>
        </is>
      </c>
      <c r="F86" t="inlineStr">
        <is>
          <t>Avião</t>
        </is>
      </c>
      <c r="G86" t="inlineStr">
        <is>
          <t>PA3</t>
        </is>
      </c>
      <c r="H86" t="n">
        <v>6666</v>
      </c>
      <c r="I86" t="inlineStr">
        <is>
          <t>CD</t>
        </is>
      </c>
      <c r="J86" t="inlineStr">
        <is>
          <t>Santos</t>
        </is>
      </c>
      <c r="K86" t="n">
        <v>0</v>
      </c>
    </row>
    <row r="87">
      <c r="A87" t="n">
        <v>84</v>
      </c>
      <c r="B87" t="inlineStr">
        <is>
          <t>Rodada_3</t>
        </is>
      </c>
      <c r="C87" t="inlineStr">
        <is>
          <t>Fábrica</t>
        </is>
      </c>
      <c r="D87" t="inlineStr">
        <is>
          <t>Joinville</t>
        </is>
      </c>
      <c r="E87" t="inlineStr">
        <is>
          <t>Dia 2</t>
        </is>
      </c>
      <c r="F87" t="inlineStr">
        <is>
          <t>Avião</t>
        </is>
      </c>
      <c r="G87" t="inlineStr">
        <is>
          <t>PA3</t>
        </is>
      </c>
      <c r="H87" t="n">
        <v>6666</v>
      </c>
      <c r="I87" t="inlineStr">
        <is>
          <t>CD</t>
        </is>
      </c>
      <c r="J87" t="inlineStr">
        <is>
          <t>Santos</t>
        </is>
      </c>
      <c r="K87" t="n">
        <v>0</v>
      </c>
    </row>
    <row r="88">
      <c r="A88" t="n">
        <v>85</v>
      </c>
      <c r="B88" t="inlineStr">
        <is>
          <t>Rodada_3</t>
        </is>
      </c>
      <c r="C88" t="inlineStr">
        <is>
          <t>Fábrica</t>
        </is>
      </c>
      <c r="D88" t="inlineStr">
        <is>
          <t>Joinville</t>
        </is>
      </c>
      <c r="E88" t="inlineStr">
        <is>
          <t>Dia 2</t>
        </is>
      </c>
      <c r="F88" t="inlineStr">
        <is>
          <t>Avião</t>
        </is>
      </c>
      <c r="G88" t="inlineStr">
        <is>
          <t>PA3</t>
        </is>
      </c>
      <c r="H88" t="n">
        <v>6666</v>
      </c>
      <c r="I88" t="inlineStr">
        <is>
          <t>CD</t>
        </is>
      </c>
      <c r="J88" t="inlineStr">
        <is>
          <t>Santos</t>
        </is>
      </c>
      <c r="K88" t="n">
        <v>0</v>
      </c>
    </row>
    <row r="89">
      <c r="A89" t="n">
        <v>86</v>
      </c>
      <c r="B89" t="inlineStr">
        <is>
          <t>Rodada_3</t>
        </is>
      </c>
      <c r="C89" t="inlineStr">
        <is>
          <t>Fábrica</t>
        </is>
      </c>
      <c r="D89" t="inlineStr">
        <is>
          <t>Joinville</t>
        </is>
      </c>
      <c r="E89" t="inlineStr">
        <is>
          <t>Dia 2</t>
        </is>
      </c>
      <c r="F89" t="inlineStr">
        <is>
          <t>Avião</t>
        </is>
      </c>
      <c r="G89" t="inlineStr">
        <is>
          <t>PA3</t>
        </is>
      </c>
      <c r="H89" t="n">
        <v>6666</v>
      </c>
      <c r="I89" t="inlineStr">
        <is>
          <t>CD</t>
        </is>
      </c>
      <c r="J89" t="inlineStr">
        <is>
          <t>Santos</t>
        </is>
      </c>
      <c r="K89" t="n">
        <v>0</v>
      </c>
    </row>
    <row r="90">
      <c r="A90" t="n">
        <v>87</v>
      </c>
      <c r="B90" t="inlineStr">
        <is>
          <t>Rodada_3</t>
        </is>
      </c>
      <c r="C90" t="inlineStr">
        <is>
          <t>Fábrica</t>
        </is>
      </c>
      <c r="D90" t="inlineStr">
        <is>
          <t>Joinville</t>
        </is>
      </c>
      <c r="E90" t="inlineStr">
        <is>
          <t>Dia 2</t>
        </is>
      </c>
      <c r="F90" t="inlineStr">
        <is>
          <t>Avião</t>
        </is>
      </c>
      <c r="G90" t="inlineStr">
        <is>
          <t>PA3</t>
        </is>
      </c>
      <c r="H90" t="n">
        <v>6666</v>
      </c>
      <c r="I90" t="inlineStr">
        <is>
          <t>CD</t>
        </is>
      </c>
      <c r="J90" t="inlineStr">
        <is>
          <t>Santos</t>
        </is>
      </c>
      <c r="K90" t="n">
        <v>0</v>
      </c>
    </row>
    <row r="91">
      <c r="A91" t="n">
        <v>88</v>
      </c>
      <c r="B91" t="inlineStr">
        <is>
          <t>Rodada_3</t>
        </is>
      </c>
      <c r="C91" t="inlineStr">
        <is>
          <t>Fábrica</t>
        </is>
      </c>
      <c r="D91" t="inlineStr">
        <is>
          <t>Joinville</t>
        </is>
      </c>
      <c r="E91" t="inlineStr">
        <is>
          <t>Dia 2</t>
        </is>
      </c>
      <c r="F91" t="inlineStr">
        <is>
          <t>Avião</t>
        </is>
      </c>
      <c r="G91" t="inlineStr">
        <is>
          <t>PA3</t>
        </is>
      </c>
      <c r="H91" t="n">
        <v>6666</v>
      </c>
      <c r="I91" t="inlineStr">
        <is>
          <t>CD</t>
        </is>
      </c>
      <c r="J91" t="inlineStr">
        <is>
          <t>Santos</t>
        </is>
      </c>
      <c r="K91" t="n">
        <v>0</v>
      </c>
    </row>
    <row r="92">
      <c r="A92" t="n">
        <v>89</v>
      </c>
      <c r="B92" t="inlineStr">
        <is>
          <t>Rodada_3</t>
        </is>
      </c>
      <c r="C92" t="inlineStr">
        <is>
          <t>Fábrica</t>
        </is>
      </c>
      <c r="D92" t="inlineStr">
        <is>
          <t>Joinville</t>
        </is>
      </c>
      <c r="E92" t="inlineStr">
        <is>
          <t>Dia 2</t>
        </is>
      </c>
      <c r="F92" t="inlineStr">
        <is>
          <t>Avião</t>
        </is>
      </c>
      <c r="G92" t="inlineStr">
        <is>
          <t>PA3</t>
        </is>
      </c>
      <c r="H92" t="n">
        <v>6666</v>
      </c>
      <c r="I92" t="inlineStr">
        <is>
          <t>CD</t>
        </is>
      </c>
      <c r="J92" t="inlineStr">
        <is>
          <t>Santos</t>
        </is>
      </c>
      <c r="K92" t="n">
        <v>0</v>
      </c>
    </row>
    <row r="93">
      <c r="A93" t="n">
        <v>90</v>
      </c>
      <c r="B93" t="inlineStr">
        <is>
          <t>Rodada_3</t>
        </is>
      </c>
      <c r="C93" t="inlineStr">
        <is>
          <t>Fábrica</t>
        </is>
      </c>
      <c r="D93" t="inlineStr">
        <is>
          <t>Joinville</t>
        </is>
      </c>
      <c r="E93" t="inlineStr">
        <is>
          <t>Dia 2</t>
        </is>
      </c>
      <c r="F93" t="inlineStr">
        <is>
          <t>Avião</t>
        </is>
      </c>
      <c r="G93" t="inlineStr">
        <is>
          <t>PA3</t>
        </is>
      </c>
      <c r="H93" t="n">
        <v>6666</v>
      </c>
      <c r="I93" t="inlineStr">
        <is>
          <t>CD</t>
        </is>
      </c>
      <c r="J93" t="inlineStr">
        <is>
          <t>Santos</t>
        </is>
      </c>
      <c r="K93" t="n">
        <v>0</v>
      </c>
    </row>
    <row r="94">
      <c r="A94" t="n">
        <v>91</v>
      </c>
      <c r="B94" t="inlineStr">
        <is>
          <t>Rodada_3</t>
        </is>
      </c>
      <c r="C94" t="inlineStr">
        <is>
          <t>Fábrica</t>
        </is>
      </c>
      <c r="D94" t="inlineStr">
        <is>
          <t>Joinville</t>
        </is>
      </c>
      <c r="E94" t="inlineStr">
        <is>
          <t>Dia 2</t>
        </is>
      </c>
      <c r="F94" t="inlineStr">
        <is>
          <t>Avião</t>
        </is>
      </c>
      <c r="G94" t="inlineStr">
        <is>
          <t>PA3</t>
        </is>
      </c>
      <c r="H94" t="n">
        <v>6666</v>
      </c>
      <c r="I94" t="inlineStr">
        <is>
          <t>CD</t>
        </is>
      </c>
      <c r="J94" t="inlineStr">
        <is>
          <t>Santos</t>
        </is>
      </c>
      <c r="K94" t="n">
        <v>0</v>
      </c>
    </row>
    <row r="95">
      <c r="A95" t="n">
        <v>92</v>
      </c>
      <c r="B95" t="inlineStr">
        <is>
          <t>Rodada_3</t>
        </is>
      </c>
      <c r="C95" t="inlineStr">
        <is>
          <t>Fábrica</t>
        </is>
      </c>
      <c r="D95" t="inlineStr">
        <is>
          <t>Joinville</t>
        </is>
      </c>
      <c r="E95" t="inlineStr">
        <is>
          <t>Dia 2</t>
        </is>
      </c>
      <c r="F95" t="inlineStr">
        <is>
          <t>Avião</t>
        </is>
      </c>
      <c r="G95" t="inlineStr">
        <is>
          <t>PA3</t>
        </is>
      </c>
      <c r="H95" t="n">
        <v>6666</v>
      </c>
      <c r="I95" t="inlineStr">
        <is>
          <t>CD</t>
        </is>
      </c>
      <c r="J95" t="inlineStr">
        <is>
          <t>Santos</t>
        </is>
      </c>
      <c r="K95" t="n">
        <v>0</v>
      </c>
    </row>
    <row r="96">
      <c r="A96" t="n">
        <v>93</v>
      </c>
      <c r="B96" t="inlineStr">
        <is>
          <t>Rodada_3</t>
        </is>
      </c>
      <c r="C96" t="inlineStr">
        <is>
          <t>Fábrica</t>
        </is>
      </c>
      <c r="D96" t="inlineStr">
        <is>
          <t>Joinville</t>
        </is>
      </c>
      <c r="E96" t="inlineStr">
        <is>
          <t>Dia 2</t>
        </is>
      </c>
      <c r="F96" t="inlineStr">
        <is>
          <t>Avião</t>
        </is>
      </c>
      <c r="G96" t="inlineStr">
        <is>
          <t>PA3</t>
        </is>
      </c>
      <c r="H96" t="n">
        <v>6666</v>
      </c>
      <c r="I96" t="inlineStr">
        <is>
          <t>CD</t>
        </is>
      </c>
      <c r="J96" t="inlineStr">
        <is>
          <t>Santos</t>
        </is>
      </c>
      <c r="K96" t="n">
        <v>0</v>
      </c>
    </row>
    <row r="97">
      <c r="A97" t="n">
        <v>94</v>
      </c>
      <c r="B97" t="inlineStr">
        <is>
          <t>Rodada_3</t>
        </is>
      </c>
      <c r="C97" t="inlineStr">
        <is>
          <t>Fábrica</t>
        </is>
      </c>
      <c r="D97" t="inlineStr">
        <is>
          <t>Joinville</t>
        </is>
      </c>
      <c r="E97" t="inlineStr">
        <is>
          <t>Dia 2</t>
        </is>
      </c>
      <c r="F97" t="inlineStr">
        <is>
          <t>Avião</t>
        </is>
      </c>
      <c r="G97" t="inlineStr">
        <is>
          <t>PA3</t>
        </is>
      </c>
      <c r="H97" t="n">
        <v>6666</v>
      </c>
      <c r="I97" t="inlineStr">
        <is>
          <t>CD</t>
        </is>
      </c>
      <c r="J97" t="inlineStr">
        <is>
          <t>Santos</t>
        </is>
      </c>
      <c r="K97" t="n">
        <v>0</v>
      </c>
    </row>
    <row r="98">
      <c r="A98" t="n">
        <v>95</v>
      </c>
      <c r="B98" t="inlineStr">
        <is>
          <t>Rodada_3</t>
        </is>
      </c>
      <c r="C98" t="inlineStr">
        <is>
          <t>Fábrica</t>
        </is>
      </c>
      <c r="D98" t="inlineStr">
        <is>
          <t>Joinville</t>
        </is>
      </c>
      <c r="E98" t="inlineStr">
        <is>
          <t>Dia 2</t>
        </is>
      </c>
      <c r="F98" t="inlineStr">
        <is>
          <t>Avião</t>
        </is>
      </c>
      <c r="G98" t="inlineStr">
        <is>
          <t>PA3</t>
        </is>
      </c>
      <c r="H98" t="n">
        <v>6666</v>
      </c>
      <c r="I98" t="inlineStr">
        <is>
          <t>CD</t>
        </is>
      </c>
      <c r="J98" t="inlineStr">
        <is>
          <t>Santos</t>
        </is>
      </c>
      <c r="K98" t="n">
        <v>0</v>
      </c>
    </row>
    <row r="99">
      <c r="A99" t="n">
        <v>96</v>
      </c>
      <c r="B99" t="inlineStr">
        <is>
          <t>Rodada_3</t>
        </is>
      </c>
      <c r="C99" t="inlineStr">
        <is>
          <t>Fábrica</t>
        </is>
      </c>
      <c r="D99" t="inlineStr">
        <is>
          <t>Joinville</t>
        </is>
      </c>
      <c r="E99" t="inlineStr">
        <is>
          <t>Dia 2</t>
        </is>
      </c>
      <c r="F99" t="inlineStr">
        <is>
          <t>Avião</t>
        </is>
      </c>
      <c r="G99" t="inlineStr">
        <is>
          <t>PA3</t>
        </is>
      </c>
      <c r="H99" t="n">
        <v>6666</v>
      </c>
      <c r="I99" t="inlineStr">
        <is>
          <t>CD</t>
        </is>
      </c>
      <c r="J99" t="inlineStr">
        <is>
          <t>Santos</t>
        </is>
      </c>
      <c r="K99" t="n">
        <v>0</v>
      </c>
    </row>
    <row r="100">
      <c r="A100" t="n">
        <v>97</v>
      </c>
      <c r="B100" t="inlineStr">
        <is>
          <t>Rodada_3</t>
        </is>
      </c>
      <c r="C100" t="inlineStr">
        <is>
          <t>Fábrica</t>
        </is>
      </c>
      <c r="D100" t="inlineStr">
        <is>
          <t>Joinville</t>
        </is>
      </c>
      <c r="E100" t="inlineStr">
        <is>
          <t>Dia 2</t>
        </is>
      </c>
      <c r="F100" t="inlineStr">
        <is>
          <t>Avião</t>
        </is>
      </c>
      <c r="G100" t="inlineStr">
        <is>
          <t>PA3</t>
        </is>
      </c>
      <c r="H100" t="n">
        <v>6666</v>
      </c>
      <c r="I100" t="inlineStr">
        <is>
          <t>CD</t>
        </is>
      </c>
      <c r="J100" t="inlineStr">
        <is>
          <t>Santos</t>
        </is>
      </c>
      <c r="K100" t="n">
        <v>0</v>
      </c>
    </row>
    <row r="101">
      <c r="A101" t="n">
        <v>98</v>
      </c>
      <c r="B101" t="inlineStr">
        <is>
          <t>Rodada_3</t>
        </is>
      </c>
      <c r="C101" t="inlineStr">
        <is>
          <t>Fábrica</t>
        </is>
      </c>
      <c r="D101" t="inlineStr">
        <is>
          <t>Joinville</t>
        </is>
      </c>
      <c r="E101" t="inlineStr">
        <is>
          <t>Dia 2</t>
        </is>
      </c>
      <c r="F101" t="inlineStr">
        <is>
          <t>Avião</t>
        </is>
      </c>
      <c r="G101" t="inlineStr">
        <is>
          <t>PA3</t>
        </is>
      </c>
      <c r="H101" t="n">
        <v>6666</v>
      </c>
      <c r="I101" t="inlineStr">
        <is>
          <t>CD</t>
        </is>
      </c>
      <c r="J101" t="inlineStr">
        <is>
          <t>Santos</t>
        </is>
      </c>
      <c r="K101" t="n">
        <v>0</v>
      </c>
    </row>
    <row r="102">
      <c r="A102" t="n">
        <v>99</v>
      </c>
      <c r="B102" t="inlineStr">
        <is>
          <t>Rodada_3</t>
        </is>
      </c>
      <c r="C102" t="inlineStr">
        <is>
          <t>Fábrica</t>
        </is>
      </c>
      <c r="D102" t="inlineStr">
        <is>
          <t>Joinville</t>
        </is>
      </c>
      <c r="E102" t="inlineStr">
        <is>
          <t>Dia 2</t>
        </is>
      </c>
      <c r="F102" t="inlineStr">
        <is>
          <t>Avião</t>
        </is>
      </c>
      <c r="G102" t="inlineStr">
        <is>
          <t>PA3</t>
        </is>
      </c>
      <c r="H102" t="n">
        <v>6666</v>
      </c>
      <c r="I102" t="inlineStr">
        <is>
          <t>CD</t>
        </is>
      </c>
      <c r="J102" t="inlineStr">
        <is>
          <t>Santos</t>
        </is>
      </c>
      <c r="K102" t="n">
        <v>0</v>
      </c>
    </row>
    <row r="103">
      <c r="A103" t="n">
        <v>100</v>
      </c>
      <c r="B103" t="inlineStr">
        <is>
          <t>Rodada_3</t>
        </is>
      </c>
      <c r="C103" t="inlineStr">
        <is>
          <t>Fábrica</t>
        </is>
      </c>
      <c r="D103" t="inlineStr">
        <is>
          <t>Joinville</t>
        </is>
      </c>
      <c r="E103" t="inlineStr">
        <is>
          <t>Dia 2</t>
        </is>
      </c>
      <c r="F103" t="inlineStr">
        <is>
          <t>Avião</t>
        </is>
      </c>
      <c r="G103" t="inlineStr">
        <is>
          <t>PA3</t>
        </is>
      </c>
      <c r="H103" t="n">
        <v>6666</v>
      </c>
      <c r="I103" t="inlineStr">
        <is>
          <t>CD</t>
        </is>
      </c>
      <c r="J103" t="inlineStr">
        <is>
          <t>Santos</t>
        </is>
      </c>
      <c r="K103" t="n">
        <v>0</v>
      </c>
    </row>
    <row r="104">
      <c r="A104" t="n">
        <v>101</v>
      </c>
      <c r="B104" t="inlineStr">
        <is>
          <t>Rodada_3</t>
        </is>
      </c>
      <c r="C104" t="inlineStr">
        <is>
          <t>Fábrica</t>
        </is>
      </c>
      <c r="D104" t="inlineStr">
        <is>
          <t>Joinville</t>
        </is>
      </c>
      <c r="E104" t="inlineStr">
        <is>
          <t>Dia 2</t>
        </is>
      </c>
      <c r="F104" t="inlineStr">
        <is>
          <t>Avião</t>
        </is>
      </c>
      <c r="G104" t="inlineStr">
        <is>
          <t>PA3</t>
        </is>
      </c>
      <c r="H104" t="n">
        <v>6666</v>
      </c>
      <c r="I104" t="inlineStr">
        <is>
          <t>CD</t>
        </is>
      </c>
      <c r="J104" t="inlineStr">
        <is>
          <t>Santos</t>
        </is>
      </c>
      <c r="K104" t="n">
        <v>0</v>
      </c>
    </row>
    <row r="105">
      <c r="A105" t="n">
        <v>102</v>
      </c>
      <c r="B105" t="inlineStr">
        <is>
          <t>Rodada_3</t>
        </is>
      </c>
      <c r="C105" t="inlineStr">
        <is>
          <t>Fábrica</t>
        </is>
      </c>
      <c r="D105" t="inlineStr">
        <is>
          <t>Joinville</t>
        </is>
      </c>
      <c r="E105" t="inlineStr">
        <is>
          <t>Dia 2</t>
        </is>
      </c>
      <c r="F105" t="inlineStr">
        <is>
          <t>Avião</t>
        </is>
      </c>
      <c r="G105" t="inlineStr">
        <is>
          <t>PA3</t>
        </is>
      </c>
      <c r="H105" t="n">
        <v>6666</v>
      </c>
      <c r="I105" t="inlineStr">
        <is>
          <t>CD</t>
        </is>
      </c>
      <c r="J105" t="inlineStr">
        <is>
          <t>Santos</t>
        </is>
      </c>
      <c r="K105" t="n">
        <v>0</v>
      </c>
    </row>
    <row r="106">
      <c r="A106" t="n">
        <v>103</v>
      </c>
      <c r="B106" t="inlineStr">
        <is>
          <t>Rodada_3</t>
        </is>
      </c>
      <c r="C106" t="inlineStr">
        <is>
          <t>Fábrica</t>
        </is>
      </c>
      <c r="D106" t="inlineStr">
        <is>
          <t>Joinville</t>
        </is>
      </c>
      <c r="E106" t="inlineStr">
        <is>
          <t>Dia 2</t>
        </is>
      </c>
      <c r="F106" t="inlineStr">
        <is>
          <t>Avião</t>
        </is>
      </c>
      <c r="G106" t="inlineStr">
        <is>
          <t>PA3</t>
        </is>
      </c>
      <c r="H106" t="n">
        <v>6666</v>
      </c>
      <c r="I106" t="inlineStr">
        <is>
          <t>CD</t>
        </is>
      </c>
      <c r="J106" t="inlineStr">
        <is>
          <t>Santos</t>
        </is>
      </c>
      <c r="K106" t="n">
        <v>0</v>
      </c>
    </row>
    <row r="107">
      <c r="A107" t="n">
        <v>104</v>
      </c>
      <c r="B107" t="inlineStr">
        <is>
          <t>Rodada_3</t>
        </is>
      </c>
      <c r="C107" t="inlineStr">
        <is>
          <t>Fábrica</t>
        </is>
      </c>
      <c r="D107" t="inlineStr">
        <is>
          <t>Joinville</t>
        </is>
      </c>
      <c r="E107" t="inlineStr">
        <is>
          <t>Dia 2</t>
        </is>
      </c>
      <c r="F107" t="inlineStr">
        <is>
          <t>Avião</t>
        </is>
      </c>
      <c r="G107" t="inlineStr">
        <is>
          <t>PA3</t>
        </is>
      </c>
      <c r="H107" t="n">
        <v>6666</v>
      </c>
      <c r="I107" t="inlineStr">
        <is>
          <t>CD</t>
        </is>
      </c>
      <c r="J107" t="inlineStr">
        <is>
          <t>Santos</t>
        </is>
      </c>
      <c r="K107" t="n">
        <v>0</v>
      </c>
    </row>
    <row r="108">
      <c r="A108" t="n">
        <v>105</v>
      </c>
      <c r="B108" t="inlineStr">
        <is>
          <t>Rodada_3</t>
        </is>
      </c>
      <c r="C108" t="inlineStr">
        <is>
          <t>Fábrica</t>
        </is>
      </c>
      <c r="D108" t="inlineStr">
        <is>
          <t>Joinville</t>
        </is>
      </c>
      <c r="E108" t="inlineStr">
        <is>
          <t>Dia 2</t>
        </is>
      </c>
      <c r="F108" t="inlineStr">
        <is>
          <t>Avião</t>
        </is>
      </c>
      <c r="G108" t="inlineStr">
        <is>
          <t>PA3</t>
        </is>
      </c>
      <c r="H108" t="n">
        <v>6666</v>
      </c>
      <c r="I108" t="inlineStr">
        <is>
          <t>CD</t>
        </is>
      </c>
      <c r="J108" t="inlineStr">
        <is>
          <t>Santos</t>
        </is>
      </c>
      <c r="K108" t="n">
        <v>0</v>
      </c>
    </row>
    <row r="109">
      <c r="A109" t="n">
        <v>106</v>
      </c>
      <c r="B109" t="inlineStr">
        <is>
          <t>Rodada_3</t>
        </is>
      </c>
      <c r="C109" t="inlineStr">
        <is>
          <t>Fábrica</t>
        </is>
      </c>
      <c r="D109" t="inlineStr">
        <is>
          <t>Joinville</t>
        </is>
      </c>
      <c r="E109" t="inlineStr">
        <is>
          <t>Dia 2</t>
        </is>
      </c>
      <c r="F109" t="inlineStr">
        <is>
          <t>Avião</t>
        </is>
      </c>
      <c r="G109" t="inlineStr">
        <is>
          <t>PA3</t>
        </is>
      </c>
      <c r="H109" t="n">
        <v>6666</v>
      </c>
      <c r="I109" t="inlineStr">
        <is>
          <t>CD</t>
        </is>
      </c>
      <c r="J109" t="inlineStr">
        <is>
          <t>Santos</t>
        </is>
      </c>
      <c r="K109" t="n">
        <v>0</v>
      </c>
    </row>
    <row r="110">
      <c r="A110" t="n">
        <v>107</v>
      </c>
      <c r="B110" t="inlineStr">
        <is>
          <t>Rodada_3</t>
        </is>
      </c>
      <c r="C110" t="inlineStr">
        <is>
          <t>Fábrica</t>
        </is>
      </c>
      <c r="D110" t="inlineStr">
        <is>
          <t>Joinville</t>
        </is>
      </c>
      <c r="E110" t="inlineStr">
        <is>
          <t>Dia 2</t>
        </is>
      </c>
      <c r="F110" t="inlineStr">
        <is>
          <t>Avião</t>
        </is>
      </c>
      <c r="G110" t="inlineStr">
        <is>
          <t>PA3</t>
        </is>
      </c>
      <c r="H110" t="n">
        <v>6666</v>
      </c>
      <c r="I110" t="inlineStr">
        <is>
          <t>CD</t>
        </is>
      </c>
      <c r="J110" t="inlineStr">
        <is>
          <t>Santos</t>
        </is>
      </c>
      <c r="K110" t="n">
        <v>0</v>
      </c>
    </row>
    <row r="111">
      <c r="A111" t="n">
        <v>108</v>
      </c>
      <c r="B111" t="inlineStr">
        <is>
          <t>Rodada_3</t>
        </is>
      </c>
      <c r="C111" t="inlineStr">
        <is>
          <t>Fábrica</t>
        </is>
      </c>
      <c r="D111" t="inlineStr">
        <is>
          <t>Joinville</t>
        </is>
      </c>
      <c r="E111" t="inlineStr">
        <is>
          <t>Dia 2</t>
        </is>
      </c>
      <c r="F111" t="inlineStr">
        <is>
          <t>Avião</t>
        </is>
      </c>
      <c r="G111" t="inlineStr">
        <is>
          <t>PA3</t>
        </is>
      </c>
      <c r="H111" t="n">
        <v>5081</v>
      </c>
      <c r="I111" t="inlineStr">
        <is>
          <t>CD</t>
        </is>
      </c>
      <c r="J111" t="inlineStr">
        <is>
          <t>Santos</t>
        </is>
      </c>
      <c r="K111" t="n">
        <v>0</v>
      </c>
    </row>
    <row r="112">
      <c r="A112" t="n">
        <v>109</v>
      </c>
      <c r="B112" t="inlineStr">
        <is>
          <t>Rodada_3</t>
        </is>
      </c>
      <c r="C112" t="inlineStr">
        <is>
          <t>Fábrica</t>
        </is>
      </c>
      <c r="D112" t="inlineStr">
        <is>
          <t>Joinville</t>
        </is>
      </c>
      <c r="E112" t="inlineStr">
        <is>
          <t>Dia 4</t>
        </is>
      </c>
      <c r="F112" t="inlineStr">
        <is>
          <t>Navio</t>
        </is>
      </c>
      <c r="G112" t="inlineStr">
        <is>
          <t>PA2</t>
        </is>
      </c>
      <c r="H112" t="n">
        <v>79113</v>
      </c>
      <c r="I112" t="inlineStr">
        <is>
          <t>CD</t>
        </is>
      </c>
      <c r="J112" t="inlineStr">
        <is>
          <t>Santos</t>
        </is>
      </c>
      <c r="K112" t="n">
        <v>1</v>
      </c>
    </row>
    <row r="113">
      <c r="A113" t="n">
        <v>110</v>
      </c>
      <c r="B113" t="inlineStr">
        <is>
          <t>Rodada_3</t>
        </is>
      </c>
      <c r="C113" t="inlineStr">
        <is>
          <t>Fábrica</t>
        </is>
      </c>
      <c r="D113" t="inlineStr">
        <is>
          <t>Joinville</t>
        </is>
      </c>
      <c r="E113" t="inlineStr">
        <is>
          <t>Dia 4</t>
        </is>
      </c>
      <c r="F113" t="inlineStr">
        <is>
          <t>Avião</t>
        </is>
      </c>
      <c r="G113" t="inlineStr">
        <is>
          <t>PA3</t>
        </is>
      </c>
      <c r="H113" t="n">
        <v>6666</v>
      </c>
      <c r="I113" t="inlineStr">
        <is>
          <t>CD</t>
        </is>
      </c>
      <c r="J113" t="inlineStr">
        <is>
          <t>Santos</t>
        </is>
      </c>
      <c r="K113" t="n">
        <v>0</v>
      </c>
    </row>
    <row r="114">
      <c r="A114" t="n">
        <v>111</v>
      </c>
      <c r="B114" t="inlineStr">
        <is>
          <t>Rodada_3</t>
        </is>
      </c>
      <c r="C114" t="inlineStr">
        <is>
          <t>Fábrica</t>
        </is>
      </c>
      <c r="D114" t="inlineStr">
        <is>
          <t>Joinville</t>
        </is>
      </c>
      <c r="E114" t="inlineStr">
        <is>
          <t>Dia 4</t>
        </is>
      </c>
      <c r="F114" t="inlineStr">
        <is>
          <t>Avião</t>
        </is>
      </c>
      <c r="G114" t="inlineStr">
        <is>
          <t>PA3</t>
        </is>
      </c>
      <c r="H114" t="n">
        <v>5427</v>
      </c>
      <c r="I114" t="inlineStr">
        <is>
          <t>CD</t>
        </is>
      </c>
      <c r="J114" t="inlineStr">
        <is>
          <t>Santos</t>
        </is>
      </c>
      <c r="K114" t="n">
        <v>0</v>
      </c>
    </row>
    <row r="115">
      <c r="A115" t="n">
        <v>112</v>
      </c>
      <c r="B115" t="inlineStr">
        <is>
          <t>Rodada_3</t>
        </is>
      </c>
      <c r="C115" t="inlineStr">
        <is>
          <t>Fábrica</t>
        </is>
      </c>
      <c r="D115" t="inlineStr">
        <is>
          <t>Joinville</t>
        </is>
      </c>
      <c r="E115" t="inlineStr">
        <is>
          <t>Dia 4</t>
        </is>
      </c>
      <c r="F115" t="inlineStr">
        <is>
          <t>Navio</t>
        </is>
      </c>
      <c r="G115" t="inlineStr">
        <is>
          <t>PA3</t>
        </is>
      </c>
      <c r="H115" t="n">
        <v>169304</v>
      </c>
      <c r="I115" t="inlineStr">
        <is>
          <t>CD</t>
        </is>
      </c>
      <c r="J115" t="inlineStr">
        <is>
          <t>Santos</t>
        </is>
      </c>
      <c r="K115" t="n">
        <v>1</v>
      </c>
    </row>
    <row r="116">
      <c r="A116" t="n">
        <v>113</v>
      </c>
      <c r="B116" t="inlineStr">
        <is>
          <t>Rodada_3</t>
        </is>
      </c>
      <c r="C116" t="inlineStr">
        <is>
          <t>CD</t>
        </is>
      </c>
      <c r="D116" t="inlineStr">
        <is>
          <t>Santos</t>
        </is>
      </c>
      <c r="E116" t="inlineStr">
        <is>
          <t>Dia 2</t>
        </is>
      </c>
      <c r="F116" t="inlineStr">
        <is>
          <t>Caminhão</t>
        </is>
      </c>
      <c r="G116" t="inlineStr">
        <is>
          <t>PA3</t>
        </is>
      </c>
      <c r="H116" t="n">
        <v>117573</v>
      </c>
      <c r="I116" t="inlineStr">
        <is>
          <t>Varejista</t>
        </is>
      </c>
      <c r="J116" t="inlineStr">
        <is>
          <t>São Paulo</t>
        </is>
      </c>
      <c r="K116" t="n">
        <v>0</v>
      </c>
    </row>
    <row r="117">
      <c r="A117" t="n">
        <v>114</v>
      </c>
      <c r="B117" t="inlineStr">
        <is>
          <t>Rodada_3</t>
        </is>
      </c>
      <c r="C117" t="inlineStr">
        <is>
          <t>CD</t>
        </is>
      </c>
      <c r="D117" t="inlineStr">
        <is>
          <t>Santos</t>
        </is>
      </c>
      <c r="E117" t="inlineStr">
        <is>
          <t>Dia 2</t>
        </is>
      </c>
      <c r="F117" t="inlineStr">
        <is>
          <t>Navio</t>
        </is>
      </c>
      <c r="G117" t="inlineStr">
        <is>
          <t>PA3</t>
        </is>
      </c>
      <c r="H117" t="n">
        <v>103464</v>
      </c>
      <c r="I117" t="inlineStr">
        <is>
          <t>Varejista</t>
        </is>
      </c>
      <c r="J117" t="inlineStr">
        <is>
          <t>Curitiba</t>
        </is>
      </c>
      <c r="K117" t="n">
        <v>0</v>
      </c>
    </row>
    <row r="118">
      <c r="A118" t="n">
        <v>115</v>
      </c>
      <c r="B118" t="inlineStr">
        <is>
          <t>Rodada_3</t>
        </is>
      </c>
      <c r="C118" t="inlineStr">
        <is>
          <t>CD</t>
        </is>
      </c>
      <c r="D118" t="inlineStr">
        <is>
          <t>Santos</t>
        </is>
      </c>
      <c r="E118" t="inlineStr">
        <is>
          <t>Dia 1</t>
        </is>
      </c>
      <c r="F118" t="inlineStr">
        <is>
          <t>Caminhão</t>
        </is>
      </c>
      <c r="G118" t="inlineStr">
        <is>
          <t>PA3</t>
        </is>
      </c>
      <c r="H118" t="n">
        <v>103464</v>
      </c>
      <c r="I118" t="inlineStr">
        <is>
          <t>Varejista</t>
        </is>
      </c>
      <c r="J118" t="inlineStr">
        <is>
          <t>Porto Alegre</t>
        </is>
      </c>
      <c r="K118" t="n">
        <v>1</v>
      </c>
    </row>
    <row r="119">
      <c r="A119" t="n">
        <v>116</v>
      </c>
      <c r="B119" t="inlineStr">
        <is>
          <t>Rodada_3</t>
        </is>
      </c>
      <c r="C119" t="inlineStr">
        <is>
          <t>CD</t>
        </is>
      </c>
      <c r="D119" t="inlineStr">
        <is>
          <t>Santos</t>
        </is>
      </c>
      <c r="E119" t="inlineStr">
        <is>
          <t>Dia 2</t>
        </is>
      </c>
      <c r="F119" t="inlineStr">
        <is>
          <t>Caminhão</t>
        </is>
      </c>
      <c r="G119" t="inlineStr">
        <is>
          <t>PA3</t>
        </is>
      </c>
      <c r="H119" t="n">
        <v>56435</v>
      </c>
      <c r="I119" t="inlineStr">
        <is>
          <t>Varejista</t>
        </is>
      </c>
      <c r="J119" t="inlineStr">
        <is>
          <t>Campinas</t>
        </is>
      </c>
      <c r="K119" t="n">
        <v>0</v>
      </c>
    </row>
    <row r="120">
      <c r="A120" t="n">
        <v>117</v>
      </c>
      <c r="B120" t="inlineStr">
        <is>
          <t>Rodada_3</t>
        </is>
      </c>
      <c r="C120" t="inlineStr">
        <is>
          <t>CD</t>
        </is>
      </c>
      <c r="D120" t="inlineStr">
        <is>
          <t>Santos</t>
        </is>
      </c>
      <c r="E120" t="inlineStr">
        <is>
          <t>Dia 2</t>
        </is>
      </c>
      <c r="F120" t="inlineStr">
        <is>
          <t>Caminhão</t>
        </is>
      </c>
      <c r="G120" t="inlineStr">
        <is>
          <t>PA3</t>
        </is>
      </c>
      <c r="H120" t="n">
        <v>47029</v>
      </c>
      <c r="I120" t="inlineStr">
        <is>
          <t>Varejista</t>
        </is>
      </c>
      <c r="J120" t="inlineStr">
        <is>
          <t>Ribeirão Preto</t>
        </is>
      </c>
      <c r="K120" t="n">
        <v>0</v>
      </c>
    </row>
    <row r="121">
      <c r="A121" t="n">
        <v>118</v>
      </c>
      <c r="B121" t="inlineStr">
        <is>
          <t>Rodada_3</t>
        </is>
      </c>
      <c r="C121" t="inlineStr">
        <is>
          <t>CD</t>
        </is>
      </c>
      <c r="D121" t="inlineStr">
        <is>
          <t>Santos</t>
        </is>
      </c>
      <c r="E121" t="inlineStr">
        <is>
          <t>Dia 2</t>
        </is>
      </c>
      <c r="F121" t="inlineStr">
        <is>
          <t>Navio</t>
        </is>
      </c>
      <c r="G121" t="inlineStr">
        <is>
          <t>PA3</t>
        </is>
      </c>
      <c r="H121" t="n">
        <v>47029</v>
      </c>
      <c r="I121" t="inlineStr">
        <is>
          <t>Varejista</t>
        </is>
      </c>
      <c r="J121" t="inlineStr">
        <is>
          <t>Santos</t>
        </is>
      </c>
      <c r="K121" t="n">
        <v>0</v>
      </c>
    </row>
    <row r="122">
      <c r="A122" t="n">
        <v>119</v>
      </c>
      <c r="B122" t="inlineStr">
        <is>
          <t>Rodada_3</t>
        </is>
      </c>
      <c r="C122" t="inlineStr">
        <is>
          <t>CD</t>
        </is>
      </c>
      <c r="D122" t="inlineStr">
        <is>
          <t>Santos</t>
        </is>
      </c>
      <c r="E122" t="inlineStr">
        <is>
          <t>Dia 2</t>
        </is>
      </c>
      <c r="F122" t="inlineStr">
        <is>
          <t>Avião</t>
        </is>
      </c>
      <c r="G122" t="inlineStr">
        <is>
          <t>PA3</t>
        </is>
      </c>
      <c r="H122" t="n">
        <v>6666</v>
      </c>
      <c r="I122" t="inlineStr">
        <is>
          <t>Varejista</t>
        </is>
      </c>
      <c r="J122" t="inlineStr">
        <is>
          <t>Joinville</t>
        </is>
      </c>
      <c r="K122" t="n">
        <v>0</v>
      </c>
    </row>
    <row r="123">
      <c r="A123" t="n">
        <v>120</v>
      </c>
      <c r="B123" t="inlineStr">
        <is>
          <t>Rodada_3</t>
        </is>
      </c>
      <c r="C123" t="inlineStr">
        <is>
          <t>CD</t>
        </is>
      </c>
      <c r="D123" t="inlineStr">
        <is>
          <t>Santos</t>
        </is>
      </c>
      <c r="E123" t="inlineStr">
        <is>
          <t>Dia 2</t>
        </is>
      </c>
      <c r="F123" t="inlineStr">
        <is>
          <t>Avião</t>
        </is>
      </c>
      <c r="G123" t="inlineStr">
        <is>
          <t>PA3</t>
        </is>
      </c>
      <c r="H123" t="n">
        <v>6666</v>
      </c>
      <c r="I123" t="inlineStr">
        <is>
          <t>Varejista</t>
        </is>
      </c>
      <c r="J123" t="inlineStr">
        <is>
          <t>Joinville</t>
        </is>
      </c>
      <c r="K123" t="n">
        <v>0</v>
      </c>
    </row>
    <row r="124">
      <c r="A124" t="n">
        <v>121</v>
      </c>
      <c r="B124" t="inlineStr">
        <is>
          <t>Rodada_3</t>
        </is>
      </c>
      <c r="C124" t="inlineStr">
        <is>
          <t>CD</t>
        </is>
      </c>
      <c r="D124" t="inlineStr">
        <is>
          <t>Santos</t>
        </is>
      </c>
      <c r="E124" t="inlineStr">
        <is>
          <t>Dia 2</t>
        </is>
      </c>
      <c r="F124" t="inlineStr">
        <is>
          <t>Avião</t>
        </is>
      </c>
      <c r="G124" t="inlineStr">
        <is>
          <t>PA3</t>
        </is>
      </c>
      <c r="H124" t="n">
        <v>6666</v>
      </c>
      <c r="I124" t="inlineStr">
        <is>
          <t>Varejista</t>
        </is>
      </c>
      <c r="J124" t="inlineStr">
        <is>
          <t>Joinville</t>
        </is>
      </c>
      <c r="K124" t="n">
        <v>0</v>
      </c>
    </row>
    <row r="125">
      <c r="A125" t="n">
        <v>122</v>
      </c>
      <c r="B125" t="inlineStr">
        <is>
          <t>Rodada_3</t>
        </is>
      </c>
      <c r="C125" t="inlineStr">
        <is>
          <t>CD</t>
        </is>
      </c>
      <c r="D125" t="inlineStr">
        <is>
          <t>Santos</t>
        </is>
      </c>
      <c r="E125" t="inlineStr">
        <is>
          <t>Dia 2</t>
        </is>
      </c>
      <c r="F125" t="inlineStr">
        <is>
          <t>Avião</t>
        </is>
      </c>
      <c r="G125" t="inlineStr">
        <is>
          <t>PA3</t>
        </is>
      </c>
      <c r="H125" t="n">
        <v>6666</v>
      </c>
      <c r="I125" t="inlineStr">
        <is>
          <t>Varejista</t>
        </is>
      </c>
      <c r="J125" t="inlineStr">
        <is>
          <t>Joinville</t>
        </is>
      </c>
      <c r="K125" t="n">
        <v>0</v>
      </c>
    </row>
    <row r="126">
      <c r="A126" t="n">
        <v>123</v>
      </c>
      <c r="B126" t="inlineStr">
        <is>
          <t>Rodada_3</t>
        </is>
      </c>
      <c r="C126" t="inlineStr">
        <is>
          <t>CD</t>
        </is>
      </c>
      <c r="D126" t="inlineStr">
        <is>
          <t>Santos</t>
        </is>
      </c>
      <c r="E126" t="inlineStr">
        <is>
          <t>Dia 2</t>
        </is>
      </c>
      <c r="F126" t="inlineStr">
        <is>
          <t>Avião</t>
        </is>
      </c>
      <c r="G126" t="inlineStr">
        <is>
          <t>PA3</t>
        </is>
      </c>
      <c r="H126" t="n">
        <v>1554</v>
      </c>
      <c r="I126" t="inlineStr">
        <is>
          <t>Varejista</t>
        </is>
      </c>
      <c r="J126" t="inlineStr">
        <is>
          <t>Joinville</t>
        </is>
      </c>
      <c r="K126" t="n">
        <v>0</v>
      </c>
    </row>
    <row r="127">
      <c r="A127" t="n">
        <v>124</v>
      </c>
      <c r="B127" t="inlineStr">
        <is>
          <t>Rodada_3</t>
        </is>
      </c>
      <c r="C127" t="inlineStr">
        <is>
          <t>CD</t>
        </is>
      </c>
      <c r="D127" t="inlineStr">
        <is>
          <t>Santos</t>
        </is>
      </c>
      <c r="E127" t="inlineStr">
        <is>
          <t>Dia 2</t>
        </is>
      </c>
      <c r="F127" t="inlineStr">
        <is>
          <t>Caminhão</t>
        </is>
      </c>
      <c r="G127" t="inlineStr">
        <is>
          <t>PA3</t>
        </is>
      </c>
      <c r="H127" t="n">
        <v>117573</v>
      </c>
      <c r="I127" t="inlineStr">
        <is>
          <t>Varejista</t>
        </is>
      </c>
      <c r="J127" t="inlineStr">
        <is>
          <t>Brasília</t>
        </is>
      </c>
      <c r="K127" t="n">
        <v>1</v>
      </c>
    </row>
    <row r="128">
      <c r="A128" t="n">
        <v>125</v>
      </c>
      <c r="B128" t="inlineStr">
        <is>
          <t>Rodada_3</t>
        </is>
      </c>
      <c r="C128" t="inlineStr">
        <is>
          <t>CD</t>
        </is>
      </c>
      <c r="D128" t="inlineStr">
        <is>
          <t>Santos</t>
        </is>
      </c>
      <c r="E128" t="inlineStr">
        <is>
          <t>Dia 2</t>
        </is>
      </c>
      <c r="F128" t="inlineStr">
        <is>
          <t>Navio</t>
        </is>
      </c>
      <c r="G128" t="inlineStr">
        <is>
          <t>PA3</t>
        </is>
      </c>
      <c r="H128" t="n">
        <v>94059</v>
      </c>
      <c r="I128" t="inlineStr">
        <is>
          <t>Varejista</t>
        </is>
      </c>
      <c r="J128" t="inlineStr">
        <is>
          <t>Rio de Janeiro</t>
        </is>
      </c>
      <c r="K128" t="n">
        <v>1</v>
      </c>
    </row>
    <row r="129">
      <c r="A129" t="n">
        <v>126</v>
      </c>
      <c r="B129" t="inlineStr">
        <is>
          <t>Rodada_3</t>
        </is>
      </c>
      <c r="C129" t="inlineStr">
        <is>
          <t>CD</t>
        </is>
      </c>
      <c r="D129" t="inlineStr">
        <is>
          <t>Santos</t>
        </is>
      </c>
      <c r="E129" t="inlineStr">
        <is>
          <t>Dia 2</t>
        </is>
      </c>
      <c r="F129" t="inlineStr">
        <is>
          <t>Caminhão</t>
        </is>
      </c>
      <c r="G129" t="inlineStr">
        <is>
          <t>PA3</t>
        </is>
      </c>
      <c r="H129" t="n">
        <v>70544</v>
      </c>
      <c r="I129" t="inlineStr">
        <is>
          <t>Varejista</t>
        </is>
      </c>
      <c r="J129" t="inlineStr">
        <is>
          <t>Belo Horizonte</t>
        </is>
      </c>
      <c r="K129" t="n">
        <v>1</v>
      </c>
    </row>
    <row r="130">
      <c r="A130" t="n">
        <v>127</v>
      </c>
      <c r="B130" t="inlineStr">
        <is>
          <t>Rodada_3</t>
        </is>
      </c>
      <c r="C130" t="inlineStr">
        <is>
          <t>CD</t>
        </is>
      </c>
      <c r="D130" t="inlineStr">
        <is>
          <t>Santos</t>
        </is>
      </c>
      <c r="E130" t="inlineStr">
        <is>
          <t>Dia 2</t>
        </is>
      </c>
      <c r="F130" t="inlineStr">
        <is>
          <t>Caminhão</t>
        </is>
      </c>
      <c r="G130" t="inlineStr">
        <is>
          <t>PA3</t>
        </is>
      </c>
      <c r="H130" t="n">
        <v>65841</v>
      </c>
      <c r="I130" t="inlineStr">
        <is>
          <t>Varejista</t>
        </is>
      </c>
      <c r="J130" t="inlineStr">
        <is>
          <t>Goiânia</t>
        </is>
      </c>
      <c r="K130" t="n">
        <v>1</v>
      </c>
    </row>
    <row r="131">
      <c r="A131" t="n">
        <v>128</v>
      </c>
      <c r="B131" t="inlineStr">
        <is>
          <t>Rodada_3</t>
        </is>
      </c>
      <c r="C131" t="inlineStr">
        <is>
          <t>CD</t>
        </is>
      </c>
      <c r="D131" t="inlineStr">
        <is>
          <t>Santos</t>
        </is>
      </c>
      <c r="E131" t="inlineStr">
        <is>
          <t>Dia 2</t>
        </is>
      </c>
      <c r="F131" t="inlineStr">
        <is>
          <t>Caminhão</t>
        </is>
      </c>
      <c r="G131" t="inlineStr">
        <is>
          <t>PA3</t>
        </is>
      </c>
      <c r="H131" t="n">
        <v>28218</v>
      </c>
      <c r="I131" t="inlineStr">
        <is>
          <t>Varejista</t>
        </is>
      </c>
      <c r="J131" t="inlineStr">
        <is>
          <t>Cuiabá</t>
        </is>
      </c>
      <c r="K131" t="n">
        <v>1</v>
      </c>
    </row>
    <row r="132">
      <c r="A132" t="n">
        <v>129</v>
      </c>
      <c r="B132" t="inlineStr">
        <is>
          <t>Rodada_3</t>
        </is>
      </c>
      <c r="C132" t="inlineStr">
        <is>
          <t>CD</t>
        </is>
      </c>
      <c r="D132" t="inlineStr">
        <is>
          <t>Santos</t>
        </is>
      </c>
      <c r="E132" t="inlineStr">
        <is>
          <t>Dia 2</t>
        </is>
      </c>
      <c r="F132" t="inlineStr">
        <is>
          <t>Caminhão</t>
        </is>
      </c>
      <c r="G132" t="inlineStr">
        <is>
          <t>PA3</t>
        </is>
      </c>
      <c r="H132" t="n">
        <v>23515</v>
      </c>
      <c r="I132" t="inlineStr">
        <is>
          <t>Varejista</t>
        </is>
      </c>
      <c r="J132" t="inlineStr">
        <is>
          <t>Campo Grande</t>
        </is>
      </c>
      <c r="K132" t="n">
        <v>1</v>
      </c>
    </row>
    <row r="133">
      <c r="A133" t="n">
        <v>130</v>
      </c>
      <c r="B133" t="inlineStr">
        <is>
          <t>Rodada_3</t>
        </is>
      </c>
      <c r="C133" t="inlineStr">
        <is>
          <t>CD</t>
        </is>
      </c>
      <c r="D133" t="inlineStr">
        <is>
          <t>Santos</t>
        </is>
      </c>
      <c r="E133" t="inlineStr">
        <is>
          <t>Dia 2</t>
        </is>
      </c>
      <c r="F133" t="inlineStr">
        <is>
          <t>Caminhão</t>
        </is>
      </c>
      <c r="G133" t="inlineStr">
        <is>
          <t>PA3</t>
        </is>
      </c>
      <c r="H133" t="n">
        <v>23515</v>
      </c>
      <c r="I133" t="inlineStr">
        <is>
          <t>Varejista</t>
        </is>
      </c>
      <c r="J133" t="inlineStr">
        <is>
          <t>Uberlândia</t>
        </is>
      </c>
      <c r="K133" t="n">
        <v>1</v>
      </c>
    </row>
    <row r="134">
      <c r="A134" t="n">
        <v>131</v>
      </c>
      <c r="B134" t="inlineStr">
        <is>
          <t>Rodada_3</t>
        </is>
      </c>
      <c r="C134" t="inlineStr">
        <is>
          <t>CD</t>
        </is>
      </c>
      <c r="D134" t="inlineStr">
        <is>
          <t>Santos</t>
        </is>
      </c>
      <c r="E134" t="inlineStr">
        <is>
          <t>Dia 2</t>
        </is>
      </c>
      <c r="F134" t="inlineStr">
        <is>
          <t>Navio</t>
        </is>
      </c>
      <c r="G134" t="inlineStr">
        <is>
          <t>PA3</t>
        </is>
      </c>
      <c r="H134" t="n">
        <v>14109</v>
      </c>
      <c r="I134" t="inlineStr">
        <is>
          <t>Varejista</t>
        </is>
      </c>
      <c r="J134" t="inlineStr">
        <is>
          <t>Vitória</t>
        </is>
      </c>
      <c r="K134" t="n">
        <v>1</v>
      </c>
    </row>
    <row r="135">
      <c r="A135" t="n">
        <v>132</v>
      </c>
      <c r="B135" t="inlineStr">
        <is>
          <t>Rodada_3</t>
        </is>
      </c>
      <c r="C135" t="inlineStr">
        <is>
          <t>CD</t>
        </is>
      </c>
      <c r="D135" t="inlineStr">
        <is>
          <t>Santos</t>
        </is>
      </c>
      <c r="E135" t="inlineStr">
        <is>
          <t>Dia 2</t>
        </is>
      </c>
      <c r="F135" t="inlineStr">
        <is>
          <t>Navio</t>
        </is>
      </c>
      <c r="G135" t="inlineStr">
        <is>
          <t>PA3</t>
        </is>
      </c>
      <c r="H135" t="n">
        <v>80622</v>
      </c>
      <c r="I135" t="inlineStr">
        <is>
          <t>Varejista</t>
        </is>
      </c>
      <c r="J135" t="inlineStr">
        <is>
          <t>Salvador</t>
        </is>
      </c>
      <c r="K135" t="n">
        <v>2</v>
      </c>
    </row>
    <row r="136">
      <c r="A136" t="n">
        <v>133</v>
      </c>
      <c r="B136" t="inlineStr">
        <is>
          <t>Rodada_3</t>
        </is>
      </c>
      <c r="C136" t="inlineStr">
        <is>
          <t>CD</t>
        </is>
      </c>
      <c r="D136" t="inlineStr">
        <is>
          <t>Santos</t>
        </is>
      </c>
      <c r="E136" t="inlineStr">
        <is>
          <t>Dia 2</t>
        </is>
      </c>
      <c r="F136" t="inlineStr">
        <is>
          <t>Caminhão</t>
        </is>
      </c>
      <c r="G136" t="inlineStr">
        <is>
          <t>PA3</t>
        </is>
      </c>
      <c r="H136" t="n">
        <v>60466</v>
      </c>
      <c r="I136" t="inlineStr">
        <is>
          <t>Varejista</t>
        </is>
      </c>
      <c r="J136" t="inlineStr">
        <is>
          <t>Recife</t>
        </is>
      </c>
      <c r="K136" t="n">
        <v>2</v>
      </c>
    </row>
    <row r="137">
      <c r="A137" t="n">
        <v>134</v>
      </c>
      <c r="B137" t="inlineStr">
        <is>
          <t>Rodada_3</t>
        </is>
      </c>
      <c r="C137" t="inlineStr">
        <is>
          <t>CD</t>
        </is>
      </c>
      <c r="D137" t="inlineStr">
        <is>
          <t>Santos</t>
        </is>
      </c>
      <c r="E137" t="inlineStr">
        <is>
          <t>Dia 2</t>
        </is>
      </c>
      <c r="F137" t="inlineStr">
        <is>
          <t>Caminhão</t>
        </is>
      </c>
      <c r="G137" t="inlineStr">
        <is>
          <t>PA3</t>
        </is>
      </c>
      <c r="H137" t="n">
        <v>40311</v>
      </c>
      <c r="I137" t="inlineStr">
        <is>
          <t>Varejista</t>
        </is>
      </c>
      <c r="J137" t="inlineStr">
        <is>
          <t>João Pessoa</t>
        </is>
      </c>
      <c r="K137" t="n">
        <v>2</v>
      </c>
    </row>
    <row r="138">
      <c r="A138" t="n">
        <v>135</v>
      </c>
      <c r="B138" t="inlineStr">
        <is>
          <t>Rodada_3</t>
        </is>
      </c>
      <c r="C138" t="inlineStr">
        <is>
          <t>CD</t>
        </is>
      </c>
      <c r="D138" t="inlineStr">
        <is>
          <t>Santos</t>
        </is>
      </c>
      <c r="E138" t="inlineStr">
        <is>
          <t>Dia 2</t>
        </is>
      </c>
      <c r="F138" t="inlineStr">
        <is>
          <t>Caminhão</t>
        </is>
      </c>
      <c r="G138" t="inlineStr">
        <is>
          <t>PA3</t>
        </is>
      </c>
      <c r="H138" t="n">
        <v>40311</v>
      </c>
      <c r="I138" t="inlineStr">
        <is>
          <t>Varejista</t>
        </is>
      </c>
      <c r="J138" t="inlineStr">
        <is>
          <t>Maceió</t>
        </is>
      </c>
      <c r="K138" t="n">
        <v>2</v>
      </c>
    </row>
    <row r="139">
      <c r="A139" t="n">
        <v>136</v>
      </c>
      <c r="B139" t="inlineStr">
        <is>
          <t>Rodada_3</t>
        </is>
      </c>
      <c r="C139" t="inlineStr">
        <is>
          <t>CD</t>
        </is>
      </c>
      <c r="D139" t="inlineStr">
        <is>
          <t>Santos</t>
        </is>
      </c>
      <c r="E139" t="inlineStr">
        <is>
          <t>Dia 4</t>
        </is>
      </c>
      <c r="F139" t="inlineStr">
        <is>
          <t>Avião</t>
        </is>
      </c>
      <c r="G139" t="inlineStr">
        <is>
          <t>PA3</t>
        </is>
      </c>
      <c r="H139" t="n">
        <v>6666</v>
      </c>
      <c r="I139" t="inlineStr">
        <is>
          <t>Varejista</t>
        </is>
      </c>
      <c r="J139" t="inlineStr">
        <is>
          <t>Vitória da Conquista</t>
        </is>
      </c>
      <c r="K139" t="n">
        <v>0</v>
      </c>
    </row>
    <row r="140">
      <c r="A140" t="n">
        <v>137</v>
      </c>
      <c r="B140" t="inlineStr">
        <is>
          <t>Rodada_3</t>
        </is>
      </c>
      <c r="C140" t="inlineStr">
        <is>
          <t>CD</t>
        </is>
      </c>
      <c r="D140" t="inlineStr">
        <is>
          <t>Santos</t>
        </is>
      </c>
      <c r="E140" t="inlineStr">
        <is>
          <t>Dia 4</t>
        </is>
      </c>
      <c r="F140" t="inlineStr">
        <is>
          <t>Avião</t>
        </is>
      </c>
      <c r="G140" t="inlineStr">
        <is>
          <t>PA3</t>
        </is>
      </c>
      <c r="H140" t="n">
        <v>5427</v>
      </c>
      <c r="I140" t="inlineStr">
        <is>
          <t>Varejista</t>
        </is>
      </c>
      <c r="J140" t="inlineStr">
        <is>
          <t>Vitória da Conquista</t>
        </is>
      </c>
      <c r="K140" t="n">
        <v>0</v>
      </c>
    </row>
    <row r="141">
      <c r="A141" t="n">
        <v>138</v>
      </c>
      <c r="B141" t="inlineStr">
        <is>
          <t>Rodada_3</t>
        </is>
      </c>
      <c r="C141" t="inlineStr">
        <is>
          <t>CD</t>
        </is>
      </c>
      <c r="D141" t="inlineStr">
        <is>
          <t>Santos</t>
        </is>
      </c>
      <c r="E141" t="inlineStr">
        <is>
          <t>Dia 5</t>
        </is>
      </c>
      <c r="F141" t="inlineStr">
        <is>
          <t>Avião</t>
        </is>
      </c>
      <c r="G141" t="inlineStr">
        <is>
          <t>PA3</t>
        </is>
      </c>
      <c r="H141" t="n">
        <v>6666</v>
      </c>
      <c r="I141" t="inlineStr">
        <is>
          <t>Varejista</t>
        </is>
      </c>
      <c r="J141" t="inlineStr">
        <is>
          <t>Fortaleza</t>
        </is>
      </c>
      <c r="K141" t="n">
        <v>0</v>
      </c>
    </row>
    <row r="142">
      <c r="A142" t="n">
        <v>139</v>
      </c>
      <c r="B142" t="inlineStr">
        <is>
          <t>Rodada_3</t>
        </is>
      </c>
      <c r="C142" t="inlineStr">
        <is>
          <t>CD</t>
        </is>
      </c>
      <c r="D142" t="inlineStr">
        <is>
          <t>Santos</t>
        </is>
      </c>
      <c r="E142" t="inlineStr">
        <is>
          <t>Dia 5</t>
        </is>
      </c>
      <c r="F142" t="inlineStr">
        <is>
          <t>Avião</t>
        </is>
      </c>
      <c r="G142" t="inlineStr">
        <is>
          <t>PA3</t>
        </is>
      </c>
      <c r="H142" t="n">
        <v>6666</v>
      </c>
      <c r="I142" t="inlineStr">
        <is>
          <t>Varejista</t>
        </is>
      </c>
      <c r="J142" t="inlineStr">
        <is>
          <t>Fortaleza</t>
        </is>
      </c>
      <c r="K142" t="n">
        <v>0</v>
      </c>
    </row>
    <row r="143">
      <c r="A143" t="n">
        <v>140</v>
      </c>
      <c r="B143" t="inlineStr">
        <is>
          <t>Rodada_3</t>
        </is>
      </c>
      <c r="C143" t="inlineStr">
        <is>
          <t>CD</t>
        </is>
      </c>
      <c r="D143" t="inlineStr">
        <is>
          <t>Santos</t>
        </is>
      </c>
      <c r="E143" t="inlineStr">
        <is>
          <t>Dia 5</t>
        </is>
      </c>
      <c r="F143" t="inlineStr">
        <is>
          <t>Avião</t>
        </is>
      </c>
      <c r="G143" t="inlineStr">
        <is>
          <t>PA3</t>
        </is>
      </c>
      <c r="H143" t="n">
        <v>6666</v>
      </c>
      <c r="I143" t="inlineStr">
        <is>
          <t>Varejista</t>
        </is>
      </c>
      <c r="J143" t="inlineStr">
        <is>
          <t>Fortaleza</t>
        </is>
      </c>
      <c r="K143" t="n">
        <v>0</v>
      </c>
    </row>
    <row r="144">
      <c r="A144" t="n">
        <v>141</v>
      </c>
      <c r="B144" t="inlineStr">
        <is>
          <t>Rodada_3</t>
        </is>
      </c>
      <c r="C144" t="inlineStr">
        <is>
          <t>CD</t>
        </is>
      </c>
      <c r="D144" t="inlineStr">
        <is>
          <t>Santos</t>
        </is>
      </c>
      <c r="E144" t="inlineStr">
        <is>
          <t>Dia 5</t>
        </is>
      </c>
      <c r="F144" t="inlineStr">
        <is>
          <t>Avião</t>
        </is>
      </c>
      <c r="G144" t="inlineStr">
        <is>
          <t>PA3</t>
        </is>
      </c>
      <c r="H144" t="n">
        <v>6666</v>
      </c>
      <c r="I144" t="inlineStr">
        <is>
          <t>Varejista</t>
        </is>
      </c>
      <c r="J144" t="inlineStr">
        <is>
          <t>Fortaleza</t>
        </is>
      </c>
      <c r="K144" t="n">
        <v>0</v>
      </c>
    </row>
    <row r="145">
      <c r="A145" t="n">
        <v>142</v>
      </c>
      <c r="B145" t="inlineStr">
        <is>
          <t>Rodada_3</t>
        </is>
      </c>
      <c r="C145" t="inlineStr">
        <is>
          <t>CD</t>
        </is>
      </c>
      <c r="D145" t="inlineStr">
        <is>
          <t>Santos</t>
        </is>
      </c>
      <c r="E145" t="inlineStr">
        <is>
          <t>Dia 5</t>
        </is>
      </c>
      <c r="F145" t="inlineStr">
        <is>
          <t>Avião</t>
        </is>
      </c>
      <c r="G145" t="inlineStr">
        <is>
          <t>PA3</t>
        </is>
      </c>
      <c r="H145" t="n">
        <v>6666</v>
      </c>
      <c r="I145" t="inlineStr">
        <is>
          <t>Varejista</t>
        </is>
      </c>
      <c r="J145" t="inlineStr">
        <is>
          <t>Fortaleza</t>
        </is>
      </c>
      <c r="K145" t="n">
        <v>0</v>
      </c>
    </row>
    <row r="146">
      <c r="A146" t="n">
        <v>143</v>
      </c>
      <c r="B146" t="inlineStr">
        <is>
          <t>Rodada_3</t>
        </is>
      </c>
      <c r="C146" t="inlineStr">
        <is>
          <t>CD</t>
        </is>
      </c>
      <c r="D146" t="inlineStr">
        <is>
          <t>Santos</t>
        </is>
      </c>
      <c r="E146" t="inlineStr">
        <is>
          <t>Dia 5</t>
        </is>
      </c>
      <c r="F146" t="inlineStr">
        <is>
          <t>Avião</t>
        </is>
      </c>
      <c r="G146" t="inlineStr">
        <is>
          <t>PA3</t>
        </is>
      </c>
      <c r="H146" t="n">
        <v>6666</v>
      </c>
      <c r="I146" t="inlineStr">
        <is>
          <t>Varejista</t>
        </is>
      </c>
      <c r="J146" t="inlineStr">
        <is>
          <t>Fortaleza</t>
        </is>
      </c>
      <c r="K146" t="n">
        <v>0</v>
      </c>
    </row>
    <row r="147">
      <c r="A147" t="n">
        <v>144</v>
      </c>
      <c r="B147" t="inlineStr">
        <is>
          <t>Rodada_3</t>
        </is>
      </c>
      <c r="C147" t="inlineStr">
        <is>
          <t>CD</t>
        </is>
      </c>
      <c r="D147" t="inlineStr">
        <is>
          <t>Santos</t>
        </is>
      </c>
      <c r="E147" t="inlineStr">
        <is>
          <t>Dia 5</t>
        </is>
      </c>
      <c r="F147" t="inlineStr">
        <is>
          <t>Avião</t>
        </is>
      </c>
      <c r="G147" t="inlineStr">
        <is>
          <t>PA3</t>
        </is>
      </c>
      <c r="H147" t="n">
        <v>6666</v>
      </c>
      <c r="I147" t="inlineStr">
        <is>
          <t>Varejista</t>
        </is>
      </c>
      <c r="J147" t="inlineStr">
        <is>
          <t>Fortaleza</t>
        </is>
      </c>
      <c r="K147" t="n">
        <v>0</v>
      </c>
    </row>
    <row r="148">
      <c r="A148" t="n">
        <v>145</v>
      </c>
      <c r="B148" t="inlineStr">
        <is>
          <t>Rodada_3</t>
        </is>
      </c>
      <c r="C148" t="inlineStr">
        <is>
          <t>CD</t>
        </is>
      </c>
      <c r="D148" t="inlineStr">
        <is>
          <t>Santos</t>
        </is>
      </c>
      <c r="E148" t="inlineStr">
        <is>
          <t>Dia 5</t>
        </is>
      </c>
      <c r="F148" t="inlineStr">
        <is>
          <t>Avião</t>
        </is>
      </c>
      <c r="G148" t="inlineStr">
        <is>
          <t>PA3</t>
        </is>
      </c>
      <c r="H148" t="n">
        <v>6666</v>
      </c>
      <c r="I148" t="inlineStr">
        <is>
          <t>Varejista</t>
        </is>
      </c>
      <c r="J148" t="inlineStr">
        <is>
          <t>Fortaleza</t>
        </is>
      </c>
      <c r="K148" t="n">
        <v>0</v>
      </c>
    </row>
    <row r="149">
      <c r="A149" t="n">
        <v>146</v>
      </c>
      <c r="B149" t="inlineStr">
        <is>
          <t>Rodada_3</t>
        </is>
      </c>
      <c r="C149" t="inlineStr">
        <is>
          <t>CD</t>
        </is>
      </c>
      <c r="D149" t="inlineStr">
        <is>
          <t>Santos</t>
        </is>
      </c>
      <c r="E149" t="inlineStr">
        <is>
          <t>Dia 5</t>
        </is>
      </c>
      <c r="F149" t="inlineStr">
        <is>
          <t>Avião</t>
        </is>
      </c>
      <c r="G149" t="inlineStr">
        <is>
          <t>PA3</t>
        </is>
      </c>
      <c r="H149" t="n">
        <v>6666</v>
      </c>
      <c r="I149" t="inlineStr">
        <is>
          <t>Varejista</t>
        </is>
      </c>
      <c r="J149" t="inlineStr">
        <is>
          <t>Fortaleza</t>
        </is>
      </c>
      <c r="K149" t="n">
        <v>0</v>
      </c>
    </row>
    <row r="150">
      <c r="A150" t="n">
        <v>147</v>
      </c>
      <c r="B150" t="inlineStr">
        <is>
          <t>Rodada_3</t>
        </is>
      </c>
      <c r="C150" t="inlineStr">
        <is>
          <t>CD</t>
        </is>
      </c>
      <c r="D150" t="inlineStr">
        <is>
          <t>Santos</t>
        </is>
      </c>
      <c r="E150" t="inlineStr">
        <is>
          <t>Dia 5</t>
        </is>
      </c>
      <c r="F150" t="inlineStr">
        <is>
          <t>Avião</t>
        </is>
      </c>
      <c r="G150" t="inlineStr">
        <is>
          <t>PA3</t>
        </is>
      </c>
      <c r="H150" t="n">
        <v>6666</v>
      </c>
      <c r="I150" t="inlineStr">
        <is>
          <t>Varejista</t>
        </is>
      </c>
      <c r="J150" t="inlineStr">
        <is>
          <t>Fortaleza</t>
        </is>
      </c>
      <c r="K150" t="n">
        <v>0</v>
      </c>
    </row>
    <row r="151">
      <c r="A151" t="n">
        <v>148</v>
      </c>
      <c r="B151" t="inlineStr">
        <is>
          <t>Rodada_3</t>
        </is>
      </c>
      <c r="C151" t="inlineStr">
        <is>
          <t>CD</t>
        </is>
      </c>
      <c r="D151" t="inlineStr">
        <is>
          <t>Santos</t>
        </is>
      </c>
      <c r="E151" t="inlineStr">
        <is>
          <t>Dia 5</t>
        </is>
      </c>
      <c r="F151" t="inlineStr">
        <is>
          <t>Avião</t>
        </is>
      </c>
      <c r="G151" t="inlineStr">
        <is>
          <t>PA3</t>
        </is>
      </c>
      <c r="H151" t="n">
        <v>1868</v>
      </c>
      <c r="I151" t="inlineStr">
        <is>
          <t>Varejista</t>
        </is>
      </c>
      <c r="J151" t="inlineStr">
        <is>
          <t>Fortaleza</t>
        </is>
      </c>
      <c r="K151" t="n">
        <v>0</v>
      </c>
    </row>
    <row r="152">
      <c r="A152" t="n">
        <v>149</v>
      </c>
      <c r="B152" t="inlineStr">
        <is>
          <t>Rodada_3</t>
        </is>
      </c>
      <c r="C152" t="inlineStr">
        <is>
          <t>CD</t>
        </is>
      </c>
      <c r="D152" t="inlineStr">
        <is>
          <t>Santos</t>
        </is>
      </c>
      <c r="E152" t="inlineStr">
        <is>
          <t>Dia 5</t>
        </is>
      </c>
      <c r="F152" t="inlineStr">
        <is>
          <t>Avião</t>
        </is>
      </c>
      <c r="G152" t="inlineStr">
        <is>
          <t>PA3</t>
        </is>
      </c>
      <c r="H152" t="n">
        <v>6666</v>
      </c>
      <c r="I152" t="inlineStr">
        <is>
          <t>Varejista</t>
        </is>
      </c>
      <c r="J152" t="inlineStr">
        <is>
          <t>Natal</t>
        </is>
      </c>
      <c r="K152" t="n">
        <v>0</v>
      </c>
    </row>
    <row r="153">
      <c r="A153" t="n">
        <v>150</v>
      </c>
      <c r="B153" t="inlineStr">
        <is>
          <t>Rodada_3</t>
        </is>
      </c>
      <c r="C153" t="inlineStr">
        <is>
          <t>CD</t>
        </is>
      </c>
      <c r="D153" t="inlineStr">
        <is>
          <t>Santos</t>
        </is>
      </c>
      <c r="E153" t="inlineStr">
        <is>
          <t>Dia 5</t>
        </is>
      </c>
      <c r="F153" t="inlineStr">
        <is>
          <t>Avião</t>
        </is>
      </c>
      <c r="G153" t="inlineStr">
        <is>
          <t>PA3</t>
        </is>
      </c>
      <c r="H153" t="n">
        <v>6666</v>
      </c>
      <c r="I153" t="inlineStr">
        <is>
          <t>Varejista</t>
        </is>
      </c>
      <c r="J153" t="inlineStr">
        <is>
          <t>Natal</t>
        </is>
      </c>
      <c r="K153" t="n">
        <v>0</v>
      </c>
    </row>
    <row r="154">
      <c r="A154" t="n">
        <v>151</v>
      </c>
      <c r="B154" t="inlineStr">
        <is>
          <t>Rodada_3</t>
        </is>
      </c>
      <c r="C154" t="inlineStr">
        <is>
          <t>CD</t>
        </is>
      </c>
      <c r="D154" t="inlineStr">
        <is>
          <t>Santos</t>
        </is>
      </c>
      <c r="E154" t="inlineStr">
        <is>
          <t>Dia 5</t>
        </is>
      </c>
      <c r="F154" t="inlineStr">
        <is>
          <t>Avião</t>
        </is>
      </c>
      <c r="G154" t="inlineStr">
        <is>
          <t>PA3</t>
        </is>
      </c>
      <c r="H154" t="n">
        <v>6666</v>
      </c>
      <c r="I154" t="inlineStr">
        <is>
          <t>Varejista</t>
        </is>
      </c>
      <c r="J154" t="inlineStr">
        <is>
          <t>Natal</t>
        </is>
      </c>
      <c r="K154" t="n">
        <v>0</v>
      </c>
    </row>
    <row r="155">
      <c r="A155" t="n">
        <v>152</v>
      </c>
      <c r="B155" t="inlineStr">
        <is>
          <t>Rodada_3</t>
        </is>
      </c>
      <c r="C155" t="inlineStr">
        <is>
          <t>CD</t>
        </is>
      </c>
      <c r="D155" t="inlineStr">
        <is>
          <t>Santos</t>
        </is>
      </c>
      <c r="E155" t="inlineStr">
        <is>
          <t>Dia 5</t>
        </is>
      </c>
      <c r="F155" t="inlineStr">
        <is>
          <t>Avião</t>
        </is>
      </c>
      <c r="G155" t="inlineStr">
        <is>
          <t>PA3</t>
        </is>
      </c>
      <c r="H155" t="n">
        <v>6666</v>
      </c>
      <c r="I155" t="inlineStr">
        <is>
          <t>Varejista</t>
        </is>
      </c>
      <c r="J155" t="inlineStr">
        <is>
          <t>Natal</t>
        </is>
      </c>
      <c r="K155" t="n">
        <v>0</v>
      </c>
    </row>
    <row r="156">
      <c r="A156" t="n">
        <v>153</v>
      </c>
      <c r="B156" t="inlineStr">
        <is>
          <t>Rodada_3</t>
        </is>
      </c>
      <c r="C156" t="inlineStr">
        <is>
          <t>CD</t>
        </is>
      </c>
      <c r="D156" t="inlineStr">
        <is>
          <t>Santos</t>
        </is>
      </c>
      <c r="E156" t="inlineStr">
        <is>
          <t>Dia 5</t>
        </is>
      </c>
      <c r="F156" t="inlineStr">
        <is>
          <t>Avião</t>
        </is>
      </c>
      <c r="G156" t="inlineStr">
        <is>
          <t>PA3</t>
        </is>
      </c>
      <c r="H156" t="n">
        <v>6666</v>
      </c>
      <c r="I156" t="inlineStr">
        <is>
          <t>Varejista</t>
        </is>
      </c>
      <c r="J156" t="inlineStr">
        <is>
          <t>Natal</t>
        </is>
      </c>
      <c r="K156" t="n">
        <v>0</v>
      </c>
    </row>
    <row r="157">
      <c r="A157" t="n">
        <v>154</v>
      </c>
      <c r="B157" t="inlineStr">
        <is>
          <t>Rodada_3</t>
        </is>
      </c>
      <c r="C157" t="inlineStr">
        <is>
          <t>CD</t>
        </is>
      </c>
      <c r="D157" t="inlineStr">
        <is>
          <t>Santos</t>
        </is>
      </c>
      <c r="E157" t="inlineStr">
        <is>
          <t>Dia 5</t>
        </is>
      </c>
      <c r="F157" t="inlineStr">
        <is>
          <t>Avião</t>
        </is>
      </c>
      <c r="G157" t="inlineStr">
        <is>
          <t>PA3</t>
        </is>
      </c>
      <c r="H157" t="n">
        <v>6666</v>
      </c>
      <c r="I157" t="inlineStr">
        <is>
          <t>Varejista</t>
        </is>
      </c>
      <c r="J157" t="inlineStr">
        <is>
          <t>Natal</t>
        </is>
      </c>
      <c r="K157" t="n">
        <v>0</v>
      </c>
    </row>
    <row r="158">
      <c r="A158" t="n">
        <v>155</v>
      </c>
      <c r="B158" t="inlineStr">
        <is>
          <t>Rodada_3</t>
        </is>
      </c>
      <c r="C158" t="inlineStr">
        <is>
          <t>CD</t>
        </is>
      </c>
      <c r="D158" t="inlineStr">
        <is>
          <t>Santos</t>
        </is>
      </c>
      <c r="E158" t="inlineStr">
        <is>
          <t>Dia 5</t>
        </is>
      </c>
      <c r="F158" t="inlineStr">
        <is>
          <t>Avião</t>
        </is>
      </c>
      <c r="G158" t="inlineStr">
        <is>
          <t>PA3</t>
        </is>
      </c>
      <c r="H158" t="n">
        <v>315</v>
      </c>
      <c r="I158" t="inlineStr">
        <is>
          <t>Varejista</t>
        </is>
      </c>
      <c r="J158" t="inlineStr">
        <is>
          <t>Natal</t>
        </is>
      </c>
      <c r="K158" t="n">
        <v>0</v>
      </c>
    </row>
    <row r="159">
      <c r="A159" t="n">
        <v>156</v>
      </c>
      <c r="B159" t="inlineStr">
        <is>
          <t>Rodada_3</t>
        </is>
      </c>
      <c r="C159" t="inlineStr">
        <is>
          <t>CD</t>
        </is>
      </c>
      <c r="D159" t="inlineStr">
        <is>
          <t>Santos</t>
        </is>
      </c>
      <c r="E159" t="inlineStr">
        <is>
          <t>Dia 5</t>
        </is>
      </c>
      <c r="F159" t="inlineStr">
        <is>
          <t>Avião</t>
        </is>
      </c>
      <c r="G159" t="inlineStr">
        <is>
          <t>PA3</t>
        </is>
      </c>
      <c r="H159" t="n">
        <v>6666</v>
      </c>
      <c r="I159" t="inlineStr">
        <is>
          <t>Varejista</t>
        </is>
      </c>
      <c r="J159" t="inlineStr">
        <is>
          <t>Belém</t>
        </is>
      </c>
      <c r="K159" t="n">
        <v>0</v>
      </c>
    </row>
    <row r="160">
      <c r="A160" t="n">
        <v>157</v>
      </c>
      <c r="B160" t="inlineStr">
        <is>
          <t>Rodada_3</t>
        </is>
      </c>
      <c r="C160" t="inlineStr">
        <is>
          <t>CD</t>
        </is>
      </c>
      <c r="D160" t="inlineStr">
        <is>
          <t>Santos</t>
        </is>
      </c>
      <c r="E160" t="inlineStr">
        <is>
          <t>Dia 5</t>
        </is>
      </c>
      <c r="F160" t="inlineStr">
        <is>
          <t>Avião</t>
        </is>
      </c>
      <c r="G160" t="inlineStr">
        <is>
          <t>PA3</t>
        </is>
      </c>
      <c r="H160" t="n">
        <v>6666</v>
      </c>
      <c r="I160" t="inlineStr">
        <is>
          <t>Varejista</t>
        </is>
      </c>
      <c r="J160" t="inlineStr">
        <is>
          <t>Belém</t>
        </is>
      </c>
      <c r="K160" t="n">
        <v>0</v>
      </c>
    </row>
    <row r="161">
      <c r="A161" t="n">
        <v>158</v>
      </c>
      <c r="B161" t="inlineStr">
        <is>
          <t>Rodada_3</t>
        </is>
      </c>
      <c r="C161" t="inlineStr">
        <is>
          <t>CD</t>
        </is>
      </c>
      <c r="D161" t="inlineStr">
        <is>
          <t>Santos</t>
        </is>
      </c>
      <c r="E161" t="inlineStr">
        <is>
          <t>Dia 5</t>
        </is>
      </c>
      <c r="F161" t="inlineStr">
        <is>
          <t>Avião</t>
        </is>
      </c>
      <c r="G161" t="inlineStr">
        <is>
          <t>PA3</t>
        </is>
      </c>
      <c r="H161" t="n">
        <v>6666</v>
      </c>
      <c r="I161" t="inlineStr">
        <is>
          <t>Varejista</t>
        </is>
      </c>
      <c r="J161" t="inlineStr">
        <is>
          <t>Belém</t>
        </is>
      </c>
      <c r="K161" t="n">
        <v>0</v>
      </c>
    </row>
    <row r="162">
      <c r="A162" t="n">
        <v>159</v>
      </c>
      <c r="B162" t="inlineStr">
        <is>
          <t>Rodada_3</t>
        </is>
      </c>
      <c r="C162" t="inlineStr">
        <is>
          <t>CD</t>
        </is>
      </c>
      <c r="D162" t="inlineStr">
        <is>
          <t>Santos</t>
        </is>
      </c>
      <c r="E162" t="inlineStr">
        <is>
          <t>Dia 5</t>
        </is>
      </c>
      <c r="F162" t="inlineStr">
        <is>
          <t>Avião</t>
        </is>
      </c>
      <c r="G162" t="inlineStr">
        <is>
          <t>PA3</t>
        </is>
      </c>
      <c r="H162" t="n">
        <v>157</v>
      </c>
      <c r="I162" t="inlineStr">
        <is>
          <t>Varejista</t>
        </is>
      </c>
      <c r="J162" t="inlineStr">
        <is>
          <t>Belém</t>
        </is>
      </c>
      <c r="K162" t="n">
        <v>0</v>
      </c>
    </row>
    <row r="163">
      <c r="A163" t="n">
        <v>160</v>
      </c>
      <c r="B163" t="inlineStr">
        <is>
          <t>Rodada_3</t>
        </is>
      </c>
      <c r="C163" t="inlineStr">
        <is>
          <t>CD</t>
        </is>
      </c>
      <c r="D163" t="inlineStr">
        <is>
          <t>Santos</t>
        </is>
      </c>
      <c r="E163" t="inlineStr">
        <is>
          <t>Dia 5</t>
        </is>
      </c>
      <c r="F163" t="inlineStr">
        <is>
          <t>Avião</t>
        </is>
      </c>
      <c r="G163" t="inlineStr">
        <is>
          <t>PA3</t>
        </is>
      </c>
      <c r="H163" t="n">
        <v>6666</v>
      </c>
      <c r="I163" t="inlineStr">
        <is>
          <t>Varejista</t>
        </is>
      </c>
      <c r="J163" t="inlineStr">
        <is>
          <t>Manaus</t>
        </is>
      </c>
      <c r="K163" t="n">
        <v>0</v>
      </c>
    </row>
    <row r="164">
      <c r="A164" t="n">
        <v>161</v>
      </c>
      <c r="B164" t="inlineStr">
        <is>
          <t>Rodada_3</t>
        </is>
      </c>
      <c r="C164" t="inlineStr">
        <is>
          <t>CD</t>
        </is>
      </c>
      <c r="D164" t="inlineStr">
        <is>
          <t>Santos</t>
        </is>
      </c>
      <c r="E164" t="inlineStr">
        <is>
          <t>Dia 5</t>
        </is>
      </c>
      <c r="F164" t="inlineStr">
        <is>
          <t>Avião</t>
        </is>
      </c>
      <c r="G164" t="inlineStr">
        <is>
          <t>PA3</t>
        </is>
      </c>
      <c r="H164" t="n">
        <v>6666</v>
      </c>
      <c r="I164" t="inlineStr">
        <is>
          <t>Varejista</t>
        </is>
      </c>
      <c r="J164" t="inlineStr">
        <is>
          <t>Manaus</t>
        </is>
      </c>
      <c r="K164" t="n">
        <v>0</v>
      </c>
    </row>
    <row r="165">
      <c r="A165" t="n">
        <v>162</v>
      </c>
      <c r="B165" t="inlineStr">
        <is>
          <t>Rodada_3</t>
        </is>
      </c>
      <c r="C165" t="inlineStr">
        <is>
          <t>CD</t>
        </is>
      </c>
      <c r="D165" t="inlineStr">
        <is>
          <t>Santos</t>
        </is>
      </c>
      <c r="E165" t="inlineStr">
        <is>
          <t>Dia 5</t>
        </is>
      </c>
      <c r="F165" t="inlineStr">
        <is>
          <t>Avião</t>
        </is>
      </c>
      <c r="G165" t="inlineStr">
        <is>
          <t>PA3</t>
        </is>
      </c>
      <c r="H165" t="n">
        <v>6666</v>
      </c>
      <c r="I165" t="inlineStr">
        <is>
          <t>Varejista</t>
        </is>
      </c>
      <c r="J165" t="inlineStr">
        <is>
          <t>Manaus</t>
        </is>
      </c>
      <c r="K165" t="n">
        <v>0</v>
      </c>
    </row>
    <row r="166">
      <c r="A166" t="n">
        <v>163</v>
      </c>
      <c r="B166" t="inlineStr">
        <is>
          <t>Rodada_3</t>
        </is>
      </c>
      <c r="C166" t="inlineStr">
        <is>
          <t>CD</t>
        </is>
      </c>
      <c r="D166" t="inlineStr">
        <is>
          <t>Santos</t>
        </is>
      </c>
      <c r="E166" t="inlineStr">
        <is>
          <t>Dia 5</t>
        </is>
      </c>
      <c r="F166" t="inlineStr">
        <is>
          <t>Avião</t>
        </is>
      </c>
      <c r="G166" t="inlineStr">
        <is>
          <t>PA3</t>
        </is>
      </c>
      <c r="H166" t="n">
        <v>157</v>
      </c>
      <c r="I166" t="inlineStr">
        <is>
          <t>Varejista</t>
        </is>
      </c>
      <c r="J166" t="inlineStr">
        <is>
          <t>Manaus</t>
        </is>
      </c>
      <c r="K166" t="n">
        <v>0</v>
      </c>
    </row>
    <row r="167">
      <c r="A167" t="n">
        <v>164</v>
      </c>
      <c r="B167" t="inlineStr">
        <is>
          <t>Rodada_3</t>
        </is>
      </c>
      <c r="C167" t="inlineStr">
        <is>
          <t>CD</t>
        </is>
      </c>
      <c r="D167" t="inlineStr">
        <is>
          <t>Santos</t>
        </is>
      </c>
      <c r="E167" t="inlineStr">
        <is>
          <t>Dia 5</t>
        </is>
      </c>
      <c r="F167" t="inlineStr">
        <is>
          <t>Avião</t>
        </is>
      </c>
      <c r="G167" t="inlineStr">
        <is>
          <t>PA3</t>
        </is>
      </c>
      <c r="H167" t="n">
        <v>6666</v>
      </c>
      <c r="I167" t="inlineStr">
        <is>
          <t>Varejista</t>
        </is>
      </c>
      <c r="J167" t="inlineStr">
        <is>
          <t>São Luís</t>
        </is>
      </c>
      <c r="K167" t="n">
        <v>0</v>
      </c>
    </row>
    <row r="168">
      <c r="A168" t="n">
        <v>165</v>
      </c>
      <c r="B168" t="inlineStr">
        <is>
          <t>Rodada_3</t>
        </is>
      </c>
      <c r="C168" t="inlineStr">
        <is>
          <t>CD</t>
        </is>
      </c>
      <c r="D168" t="inlineStr">
        <is>
          <t>Santos</t>
        </is>
      </c>
      <c r="E168" t="inlineStr">
        <is>
          <t>Dia 5</t>
        </is>
      </c>
      <c r="F168" t="inlineStr">
        <is>
          <t>Avião</t>
        </is>
      </c>
      <c r="G168" t="inlineStr">
        <is>
          <t>PA3</t>
        </is>
      </c>
      <c r="H168" t="n">
        <v>6666</v>
      </c>
      <c r="I168" t="inlineStr">
        <is>
          <t>Varejista</t>
        </is>
      </c>
      <c r="J168" t="inlineStr">
        <is>
          <t>São Luís</t>
        </is>
      </c>
      <c r="K168" t="n">
        <v>0</v>
      </c>
    </row>
    <row r="169">
      <c r="A169" t="n">
        <v>166</v>
      </c>
      <c r="B169" t="inlineStr">
        <is>
          <t>Rodada_3</t>
        </is>
      </c>
      <c r="C169" t="inlineStr">
        <is>
          <t>CD</t>
        </is>
      </c>
      <c r="D169" t="inlineStr">
        <is>
          <t>Santos</t>
        </is>
      </c>
      <c r="E169" t="inlineStr">
        <is>
          <t>Dia 5</t>
        </is>
      </c>
      <c r="F169" t="inlineStr">
        <is>
          <t>Avião</t>
        </is>
      </c>
      <c r="G169" t="inlineStr">
        <is>
          <t>PA3</t>
        </is>
      </c>
      <c r="H169" t="n">
        <v>6666</v>
      </c>
      <c r="I169" t="inlineStr">
        <is>
          <t>Varejista</t>
        </is>
      </c>
      <c r="J169" t="inlineStr">
        <is>
          <t>São Luís</t>
        </is>
      </c>
      <c r="K169" t="n">
        <v>0</v>
      </c>
    </row>
    <row r="170">
      <c r="A170" t="n">
        <v>167</v>
      </c>
      <c r="B170" t="inlineStr">
        <is>
          <t>Rodada_3</t>
        </is>
      </c>
      <c r="C170" t="inlineStr">
        <is>
          <t>CD</t>
        </is>
      </c>
      <c r="D170" t="inlineStr">
        <is>
          <t>Santos</t>
        </is>
      </c>
      <c r="E170" t="inlineStr">
        <is>
          <t>Dia 5</t>
        </is>
      </c>
      <c r="F170" t="inlineStr">
        <is>
          <t>Avião</t>
        </is>
      </c>
      <c r="G170" t="inlineStr">
        <is>
          <t>PA3</t>
        </is>
      </c>
      <c r="H170" t="n">
        <v>157</v>
      </c>
      <c r="I170" t="inlineStr">
        <is>
          <t>Varejista</t>
        </is>
      </c>
      <c r="J170" t="inlineStr">
        <is>
          <t>São Luís</t>
        </is>
      </c>
      <c r="K170" t="n">
        <v>0</v>
      </c>
    </row>
  </sheetData>
  <mergeCells count="1">
    <mergeCell ref="A1:K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9"/>
  <sheetViews>
    <sheetView workbookViewId="0">
      <selection activeCell="A1" sqref="A1"/>
    </sheetView>
  </sheetViews>
  <sheetFormatPr baseColWidth="8" defaultRowHeight="15"/>
  <cols>
    <col width="33" customWidth="1" min="1" max="1"/>
    <col width="19" customWidth="1" min="13" max="13"/>
  </cols>
  <sheetData>
    <row r="1">
      <c r="A1" s="1" t="inlineStr">
        <is>
          <t>PRODUÇÃO POR DIA + MP CONSUMIDO</t>
        </is>
      </c>
    </row>
    <row r="2"/>
    <row r="3">
      <c r="A3" s="4" t="inlineStr">
        <is>
          <t>Dia</t>
        </is>
      </c>
      <c r="B3" s="4" t="inlineStr">
        <is>
          <t>PA1 (un)</t>
        </is>
      </c>
      <c r="C3" s="4" t="inlineStr">
        <is>
          <t>PA2 (un)</t>
        </is>
      </c>
      <c r="D3" s="4" t="inlineStr">
        <is>
          <t>PA3 (un)</t>
        </is>
      </c>
      <c r="E3" s="4" t="inlineStr">
        <is>
          <t>Min PA1 (qty/15)</t>
        </is>
      </c>
      <c r="F3" s="4" t="inlineStr">
        <is>
          <t>Min PA2 (qty/30)</t>
        </is>
      </c>
      <c r="G3" s="4" t="inlineStr">
        <is>
          <t>Min PA3 (qty/60)</t>
        </is>
      </c>
      <c r="H3" s="4" t="inlineStr">
        <is>
          <t>Min total</t>
        </is>
      </c>
      <c r="I3" s="4" t="inlineStr">
        <is>
          <t>Cap min/dia</t>
        </is>
      </c>
      <c r="J3" s="4" t="inlineStr">
        <is>
          <t>% utilização</t>
        </is>
      </c>
      <c r="K3" s="4" t="inlineStr">
        <is>
          <t>MP1 consumido (t)</t>
        </is>
      </c>
      <c r="L3" s="4" t="inlineStr">
        <is>
          <t>MP2 consumido (t)</t>
        </is>
      </c>
      <c r="M3" s="4" t="inlineStr">
        <is>
          <t>MP3 consumido (t)</t>
        </is>
      </c>
    </row>
    <row r="4">
      <c r="A4" t="inlineStr">
        <is>
          <t>Dia 1</t>
        </is>
      </c>
      <c r="B4" t="n">
        <v>0</v>
      </c>
      <c r="C4" t="n">
        <v>0</v>
      </c>
      <c r="D4" t="n">
        <v>597271</v>
      </c>
      <c r="E4">
        <f>B4/15</f>
        <v/>
      </c>
      <c r="F4">
        <f>C4/30</f>
        <v/>
      </c>
      <c r="G4">
        <f>D4/60</f>
        <v/>
      </c>
      <c r="H4">
        <f>E4+F4+G4</f>
        <v/>
      </c>
      <c r="I4" t="n">
        <v>10080</v>
      </c>
      <c r="J4" s="9">
        <f>H4/I4</f>
        <v/>
      </c>
      <c r="K4" t="n">
        <v>44.795325</v>
      </c>
      <c r="L4" t="n">
        <v>17.91813</v>
      </c>
      <c r="M4" t="n">
        <v>26.877195</v>
      </c>
    </row>
    <row r="5">
      <c r="A5" t="inlineStr">
        <is>
          <t>Dia 2</t>
        </is>
      </c>
      <c r="B5" t="n">
        <v>0</v>
      </c>
      <c r="C5" t="n">
        <v>0</v>
      </c>
      <c r="D5" t="n">
        <v>565025</v>
      </c>
      <c r="E5">
        <f>B5/15</f>
        <v/>
      </c>
      <c r="F5">
        <f>C5/30</f>
        <v/>
      </c>
      <c r="G5">
        <f>D5/60</f>
        <v/>
      </c>
      <c r="H5">
        <f>E5+F5+G5</f>
        <v/>
      </c>
      <c r="I5" t="n">
        <v>10080</v>
      </c>
      <c r="J5" s="9">
        <f>H5/I5</f>
        <v/>
      </c>
      <c r="K5" t="n">
        <v>42.376875</v>
      </c>
      <c r="L5" t="n">
        <v>16.95075</v>
      </c>
      <c r="M5" t="n">
        <v>25.426125</v>
      </c>
    </row>
    <row r="6">
      <c r="A6" t="inlineStr">
        <is>
          <t>Dia 3</t>
        </is>
      </c>
      <c r="B6" t="n">
        <v>0</v>
      </c>
      <c r="C6" t="n">
        <v>0</v>
      </c>
      <c r="D6" t="n">
        <v>0</v>
      </c>
      <c r="E6">
        <f>B6/15</f>
        <v/>
      </c>
      <c r="F6">
        <f>C6/30</f>
        <v/>
      </c>
      <c r="G6">
        <f>D6/60</f>
        <v/>
      </c>
      <c r="H6">
        <f>E6+F6+G6</f>
        <v/>
      </c>
      <c r="I6" t="n">
        <v>10080</v>
      </c>
      <c r="J6" s="9">
        <f>H6/I6</f>
        <v/>
      </c>
      <c r="K6" t="n">
        <v>0</v>
      </c>
      <c r="L6" t="n">
        <v>0</v>
      </c>
      <c r="M6" t="n">
        <v>0</v>
      </c>
    </row>
    <row r="7">
      <c r="A7" t="inlineStr">
        <is>
          <t>Dia 4</t>
        </is>
      </c>
      <c r="B7" t="n">
        <v>0</v>
      </c>
      <c r="C7" t="n">
        <v>79113</v>
      </c>
      <c r="D7" t="n">
        <v>181397</v>
      </c>
      <c r="E7">
        <f>B7/15</f>
        <v/>
      </c>
      <c r="F7">
        <f>C7/30</f>
        <v/>
      </c>
      <c r="G7">
        <f>D7/60</f>
        <v/>
      </c>
      <c r="H7">
        <f>E7+F7+G7</f>
        <v/>
      </c>
      <c r="I7" t="n">
        <v>10080</v>
      </c>
      <c r="J7" s="9">
        <f>H7/I7</f>
        <v/>
      </c>
      <c r="K7" t="n">
        <v>19.53825</v>
      </c>
      <c r="L7" t="n">
        <v>15.331035</v>
      </c>
      <c r="M7" t="n">
        <v>12.118515</v>
      </c>
    </row>
    <row r="8">
      <c r="A8" t="inlineStr">
        <is>
          <t>Dia 5</t>
        </is>
      </c>
      <c r="B8" t="n">
        <v>0</v>
      </c>
      <c r="C8" t="n">
        <v>0</v>
      </c>
      <c r="D8" t="n">
        <v>0</v>
      </c>
      <c r="E8">
        <f>B8/15</f>
        <v/>
      </c>
      <c r="F8">
        <f>C8/30</f>
        <v/>
      </c>
      <c r="G8">
        <f>D8/60</f>
        <v/>
      </c>
      <c r="H8">
        <f>E8+F8+G8</f>
        <v/>
      </c>
      <c r="I8" t="n">
        <v>10080</v>
      </c>
      <c r="J8" s="9">
        <f>H8/I8</f>
        <v/>
      </c>
      <c r="K8" t="n">
        <v>0</v>
      </c>
      <c r="L8" t="n">
        <v>0</v>
      </c>
      <c r="M8" t="n">
        <v>0</v>
      </c>
    </row>
    <row r="9">
      <c r="A9" s="3" t="inlineStr">
        <is>
          <t>TOTAL</t>
        </is>
      </c>
      <c r="B9" s="3">
        <f>SUM(B4:B8)</f>
        <v/>
      </c>
      <c r="C9" s="3">
        <f>SUM(C4:C8)</f>
        <v/>
      </c>
      <c r="D9" s="3">
        <f>SUM(D4:D8)</f>
        <v/>
      </c>
      <c r="E9" s="3">
        <f>SUM(E4:E8)</f>
        <v/>
      </c>
      <c r="F9" s="3">
        <f>SUM(F4:F8)</f>
        <v/>
      </c>
      <c r="G9" s="3">
        <f>SUM(G4:G8)</f>
        <v/>
      </c>
      <c r="H9" s="3">
        <f>SUM(H4:H8)</f>
        <v/>
      </c>
      <c r="I9" t="n">
        <v>50400</v>
      </c>
      <c r="J9" s="10">
        <f>H9/I9</f>
        <v/>
      </c>
      <c r="K9" s="3">
        <f>SUM(K4:K8)</f>
        <v/>
      </c>
      <c r="L9" s="3">
        <f>SUM(L4:L8)</f>
        <v/>
      </c>
      <c r="M9" s="3">
        <f>SUM(M4:M8)</f>
        <v/>
      </c>
    </row>
  </sheetData>
  <mergeCells count="1">
    <mergeCell ref="A1:L1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24"/>
  <sheetViews>
    <sheetView workbookViewId="0">
      <selection activeCell="A1" sqref="A1"/>
    </sheetView>
  </sheetViews>
  <sheetFormatPr baseColWidth="8" defaultRowHeight="15"/>
  <cols>
    <col width="50" customWidth="1" min="1" max="1"/>
  </cols>
  <sheetData>
    <row r="1">
      <c r="A1" s="1" t="inlineStr">
        <is>
          <t>ESTOQUE MP F1 — SIMULAÇÃO DIA A DIA</t>
        </is>
      </c>
    </row>
    <row r="2"/>
    <row r="3">
      <c r="A3" s="11" t="inlineStr">
        <is>
          <t>Fórmula por linha: END = min(PRE + ARR, CAP) − CONS</t>
        </is>
      </c>
    </row>
    <row r="4"/>
    <row r="5">
      <c r="A5" s="4" t="inlineStr">
        <is>
          <t>Dia</t>
        </is>
      </c>
      <c r="B5" s="4" t="inlineStr">
        <is>
          <t>MP</t>
        </is>
      </c>
      <c r="C5" s="4" t="inlineStr">
        <is>
          <t>Estoque pré (t)</t>
        </is>
      </c>
      <c r="D5" s="4" t="inlineStr">
        <is>
          <t>+ Chegada (t)</t>
        </is>
      </c>
      <c r="E5" s="4" t="inlineStr">
        <is>
          <t>Estoque pós arr (t)</t>
        </is>
      </c>
      <c r="F5" s="4" t="inlineStr">
        <is>
          <t>Descarte (t) se &gt; cap</t>
        </is>
      </c>
      <c r="G5" s="4" t="inlineStr">
        <is>
          <t>Consumo (t)</t>
        </is>
      </c>
      <c r="H5" s="4" t="inlineStr">
        <is>
          <t>End (t)</t>
        </is>
      </c>
      <c r="I5" s="4" t="inlineStr">
        <is>
          <t>Cap (t)</t>
        </is>
      </c>
    </row>
    <row r="6">
      <c r="A6" t="inlineStr">
        <is>
          <t>Dia 1</t>
        </is>
      </c>
      <c r="B6" t="inlineStr">
        <is>
          <t>MP1</t>
        </is>
      </c>
      <c r="C6" t="n">
        <v>78.98</v>
      </c>
      <c r="D6" t="n">
        <v>8.699999999999999</v>
      </c>
      <c r="E6" t="n">
        <v>87.68000000000001</v>
      </c>
      <c r="F6" t="n">
        <v>0</v>
      </c>
      <c r="G6" t="n">
        <v>44.7953</v>
      </c>
      <c r="H6" t="n">
        <v>42.8847</v>
      </c>
      <c r="I6" t="n">
        <v>127</v>
      </c>
    </row>
    <row r="7">
      <c r="A7" t="inlineStr">
        <is>
          <t>Dia 1</t>
        </is>
      </c>
      <c r="B7" t="inlineStr">
        <is>
          <t>MP2</t>
        </is>
      </c>
      <c r="C7" t="n">
        <v>50.36</v>
      </c>
      <c r="D7" t="n">
        <v>0</v>
      </c>
      <c r="E7" t="n">
        <v>50.36</v>
      </c>
      <c r="F7" t="n">
        <v>0</v>
      </c>
      <c r="G7" t="n">
        <v>17.9181</v>
      </c>
      <c r="H7" t="n">
        <v>32.4419</v>
      </c>
      <c r="I7" t="n">
        <v>50.4</v>
      </c>
    </row>
    <row r="8">
      <c r="A8" t="inlineStr">
        <is>
          <t>Dia 1</t>
        </is>
      </c>
      <c r="B8" t="inlineStr">
        <is>
          <t>MP3</t>
        </is>
      </c>
      <c r="C8" t="n">
        <v>48.14</v>
      </c>
      <c r="D8" t="n">
        <v>0</v>
      </c>
      <c r="E8" t="n">
        <v>48.14</v>
      </c>
      <c r="F8" t="n">
        <v>0</v>
      </c>
      <c r="G8" t="n">
        <v>26.8772</v>
      </c>
      <c r="H8" t="n">
        <v>21.2628</v>
      </c>
      <c r="I8" t="n">
        <v>75.59999999999999</v>
      </c>
    </row>
    <row r="9"/>
    <row r="10">
      <c r="A10" t="inlineStr">
        <is>
          <t>Dia 2</t>
        </is>
      </c>
      <c r="B10" t="inlineStr">
        <is>
          <t>MP1</t>
        </is>
      </c>
      <c r="C10" t="n">
        <v>42.8847</v>
      </c>
      <c r="D10" t="n">
        <v>0</v>
      </c>
      <c r="E10" t="n">
        <v>42.8847</v>
      </c>
      <c r="F10" t="n">
        <v>0</v>
      </c>
      <c r="G10" t="n">
        <v>42.3769</v>
      </c>
      <c r="H10" t="n">
        <v>0.5078</v>
      </c>
      <c r="I10" t="n">
        <v>127</v>
      </c>
    </row>
    <row r="11">
      <c r="A11" t="inlineStr">
        <is>
          <t>Dia 2</t>
        </is>
      </c>
      <c r="B11" t="inlineStr">
        <is>
          <t>MP2</t>
        </is>
      </c>
      <c r="C11" t="n">
        <v>32.4419</v>
      </c>
      <c r="D11" t="n">
        <v>0</v>
      </c>
      <c r="E11" t="n">
        <v>32.4419</v>
      </c>
      <c r="F11" t="n">
        <v>0</v>
      </c>
      <c r="G11" t="n">
        <v>16.9507</v>
      </c>
      <c r="H11" t="n">
        <v>15.4911</v>
      </c>
      <c r="I11" t="n">
        <v>50.4</v>
      </c>
    </row>
    <row r="12">
      <c r="A12" t="inlineStr">
        <is>
          <t>Dia 2</t>
        </is>
      </c>
      <c r="B12" t="inlineStr">
        <is>
          <t>MP3</t>
        </is>
      </c>
      <c r="C12" t="n">
        <v>21.2628</v>
      </c>
      <c r="D12" t="n">
        <v>21.43</v>
      </c>
      <c r="E12" t="n">
        <v>42.6928</v>
      </c>
      <c r="F12" t="n">
        <v>0</v>
      </c>
      <c r="G12" t="n">
        <v>25.4261</v>
      </c>
      <c r="H12" t="n">
        <v>17.2667</v>
      </c>
      <c r="I12" t="n">
        <v>75.59999999999999</v>
      </c>
    </row>
    <row r="13"/>
    <row r="14">
      <c r="A14" t="inlineStr">
        <is>
          <t>Dia 3</t>
        </is>
      </c>
      <c r="B14" t="inlineStr">
        <is>
          <t>MP1</t>
        </is>
      </c>
      <c r="C14" t="n">
        <v>0.5078</v>
      </c>
      <c r="D14" t="n">
        <v>0</v>
      </c>
      <c r="E14" t="n">
        <v>0.5078</v>
      </c>
      <c r="F14" t="n">
        <v>0</v>
      </c>
      <c r="G14" t="n">
        <v>0</v>
      </c>
      <c r="H14" t="n">
        <v>0.5078</v>
      </c>
      <c r="I14" t="n">
        <v>127</v>
      </c>
    </row>
    <row r="15">
      <c r="A15" t="inlineStr">
        <is>
          <t>Dia 3</t>
        </is>
      </c>
      <c r="B15" t="inlineStr">
        <is>
          <t>MP2</t>
        </is>
      </c>
      <c r="C15" t="n">
        <v>15.4911</v>
      </c>
      <c r="D15" t="n">
        <v>0</v>
      </c>
      <c r="E15" t="n">
        <v>15.4911</v>
      </c>
      <c r="F15" t="n">
        <v>0</v>
      </c>
      <c r="G15" t="n">
        <v>0</v>
      </c>
      <c r="H15" t="n">
        <v>15.4911</v>
      </c>
      <c r="I15" t="n">
        <v>50.4</v>
      </c>
    </row>
    <row r="16">
      <c r="A16" t="inlineStr">
        <is>
          <t>Dia 3</t>
        </is>
      </c>
      <c r="B16" t="inlineStr">
        <is>
          <t>MP3</t>
        </is>
      </c>
      <c r="C16" t="n">
        <v>17.2667</v>
      </c>
      <c r="D16" t="n">
        <v>21.43</v>
      </c>
      <c r="E16" t="n">
        <v>38.6967</v>
      </c>
      <c r="F16" t="n">
        <v>0</v>
      </c>
      <c r="G16" t="n">
        <v>0</v>
      </c>
      <c r="H16" t="n">
        <v>38.6967</v>
      </c>
      <c r="I16" t="n">
        <v>75.59999999999999</v>
      </c>
    </row>
    <row r="17"/>
    <row r="18">
      <c r="A18" t="inlineStr">
        <is>
          <t>Dia 4</t>
        </is>
      </c>
      <c r="B18" t="inlineStr">
        <is>
          <t>MP1</t>
        </is>
      </c>
      <c r="C18" t="n">
        <v>0.5078</v>
      </c>
      <c r="D18" t="n">
        <v>22.34</v>
      </c>
      <c r="E18" t="n">
        <v>22.8478</v>
      </c>
      <c r="F18" t="n">
        <v>0</v>
      </c>
      <c r="G18" t="n">
        <v>19.5382</v>
      </c>
      <c r="H18" t="n">
        <v>3.3096</v>
      </c>
      <c r="I18" t="n">
        <v>127</v>
      </c>
    </row>
    <row r="19">
      <c r="A19" t="inlineStr">
        <is>
          <t>Dia 4</t>
        </is>
      </c>
      <c r="B19" t="inlineStr">
        <is>
          <t>MP2</t>
        </is>
      </c>
      <c r="C19" t="n">
        <v>15.4911</v>
      </c>
      <c r="D19" t="n">
        <v>0</v>
      </c>
      <c r="E19" t="n">
        <v>15.4911</v>
      </c>
      <c r="F19" t="n">
        <v>0</v>
      </c>
      <c r="G19" t="n">
        <v>15.331</v>
      </c>
      <c r="H19" t="n">
        <v>0.1601</v>
      </c>
      <c r="I19" t="n">
        <v>50.4</v>
      </c>
    </row>
    <row r="20">
      <c r="A20" t="inlineStr">
        <is>
          <t>Dia 4</t>
        </is>
      </c>
      <c r="B20" t="inlineStr">
        <is>
          <t>MP3</t>
        </is>
      </c>
      <c r="C20" t="n">
        <v>38.6967</v>
      </c>
      <c r="D20" t="n">
        <v>21.43</v>
      </c>
      <c r="E20" t="n">
        <v>60.1267</v>
      </c>
      <c r="F20" t="n">
        <v>0</v>
      </c>
      <c r="G20" t="n">
        <v>12.1185</v>
      </c>
      <c r="H20" t="n">
        <v>48.0082</v>
      </c>
      <c r="I20" t="n">
        <v>75.59999999999999</v>
      </c>
    </row>
    <row r="21"/>
    <row r="22">
      <c r="A22" t="inlineStr">
        <is>
          <t>Dia 5</t>
        </is>
      </c>
      <c r="B22" t="inlineStr">
        <is>
          <t>MP1</t>
        </is>
      </c>
      <c r="C22" t="n">
        <v>3.3096</v>
      </c>
      <c r="D22" t="n">
        <v>22.34</v>
      </c>
      <c r="E22" t="n">
        <v>25.6496</v>
      </c>
      <c r="F22" t="n">
        <v>0</v>
      </c>
      <c r="G22" t="n">
        <v>0</v>
      </c>
      <c r="H22" t="n">
        <v>25.6496</v>
      </c>
      <c r="I22" t="n">
        <v>127</v>
      </c>
    </row>
    <row r="23">
      <c r="A23" t="inlineStr">
        <is>
          <t>Dia 5</t>
        </is>
      </c>
      <c r="B23" t="inlineStr">
        <is>
          <t>MP2</t>
        </is>
      </c>
      <c r="C23" t="n">
        <v>0.1601</v>
      </c>
      <c r="D23" t="n">
        <v>0</v>
      </c>
      <c r="E23" t="n">
        <v>0.1601</v>
      </c>
      <c r="F23" t="n">
        <v>0</v>
      </c>
      <c r="G23" t="n">
        <v>0</v>
      </c>
      <c r="H23" t="n">
        <v>0.1601</v>
      </c>
      <c r="I23" t="n">
        <v>50.4</v>
      </c>
    </row>
    <row r="24">
      <c r="A24" t="inlineStr">
        <is>
          <t>Dia 5</t>
        </is>
      </c>
      <c r="B24" t="inlineStr">
        <is>
          <t>MP3</t>
        </is>
      </c>
      <c r="C24" t="n">
        <v>48.0082</v>
      </c>
      <c r="D24" t="n">
        <v>0</v>
      </c>
      <c r="E24" t="n">
        <v>48.0082</v>
      </c>
      <c r="F24" t="n">
        <v>0</v>
      </c>
      <c r="G24" t="n">
        <v>0</v>
      </c>
      <c r="H24" t="n">
        <v>48.0082</v>
      </c>
      <c r="I24" t="n">
        <v>75.59999999999999</v>
      </c>
    </row>
  </sheetData>
  <mergeCells count="2">
    <mergeCell ref="A1:I1"/>
    <mergeCell ref="A3:I3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H39"/>
  <sheetViews>
    <sheetView workbookViewId="0">
      <selection activeCell="A1" sqref="A1"/>
    </sheetView>
  </sheetViews>
  <sheetFormatPr baseColWidth="8" defaultRowHeight="15"/>
  <cols>
    <col width="50" customWidth="1" min="1" max="1"/>
  </cols>
  <sheetData>
    <row r="1">
      <c r="A1" s="1" t="inlineStr">
        <is>
          <t>ESTOQUE PA NOS CDs — SIMULAÇÃO DIA A DIA</t>
        </is>
      </c>
    </row>
    <row r="2"/>
    <row r="3">
      <c r="A3" s="11" t="inlineStr">
        <is>
          <t>Fórmula: END = PRE + CHEGADA (do F1) − SAÍDA (pro varejo)</t>
        </is>
      </c>
    </row>
    <row r="4"/>
    <row r="5">
      <c r="A5" s="4" t="inlineStr">
        <is>
          <t>Dia</t>
        </is>
      </c>
      <c r="B5" s="4" t="inlineStr">
        <is>
          <t>CD</t>
        </is>
      </c>
      <c r="C5" s="4" t="inlineStr">
        <is>
          <t>PA</t>
        </is>
      </c>
      <c r="D5" s="4" t="inlineStr">
        <is>
          <t>Pré</t>
        </is>
      </c>
      <c r="E5" s="4" t="inlineStr">
        <is>
          <t>+ Chegada (F1)</t>
        </is>
      </c>
      <c r="F5" s="4" t="inlineStr">
        <is>
          <t>− Saída (varejo)</t>
        </is>
      </c>
      <c r="G5" s="4" t="inlineStr">
        <is>
          <t>End</t>
        </is>
      </c>
      <c r="H5" s="4" t="inlineStr">
        <is>
          <t>Cap</t>
        </is>
      </c>
    </row>
    <row r="6">
      <c r="A6" t="inlineStr">
        <is>
          <t>Dia 1</t>
        </is>
      </c>
      <c r="B6" t="inlineStr">
        <is>
          <t>CD1 (São Luís)</t>
        </is>
      </c>
      <c r="C6" t="inlineStr">
        <is>
          <t>PA1</t>
        </is>
      </c>
      <c r="D6" t="n">
        <v>0</v>
      </c>
      <c r="E6" t="n">
        <v>0</v>
      </c>
      <c r="F6" t="n">
        <v>0</v>
      </c>
      <c r="G6" t="n">
        <v>0</v>
      </c>
      <c r="H6" t="n">
        <v>733333</v>
      </c>
    </row>
    <row r="7">
      <c r="A7" t="inlineStr">
        <is>
          <t>Dia 1</t>
        </is>
      </c>
      <c r="B7" t="inlineStr">
        <is>
          <t>CD1 (São Luís)</t>
        </is>
      </c>
      <c r="C7" t="inlineStr">
        <is>
          <t>PA2</t>
        </is>
      </c>
      <c r="D7" t="n">
        <v>0</v>
      </c>
      <c r="E7" t="n">
        <v>0</v>
      </c>
      <c r="F7" t="n">
        <v>0</v>
      </c>
      <c r="G7" t="n">
        <v>0</v>
      </c>
      <c r="H7" t="n">
        <v>432000</v>
      </c>
    </row>
    <row r="8">
      <c r="A8" t="inlineStr">
        <is>
          <t>Dia 1</t>
        </is>
      </c>
      <c r="B8" t="inlineStr">
        <is>
          <t>CD1 (São Luís)</t>
        </is>
      </c>
      <c r="C8" t="inlineStr">
        <is>
          <t>PA3</t>
        </is>
      </c>
      <c r="D8" t="n">
        <v>0</v>
      </c>
      <c r="E8" t="n">
        <v>0</v>
      </c>
      <c r="F8" t="n">
        <v>0</v>
      </c>
      <c r="G8" t="n">
        <v>0</v>
      </c>
      <c r="H8" t="n">
        <v>9312000</v>
      </c>
    </row>
    <row r="9">
      <c r="A9" t="inlineStr">
        <is>
          <t>Dia 1</t>
        </is>
      </c>
      <c r="B9" t="inlineStr">
        <is>
          <t>CD2 (Santos)</t>
        </is>
      </c>
      <c r="C9" t="inlineStr">
        <is>
          <t>PA1</t>
        </is>
      </c>
      <c r="D9" t="n">
        <v>0</v>
      </c>
      <c r="E9" t="n">
        <v>0</v>
      </c>
      <c r="F9" t="n">
        <v>0</v>
      </c>
      <c r="G9" t="n">
        <v>0</v>
      </c>
      <c r="H9" t="n">
        <v>666666</v>
      </c>
    </row>
    <row r="10">
      <c r="A10" t="inlineStr">
        <is>
          <t>Dia 1</t>
        </is>
      </c>
      <c r="B10" t="inlineStr">
        <is>
          <t>CD2 (Santos)</t>
        </is>
      </c>
      <c r="C10" t="inlineStr">
        <is>
          <t>PA2</t>
        </is>
      </c>
      <c r="D10" t="n">
        <v>0</v>
      </c>
      <c r="E10" t="n">
        <v>0</v>
      </c>
      <c r="F10" t="n">
        <v>0</v>
      </c>
      <c r="G10" t="n">
        <v>0</v>
      </c>
      <c r="H10" t="n">
        <v>400000</v>
      </c>
    </row>
    <row r="11">
      <c r="A11" t="inlineStr">
        <is>
          <t>Dia 1</t>
        </is>
      </c>
      <c r="B11" t="inlineStr">
        <is>
          <t>CD2 (Santos)</t>
        </is>
      </c>
      <c r="C11" t="inlineStr">
        <is>
          <t>PA3</t>
        </is>
      </c>
      <c r="D11" t="n">
        <v>0</v>
      </c>
      <c r="E11" t="n">
        <v>103464</v>
      </c>
      <c r="F11" t="n">
        <v>103464</v>
      </c>
      <c r="G11" t="n">
        <v>0</v>
      </c>
      <c r="H11" t="n">
        <v>8533333</v>
      </c>
    </row>
    <row r="12"/>
    <row r="13">
      <c r="A13" t="inlineStr">
        <is>
          <t>Dia 2</t>
        </is>
      </c>
      <c r="B13" t="inlineStr">
        <is>
          <t>CD1 (São Luís)</t>
        </is>
      </c>
      <c r="C13" t="inlineStr">
        <is>
          <t>PA1</t>
        </is>
      </c>
      <c r="D13" t="n">
        <v>0</v>
      </c>
      <c r="E13" t="n">
        <v>0</v>
      </c>
      <c r="F13" t="n">
        <v>0</v>
      </c>
      <c r="G13" t="n">
        <v>0</v>
      </c>
      <c r="H13" t="n">
        <v>733333</v>
      </c>
    </row>
    <row r="14">
      <c r="A14" t="inlineStr">
        <is>
          <t>Dia 2</t>
        </is>
      </c>
      <c r="B14" t="inlineStr">
        <is>
          <t>CD1 (São Luís)</t>
        </is>
      </c>
      <c r="C14" t="inlineStr">
        <is>
          <t>PA2</t>
        </is>
      </c>
      <c r="D14" t="n">
        <v>0</v>
      </c>
      <c r="E14" t="n">
        <v>0</v>
      </c>
      <c r="F14" t="n">
        <v>0</v>
      </c>
      <c r="G14" t="n">
        <v>0</v>
      </c>
      <c r="H14" t="n">
        <v>432000</v>
      </c>
    </row>
    <row r="15">
      <c r="A15" t="inlineStr">
        <is>
          <t>Dia 2</t>
        </is>
      </c>
      <c r="B15" t="inlineStr">
        <is>
          <t>CD1 (São Luís)</t>
        </is>
      </c>
      <c r="C15" t="inlineStr">
        <is>
          <t>PA3</t>
        </is>
      </c>
      <c r="D15" t="n">
        <v>0</v>
      </c>
      <c r="E15" t="n">
        <v>0</v>
      </c>
      <c r="F15" t="n">
        <v>0</v>
      </c>
      <c r="G15" t="n">
        <v>0</v>
      </c>
      <c r="H15" t="n">
        <v>9312000</v>
      </c>
    </row>
    <row r="16">
      <c r="A16" t="inlineStr">
        <is>
          <t>Dia 2</t>
        </is>
      </c>
      <c r="B16" t="inlineStr">
        <is>
          <t>CD2 (Santos)</t>
        </is>
      </c>
      <c r="C16" t="inlineStr">
        <is>
          <t>PA1</t>
        </is>
      </c>
      <c r="D16" t="n">
        <v>0</v>
      </c>
      <c r="E16" t="n">
        <v>0</v>
      </c>
      <c r="F16" t="n">
        <v>0</v>
      </c>
      <c r="G16" t="n">
        <v>0</v>
      </c>
      <c r="H16" t="n">
        <v>666666</v>
      </c>
    </row>
    <row r="17">
      <c r="A17" t="inlineStr">
        <is>
          <t>Dia 2</t>
        </is>
      </c>
      <c r="B17" t="inlineStr">
        <is>
          <t>CD2 (Santos)</t>
        </is>
      </c>
      <c r="C17" t="inlineStr">
        <is>
          <t>PA2</t>
        </is>
      </c>
      <c r="D17" t="n">
        <v>0</v>
      </c>
      <c r="E17" t="n">
        <v>0</v>
      </c>
      <c r="F17" t="n">
        <v>0</v>
      </c>
      <c r="G17" t="n">
        <v>0</v>
      </c>
      <c r="H17" t="n">
        <v>400000</v>
      </c>
    </row>
    <row r="18">
      <c r="A18" t="inlineStr">
        <is>
          <t>Dia 2</t>
        </is>
      </c>
      <c r="B18" t="inlineStr">
        <is>
          <t>CD2 (Santos)</t>
        </is>
      </c>
      <c r="C18" t="inlineStr">
        <is>
          <t>PA3</t>
        </is>
      </c>
      <c r="D18" t="n">
        <v>0</v>
      </c>
      <c r="E18" t="n">
        <v>1058832</v>
      </c>
      <c r="F18" t="n">
        <v>1058832</v>
      </c>
      <c r="G18" t="n">
        <v>0</v>
      </c>
      <c r="H18" t="n">
        <v>8533333</v>
      </c>
    </row>
    <row r="19"/>
    <row r="20">
      <c r="A20" t="inlineStr">
        <is>
          <t>Dia 3</t>
        </is>
      </c>
      <c r="B20" t="inlineStr">
        <is>
          <t>CD1 (São Luís)</t>
        </is>
      </c>
      <c r="C20" t="inlineStr">
        <is>
          <t>PA1</t>
        </is>
      </c>
      <c r="D20" t="n">
        <v>0</v>
      </c>
      <c r="E20" t="n">
        <v>0</v>
      </c>
      <c r="F20" t="n">
        <v>0</v>
      </c>
      <c r="G20" t="n">
        <v>0</v>
      </c>
      <c r="H20" t="n">
        <v>733333</v>
      </c>
    </row>
    <row r="21">
      <c r="A21" t="inlineStr">
        <is>
          <t>Dia 3</t>
        </is>
      </c>
      <c r="B21" t="inlineStr">
        <is>
          <t>CD1 (São Luís)</t>
        </is>
      </c>
      <c r="C21" t="inlineStr">
        <is>
          <t>PA2</t>
        </is>
      </c>
      <c r="D21" t="n">
        <v>0</v>
      </c>
      <c r="E21" t="n">
        <v>0</v>
      </c>
      <c r="F21" t="n">
        <v>0</v>
      </c>
      <c r="G21" t="n">
        <v>0</v>
      </c>
      <c r="H21" t="n">
        <v>432000</v>
      </c>
    </row>
    <row r="22">
      <c r="A22" t="inlineStr">
        <is>
          <t>Dia 3</t>
        </is>
      </c>
      <c r="B22" t="inlineStr">
        <is>
          <t>CD1 (São Luís)</t>
        </is>
      </c>
      <c r="C22" t="inlineStr">
        <is>
          <t>PA3</t>
        </is>
      </c>
      <c r="D22" t="n">
        <v>0</v>
      </c>
      <c r="E22" t="n">
        <v>0</v>
      </c>
      <c r="F22" t="n">
        <v>0</v>
      </c>
      <c r="G22" t="n">
        <v>0</v>
      </c>
      <c r="H22" t="n">
        <v>9312000</v>
      </c>
    </row>
    <row r="23">
      <c r="A23" t="inlineStr">
        <is>
          <t>Dia 3</t>
        </is>
      </c>
      <c r="B23" t="inlineStr">
        <is>
          <t>CD2 (Santos)</t>
        </is>
      </c>
      <c r="C23" t="inlineStr">
        <is>
          <t>PA1</t>
        </is>
      </c>
      <c r="D23" t="n">
        <v>0</v>
      </c>
      <c r="E23" t="n">
        <v>0</v>
      </c>
      <c r="F23" t="n">
        <v>0</v>
      </c>
      <c r="G23" t="n">
        <v>0</v>
      </c>
      <c r="H23" t="n">
        <v>666666</v>
      </c>
    </row>
    <row r="24">
      <c r="A24" t="inlineStr">
        <is>
          <t>Dia 3</t>
        </is>
      </c>
      <c r="B24" t="inlineStr">
        <is>
          <t>CD2 (Santos)</t>
        </is>
      </c>
      <c r="C24" t="inlineStr">
        <is>
          <t>PA2</t>
        </is>
      </c>
      <c r="D24" t="n">
        <v>0</v>
      </c>
      <c r="E24" t="n">
        <v>0</v>
      </c>
      <c r="F24" t="n">
        <v>0</v>
      </c>
      <c r="G24" t="n">
        <v>0</v>
      </c>
      <c r="H24" t="n">
        <v>400000</v>
      </c>
    </row>
    <row r="25">
      <c r="A25" t="inlineStr">
        <is>
          <t>Dia 3</t>
        </is>
      </c>
      <c r="B25" t="inlineStr">
        <is>
          <t>CD2 (Santos)</t>
        </is>
      </c>
      <c r="C25" t="inlineStr">
        <is>
          <t>PA3</t>
        </is>
      </c>
      <c r="D25" t="n">
        <v>0</v>
      </c>
      <c r="E25" t="n">
        <v>0</v>
      </c>
      <c r="F25" t="n">
        <v>0</v>
      </c>
      <c r="G25" t="n">
        <v>0</v>
      </c>
      <c r="H25" t="n">
        <v>8533333</v>
      </c>
    </row>
    <row r="26"/>
    <row r="27">
      <c r="A27" t="inlineStr">
        <is>
          <t>Dia 4</t>
        </is>
      </c>
      <c r="B27" t="inlineStr">
        <is>
          <t>CD1 (São Luís)</t>
        </is>
      </c>
      <c r="C27" t="inlineStr">
        <is>
          <t>PA1</t>
        </is>
      </c>
      <c r="D27" t="n">
        <v>0</v>
      </c>
      <c r="E27" t="n">
        <v>0</v>
      </c>
      <c r="F27" t="n">
        <v>0</v>
      </c>
      <c r="G27" t="n">
        <v>0</v>
      </c>
      <c r="H27" t="n">
        <v>733333</v>
      </c>
    </row>
    <row r="28">
      <c r="A28" t="inlineStr">
        <is>
          <t>Dia 4</t>
        </is>
      </c>
      <c r="B28" t="inlineStr">
        <is>
          <t>CD1 (São Luís)</t>
        </is>
      </c>
      <c r="C28" t="inlineStr">
        <is>
          <t>PA2</t>
        </is>
      </c>
      <c r="D28" t="n">
        <v>0</v>
      </c>
      <c r="E28" t="n">
        <v>0</v>
      </c>
      <c r="F28" t="n">
        <v>0</v>
      </c>
      <c r="G28" t="n">
        <v>0</v>
      </c>
      <c r="H28" t="n">
        <v>432000</v>
      </c>
    </row>
    <row r="29">
      <c r="A29" t="inlineStr">
        <is>
          <t>Dia 4</t>
        </is>
      </c>
      <c r="B29" t="inlineStr">
        <is>
          <t>CD1 (São Luís)</t>
        </is>
      </c>
      <c r="C29" t="inlineStr">
        <is>
          <t>PA3</t>
        </is>
      </c>
      <c r="D29" t="n">
        <v>0</v>
      </c>
      <c r="E29" t="n">
        <v>0</v>
      </c>
      <c r="F29" t="n">
        <v>0</v>
      </c>
      <c r="G29" t="n">
        <v>0</v>
      </c>
      <c r="H29" t="n">
        <v>9312000</v>
      </c>
    </row>
    <row r="30">
      <c r="A30" t="inlineStr">
        <is>
          <t>Dia 4</t>
        </is>
      </c>
      <c r="B30" t="inlineStr">
        <is>
          <t>CD2 (Santos)</t>
        </is>
      </c>
      <c r="C30" t="inlineStr">
        <is>
          <t>PA1</t>
        </is>
      </c>
      <c r="D30" t="n">
        <v>0</v>
      </c>
      <c r="E30" t="n">
        <v>0</v>
      </c>
      <c r="F30" t="n">
        <v>0</v>
      </c>
      <c r="G30" t="n">
        <v>0</v>
      </c>
      <c r="H30" t="n">
        <v>666666</v>
      </c>
    </row>
    <row r="31">
      <c r="A31" t="inlineStr">
        <is>
          <t>Dia 4</t>
        </is>
      </c>
      <c r="B31" t="inlineStr">
        <is>
          <t>CD2 (Santos)</t>
        </is>
      </c>
      <c r="C31" t="inlineStr">
        <is>
          <t>PA2</t>
        </is>
      </c>
      <c r="D31" t="n">
        <v>0</v>
      </c>
      <c r="E31" t="n">
        <v>0</v>
      </c>
      <c r="F31" t="n">
        <v>0</v>
      </c>
      <c r="G31" t="n">
        <v>0</v>
      </c>
      <c r="H31" t="n">
        <v>400000</v>
      </c>
    </row>
    <row r="32">
      <c r="A32" t="inlineStr">
        <is>
          <t>Dia 4</t>
        </is>
      </c>
      <c r="B32" t="inlineStr">
        <is>
          <t>CD2 (Santos)</t>
        </is>
      </c>
      <c r="C32" t="inlineStr">
        <is>
          <t>PA3</t>
        </is>
      </c>
      <c r="D32" t="n">
        <v>0</v>
      </c>
      <c r="E32" t="n">
        <v>12093</v>
      </c>
      <c r="F32" t="n">
        <v>12093</v>
      </c>
      <c r="G32" t="n">
        <v>0</v>
      </c>
      <c r="H32" t="n">
        <v>8533333</v>
      </c>
    </row>
    <row r="33"/>
    <row r="34">
      <c r="A34" t="inlineStr">
        <is>
          <t>Dia 5</t>
        </is>
      </c>
      <c r="B34" t="inlineStr">
        <is>
          <t>CD1 (São Luís)</t>
        </is>
      </c>
      <c r="C34" t="inlineStr">
        <is>
          <t>PA1</t>
        </is>
      </c>
      <c r="D34" t="n">
        <v>0</v>
      </c>
      <c r="E34" t="n">
        <v>0</v>
      </c>
      <c r="F34" t="n">
        <v>0</v>
      </c>
      <c r="G34" t="n">
        <v>0</v>
      </c>
      <c r="H34" t="n">
        <v>733333</v>
      </c>
    </row>
    <row r="35">
      <c r="A35" t="inlineStr">
        <is>
          <t>Dia 5</t>
        </is>
      </c>
      <c r="B35" t="inlineStr">
        <is>
          <t>CD1 (São Luís)</t>
        </is>
      </c>
      <c r="C35" t="inlineStr">
        <is>
          <t>PA2</t>
        </is>
      </c>
      <c r="D35" t="n">
        <v>0</v>
      </c>
      <c r="E35" t="n">
        <v>0</v>
      </c>
      <c r="F35" t="n">
        <v>0</v>
      </c>
      <c r="G35" t="n">
        <v>0</v>
      </c>
      <c r="H35" t="n">
        <v>432000</v>
      </c>
    </row>
    <row r="36">
      <c r="A36" t="inlineStr">
        <is>
          <t>Dia 5</t>
        </is>
      </c>
      <c r="B36" t="inlineStr">
        <is>
          <t>CD1 (São Luís)</t>
        </is>
      </c>
      <c r="C36" t="inlineStr">
        <is>
          <t>PA3</t>
        </is>
      </c>
      <c r="D36" t="n">
        <v>0</v>
      </c>
      <c r="E36" t="n">
        <v>0</v>
      </c>
      <c r="F36" t="n">
        <v>0</v>
      </c>
      <c r="G36" t="n">
        <v>0</v>
      </c>
      <c r="H36" t="n">
        <v>9312000</v>
      </c>
    </row>
    <row r="37">
      <c r="A37" t="inlineStr">
        <is>
          <t>Dia 5</t>
        </is>
      </c>
      <c r="B37" t="inlineStr">
        <is>
          <t>CD2 (Santos)</t>
        </is>
      </c>
      <c r="C37" t="inlineStr">
        <is>
          <t>PA1</t>
        </is>
      </c>
      <c r="D37" t="n">
        <v>0</v>
      </c>
      <c r="E37" t="n">
        <v>0</v>
      </c>
      <c r="F37" t="n">
        <v>0</v>
      </c>
      <c r="G37" t="n">
        <v>0</v>
      </c>
      <c r="H37" t="n">
        <v>666666</v>
      </c>
    </row>
    <row r="38">
      <c r="A38" t="inlineStr">
        <is>
          <t>Dia 5</t>
        </is>
      </c>
      <c r="B38" t="inlineStr">
        <is>
          <t>CD2 (Santos)</t>
        </is>
      </c>
      <c r="C38" t="inlineStr">
        <is>
          <t>PA2</t>
        </is>
      </c>
      <c r="D38" t="n">
        <v>0</v>
      </c>
      <c r="E38" t="n">
        <v>79113</v>
      </c>
      <c r="F38" t="n">
        <v>0</v>
      </c>
      <c r="G38" t="n">
        <v>79113</v>
      </c>
      <c r="H38" t="n">
        <v>400000</v>
      </c>
    </row>
    <row r="39">
      <c r="A39" t="inlineStr">
        <is>
          <t>Dia 5</t>
        </is>
      </c>
      <c r="B39" t="inlineStr">
        <is>
          <t>CD2 (Santos)</t>
        </is>
      </c>
      <c r="C39" t="inlineStr">
        <is>
          <t>PA3</t>
        </is>
      </c>
      <c r="D39" t="n">
        <v>0</v>
      </c>
      <c r="E39" t="n">
        <v>169304</v>
      </c>
      <c r="F39" t="n">
        <v>169304</v>
      </c>
      <c r="G39" t="n">
        <v>0</v>
      </c>
      <c r="H39" t="n">
        <v>8533333</v>
      </c>
    </row>
  </sheetData>
  <mergeCells count="2">
    <mergeCell ref="A3:H3"/>
    <mergeCell ref="A1:H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8" defaultRowHeight="15"/>
  <cols>
    <col width="50" customWidth="1" min="1" max="1"/>
  </cols>
  <sheetData>
    <row r="1">
      <c r="A1" s="1" t="inlineStr">
        <is>
          <t>POSIÇÃO FINAL R3 — Dia 15 (igual ao PDF ESTOQUES_FLAMENGO)</t>
        </is>
      </c>
    </row>
    <row r="2"/>
    <row r="3">
      <c r="A3" s="6" t="inlineStr">
        <is>
          <t>MATÉRIAS-PRIMAS — F1 Joinville</t>
        </is>
      </c>
    </row>
    <row r="4">
      <c r="A4" s="4" t="inlineStr">
        <is>
          <t>MP</t>
        </is>
      </c>
      <c r="B4" s="4" t="inlineStr">
        <is>
          <t>Cap (ton)</t>
        </is>
      </c>
      <c r="C4" s="4" t="inlineStr">
        <is>
          <t>Estoque (ton)</t>
        </is>
      </c>
      <c r="D4" s="4" t="inlineStr">
        <is>
          <t>Ocupação %</t>
        </is>
      </c>
      <c r="E4" s="4" t="inlineStr">
        <is>
          <t>Custo carreg (R$)</t>
        </is>
      </c>
      <c r="F4" s="4" t="inlineStr">
        <is>
          <t>Capital imob (R$)</t>
        </is>
      </c>
      <c r="G4" s="4" t="inlineStr">
        <is>
          <t>Maior preço (R$/ton)</t>
        </is>
      </c>
    </row>
    <row r="5">
      <c r="A5" t="inlineStr">
        <is>
          <t>MP1</t>
        </is>
      </c>
      <c r="B5" t="n">
        <v>127</v>
      </c>
      <c r="C5" t="n">
        <v>25.6496</v>
      </c>
      <c r="D5" s="9">
        <f>C5/B5</f>
        <v/>
      </c>
      <c r="E5" s="7" t="n">
        <v>14363.75</v>
      </c>
      <c r="F5" s="7" t="n">
        <v>1436374.8</v>
      </c>
      <c r="G5" s="7" t="n">
        <v>56000</v>
      </c>
    </row>
    <row r="6">
      <c r="A6" t="inlineStr">
        <is>
          <t>MP2</t>
        </is>
      </c>
      <c r="B6" t="n">
        <v>50.4</v>
      </c>
      <c r="C6" t="n">
        <v>0.1601</v>
      </c>
      <c r="D6" s="9">
        <f>C6/B6</f>
        <v/>
      </c>
      <c r="E6" s="7" t="n">
        <v>35.22</v>
      </c>
      <c r="F6" s="7" t="n">
        <v>3521.87</v>
      </c>
      <c r="G6" s="7" t="n">
        <v>22000</v>
      </c>
    </row>
    <row r="7">
      <c r="A7" t="inlineStr">
        <is>
          <t>MP3</t>
        </is>
      </c>
      <c r="B7" t="n">
        <v>75.59999999999999</v>
      </c>
      <c r="C7" t="n">
        <v>48.0082</v>
      </c>
      <c r="D7" s="9">
        <f>C7/B7</f>
        <v/>
      </c>
      <c r="E7" s="7" t="n">
        <v>19683.35</v>
      </c>
      <c r="F7" s="7" t="n">
        <v>1968334.76</v>
      </c>
      <c r="G7" s="7" t="n">
        <v>41000</v>
      </c>
    </row>
    <row r="8">
      <c r="A8" s="12" t="inlineStr">
        <is>
          <t>TOTAL F1</t>
        </is>
      </c>
      <c r="E8" s="13">
        <f>SUM(E5:E7)</f>
        <v/>
      </c>
      <c r="F8" s="13">
        <f>SUM(F5:F7)</f>
        <v/>
      </c>
    </row>
    <row r="9"/>
    <row r="10"/>
    <row r="11">
      <c r="A11" s="6" t="inlineStr">
        <is>
          <t>PRODUTOS ACABADOS — CDs</t>
        </is>
      </c>
    </row>
    <row r="12">
      <c r="A12" s="4" t="inlineStr">
        <is>
          <t>CD/Cidade</t>
        </is>
      </c>
      <c r="B12" s="4" t="inlineStr">
        <is>
          <t>PA</t>
        </is>
      </c>
      <c r="C12" s="4" t="inlineStr">
        <is>
          <t>Cap (un)</t>
        </is>
      </c>
      <c r="D12" s="4" t="inlineStr">
        <is>
          <t>Estoque (un)</t>
        </is>
      </c>
      <c r="E12" s="4" t="inlineStr">
        <is>
          <t>Ocupação %</t>
        </is>
      </c>
      <c r="F12" s="4" t="inlineStr">
        <is>
          <t>Custo carreg (R$)</t>
        </is>
      </c>
      <c r="G12" s="4" t="inlineStr">
        <is>
          <t>Preço tabela</t>
        </is>
      </c>
    </row>
    <row r="13">
      <c r="A13" t="inlineStr">
        <is>
          <t>CD1 São Luís</t>
        </is>
      </c>
      <c r="B13" t="inlineStr">
        <is>
          <t>PA1</t>
        </is>
      </c>
      <c r="C13" t="n">
        <v>733333</v>
      </c>
      <c r="D13" t="n">
        <v>0</v>
      </c>
      <c r="E13" s="9">
        <f>D13/C13</f>
        <v/>
      </c>
      <c r="F13" s="7" t="n">
        <v>0</v>
      </c>
      <c r="G13" s="7" t="n">
        <v>80</v>
      </c>
    </row>
    <row r="14">
      <c r="A14" t="inlineStr">
        <is>
          <t>CD1 São Luís</t>
        </is>
      </c>
      <c r="B14" t="inlineStr">
        <is>
          <t>PA2</t>
        </is>
      </c>
      <c r="C14" t="n">
        <v>432000</v>
      </c>
      <c r="D14" t="n">
        <v>0</v>
      </c>
      <c r="E14" s="9">
        <f>D14/C14</f>
        <v/>
      </c>
      <c r="F14" s="7" t="n">
        <v>0</v>
      </c>
      <c r="G14" s="7" t="n">
        <v>50</v>
      </c>
    </row>
    <row r="15">
      <c r="A15" t="inlineStr">
        <is>
          <t>CD1 São Luís</t>
        </is>
      </c>
      <c r="B15" t="inlineStr">
        <is>
          <t>PA3</t>
        </is>
      </c>
      <c r="C15" t="n">
        <v>9312000</v>
      </c>
      <c r="D15" t="n">
        <v>0</v>
      </c>
      <c r="E15" s="9">
        <f>D15/C15</f>
        <v/>
      </c>
      <c r="F15" s="7" t="n">
        <v>0</v>
      </c>
      <c r="G15" s="7" t="n">
        <v>25</v>
      </c>
    </row>
    <row r="16">
      <c r="A16" t="inlineStr">
        <is>
          <t>CD2 Santos</t>
        </is>
      </c>
      <c r="B16" t="inlineStr">
        <is>
          <t>PA1</t>
        </is>
      </c>
      <c r="C16" t="n">
        <v>666666</v>
      </c>
      <c r="D16" t="n">
        <v>0</v>
      </c>
      <c r="E16" s="9">
        <f>D16/C16</f>
        <v/>
      </c>
      <c r="F16" s="7" t="n">
        <v>0</v>
      </c>
      <c r="G16" s="7" t="n">
        <v>80</v>
      </c>
    </row>
    <row r="17">
      <c r="A17" t="inlineStr">
        <is>
          <t>CD2 Santos</t>
        </is>
      </c>
      <c r="B17" t="inlineStr">
        <is>
          <t>PA2</t>
        </is>
      </c>
      <c r="C17" t="n">
        <v>400000</v>
      </c>
      <c r="D17" t="n">
        <v>79113</v>
      </c>
      <c r="E17" s="9">
        <f>D17/C17</f>
        <v/>
      </c>
      <c r="F17" s="7" t="n">
        <v>39556.5</v>
      </c>
      <c r="G17" s="7" t="n">
        <v>50</v>
      </c>
    </row>
    <row r="18">
      <c r="A18" t="inlineStr">
        <is>
          <t>CD2 Santos</t>
        </is>
      </c>
      <c r="B18" t="inlineStr">
        <is>
          <t>PA3</t>
        </is>
      </c>
      <c r="C18" t="n">
        <v>8533333</v>
      </c>
      <c r="D18" t="n">
        <v>0</v>
      </c>
      <c r="E18" s="9">
        <f>D18/C18</f>
        <v/>
      </c>
      <c r="F18" s="7" t="n">
        <v>0</v>
      </c>
      <c r="G18" s="7" t="n">
        <v>25</v>
      </c>
    </row>
    <row r="19">
      <c r="A19" s="12" t="inlineStr">
        <is>
          <t>TOTAL CDs</t>
        </is>
      </c>
      <c r="F19" s="13">
        <f>SUM(F13:F18)</f>
        <v/>
      </c>
    </row>
  </sheetData>
  <mergeCells count="3">
    <mergeCell ref="A3:G3"/>
    <mergeCell ref="A11:G11"/>
    <mergeCell ref="A1:G1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M171"/>
  <sheetViews>
    <sheetView workbookViewId="0">
      <selection activeCell="A1" sqref="A1"/>
    </sheetView>
  </sheetViews>
  <sheetFormatPr baseColWidth="8" defaultRowHeight="15"/>
  <cols>
    <col width="50" customWidth="1" min="1" max="1"/>
  </cols>
  <sheetData>
    <row r="1">
      <c r="A1" s="1" t="inlineStr">
        <is>
          <t>FRETE DETALHADO POR VIAGEM (R3) — fórmula explícita</t>
        </is>
      </c>
    </row>
    <row r="2"/>
    <row r="3">
      <c r="A3" s="4" t="inlineStr">
        <is>
          <t>#</t>
        </is>
      </c>
      <c r="B3" s="4" t="inlineStr">
        <is>
          <t>Origem-tipo</t>
        </is>
      </c>
      <c r="C3" s="4" t="inlineStr">
        <is>
          <t>Origem</t>
        </is>
      </c>
      <c r="D3" s="4" t="inlineStr">
        <is>
          <t>Destino</t>
        </is>
      </c>
      <c r="E3" s="4" t="inlineStr">
        <is>
          <t>Modal</t>
        </is>
      </c>
      <c r="F3" s="4" t="inlineStr">
        <is>
          <t>Item</t>
        </is>
      </c>
      <c r="G3" s="4" t="inlineStr">
        <is>
          <t>Qty</t>
        </is>
      </c>
      <c r="H3" s="4" t="inlineStr">
        <is>
          <t>Peso (t) = qty×peso_un</t>
        </is>
      </c>
      <c r="I3" s="4" t="inlineStr">
        <is>
          <t>km</t>
        </is>
      </c>
      <c r="J3" s="4" t="inlineStr">
        <is>
          <t>Ocup % (peso/cap)</t>
        </is>
      </c>
      <c r="K3" s="4" t="inlineStr">
        <is>
          <t>Regra frete</t>
        </is>
      </c>
      <c r="L3" s="4" t="inlineStr">
        <is>
          <t>Frete (R$)</t>
        </is>
      </c>
      <c r="M3" s="4" t="inlineStr">
        <is>
          <t>Custo final (frete + doc)</t>
        </is>
      </c>
    </row>
    <row r="4">
      <c r="A4" t="n">
        <v>1</v>
      </c>
      <c r="B4" t="inlineStr">
        <is>
          <t>Fornecedor</t>
        </is>
      </c>
      <c r="C4" t="inlineStr">
        <is>
          <t>Manaus</t>
        </is>
      </c>
      <c r="D4" t="inlineStr">
        <is>
          <t>Joinville</t>
        </is>
      </c>
      <c r="E4" t="inlineStr">
        <is>
          <t>Caminhão</t>
        </is>
      </c>
      <c r="F4" t="inlineStr">
        <is>
          <t>MP1</t>
        </is>
      </c>
      <c r="G4" t="n">
        <v>22.34</v>
      </c>
      <c r="H4" t="n">
        <v>22.34</v>
      </c>
      <c r="I4" t="n">
        <v>4173</v>
      </c>
      <c r="J4" s="9">
        <f>H4/24</f>
        <v/>
      </c>
      <c r="K4" t="inlineStr">
        <is>
          <t>≥80%: 8×km</t>
        </is>
      </c>
      <c r="L4" s="7">
        <f>8*I4</f>
        <v/>
      </c>
      <c r="M4" s="7">
        <f>L4+100</f>
        <v/>
      </c>
    </row>
    <row r="5">
      <c r="A5" t="n">
        <v>2</v>
      </c>
      <c r="B5" t="inlineStr">
        <is>
          <t>Fornecedor</t>
        </is>
      </c>
      <c r="C5" t="inlineStr">
        <is>
          <t>Manaus</t>
        </is>
      </c>
      <c r="D5" t="inlineStr">
        <is>
          <t>Joinville</t>
        </is>
      </c>
      <c r="E5" t="inlineStr">
        <is>
          <t>Caminhão</t>
        </is>
      </c>
      <c r="F5" t="inlineStr">
        <is>
          <t>MP1</t>
        </is>
      </c>
      <c r="G5" t="n">
        <v>22.34</v>
      </c>
      <c r="H5" t="n">
        <v>22.34</v>
      </c>
      <c r="I5" t="n">
        <v>4173</v>
      </c>
      <c r="J5" s="9">
        <f>H5/24</f>
        <v/>
      </c>
      <c r="K5" t="inlineStr">
        <is>
          <t>≥80%: 8×km</t>
        </is>
      </c>
      <c r="L5" s="7">
        <f>8*I5</f>
        <v/>
      </c>
      <c r="M5" s="7">
        <f>L5+100</f>
        <v/>
      </c>
    </row>
    <row r="6">
      <c r="A6" t="n">
        <v>3</v>
      </c>
      <c r="B6" t="inlineStr">
        <is>
          <t>Fornecedor</t>
        </is>
      </c>
      <c r="C6" t="inlineStr">
        <is>
          <t>Manaus</t>
        </is>
      </c>
      <c r="D6" t="inlineStr">
        <is>
          <t>Joinville</t>
        </is>
      </c>
      <c r="E6" t="inlineStr">
        <is>
          <t>Caminhão</t>
        </is>
      </c>
      <c r="F6" t="inlineStr">
        <is>
          <t>MP1</t>
        </is>
      </c>
      <c r="G6" t="n">
        <v>22.34</v>
      </c>
      <c r="H6" t="n">
        <v>22.34</v>
      </c>
      <c r="I6" t="n">
        <v>4173</v>
      </c>
      <c r="J6" s="9">
        <f>H6/24</f>
        <v/>
      </c>
      <c r="K6" t="inlineStr">
        <is>
          <t>≥80%: 8×km</t>
        </is>
      </c>
      <c r="L6" s="7">
        <f>8*I6</f>
        <v/>
      </c>
      <c r="M6" s="7">
        <f>L6+100</f>
        <v/>
      </c>
    </row>
    <row r="7">
      <c r="A7" t="n">
        <v>4</v>
      </c>
      <c r="B7" t="inlineStr">
        <is>
          <t>Fornecedor</t>
        </is>
      </c>
      <c r="C7" t="inlineStr">
        <is>
          <t>Porto Alegre</t>
        </is>
      </c>
      <c r="D7" t="inlineStr">
        <is>
          <t>Joinville</t>
        </is>
      </c>
      <c r="E7" t="inlineStr">
        <is>
          <t>Caminhão</t>
        </is>
      </c>
      <c r="F7" t="inlineStr">
        <is>
          <t>MP3</t>
        </is>
      </c>
      <c r="G7" t="n">
        <v>21.43</v>
      </c>
      <c r="H7" t="n">
        <v>21.43</v>
      </c>
      <c r="I7" t="n">
        <v>640</v>
      </c>
      <c r="J7" s="9">
        <f>H7/24</f>
        <v/>
      </c>
      <c r="K7" t="inlineStr">
        <is>
          <t>≥80%: 8×km</t>
        </is>
      </c>
      <c r="L7" s="7">
        <f>8*I7</f>
        <v/>
      </c>
      <c r="M7" s="7">
        <f>L7+100</f>
        <v/>
      </c>
    </row>
    <row r="8">
      <c r="A8" t="n">
        <v>5</v>
      </c>
      <c r="B8" t="inlineStr">
        <is>
          <t>Fornecedor</t>
        </is>
      </c>
      <c r="C8" t="inlineStr">
        <is>
          <t>Porto Alegre</t>
        </is>
      </c>
      <c r="D8" t="inlineStr">
        <is>
          <t>Joinville</t>
        </is>
      </c>
      <c r="E8" t="inlineStr">
        <is>
          <t>Caminhão</t>
        </is>
      </c>
      <c r="F8" t="inlineStr">
        <is>
          <t>MP3</t>
        </is>
      </c>
      <c r="G8" t="n">
        <v>21.43</v>
      </c>
      <c r="H8" t="n">
        <v>21.43</v>
      </c>
      <c r="I8" t="n">
        <v>640</v>
      </c>
      <c r="J8" s="9">
        <f>H8/24</f>
        <v/>
      </c>
      <c r="K8" t="inlineStr">
        <is>
          <t>≥80%: 8×km</t>
        </is>
      </c>
      <c r="L8" s="7">
        <f>8*I8</f>
        <v/>
      </c>
      <c r="M8" s="7">
        <f>L8+100</f>
        <v/>
      </c>
    </row>
    <row r="9">
      <c r="A9" t="n">
        <v>6</v>
      </c>
      <c r="B9" t="inlineStr">
        <is>
          <t>Fornecedor</t>
        </is>
      </c>
      <c r="C9" t="inlineStr">
        <is>
          <t>Porto Alegre</t>
        </is>
      </c>
      <c r="D9" t="inlineStr">
        <is>
          <t>Joinville</t>
        </is>
      </c>
      <c r="E9" t="inlineStr">
        <is>
          <t>Caminhão</t>
        </is>
      </c>
      <c r="F9" t="inlineStr">
        <is>
          <t>MP3</t>
        </is>
      </c>
      <c r="G9" t="n">
        <v>21.43</v>
      </c>
      <c r="H9" t="n">
        <v>21.43</v>
      </c>
      <c r="I9" t="n">
        <v>640</v>
      </c>
      <c r="J9" s="9">
        <f>H9/24</f>
        <v/>
      </c>
      <c r="K9" t="inlineStr">
        <is>
          <t>≥80%: 8×km</t>
        </is>
      </c>
      <c r="L9" s="7">
        <f>8*I9</f>
        <v/>
      </c>
      <c r="M9" s="7">
        <f>L9+100</f>
        <v/>
      </c>
    </row>
    <row r="10">
      <c r="A10" t="n">
        <v>7</v>
      </c>
      <c r="B10" t="inlineStr">
        <is>
          <t>Fábrica</t>
        </is>
      </c>
      <c r="C10" t="inlineStr">
        <is>
          <t>Joinville</t>
        </is>
      </c>
      <c r="D10" t="inlineStr">
        <is>
          <t>Santos</t>
        </is>
      </c>
      <c r="E10" t="inlineStr">
        <is>
          <t>Avião</t>
        </is>
      </c>
      <c r="F10" t="inlineStr">
        <is>
          <t>PA3</t>
        </is>
      </c>
      <c r="G10" t="n">
        <v>6666</v>
      </c>
      <c r="H10" t="n">
        <v>0.9999</v>
      </c>
      <c r="I10" t="n">
        <v>364</v>
      </c>
      <c r="J10" s="9">
        <f>H10/1</f>
        <v/>
      </c>
      <c r="K10" t="inlineStr">
        <is>
          <t>≥80%: 12×km</t>
        </is>
      </c>
      <c r="L10" s="7">
        <f>12*I10</f>
        <v/>
      </c>
      <c r="M10" s="7">
        <f>L10+200</f>
        <v/>
      </c>
    </row>
    <row r="11">
      <c r="A11" t="n">
        <v>8</v>
      </c>
      <c r="B11" t="inlineStr">
        <is>
          <t>Fábrica</t>
        </is>
      </c>
      <c r="C11" t="inlineStr">
        <is>
          <t>Joinville</t>
        </is>
      </c>
      <c r="D11" t="inlineStr">
        <is>
          <t>Santos</t>
        </is>
      </c>
      <c r="E11" t="inlineStr">
        <is>
          <t>Avião</t>
        </is>
      </c>
      <c r="F11" t="inlineStr">
        <is>
          <t>PA3</t>
        </is>
      </c>
      <c r="G11" t="n">
        <v>6666</v>
      </c>
      <c r="H11" t="n">
        <v>0.9999</v>
      </c>
      <c r="I11" t="n">
        <v>364</v>
      </c>
      <c r="J11" s="9">
        <f>H11/1</f>
        <v/>
      </c>
      <c r="K11" t="inlineStr">
        <is>
          <t>≥80%: 12×km</t>
        </is>
      </c>
      <c r="L11" s="7">
        <f>12*I11</f>
        <v/>
      </c>
      <c r="M11" s="7">
        <f>L11+200</f>
        <v/>
      </c>
    </row>
    <row r="12">
      <c r="A12" t="n">
        <v>9</v>
      </c>
      <c r="B12" t="inlineStr">
        <is>
          <t>Fábrica</t>
        </is>
      </c>
      <c r="C12" t="inlineStr">
        <is>
          <t>Joinville</t>
        </is>
      </c>
      <c r="D12" t="inlineStr">
        <is>
          <t>Santos</t>
        </is>
      </c>
      <c r="E12" t="inlineStr">
        <is>
          <t>Avião</t>
        </is>
      </c>
      <c r="F12" t="inlineStr">
        <is>
          <t>PA3</t>
        </is>
      </c>
      <c r="G12" t="n">
        <v>6666</v>
      </c>
      <c r="H12" t="n">
        <v>0.9999</v>
      </c>
      <c r="I12" t="n">
        <v>364</v>
      </c>
      <c r="J12" s="9">
        <f>H12/1</f>
        <v/>
      </c>
      <c r="K12" t="inlineStr">
        <is>
          <t>≥80%: 12×km</t>
        </is>
      </c>
      <c r="L12" s="7">
        <f>12*I12</f>
        <v/>
      </c>
      <c r="M12" s="7">
        <f>L12+200</f>
        <v/>
      </c>
    </row>
    <row r="13">
      <c r="A13" t="n">
        <v>10</v>
      </c>
      <c r="B13" t="inlineStr">
        <is>
          <t>Fábrica</t>
        </is>
      </c>
      <c r="C13" t="inlineStr">
        <is>
          <t>Joinville</t>
        </is>
      </c>
      <c r="D13" t="inlineStr">
        <is>
          <t>Santos</t>
        </is>
      </c>
      <c r="E13" t="inlineStr">
        <is>
          <t>Avião</t>
        </is>
      </c>
      <c r="F13" t="inlineStr">
        <is>
          <t>PA3</t>
        </is>
      </c>
      <c r="G13" t="n">
        <v>6666</v>
      </c>
      <c r="H13" t="n">
        <v>0.9999</v>
      </c>
      <c r="I13" t="n">
        <v>364</v>
      </c>
      <c r="J13" s="9">
        <f>H13/1</f>
        <v/>
      </c>
      <c r="K13" t="inlineStr">
        <is>
          <t>≥80%: 12×km</t>
        </is>
      </c>
      <c r="L13" s="7">
        <f>12*I13</f>
        <v/>
      </c>
      <c r="M13" s="7">
        <f>L13+200</f>
        <v/>
      </c>
    </row>
    <row r="14">
      <c r="A14" t="n">
        <v>11</v>
      </c>
      <c r="B14" t="inlineStr">
        <is>
          <t>Fábrica</t>
        </is>
      </c>
      <c r="C14" t="inlineStr">
        <is>
          <t>Joinville</t>
        </is>
      </c>
      <c r="D14" t="inlineStr">
        <is>
          <t>Santos</t>
        </is>
      </c>
      <c r="E14" t="inlineStr">
        <is>
          <t>Avião</t>
        </is>
      </c>
      <c r="F14" t="inlineStr">
        <is>
          <t>PA3</t>
        </is>
      </c>
      <c r="G14" t="n">
        <v>6666</v>
      </c>
      <c r="H14" t="n">
        <v>0.9999</v>
      </c>
      <c r="I14" t="n">
        <v>364</v>
      </c>
      <c r="J14" s="9">
        <f>H14/1</f>
        <v/>
      </c>
      <c r="K14" t="inlineStr">
        <is>
          <t>≥80%: 12×km</t>
        </is>
      </c>
      <c r="L14" s="7">
        <f>12*I14</f>
        <v/>
      </c>
      <c r="M14" s="7">
        <f>L14+200</f>
        <v/>
      </c>
    </row>
    <row r="15">
      <c r="A15" t="n">
        <v>12</v>
      </c>
      <c r="B15" t="inlineStr">
        <is>
          <t>Fábrica</t>
        </is>
      </c>
      <c r="C15" t="inlineStr">
        <is>
          <t>Joinville</t>
        </is>
      </c>
      <c r="D15" t="inlineStr">
        <is>
          <t>Santos</t>
        </is>
      </c>
      <c r="E15" t="inlineStr">
        <is>
          <t>Avião</t>
        </is>
      </c>
      <c r="F15" t="inlineStr">
        <is>
          <t>PA3</t>
        </is>
      </c>
      <c r="G15" t="n">
        <v>6666</v>
      </c>
      <c r="H15" t="n">
        <v>0.9999</v>
      </c>
      <c r="I15" t="n">
        <v>364</v>
      </c>
      <c r="J15" s="9">
        <f>H15/1</f>
        <v/>
      </c>
      <c r="K15" t="inlineStr">
        <is>
          <t>≥80%: 12×km</t>
        </is>
      </c>
      <c r="L15" s="7">
        <f>12*I15</f>
        <v/>
      </c>
      <c r="M15" s="7">
        <f>L15+200</f>
        <v/>
      </c>
    </row>
    <row r="16">
      <c r="A16" t="n">
        <v>13</v>
      </c>
      <c r="B16" t="inlineStr">
        <is>
          <t>Fábrica</t>
        </is>
      </c>
      <c r="C16" t="inlineStr">
        <is>
          <t>Joinville</t>
        </is>
      </c>
      <c r="D16" t="inlineStr">
        <is>
          <t>Santos</t>
        </is>
      </c>
      <c r="E16" t="inlineStr">
        <is>
          <t>Avião</t>
        </is>
      </c>
      <c r="F16" t="inlineStr">
        <is>
          <t>PA3</t>
        </is>
      </c>
      <c r="G16" t="n">
        <v>6666</v>
      </c>
      <c r="H16" t="n">
        <v>0.9999</v>
      </c>
      <c r="I16" t="n">
        <v>364</v>
      </c>
      <c r="J16" s="9">
        <f>H16/1</f>
        <v/>
      </c>
      <c r="K16" t="inlineStr">
        <is>
          <t>≥80%: 12×km</t>
        </is>
      </c>
      <c r="L16" s="7">
        <f>12*I16</f>
        <v/>
      </c>
      <c r="M16" s="7">
        <f>L16+200</f>
        <v/>
      </c>
    </row>
    <row r="17">
      <c r="A17" t="n">
        <v>14</v>
      </c>
      <c r="B17" t="inlineStr">
        <is>
          <t>Fábrica</t>
        </is>
      </c>
      <c r="C17" t="inlineStr">
        <is>
          <t>Joinville</t>
        </is>
      </c>
      <c r="D17" t="inlineStr">
        <is>
          <t>Santos</t>
        </is>
      </c>
      <c r="E17" t="inlineStr">
        <is>
          <t>Avião</t>
        </is>
      </c>
      <c r="F17" t="inlineStr">
        <is>
          <t>PA3</t>
        </is>
      </c>
      <c r="G17" t="n">
        <v>6666</v>
      </c>
      <c r="H17" t="n">
        <v>0.9999</v>
      </c>
      <c r="I17" t="n">
        <v>364</v>
      </c>
      <c r="J17" s="9">
        <f>H17/1</f>
        <v/>
      </c>
      <c r="K17" t="inlineStr">
        <is>
          <t>≥80%: 12×km</t>
        </is>
      </c>
      <c r="L17" s="7">
        <f>12*I17</f>
        <v/>
      </c>
      <c r="M17" s="7">
        <f>L17+200</f>
        <v/>
      </c>
    </row>
    <row r="18">
      <c r="A18" t="n">
        <v>15</v>
      </c>
      <c r="B18" t="inlineStr">
        <is>
          <t>Fábrica</t>
        </is>
      </c>
      <c r="C18" t="inlineStr">
        <is>
          <t>Joinville</t>
        </is>
      </c>
      <c r="D18" t="inlineStr">
        <is>
          <t>Santos</t>
        </is>
      </c>
      <c r="E18" t="inlineStr">
        <is>
          <t>Avião</t>
        </is>
      </c>
      <c r="F18" t="inlineStr">
        <is>
          <t>PA3</t>
        </is>
      </c>
      <c r="G18" t="n">
        <v>6666</v>
      </c>
      <c r="H18" t="n">
        <v>0.9999</v>
      </c>
      <c r="I18" t="n">
        <v>364</v>
      </c>
      <c r="J18" s="9">
        <f>H18/1</f>
        <v/>
      </c>
      <c r="K18" t="inlineStr">
        <is>
          <t>≥80%: 12×km</t>
        </is>
      </c>
      <c r="L18" s="7">
        <f>12*I18</f>
        <v/>
      </c>
      <c r="M18" s="7">
        <f>L18+200</f>
        <v/>
      </c>
    </row>
    <row r="19">
      <c r="A19" t="n">
        <v>16</v>
      </c>
      <c r="B19" t="inlineStr">
        <is>
          <t>Fábrica</t>
        </is>
      </c>
      <c r="C19" t="inlineStr">
        <is>
          <t>Joinville</t>
        </is>
      </c>
      <c r="D19" t="inlineStr">
        <is>
          <t>Santos</t>
        </is>
      </c>
      <c r="E19" t="inlineStr">
        <is>
          <t>Avião</t>
        </is>
      </c>
      <c r="F19" t="inlineStr">
        <is>
          <t>PA3</t>
        </is>
      </c>
      <c r="G19" t="n">
        <v>6666</v>
      </c>
      <c r="H19" t="n">
        <v>0.9999</v>
      </c>
      <c r="I19" t="n">
        <v>364</v>
      </c>
      <c r="J19" s="9">
        <f>H19/1</f>
        <v/>
      </c>
      <c r="K19" t="inlineStr">
        <is>
          <t>≥80%: 12×km</t>
        </is>
      </c>
      <c r="L19" s="7">
        <f>12*I19</f>
        <v/>
      </c>
      <c r="M19" s="7">
        <f>L19+200</f>
        <v/>
      </c>
    </row>
    <row r="20">
      <c r="A20" t="n">
        <v>17</v>
      </c>
      <c r="B20" t="inlineStr">
        <is>
          <t>Fábrica</t>
        </is>
      </c>
      <c r="C20" t="inlineStr">
        <is>
          <t>Joinville</t>
        </is>
      </c>
      <c r="D20" t="inlineStr">
        <is>
          <t>Santos</t>
        </is>
      </c>
      <c r="E20" t="inlineStr">
        <is>
          <t>Avião</t>
        </is>
      </c>
      <c r="F20" t="inlineStr">
        <is>
          <t>PA3</t>
        </is>
      </c>
      <c r="G20" t="n">
        <v>6666</v>
      </c>
      <c r="H20" t="n">
        <v>0.9999</v>
      </c>
      <c r="I20" t="n">
        <v>364</v>
      </c>
      <c r="J20" s="9">
        <f>H20/1</f>
        <v/>
      </c>
      <c r="K20" t="inlineStr">
        <is>
          <t>≥80%: 12×km</t>
        </is>
      </c>
      <c r="L20" s="7">
        <f>12*I20</f>
        <v/>
      </c>
      <c r="M20" s="7">
        <f>L20+200</f>
        <v/>
      </c>
    </row>
    <row r="21">
      <c r="A21" t="n">
        <v>18</v>
      </c>
      <c r="B21" t="inlineStr">
        <is>
          <t>Fábrica</t>
        </is>
      </c>
      <c r="C21" t="inlineStr">
        <is>
          <t>Joinville</t>
        </is>
      </c>
      <c r="D21" t="inlineStr">
        <is>
          <t>Santos</t>
        </is>
      </c>
      <c r="E21" t="inlineStr">
        <is>
          <t>Avião</t>
        </is>
      </c>
      <c r="F21" t="inlineStr">
        <is>
          <t>PA3</t>
        </is>
      </c>
      <c r="G21" t="n">
        <v>6666</v>
      </c>
      <c r="H21" t="n">
        <v>0.9999</v>
      </c>
      <c r="I21" t="n">
        <v>364</v>
      </c>
      <c r="J21" s="9">
        <f>H21/1</f>
        <v/>
      </c>
      <c r="K21" t="inlineStr">
        <is>
          <t>≥80%: 12×km</t>
        </is>
      </c>
      <c r="L21" s="7">
        <f>12*I21</f>
        <v/>
      </c>
      <c r="M21" s="7">
        <f>L21+200</f>
        <v/>
      </c>
    </row>
    <row r="22">
      <c r="A22" t="n">
        <v>19</v>
      </c>
      <c r="B22" t="inlineStr">
        <is>
          <t>Fábrica</t>
        </is>
      </c>
      <c r="C22" t="inlineStr">
        <is>
          <t>Joinville</t>
        </is>
      </c>
      <c r="D22" t="inlineStr">
        <is>
          <t>Santos</t>
        </is>
      </c>
      <c r="E22" t="inlineStr">
        <is>
          <t>Avião</t>
        </is>
      </c>
      <c r="F22" t="inlineStr">
        <is>
          <t>PA3</t>
        </is>
      </c>
      <c r="G22" t="n">
        <v>6666</v>
      </c>
      <c r="H22" t="n">
        <v>0.9999</v>
      </c>
      <c r="I22" t="n">
        <v>364</v>
      </c>
      <c r="J22" s="9">
        <f>H22/1</f>
        <v/>
      </c>
      <c r="K22" t="inlineStr">
        <is>
          <t>≥80%: 12×km</t>
        </is>
      </c>
      <c r="L22" s="7">
        <f>12*I22</f>
        <v/>
      </c>
      <c r="M22" s="7">
        <f>L22+200</f>
        <v/>
      </c>
    </row>
    <row r="23">
      <c r="A23" t="n">
        <v>20</v>
      </c>
      <c r="B23" t="inlineStr">
        <is>
          <t>Fábrica</t>
        </is>
      </c>
      <c r="C23" t="inlineStr">
        <is>
          <t>Joinville</t>
        </is>
      </c>
      <c r="D23" t="inlineStr">
        <is>
          <t>Santos</t>
        </is>
      </c>
      <c r="E23" t="inlineStr">
        <is>
          <t>Avião</t>
        </is>
      </c>
      <c r="F23" t="inlineStr">
        <is>
          <t>PA3</t>
        </is>
      </c>
      <c r="G23" t="n">
        <v>6666</v>
      </c>
      <c r="H23" t="n">
        <v>0.9999</v>
      </c>
      <c r="I23" t="n">
        <v>364</v>
      </c>
      <c r="J23" s="9">
        <f>H23/1</f>
        <v/>
      </c>
      <c r="K23" t="inlineStr">
        <is>
          <t>≥80%: 12×km</t>
        </is>
      </c>
      <c r="L23" s="7">
        <f>12*I23</f>
        <v/>
      </c>
      <c r="M23" s="7">
        <f>L23+200</f>
        <v/>
      </c>
    </row>
    <row r="24">
      <c r="A24" t="n">
        <v>21</v>
      </c>
      <c r="B24" t="inlineStr">
        <is>
          <t>Fábrica</t>
        </is>
      </c>
      <c r="C24" t="inlineStr">
        <is>
          <t>Joinville</t>
        </is>
      </c>
      <c r="D24" t="inlineStr">
        <is>
          <t>Santos</t>
        </is>
      </c>
      <c r="E24" t="inlineStr">
        <is>
          <t>Avião</t>
        </is>
      </c>
      <c r="F24" t="inlineStr">
        <is>
          <t>PA3</t>
        </is>
      </c>
      <c r="G24" t="n">
        <v>6666</v>
      </c>
      <c r="H24" t="n">
        <v>0.9999</v>
      </c>
      <c r="I24" t="n">
        <v>364</v>
      </c>
      <c r="J24" s="9">
        <f>H24/1</f>
        <v/>
      </c>
      <c r="K24" t="inlineStr">
        <is>
          <t>≥80%: 12×km</t>
        </is>
      </c>
      <c r="L24" s="7">
        <f>12*I24</f>
        <v/>
      </c>
      <c r="M24" s="7">
        <f>L24+200</f>
        <v/>
      </c>
    </row>
    <row r="25">
      <c r="A25" t="n">
        <v>22</v>
      </c>
      <c r="B25" t="inlineStr">
        <is>
          <t>Fábrica</t>
        </is>
      </c>
      <c r="C25" t="inlineStr">
        <is>
          <t>Joinville</t>
        </is>
      </c>
      <c r="D25" t="inlineStr">
        <is>
          <t>Santos</t>
        </is>
      </c>
      <c r="E25" t="inlineStr">
        <is>
          <t>Avião</t>
        </is>
      </c>
      <c r="F25" t="inlineStr">
        <is>
          <t>PA3</t>
        </is>
      </c>
      <c r="G25" t="n">
        <v>3474</v>
      </c>
      <c r="H25" t="n">
        <v>0.5211</v>
      </c>
      <c r="I25" t="n">
        <v>364</v>
      </c>
      <c r="J25" s="9">
        <f>H25/1</f>
        <v/>
      </c>
      <c r="K25" t="inlineStr">
        <is>
          <t>&lt;80%: 0.5×12×km + 18×km×peso</t>
        </is>
      </c>
      <c r="L25" s="7">
        <f>0.5*12*I25+18*I25*H25</f>
        <v/>
      </c>
      <c r="M25" s="7">
        <f>L25+200</f>
        <v/>
      </c>
    </row>
    <row r="26">
      <c r="A26" t="n">
        <v>23</v>
      </c>
      <c r="B26" t="inlineStr">
        <is>
          <t>Fábrica</t>
        </is>
      </c>
      <c r="C26" t="inlineStr">
        <is>
          <t>Joinville</t>
        </is>
      </c>
      <c r="D26" t="inlineStr">
        <is>
          <t>Santos</t>
        </is>
      </c>
      <c r="E26" t="inlineStr">
        <is>
          <t>Navio</t>
        </is>
      </c>
      <c r="F26" t="inlineStr">
        <is>
          <t>PA3</t>
        </is>
      </c>
      <c r="G26" t="n">
        <v>493807</v>
      </c>
      <c r="H26" t="n">
        <v>74.071</v>
      </c>
      <c r="I26" t="n">
        <v>419</v>
      </c>
      <c r="J26" s="9">
        <f>H26/100</f>
        <v/>
      </c>
      <c r="K26" t="inlineStr">
        <is>
          <t>&lt;80%: 0.5×5×km + 0.075×km×peso</t>
        </is>
      </c>
      <c r="L26" s="7">
        <f>0.5*5*I26+0.075*I26*H26</f>
        <v/>
      </c>
      <c r="M26" s="7">
        <f>L26+50</f>
        <v/>
      </c>
    </row>
    <row r="27">
      <c r="A27" t="n">
        <v>24</v>
      </c>
      <c r="B27" t="inlineStr">
        <is>
          <t>Fábrica</t>
        </is>
      </c>
      <c r="C27" t="inlineStr">
        <is>
          <t>Joinville</t>
        </is>
      </c>
      <c r="D27" t="inlineStr">
        <is>
          <t>Santos</t>
        </is>
      </c>
      <c r="E27" t="inlineStr">
        <is>
          <t>Avião</t>
        </is>
      </c>
      <c r="F27" t="inlineStr">
        <is>
          <t>PA3</t>
        </is>
      </c>
      <c r="G27" t="n">
        <v>6666</v>
      </c>
      <c r="H27" t="n">
        <v>0.9999</v>
      </c>
      <c r="I27" t="n">
        <v>364</v>
      </c>
      <c r="J27" s="9">
        <f>H27/1</f>
        <v/>
      </c>
      <c r="K27" t="inlineStr">
        <is>
          <t>≥80%: 12×km</t>
        </is>
      </c>
      <c r="L27" s="7">
        <f>12*I27</f>
        <v/>
      </c>
      <c r="M27" s="7">
        <f>L27+200</f>
        <v/>
      </c>
    </row>
    <row r="28">
      <c r="A28" t="n">
        <v>25</v>
      </c>
      <c r="B28" t="inlineStr">
        <is>
          <t>Fábrica</t>
        </is>
      </c>
      <c r="C28" t="inlineStr">
        <is>
          <t>Joinville</t>
        </is>
      </c>
      <c r="D28" t="inlineStr">
        <is>
          <t>Santos</t>
        </is>
      </c>
      <c r="E28" t="inlineStr">
        <is>
          <t>Avião</t>
        </is>
      </c>
      <c r="F28" t="inlineStr">
        <is>
          <t>PA3</t>
        </is>
      </c>
      <c r="G28" t="n">
        <v>6666</v>
      </c>
      <c r="H28" t="n">
        <v>0.9999</v>
      </c>
      <c r="I28" t="n">
        <v>364</v>
      </c>
      <c r="J28" s="9">
        <f>H28/1</f>
        <v/>
      </c>
      <c r="K28" t="inlineStr">
        <is>
          <t>≥80%: 12×km</t>
        </is>
      </c>
      <c r="L28" s="7">
        <f>12*I28</f>
        <v/>
      </c>
      <c r="M28" s="7">
        <f>L28+200</f>
        <v/>
      </c>
    </row>
    <row r="29">
      <c r="A29" t="n">
        <v>26</v>
      </c>
      <c r="B29" t="inlineStr">
        <is>
          <t>Fábrica</t>
        </is>
      </c>
      <c r="C29" t="inlineStr">
        <is>
          <t>Joinville</t>
        </is>
      </c>
      <c r="D29" t="inlineStr">
        <is>
          <t>Santos</t>
        </is>
      </c>
      <c r="E29" t="inlineStr">
        <is>
          <t>Avião</t>
        </is>
      </c>
      <c r="F29" t="inlineStr">
        <is>
          <t>PA3</t>
        </is>
      </c>
      <c r="G29" t="n">
        <v>6666</v>
      </c>
      <c r="H29" t="n">
        <v>0.9999</v>
      </c>
      <c r="I29" t="n">
        <v>364</v>
      </c>
      <c r="J29" s="9">
        <f>H29/1</f>
        <v/>
      </c>
      <c r="K29" t="inlineStr">
        <is>
          <t>≥80%: 12×km</t>
        </is>
      </c>
      <c r="L29" s="7">
        <f>12*I29</f>
        <v/>
      </c>
      <c r="M29" s="7">
        <f>L29+200</f>
        <v/>
      </c>
    </row>
    <row r="30">
      <c r="A30" t="n">
        <v>27</v>
      </c>
      <c r="B30" t="inlineStr">
        <is>
          <t>Fábrica</t>
        </is>
      </c>
      <c r="C30" t="inlineStr">
        <is>
          <t>Joinville</t>
        </is>
      </c>
      <c r="D30" t="inlineStr">
        <is>
          <t>Santos</t>
        </is>
      </c>
      <c r="E30" t="inlineStr">
        <is>
          <t>Avião</t>
        </is>
      </c>
      <c r="F30" t="inlineStr">
        <is>
          <t>PA3</t>
        </is>
      </c>
      <c r="G30" t="n">
        <v>6666</v>
      </c>
      <c r="H30" t="n">
        <v>0.9999</v>
      </c>
      <c r="I30" t="n">
        <v>364</v>
      </c>
      <c r="J30" s="9">
        <f>H30/1</f>
        <v/>
      </c>
      <c r="K30" t="inlineStr">
        <is>
          <t>≥80%: 12×km</t>
        </is>
      </c>
      <c r="L30" s="7">
        <f>12*I30</f>
        <v/>
      </c>
      <c r="M30" s="7">
        <f>L30+200</f>
        <v/>
      </c>
    </row>
    <row r="31">
      <c r="A31" t="n">
        <v>28</v>
      </c>
      <c r="B31" t="inlineStr">
        <is>
          <t>Fábrica</t>
        </is>
      </c>
      <c r="C31" t="inlineStr">
        <is>
          <t>Joinville</t>
        </is>
      </c>
      <c r="D31" t="inlineStr">
        <is>
          <t>Santos</t>
        </is>
      </c>
      <c r="E31" t="inlineStr">
        <is>
          <t>Avião</t>
        </is>
      </c>
      <c r="F31" t="inlineStr">
        <is>
          <t>PA3</t>
        </is>
      </c>
      <c r="G31" t="n">
        <v>6666</v>
      </c>
      <c r="H31" t="n">
        <v>0.9999</v>
      </c>
      <c r="I31" t="n">
        <v>364</v>
      </c>
      <c r="J31" s="9">
        <f>H31/1</f>
        <v/>
      </c>
      <c r="K31" t="inlineStr">
        <is>
          <t>≥80%: 12×km</t>
        </is>
      </c>
      <c r="L31" s="7">
        <f>12*I31</f>
        <v/>
      </c>
      <c r="M31" s="7">
        <f>L31+200</f>
        <v/>
      </c>
    </row>
    <row r="32">
      <c r="A32" t="n">
        <v>29</v>
      </c>
      <c r="B32" t="inlineStr">
        <is>
          <t>Fábrica</t>
        </is>
      </c>
      <c r="C32" t="inlineStr">
        <is>
          <t>Joinville</t>
        </is>
      </c>
      <c r="D32" t="inlineStr">
        <is>
          <t>Santos</t>
        </is>
      </c>
      <c r="E32" t="inlineStr">
        <is>
          <t>Avião</t>
        </is>
      </c>
      <c r="F32" t="inlineStr">
        <is>
          <t>PA3</t>
        </is>
      </c>
      <c r="G32" t="n">
        <v>6666</v>
      </c>
      <c r="H32" t="n">
        <v>0.9999</v>
      </c>
      <c r="I32" t="n">
        <v>364</v>
      </c>
      <c r="J32" s="9">
        <f>H32/1</f>
        <v/>
      </c>
      <c r="K32" t="inlineStr">
        <is>
          <t>≥80%: 12×km</t>
        </is>
      </c>
      <c r="L32" s="7">
        <f>12*I32</f>
        <v/>
      </c>
      <c r="M32" s="7">
        <f>L32+200</f>
        <v/>
      </c>
    </row>
    <row r="33">
      <c r="A33" t="n">
        <v>30</v>
      </c>
      <c r="B33" t="inlineStr">
        <is>
          <t>Fábrica</t>
        </is>
      </c>
      <c r="C33" t="inlineStr">
        <is>
          <t>Joinville</t>
        </is>
      </c>
      <c r="D33" t="inlineStr">
        <is>
          <t>Santos</t>
        </is>
      </c>
      <c r="E33" t="inlineStr">
        <is>
          <t>Avião</t>
        </is>
      </c>
      <c r="F33" t="inlineStr">
        <is>
          <t>PA3</t>
        </is>
      </c>
      <c r="G33" t="n">
        <v>6666</v>
      </c>
      <c r="H33" t="n">
        <v>0.9999</v>
      </c>
      <c r="I33" t="n">
        <v>364</v>
      </c>
      <c r="J33" s="9">
        <f>H33/1</f>
        <v/>
      </c>
      <c r="K33" t="inlineStr">
        <is>
          <t>≥80%: 12×km</t>
        </is>
      </c>
      <c r="L33" s="7">
        <f>12*I33</f>
        <v/>
      </c>
      <c r="M33" s="7">
        <f>L33+200</f>
        <v/>
      </c>
    </row>
    <row r="34">
      <c r="A34" t="n">
        <v>31</v>
      </c>
      <c r="B34" t="inlineStr">
        <is>
          <t>Fábrica</t>
        </is>
      </c>
      <c r="C34" t="inlineStr">
        <is>
          <t>Joinville</t>
        </is>
      </c>
      <c r="D34" t="inlineStr">
        <is>
          <t>Santos</t>
        </is>
      </c>
      <c r="E34" t="inlineStr">
        <is>
          <t>Avião</t>
        </is>
      </c>
      <c r="F34" t="inlineStr">
        <is>
          <t>PA3</t>
        </is>
      </c>
      <c r="G34" t="n">
        <v>6666</v>
      </c>
      <c r="H34" t="n">
        <v>0.9999</v>
      </c>
      <c r="I34" t="n">
        <v>364</v>
      </c>
      <c r="J34" s="9">
        <f>H34/1</f>
        <v/>
      </c>
      <c r="K34" t="inlineStr">
        <is>
          <t>≥80%: 12×km</t>
        </is>
      </c>
      <c r="L34" s="7">
        <f>12*I34</f>
        <v/>
      </c>
      <c r="M34" s="7">
        <f>L34+200</f>
        <v/>
      </c>
    </row>
    <row r="35">
      <c r="A35" t="n">
        <v>32</v>
      </c>
      <c r="B35" t="inlineStr">
        <is>
          <t>Fábrica</t>
        </is>
      </c>
      <c r="C35" t="inlineStr">
        <is>
          <t>Joinville</t>
        </is>
      </c>
      <c r="D35" t="inlineStr">
        <is>
          <t>Santos</t>
        </is>
      </c>
      <c r="E35" t="inlineStr">
        <is>
          <t>Avião</t>
        </is>
      </c>
      <c r="F35" t="inlineStr">
        <is>
          <t>PA3</t>
        </is>
      </c>
      <c r="G35" t="n">
        <v>6666</v>
      </c>
      <c r="H35" t="n">
        <v>0.9999</v>
      </c>
      <c r="I35" t="n">
        <v>364</v>
      </c>
      <c r="J35" s="9">
        <f>H35/1</f>
        <v/>
      </c>
      <c r="K35" t="inlineStr">
        <is>
          <t>≥80%: 12×km</t>
        </is>
      </c>
      <c r="L35" s="7">
        <f>12*I35</f>
        <v/>
      </c>
      <c r="M35" s="7">
        <f>L35+200</f>
        <v/>
      </c>
    </row>
    <row r="36">
      <c r="A36" t="n">
        <v>33</v>
      </c>
      <c r="B36" t="inlineStr">
        <is>
          <t>Fábrica</t>
        </is>
      </c>
      <c r="C36" t="inlineStr">
        <is>
          <t>Joinville</t>
        </is>
      </c>
      <c r="D36" t="inlineStr">
        <is>
          <t>Santos</t>
        </is>
      </c>
      <c r="E36" t="inlineStr">
        <is>
          <t>Avião</t>
        </is>
      </c>
      <c r="F36" t="inlineStr">
        <is>
          <t>PA3</t>
        </is>
      </c>
      <c r="G36" t="n">
        <v>6666</v>
      </c>
      <c r="H36" t="n">
        <v>0.9999</v>
      </c>
      <c r="I36" t="n">
        <v>364</v>
      </c>
      <c r="J36" s="9">
        <f>H36/1</f>
        <v/>
      </c>
      <c r="K36" t="inlineStr">
        <is>
          <t>≥80%: 12×km</t>
        </is>
      </c>
      <c r="L36" s="7">
        <f>12*I36</f>
        <v/>
      </c>
      <c r="M36" s="7">
        <f>L36+200</f>
        <v/>
      </c>
    </row>
    <row r="37">
      <c r="A37" t="n">
        <v>34</v>
      </c>
      <c r="B37" t="inlineStr">
        <is>
          <t>Fábrica</t>
        </is>
      </c>
      <c r="C37" t="inlineStr">
        <is>
          <t>Joinville</t>
        </is>
      </c>
      <c r="D37" t="inlineStr">
        <is>
          <t>Santos</t>
        </is>
      </c>
      <c r="E37" t="inlineStr">
        <is>
          <t>Avião</t>
        </is>
      </c>
      <c r="F37" t="inlineStr">
        <is>
          <t>PA3</t>
        </is>
      </c>
      <c r="G37" t="n">
        <v>6666</v>
      </c>
      <c r="H37" t="n">
        <v>0.9999</v>
      </c>
      <c r="I37" t="n">
        <v>364</v>
      </c>
      <c r="J37" s="9">
        <f>H37/1</f>
        <v/>
      </c>
      <c r="K37" t="inlineStr">
        <is>
          <t>≥80%: 12×km</t>
        </is>
      </c>
      <c r="L37" s="7">
        <f>12*I37</f>
        <v/>
      </c>
      <c r="M37" s="7">
        <f>L37+200</f>
        <v/>
      </c>
    </row>
    <row r="38">
      <c r="A38" t="n">
        <v>35</v>
      </c>
      <c r="B38" t="inlineStr">
        <is>
          <t>Fábrica</t>
        </is>
      </c>
      <c r="C38" t="inlineStr">
        <is>
          <t>Joinville</t>
        </is>
      </c>
      <c r="D38" t="inlineStr">
        <is>
          <t>Santos</t>
        </is>
      </c>
      <c r="E38" t="inlineStr">
        <is>
          <t>Avião</t>
        </is>
      </c>
      <c r="F38" t="inlineStr">
        <is>
          <t>PA3</t>
        </is>
      </c>
      <c r="G38" t="n">
        <v>6666</v>
      </c>
      <c r="H38" t="n">
        <v>0.9999</v>
      </c>
      <c r="I38" t="n">
        <v>364</v>
      </c>
      <c r="J38" s="9">
        <f>H38/1</f>
        <v/>
      </c>
      <c r="K38" t="inlineStr">
        <is>
          <t>≥80%: 12×km</t>
        </is>
      </c>
      <c r="L38" s="7">
        <f>12*I38</f>
        <v/>
      </c>
      <c r="M38" s="7">
        <f>L38+200</f>
        <v/>
      </c>
    </row>
    <row r="39">
      <c r="A39" t="n">
        <v>36</v>
      </c>
      <c r="B39" t="inlineStr">
        <is>
          <t>Fábrica</t>
        </is>
      </c>
      <c r="C39" t="inlineStr">
        <is>
          <t>Joinville</t>
        </is>
      </c>
      <c r="D39" t="inlineStr">
        <is>
          <t>Santos</t>
        </is>
      </c>
      <c r="E39" t="inlineStr">
        <is>
          <t>Avião</t>
        </is>
      </c>
      <c r="F39" t="inlineStr">
        <is>
          <t>PA3</t>
        </is>
      </c>
      <c r="G39" t="n">
        <v>6666</v>
      </c>
      <c r="H39" t="n">
        <v>0.9999</v>
      </c>
      <c r="I39" t="n">
        <v>364</v>
      </c>
      <c r="J39" s="9">
        <f>H39/1</f>
        <v/>
      </c>
      <c r="K39" t="inlineStr">
        <is>
          <t>≥80%: 12×km</t>
        </is>
      </c>
      <c r="L39" s="7">
        <f>12*I39</f>
        <v/>
      </c>
      <c r="M39" s="7">
        <f>L39+200</f>
        <v/>
      </c>
    </row>
    <row r="40">
      <c r="A40" t="n">
        <v>37</v>
      </c>
      <c r="B40" t="inlineStr">
        <is>
          <t>Fábrica</t>
        </is>
      </c>
      <c r="C40" t="inlineStr">
        <is>
          <t>Joinville</t>
        </is>
      </c>
      <c r="D40" t="inlineStr">
        <is>
          <t>Santos</t>
        </is>
      </c>
      <c r="E40" t="inlineStr">
        <is>
          <t>Avião</t>
        </is>
      </c>
      <c r="F40" t="inlineStr">
        <is>
          <t>PA3</t>
        </is>
      </c>
      <c r="G40" t="n">
        <v>6666</v>
      </c>
      <c r="H40" t="n">
        <v>0.9999</v>
      </c>
      <c r="I40" t="n">
        <v>364</v>
      </c>
      <c r="J40" s="9">
        <f>H40/1</f>
        <v/>
      </c>
      <c r="K40" t="inlineStr">
        <is>
          <t>≥80%: 12×km</t>
        </is>
      </c>
      <c r="L40" s="7">
        <f>12*I40</f>
        <v/>
      </c>
      <c r="M40" s="7">
        <f>L40+200</f>
        <v/>
      </c>
    </row>
    <row r="41">
      <c r="A41" t="n">
        <v>38</v>
      </c>
      <c r="B41" t="inlineStr">
        <is>
          <t>Fábrica</t>
        </is>
      </c>
      <c r="C41" t="inlineStr">
        <is>
          <t>Joinville</t>
        </is>
      </c>
      <c r="D41" t="inlineStr">
        <is>
          <t>Santos</t>
        </is>
      </c>
      <c r="E41" t="inlineStr">
        <is>
          <t>Avião</t>
        </is>
      </c>
      <c r="F41" t="inlineStr">
        <is>
          <t>PA3</t>
        </is>
      </c>
      <c r="G41" t="n">
        <v>6666</v>
      </c>
      <c r="H41" t="n">
        <v>0.9999</v>
      </c>
      <c r="I41" t="n">
        <v>364</v>
      </c>
      <c r="J41" s="9">
        <f>H41/1</f>
        <v/>
      </c>
      <c r="K41" t="inlineStr">
        <is>
          <t>≥80%: 12×km</t>
        </is>
      </c>
      <c r="L41" s="7">
        <f>12*I41</f>
        <v/>
      </c>
      <c r="M41" s="7">
        <f>L41+200</f>
        <v/>
      </c>
    </row>
    <row r="42">
      <c r="A42" t="n">
        <v>39</v>
      </c>
      <c r="B42" t="inlineStr">
        <is>
          <t>Fábrica</t>
        </is>
      </c>
      <c r="C42" t="inlineStr">
        <is>
          <t>Joinville</t>
        </is>
      </c>
      <c r="D42" t="inlineStr">
        <is>
          <t>Santos</t>
        </is>
      </c>
      <c r="E42" t="inlineStr">
        <is>
          <t>Avião</t>
        </is>
      </c>
      <c r="F42" t="inlineStr">
        <is>
          <t>PA3</t>
        </is>
      </c>
      <c r="G42" t="n">
        <v>6666</v>
      </c>
      <c r="H42" t="n">
        <v>0.9999</v>
      </c>
      <c r="I42" t="n">
        <v>364</v>
      </c>
      <c r="J42" s="9">
        <f>H42/1</f>
        <v/>
      </c>
      <c r="K42" t="inlineStr">
        <is>
          <t>≥80%: 12×km</t>
        </is>
      </c>
      <c r="L42" s="7">
        <f>12*I42</f>
        <v/>
      </c>
      <c r="M42" s="7">
        <f>L42+200</f>
        <v/>
      </c>
    </row>
    <row r="43">
      <c r="A43" t="n">
        <v>40</v>
      </c>
      <c r="B43" t="inlineStr">
        <is>
          <t>Fábrica</t>
        </is>
      </c>
      <c r="C43" t="inlineStr">
        <is>
          <t>Joinville</t>
        </is>
      </c>
      <c r="D43" t="inlineStr">
        <is>
          <t>Santos</t>
        </is>
      </c>
      <c r="E43" t="inlineStr">
        <is>
          <t>Avião</t>
        </is>
      </c>
      <c r="F43" t="inlineStr">
        <is>
          <t>PA3</t>
        </is>
      </c>
      <c r="G43" t="n">
        <v>6666</v>
      </c>
      <c r="H43" t="n">
        <v>0.9999</v>
      </c>
      <c r="I43" t="n">
        <v>364</v>
      </c>
      <c r="J43" s="9">
        <f>H43/1</f>
        <v/>
      </c>
      <c r="K43" t="inlineStr">
        <is>
          <t>≥80%: 12×km</t>
        </is>
      </c>
      <c r="L43" s="7">
        <f>12*I43</f>
        <v/>
      </c>
      <c r="M43" s="7">
        <f>L43+200</f>
        <v/>
      </c>
    </row>
    <row r="44">
      <c r="A44" t="n">
        <v>41</v>
      </c>
      <c r="B44" t="inlineStr">
        <is>
          <t>Fábrica</t>
        </is>
      </c>
      <c r="C44" t="inlineStr">
        <is>
          <t>Joinville</t>
        </is>
      </c>
      <c r="D44" t="inlineStr">
        <is>
          <t>Santos</t>
        </is>
      </c>
      <c r="E44" t="inlineStr">
        <is>
          <t>Avião</t>
        </is>
      </c>
      <c r="F44" t="inlineStr">
        <is>
          <t>PA3</t>
        </is>
      </c>
      <c r="G44" t="n">
        <v>6666</v>
      </c>
      <c r="H44" t="n">
        <v>0.9999</v>
      </c>
      <c r="I44" t="n">
        <v>364</v>
      </c>
      <c r="J44" s="9">
        <f>H44/1</f>
        <v/>
      </c>
      <c r="K44" t="inlineStr">
        <is>
          <t>≥80%: 12×km</t>
        </is>
      </c>
      <c r="L44" s="7">
        <f>12*I44</f>
        <v/>
      </c>
      <c r="M44" s="7">
        <f>L44+200</f>
        <v/>
      </c>
    </row>
    <row r="45">
      <c r="A45" t="n">
        <v>42</v>
      </c>
      <c r="B45" t="inlineStr">
        <is>
          <t>Fábrica</t>
        </is>
      </c>
      <c r="C45" t="inlineStr">
        <is>
          <t>Joinville</t>
        </is>
      </c>
      <c r="D45" t="inlineStr">
        <is>
          <t>Santos</t>
        </is>
      </c>
      <c r="E45" t="inlineStr">
        <is>
          <t>Avião</t>
        </is>
      </c>
      <c r="F45" t="inlineStr">
        <is>
          <t>PA3</t>
        </is>
      </c>
      <c r="G45" t="n">
        <v>6666</v>
      </c>
      <c r="H45" t="n">
        <v>0.9999</v>
      </c>
      <c r="I45" t="n">
        <v>364</v>
      </c>
      <c r="J45" s="9">
        <f>H45/1</f>
        <v/>
      </c>
      <c r="K45" t="inlineStr">
        <is>
          <t>≥80%: 12×km</t>
        </is>
      </c>
      <c r="L45" s="7">
        <f>12*I45</f>
        <v/>
      </c>
      <c r="M45" s="7">
        <f>L45+200</f>
        <v/>
      </c>
    </row>
    <row r="46">
      <c r="A46" t="n">
        <v>43</v>
      </c>
      <c r="B46" t="inlineStr">
        <is>
          <t>Fábrica</t>
        </is>
      </c>
      <c r="C46" t="inlineStr">
        <is>
          <t>Joinville</t>
        </is>
      </c>
      <c r="D46" t="inlineStr">
        <is>
          <t>Santos</t>
        </is>
      </c>
      <c r="E46" t="inlineStr">
        <is>
          <t>Avião</t>
        </is>
      </c>
      <c r="F46" t="inlineStr">
        <is>
          <t>PA3</t>
        </is>
      </c>
      <c r="G46" t="n">
        <v>6666</v>
      </c>
      <c r="H46" t="n">
        <v>0.9999</v>
      </c>
      <c r="I46" t="n">
        <v>364</v>
      </c>
      <c r="J46" s="9">
        <f>H46/1</f>
        <v/>
      </c>
      <c r="K46" t="inlineStr">
        <is>
          <t>≥80%: 12×km</t>
        </is>
      </c>
      <c r="L46" s="7">
        <f>12*I46</f>
        <v/>
      </c>
      <c r="M46" s="7">
        <f>L46+200</f>
        <v/>
      </c>
    </row>
    <row r="47">
      <c r="A47" t="n">
        <v>44</v>
      </c>
      <c r="B47" t="inlineStr">
        <is>
          <t>Fábrica</t>
        </is>
      </c>
      <c r="C47" t="inlineStr">
        <is>
          <t>Joinville</t>
        </is>
      </c>
      <c r="D47" t="inlineStr">
        <is>
          <t>Santos</t>
        </is>
      </c>
      <c r="E47" t="inlineStr">
        <is>
          <t>Avião</t>
        </is>
      </c>
      <c r="F47" t="inlineStr">
        <is>
          <t>PA3</t>
        </is>
      </c>
      <c r="G47" t="n">
        <v>6666</v>
      </c>
      <c r="H47" t="n">
        <v>0.9999</v>
      </c>
      <c r="I47" t="n">
        <v>364</v>
      </c>
      <c r="J47" s="9">
        <f>H47/1</f>
        <v/>
      </c>
      <c r="K47" t="inlineStr">
        <is>
          <t>≥80%: 12×km</t>
        </is>
      </c>
      <c r="L47" s="7">
        <f>12*I47</f>
        <v/>
      </c>
      <c r="M47" s="7">
        <f>L47+200</f>
        <v/>
      </c>
    </row>
    <row r="48">
      <c r="A48" t="n">
        <v>45</v>
      </c>
      <c r="B48" t="inlineStr">
        <is>
          <t>Fábrica</t>
        </is>
      </c>
      <c r="C48" t="inlineStr">
        <is>
          <t>Joinville</t>
        </is>
      </c>
      <c r="D48" t="inlineStr">
        <is>
          <t>Santos</t>
        </is>
      </c>
      <c r="E48" t="inlineStr">
        <is>
          <t>Avião</t>
        </is>
      </c>
      <c r="F48" t="inlineStr">
        <is>
          <t>PA3</t>
        </is>
      </c>
      <c r="G48" t="n">
        <v>6666</v>
      </c>
      <c r="H48" t="n">
        <v>0.9999</v>
      </c>
      <c r="I48" t="n">
        <v>364</v>
      </c>
      <c r="J48" s="9">
        <f>H48/1</f>
        <v/>
      </c>
      <c r="K48" t="inlineStr">
        <is>
          <t>≥80%: 12×km</t>
        </is>
      </c>
      <c r="L48" s="7">
        <f>12*I48</f>
        <v/>
      </c>
      <c r="M48" s="7">
        <f>L48+200</f>
        <v/>
      </c>
    </row>
    <row r="49">
      <c r="A49" t="n">
        <v>46</v>
      </c>
      <c r="B49" t="inlineStr">
        <is>
          <t>Fábrica</t>
        </is>
      </c>
      <c r="C49" t="inlineStr">
        <is>
          <t>Joinville</t>
        </is>
      </c>
      <c r="D49" t="inlineStr">
        <is>
          <t>Santos</t>
        </is>
      </c>
      <c r="E49" t="inlineStr">
        <is>
          <t>Avião</t>
        </is>
      </c>
      <c r="F49" t="inlineStr">
        <is>
          <t>PA3</t>
        </is>
      </c>
      <c r="G49" t="n">
        <v>6666</v>
      </c>
      <c r="H49" t="n">
        <v>0.9999</v>
      </c>
      <c r="I49" t="n">
        <v>364</v>
      </c>
      <c r="J49" s="9">
        <f>H49/1</f>
        <v/>
      </c>
      <c r="K49" t="inlineStr">
        <is>
          <t>≥80%: 12×km</t>
        </is>
      </c>
      <c r="L49" s="7">
        <f>12*I49</f>
        <v/>
      </c>
      <c r="M49" s="7">
        <f>L49+200</f>
        <v/>
      </c>
    </row>
    <row r="50">
      <c r="A50" t="n">
        <v>47</v>
      </c>
      <c r="B50" t="inlineStr">
        <is>
          <t>Fábrica</t>
        </is>
      </c>
      <c r="C50" t="inlineStr">
        <is>
          <t>Joinville</t>
        </is>
      </c>
      <c r="D50" t="inlineStr">
        <is>
          <t>Santos</t>
        </is>
      </c>
      <c r="E50" t="inlineStr">
        <is>
          <t>Avião</t>
        </is>
      </c>
      <c r="F50" t="inlineStr">
        <is>
          <t>PA3</t>
        </is>
      </c>
      <c r="G50" t="n">
        <v>6666</v>
      </c>
      <c r="H50" t="n">
        <v>0.9999</v>
      </c>
      <c r="I50" t="n">
        <v>364</v>
      </c>
      <c r="J50" s="9">
        <f>H50/1</f>
        <v/>
      </c>
      <c r="K50" t="inlineStr">
        <is>
          <t>≥80%: 12×km</t>
        </is>
      </c>
      <c r="L50" s="7">
        <f>12*I50</f>
        <v/>
      </c>
      <c r="M50" s="7">
        <f>L50+200</f>
        <v/>
      </c>
    </row>
    <row r="51">
      <c r="A51" t="n">
        <v>48</v>
      </c>
      <c r="B51" t="inlineStr">
        <is>
          <t>Fábrica</t>
        </is>
      </c>
      <c r="C51" t="inlineStr">
        <is>
          <t>Joinville</t>
        </is>
      </c>
      <c r="D51" t="inlineStr">
        <is>
          <t>Santos</t>
        </is>
      </c>
      <c r="E51" t="inlineStr">
        <is>
          <t>Avião</t>
        </is>
      </c>
      <c r="F51" t="inlineStr">
        <is>
          <t>PA3</t>
        </is>
      </c>
      <c r="G51" t="n">
        <v>6666</v>
      </c>
      <c r="H51" t="n">
        <v>0.9999</v>
      </c>
      <c r="I51" t="n">
        <v>364</v>
      </c>
      <c r="J51" s="9">
        <f>H51/1</f>
        <v/>
      </c>
      <c r="K51" t="inlineStr">
        <is>
          <t>≥80%: 12×km</t>
        </is>
      </c>
      <c r="L51" s="7">
        <f>12*I51</f>
        <v/>
      </c>
      <c r="M51" s="7">
        <f>L51+200</f>
        <v/>
      </c>
    </row>
    <row r="52">
      <c r="A52" t="n">
        <v>49</v>
      </c>
      <c r="B52" t="inlineStr">
        <is>
          <t>Fábrica</t>
        </is>
      </c>
      <c r="C52" t="inlineStr">
        <is>
          <t>Joinville</t>
        </is>
      </c>
      <c r="D52" t="inlineStr">
        <is>
          <t>Santos</t>
        </is>
      </c>
      <c r="E52" t="inlineStr">
        <is>
          <t>Avião</t>
        </is>
      </c>
      <c r="F52" t="inlineStr">
        <is>
          <t>PA3</t>
        </is>
      </c>
      <c r="G52" t="n">
        <v>6666</v>
      </c>
      <c r="H52" t="n">
        <v>0.9999</v>
      </c>
      <c r="I52" t="n">
        <v>364</v>
      </c>
      <c r="J52" s="9">
        <f>H52/1</f>
        <v/>
      </c>
      <c r="K52" t="inlineStr">
        <is>
          <t>≥80%: 12×km</t>
        </is>
      </c>
      <c r="L52" s="7">
        <f>12*I52</f>
        <v/>
      </c>
      <c r="M52" s="7">
        <f>L52+200</f>
        <v/>
      </c>
    </row>
    <row r="53">
      <c r="A53" t="n">
        <v>50</v>
      </c>
      <c r="B53" t="inlineStr">
        <is>
          <t>Fábrica</t>
        </is>
      </c>
      <c r="C53" t="inlineStr">
        <is>
          <t>Joinville</t>
        </is>
      </c>
      <c r="D53" t="inlineStr">
        <is>
          <t>Santos</t>
        </is>
      </c>
      <c r="E53" t="inlineStr">
        <is>
          <t>Avião</t>
        </is>
      </c>
      <c r="F53" t="inlineStr">
        <is>
          <t>PA3</t>
        </is>
      </c>
      <c r="G53" t="n">
        <v>6666</v>
      </c>
      <c r="H53" t="n">
        <v>0.9999</v>
      </c>
      <c r="I53" t="n">
        <v>364</v>
      </c>
      <c r="J53" s="9">
        <f>H53/1</f>
        <v/>
      </c>
      <c r="K53" t="inlineStr">
        <is>
          <t>≥80%: 12×km</t>
        </is>
      </c>
      <c r="L53" s="7">
        <f>12*I53</f>
        <v/>
      </c>
      <c r="M53" s="7">
        <f>L53+200</f>
        <v/>
      </c>
    </row>
    <row r="54">
      <c r="A54" t="n">
        <v>51</v>
      </c>
      <c r="B54" t="inlineStr">
        <is>
          <t>Fábrica</t>
        </is>
      </c>
      <c r="C54" t="inlineStr">
        <is>
          <t>Joinville</t>
        </is>
      </c>
      <c r="D54" t="inlineStr">
        <is>
          <t>Santos</t>
        </is>
      </c>
      <c r="E54" t="inlineStr">
        <is>
          <t>Avião</t>
        </is>
      </c>
      <c r="F54" t="inlineStr">
        <is>
          <t>PA3</t>
        </is>
      </c>
      <c r="G54" t="n">
        <v>6666</v>
      </c>
      <c r="H54" t="n">
        <v>0.9999</v>
      </c>
      <c r="I54" t="n">
        <v>364</v>
      </c>
      <c r="J54" s="9">
        <f>H54/1</f>
        <v/>
      </c>
      <c r="K54" t="inlineStr">
        <is>
          <t>≥80%: 12×km</t>
        </is>
      </c>
      <c r="L54" s="7">
        <f>12*I54</f>
        <v/>
      </c>
      <c r="M54" s="7">
        <f>L54+200</f>
        <v/>
      </c>
    </row>
    <row r="55">
      <c r="A55" t="n">
        <v>52</v>
      </c>
      <c r="B55" t="inlineStr">
        <is>
          <t>Fábrica</t>
        </is>
      </c>
      <c r="C55" t="inlineStr">
        <is>
          <t>Joinville</t>
        </is>
      </c>
      <c r="D55" t="inlineStr">
        <is>
          <t>Santos</t>
        </is>
      </c>
      <c r="E55" t="inlineStr">
        <is>
          <t>Avião</t>
        </is>
      </c>
      <c r="F55" t="inlineStr">
        <is>
          <t>PA3</t>
        </is>
      </c>
      <c r="G55" t="n">
        <v>6666</v>
      </c>
      <c r="H55" t="n">
        <v>0.9999</v>
      </c>
      <c r="I55" t="n">
        <v>364</v>
      </c>
      <c r="J55" s="9">
        <f>H55/1</f>
        <v/>
      </c>
      <c r="K55" t="inlineStr">
        <is>
          <t>≥80%: 12×km</t>
        </is>
      </c>
      <c r="L55" s="7">
        <f>12*I55</f>
        <v/>
      </c>
      <c r="M55" s="7">
        <f>L55+200</f>
        <v/>
      </c>
    </row>
    <row r="56">
      <c r="A56" t="n">
        <v>53</v>
      </c>
      <c r="B56" t="inlineStr">
        <is>
          <t>Fábrica</t>
        </is>
      </c>
      <c r="C56" t="inlineStr">
        <is>
          <t>Joinville</t>
        </is>
      </c>
      <c r="D56" t="inlineStr">
        <is>
          <t>Santos</t>
        </is>
      </c>
      <c r="E56" t="inlineStr">
        <is>
          <t>Avião</t>
        </is>
      </c>
      <c r="F56" t="inlineStr">
        <is>
          <t>PA3</t>
        </is>
      </c>
      <c r="G56" t="n">
        <v>6666</v>
      </c>
      <c r="H56" t="n">
        <v>0.9999</v>
      </c>
      <c r="I56" t="n">
        <v>364</v>
      </c>
      <c r="J56" s="9">
        <f>H56/1</f>
        <v/>
      </c>
      <c r="K56" t="inlineStr">
        <is>
          <t>≥80%: 12×km</t>
        </is>
      </c>
      <c r="L56" s="7">
        <f>12*I56</f>
        <v/>
      </c>
      <c r="M56" s="7">
        <f>L56+200</f>
        <v/>
      </c>
    </row>
    <row r="57">
      <c r="A57" t="n">
        <v>54</v>
      </c>
      <c r="B57" t="inlineStr">
        <is>
          <t>Fábrica</t>
        </is>
      </c>
      <c r="C57" t="inlineStr">
        <is>
          <t>Joinville</t>
        </is>
      </c>
      <c r="D57" t="inlineStr">
        <is>
          <t>Santos</t>
        </is>
      </c>
      <c r="E57" t="inlineStr">
        <is>
          <t>Avião</t>
        </is>
      </c>
      <c r="F57" t="inlineStr">
        <is>
          <t>PA3</t>
        </is>
      </c>
      <c r="G57" t="n">
        <v>6666</v>
      </c>
      <c r="H57" t="n">
        <v>0.9999</v>
      </c>
      <c r="I57" t="n">
        <v>364</v>
      </c>
      <c r="J57" s="9">
        <f>H57/1</f>
        <v/>
      </c>
      <c r="K57" t="inlineStr">
        <is>
          <t>≥80%: 12×km</t>
        </is>
      </c>
      <c r="L57" s="7">
        <f>12*I57</f>
        <v/>
      </c>
      <c r="M57" s="7">
        <f>L57+200</f>
        <v/>
      </c>
    </row>
    <row r="58">
      <c r="A58" t="n">
        <v>55</v>
      </c>
      <c r="B58" t="inlineStr">
        <is>
          <t>Fábrica</t>
        </is>
      </c>
      <c r="C58" t="inlineStr">
        <is>
          <t>Joinville</t>
        </is>
      </c>
      <c r="D58" t="inlineStr">
        <is>
          <t>Santos</t>
        </is>
      </c>
      <c r="E58" t="inlineStr">
        <is>
          <t>Avião</t>
        </is>
      </c>
      <c r="F58" t="inlineStr">
        <is>
          <t>PA3</t>
        </is>
      </c>
      <c r="G58" t="n">
        <v>6666</v>
      </c>
      <c r="H58" t="n">
        <v>0.9999</v>
      </c>
      <c r="I58" t="n">
        <v>364</v>
      </c>
      <c r="J58" s="9">
        <f>H58/1</f>
        <v/>
      </c>
      <c r="K58" t="inlineStr">
        <is>
          <t>≥80%: 12×km</t>
        </is>
      </c>
      <c r="L58" s="7">
        <f>12*I58</f>
        <v/>
      </c>
      <c r="M58" s="7">
        <f>L58+200</f>
        <v/>
      </c>
    </row>
    <row r="59">
      <c r="A59" t="n">
        <v>56</v>
      </c>
      <c r="B59" t="inlineStr">
        <is>
          <t>Fábrica</t>
        </is>
      </c>
      <c r="C59" t="inlineStr">
        <is>
          <t>Joinville</t>
        </is>
      </c>
      <c r="D59" t="inlineStr">
        <is>
          <t>Santos</t>
        </is>
      </c>
      <c r="E59" t="inlineStr">
        <is>
          <t>Avião</t>
        </is>
      </c>
      <c r="F59" t="inlineStr">
        <is>
          <t>PA3</t>
        </is>
      </c>
      <c r="G59" t="n">
        <v>6666</v>
      </c>
      <c r="H59" t="n">
        <v>0.9999</v>
      </c>
      <c r="I59" t="n">
        <v>364</v>
      </c>
      <c r="J59" s="9">
        <f>H59/1</f>
        <v/>
      </c>
      <c r="K59" t="inlineStr">
        <is>
          <t>≥80%: 12×km</t>
        </is>
      </c>
      <c r="L59" s="7">
        <f>12*I59</f>
        <v/>
      </c>
      <c r="M59" s="7">
        <f>L59+200</f>
        <v/>
      </c>
    </row>
    <row r="60">
      <c r="A60" t="n">
        <v>57</v>
      </c>
      <c r="B60" t="inlineStr">
        <is>
          <t>Fábrica</t>
        </is>
      </c>
      <c r="C60" t="inlineStr">
        <is>
          <t>Joinville</t>
        </is>
      </c>
      <c r="D60" t="inlineStr">
        <is>
          <t>Santos</t>
        </is>
      </c>
      <c r="E60" t="inlineStr">
        <is>
          <t>Avião</t>
        </is>
      </c>
      <c r="F60" t="inlineStr">
        <is>
          <t>PA3</t>
        </is>
      </c>
      <c r="G60" t="n">
        <v>6666</v>
      </c>
      <c r="H60" t="n">
        <v>0.9999</v>
      </c>
      <c r="I60" t="n">
        <v>364</v>
      </c>
      <c r="J60" s="9">
        <f>H60/1</f>
        <v/>
      </c>
      <c r="K60" t="inlineStr">
        <is>
          <t>≥80%: 12×km</t>
        </is>
      </c>
      <c r="L60" s="7">
        <f>12*I60</f>
        <v/>
      </c>
      <c r="M60" s="7">
        <f>L60+200</f>
        <v/>
      </c>
    </row>
    <row r="61">
      <c r="A61" t="n">
        <v>58</v>
      </c>
      <c r="B61" t="inlineStr">
        <is>
          <t>Fábrica</t>
        </is>
      </c>
      <c r="C61" t="inlineStr">
        <is>
          <t>Joinville</t>
        </is>
      </c>
      <c r="D61" t="inlineStr">
        <is>
          <t>Santos</t>
        </is>
      </c>
      <c r="E61" t="inlineStr">
        <is>
          <t>Avião</t>
        </is>
      </c>
      <c r="F61" t="inlineStr">
        <is>
          <t>PA3</t>
        </is>
      </c>
      <c r="G61" t="n">
        <v>6666</v>
      </c>
      <c r="H61" t="n">
        <v>0.9999</v>
      </c>
      <c r="I61" t="n">
        <v>364</v>
      </c>
      <c r="J61" s="9">
        <f>H61/1</f>
        <v/>
      </c>
      <c r="K61" t="inlineStr">
        <is>
          <t>≥80%: 12×km</t>
        </is>
      </c>
      <c r="L61" s="7">
        <f>12*I61</f>
        <v/>
      </c>
      <c r="M61" s="7">
        <f>L61+200</f>
        <v/>
      </c>
    </row>
    <row r="62">
      <c r="A62" t="n">
        <v>59</v>
      </c>
      <c r="B62" t="inlineStr">
        <is>
          <t>Fábrica</t>
        </is>
      </c>
      <c r="C62" t="inlineStr">
        <is>
          <t>Joinville</t>
        </is>
      </c>
      <c r="D62" t="inlineStr">
        <is>
          <t>Santos</t>
        </is>
      </c>
      <c r="E62" t="inlineStr">
        <is>
          <t>Avião</t>
        </is>
      </c>
      <c r="F62" t="inlineStr">
        <is>
          <t>PA3</t>
        </is>
      </c>
      <c r="G62" t="n">
        <v>6666</v>
      </c>
      <c r="H62" t="n">
        <v>0.9999</v>
      </c>
      <c r="I62" t="n">
        <v>364</v>
      </c>
      <c r="J62" s="9">
        <f>H62/1</f>
        <v/>
      </c>
      <c r="K62" t="inlineStr">
        <is>
          <t>≥80%: 12×km</t>
        </is>
      </c>
      <c r="L62" s="7">
        <f>12*I62</f>
        <v/>
      </c>
      <c r="M62" s="7">
        <f>L62+200</f>
        <v/>
      </c>
    </row>
    <row r="63">
      <c r="A63" t="n">
        <v>60</v>
      </c>
      <c r="B63" t="inlineStr">
        <is>
          <t>Fábrica</t>
        </is>
      </c>
      <c r="C63" t="inlineStr">
        <is>
          <t>Joinville</t>
        </is>
      </c>
      <c r="D63" t="inlineStr">
        <is>
          <t>Santos</t>
        </is>
      </c>
      <c r="E63" t="inlineStr">
        <is>
          <t>Avião</t>
        </is>
      </c>
      <c r="F63" t="inlineStr">
        <is>
          <t>PA3</t>
        </is>
      </c>
      <c r="G63" t="n">
        <v>6666</v>
      </c>
      <c r="H63" t="n">
        <v>0.9999</v>
      </c>
      <c r="I63" t="n">
        <v>364</v>
      </c>
      <c r="J63" s="9">
        <f>H63/1</f>
        <v/>
      </c>
      <c r="K63" t="inlineStr">
        <is>
          <t>≥80%: 12×km</t>
        </is>
      </c>
      <c r="L63" s="7">
        <f>12*I63</f>
        <v/>
      </c>
      <c r="M63" s="7">
        <f>L63+200</f>
        <v/>
      </c>
    </row>
    <row r="64">
      <c r="A64" t="n">
        <v>61</v>
      </c>
      <c r="B64" t="inlineStr">
        <is>
          <t>Fábrica</t>
        </is>
      </c>
      <c r="C64" t="inlineStr">
        <is>
          <t>Joinville</t>
        </is>
      </c>
      <c r="D64" t="inlineStr">
        <is>
          <t>Santos</t>
        </is>
      </c>
      <c r="E64" t="inlineStr">
        <is>
          <t>Avião</t>
        </is>
      </c>
      <c r="F64" t="inlineStr">
        <is>
          <t>PA3</t>
        </is>
      </c>
      <c r="G64" t="n">
        <v>6666</v>
      </c>
      <c r="H64" t="n">
        <v>0.9999</v>
      </c>
      <c r="I64" t="n">
        <v>364</v>
      </c>
      <c r="J64" s="9">
        <f>H64/1</f>
        <v/>
      </c>
      <c r="K64" t="inlineStr">
        <is>
          <t>≥80%: 12×km</t>
        </is>
      </c>
      <c r="L64" s="7">
        <f>12*I64</f>
        <v/>
      </c>
      <c r="M64" s="7">
        <f>L64+200</f>
        <v/>
      </c>
    </row>
    <row r="65">
      <c r="A65" t="n">
        <v>62</v>
      </c>
      <c r="B65" t="inlineStr">
        <is>
          <t>Fábrica</t>
        </is>
      </c>
      <c r="C65" t="inlineStr">
        <is>
          <t>Joinville</t>
        </is>
      </c>
      <c r="D65" t="inlineStr">
        <is>
          <t>Santos</t>
        </is>
      </c>
      <c r="E65" t="inlineStr">
        <is>
          <t>Avião</t>
        </is>
      </c>
      <c r="F65" t="inlineStr">
        <is>
          <t>PA3</t>
        </is>
      </c>
      <c r="G65" t="n">
        <v>6666</v>
      </c>
      <c r="H65" t="n">
        <v>0.9999</v>
      </c>
      <c r="I65" t="n">
        <v>364</v>
      </c>
      <c r="J65" s="9">
        <f>H65/1</f>
        <v/>
      </c>
      <c r="K65" t="inlineStr">
        <is>
          <t>≥80%: 12×km</t>
        </is>
      </c>
      <c r="L65" s="7">
        <f>12*I65</f>
        <v/>
      </c>
      <c r="M65" s="7">
        <f>L65+200</f>
        <v/>
      </c>
    </row>
    <row r="66">
      <c r="A66" t="n">
        <v>63</v>
      </c>
      <c r="B66" t="inlineStr">
        <is>
          <t>Fábrica</t>
        </is>
      </c>
      <c r="C66" t="inlineStr">
        <is>
          <t>Joinville</t>
        </is>
      </c>
      <c r="D66" t="inlineStr">
        <is>
          <t>Santos</t>
        </is>
      </c>
      <c r="E66" t="inlineStr">
        <is>
          <t>Avião</t>
        </is>
      </c>
      <c r="F66" t="inlineStr">
        <is>
          <t>PA3</t>
        </is>
      </c>
      <c r="G66" t="n">
        <v>6666</v>
      </c>
      <c r="H66" t="n">
        <v>0.9999</v>
      </c>
      <c r="I66" t="n">
        <v>364</v>
      </c>
      <c r="J66" s="9">
        <f>H66/1</f>
        <v/>
      </c>
      <c r="K66" t="inlineStr">
        <is>
          <t>≥80%: 12×km</t>
        </is>
      </c>
      <c r="L66" s="7">
        <f>12*I66</f>
        <v/>
      </c>
      <c r="M66" s="7">
        <f>L66+200</f>
        <v/>
      </c>
    </row>
    <row r="67">
      <c r="A67" t="n">
        <v>64</v>
      </c>
      <c r="B67" t="inlineStr">
        <is>
          <t>Fábrica</t>
        </is>
      </c>
      <c r="C67" t="inlineStr">
        <is>
          <t>Joinville</t>
        </is>
      </c>
      <c r="D67" t="inlineStr">
        <is>
          <t>Santos</t>
        </is>
      </c>
      <c r="E67" t="inlineStr">
        <is>
          <t>Avião</t>
        </is>
      </c>
      <c r="F67" t="inlineStr">
        <is>
          <t>PA3</t>
        </is>
      </c>
      <c r="G67" t="n">
        <v>6666</v>
      </c>
      <c r="H67" t="n">
        <v>0.9999</v>
      </c>
      <c r="I67" t="n">
        <v>364</v>
      </c>
      <c r="J67" s="9">
        <f>H67/1</f>
        <v/>
      </c>
      <c r="K67" t="inlineStr">
        <is>
          <t>≥80%: 12×km</t>
        </is>
      </c>
      <c r="L67" s="7">
        <f>12*I67</f>
        <v/>
      </c>
      <c r="M67" s="7">
        <f>L67+200</f>
        <v/>
      </c>
    </row>
    <row r="68">
      <c r="A68" t="n">
        <v>65</v>
      </c>
      <c r="B68" t="inlineStr">
        <is>
          <t>Fábrica</t>
        </is>
      </c>
      <c r="C68" t="inlineStr">
        <is>
          <t>Joinville</t>
        </is>
      </c>
      <c r="D68" t="inlineStr">
        <is>
          <t>Santos</t>
        </is>
      </c>
      <c r="E68" t="inlineStr">
        <is>
          <t>Avião</t>
        </is>
      </c>
      <c r="F68" t="inlineStr">
        <is>
          <t>PA3</t>
        </is>
      </c>
      <c r="G68" t="n">
        <v>6666</v>
      </c>
      <c r="H68" t="n">
        <v>0.9999</v>
      </c>
      <c r="I68" t="n">
        <v>364</v>
      </c>
      <c r="J68" s="9">
        <f>H68/1</f>
        <v/>
      </c>
      <c r="K68" t="inlineStr">
        <is>
          <t>≥80%: 12×km</t>
        </is>
      </c>
      <c r="L68" s="7">
        <f>12*I68</f>
        <v/>
      </c>
      <c r="M68" s="7">
        <f>L68+200</f>
        <v/>
      </c>
    </row>
    <row r="69">
      <c r="A69" t="n">
        <v>66</v>
      </c>
      <c r="B69" t="inlineStr">
        <is>
          <t>Fábrica</t>
        </is>
      </c>
      <c r="C69" t="inlineStr">
        <is>
          <t>Joinville</t>
        </is>
      </c>
      <c r="D69" t="inlineStr">
        <is>
          <t>Santos</t>
        </is>
      </c>
      <c r="E69" t="inlineStr">
        <is>
          <t>Avião</t>
        </is>
      </c>
      <c r="F69" t="inlineStr">
        <is>
          <t>PA3</t>
        </is>
      </c>
      <c r="G69" t="n">
        <v>6666</v>
      </c>
      <c r="H69" t="n">
        <v>0.9999</v>
      </c>
      <c r="I69" t="n">
        <v>364</v>
      </c>
      <c r="J69" s="9">
        <f>H69/1</f>
        <v/>
      </c>
      <c r="K69" t="inlineStr">
        <is>
          <t>≥80%: 12×km</t>
        </is>
      </c>
      <c r="L69" s="7">
        <f>12*I69</f>
        <v/>
      </c>
      <c r="M69" s="7">
        <f>L69+200</f>
        <v/>
      </c>
    </row>
    <row r="70">
      <c r="A70" t="n">
        <v>67</v>
      </c>
      <c r="B70" t="inlineStr">
        <is>
          <t>Fábrica</t>
        </is>
      </c>
      <c r="C70" t="inlineStr">
        <is>
          <t>Joinville</t>
        </is>
      </c>
      <c r="D70" t="inlineStr">
        <is>
          <t>Santos</t>
        </is>
      </c>
      <c r="E70" t="inlineStr">
        <is>
          <t>Avião</t>
        </is>
      </c>
      <c r="F70" t="inlineStr">
        <is>
          <t>PA3</t>
        </is>
      </c>
      <c r="G70" t="n">
        <v>6666</v>
      </c>
      <c r="H70" t="n">
        <v>0.9999</v>
      </c>
      <c r="I70" t="n">
        <v>364</v>
      </c>
      <c r="J70" s="9">
        <f>H70/1</f>
        <v/>
      </c>
      <c r="K70" t="inlineStr">
        <is>
          <t>≥80%: 12×km</t>
        </is>
      </c>
      <c r="L70" s="7">
        <f>12*I70</f>
        <v/>
      </c>
      <c r="M70" s="7">
        <f>L70+200</f>
        <v/>
      </c>
    </row>
    <row r="71">
      <c r="A71" t="n">
        <v>68</v>
      </c>
      <c r="B71" t="inlineStr">
        <is>
          <t>Fábrica</t>
        </is>
      </c>
      <c r="C71" t="inlineStr">
        <is>
          <t>Joinville</t>
        </is>
      </c>
      <c r="D71" t="inlineStr">
        <is>
          <t>Santos</t>
        </is>
      </c>
      <c r="E71" t="inlineStr">
        <is>
          <t>Avião</t>
        </is>
      </c>
      <c r="F71" t="inlineStr">
        <is>
          <t>PA3</t>
        </is>
      </c>
      <c r="G71" t="n">
        <v>6666</v>
      </c>
      <c r="H71" t="n">
        <v>0.9999</v>
      </c>
      <c r="I71" t="n">
        <v>364</v>
      </c>
      <c r="J71" s="9">
        <f>H71/1</f>
        <v/>
      </c>
      <c r="K71" t="inlineStr">
        <is>
          <t>≥80%: 12×km</t>
        </is>
      </c>
      <c r="L71" s="7">
        <f>12*I71</f>
        <v/>
      </c>
      <c r="M71" s="7">
        <f>L71+200</f>
        <v/>
      </c>
    </row>
    <row r="72">
      <c r="A72" t="n">
        <v>69</v>
      </c>
      <c r="B72" t="inlineStr">
        <is>
          <t>Fábrica</t>
        </is>
      </c>
      <c r="C72" t="inlineStr">
        <is>
          <t>Joinville</t>
        </is>
      </c>
      <c r="D72" t="inlineStr">
        <is>
          <t>Santos</t>
        </is>
      </c>
      <c r="E72" t="inlineStr">
        <is>
          <t>Avião</t>
        </is>
      </c>
      <c r="F72" t="inlineStr">
        <is>
          <t>PA3</t>
        </is>
      </c>
      <c r="G72" t="n">
        <v>6666</v>
      </c>
      <c r="H72" t="n">
        <v>0.9999</v>
      </c>
      <c r="I72" t="n">
        <v>364</v>
      </c>
      <c r="J72" s="9">
        <f>H72/1</f>
        <v/>
      </c>
      <c r="K72" t="inlineStr">
        <is>
          <t>≥80%: 12×km</t>
        </is>
      </c>
      <c r="L72" s="7">
        <f>12*I72</f>
        <v/>
      </c>
      <c r="M72" s="7">
        <f>L72+200</f>
        <v/>
      </c>
    </row>
    <row r="73">
      <c r="A73" t="n">
        <v>70</v>
      </c>
      <c r="B73" t="inlineStr">
        <is>
          <t>Fábrica</t>
        </is>
      </c>
      <c r="C73" t="inlineStr">
        <is>
          <t>Joinville</t>
        </is>
      </c>
      <c r="D73" t="inlineStr">
        <is>
          <t>Santos</t>
        </is>
      </c>
      <c r="E73" t="inlineStr">
        <is>
          <t>Avião</t>
        </is>
      </c>
      <c r="F73" t="inlineStr">
        <is>
          <t>PA3</t>
        </is>
      </c>
      <c r="G73" t="n">
        <v>6666</v>
      </c>
      <c r="H73" t="n">
        <v>0.9999</v>
      </c>
      <c r="I73" t="n">
        <v>364</v>
      </c>
      <c r="J73" s="9">
        <f>H73/1</f>
        <v/>
      </c>
      <c r="K73" t="inlineStr">
        <is>
          <t>≥80%: 12×km</t>
        </is>
      </c>
      <c r="L73" s="7">
        <f>12*I73</f>
        <v/>
      </c>
      <c r="M73" s="7">
        <f>L73+200</f>
        <v/>
      </c>
    </row>
    <row r="74">
      <c r="A74" t="n">
        <v>71</v>
      </c>
      <c r="B74" t="inlineStr">
        <is>
          <t>Fábrica</t>
        </is>
      </c>
      <c r="C74" t="inlineStr">
        <is>
          <t>Joinville</t>
        </is>
      </c>
      <c r="D74" t="inlineStr">
        <is>
          <t>Santos</t>
        </is>
      </c>
      <c r="E74" t="inlineStr">
        <is>
          <t>Avião</t>
        </is>
      </c>
      <c r="F74" t="inlineStr">
        <is>
          <t>PA3</t>
        </is>
      </c>
      <c r="G74" t="n">
        <v>6666</v>
      </c>
      <c r="H74" t="n">
        <v>0.9999</v>
      </c>
      <c r="I74" t="n">
        <v>364</v>
      </c>
      <c r="J74" s="9">
        <f>H74/1</f>
        <v/>
      </c>
      <c r="K74" t="inlineStr">
        <is>
          <t>≥80%: 12×km</t>
        </is>
      </c>
      <c r="L74" s="7">
        <f>12*I74</f>
        <v/>
      </c>
      <c r="M74" s="7">
        <f>L74+200</f>
        <v/>
      </c>
    </row>
    <row r="75">
      <c r="A75" t="n">
        <v>72</v>
      </c>
      <c r="B75" t="inlineStr">
        <is>
          <t>Fábrica</t>
        </is>
      </c>
      <c r="C75" t="inlineStr">
        <is>
          <t>Joinville</t>
        </is>
      </c>
      <c r="D75" t="inlineStr">
        <is>
          <t>Santos</t>
        </is>
      </c>
      <c r="E75" t="inlineStr">
        <is>
          <t>Avião</t>
        </is>
      </c>
      <c r="F75" t="inlineStr">
        <is>
          <t>PA3</t>
        </is>
      </c>
      <c r="G75" t="n">
        <v>6666</v>
      </c>
      <c r="H75" t="n">
        <v>0.9999</v>
      </c>
      <c r="I75" t="n">
        <v>364</v>
      </c>
      <c r="J75" s="9">
        <f>H75/1</f>
        <v/>
      </c>
      <c r="K75" t="inlineStr">
        <is>
          <t>≥80%: 12×km</t>
        </is>
      </c>
      <c r="L75" s="7">
        <f>12*I75</f>
        <v/>
      </c>
      <c r="M75" s="7">
        <f>L75+200</f>
        <v/>
      </c>
    </row>
    <row r="76">
      <c r="A76" t="n">
        <v>73</v>
      </c>
      <c r="B76" t="inlineStr">
        <is>
          <t>Fábrica</t>
        </is>
      </c>
      <c r="C76" t="inlineStr">
        <is>
          <t>Joinville</t>
        </is>
      </c>
      <c r="D76" t="inlineStr">
        <is>
          <t>Santos</t>
        </is>
      </c>
      <c r="E76" t="inlineStr">
        <is>
          <t>Avião</t>
        </is>
      </c>
      <c r="F76" t="inlineStr">
        <is>
          <t>PA3</t>
        </is>
      </c>
      <c r="G76" t="n">
        <v>6666</v>
      </c>
      <c r="H76" t="n">
        <v>0.9999</v>
      </c>
      <c r="I76" t="n">
        <v>364</v>
      </c>
      <c r="J76" s="9">
        <f>H76/1</f>
        <v/>
      </c>
      <c r="K76" t="inlineStr">
        <is>
          <t>≥80%: 12×km</t>
        </is>
      </c>
      <c r="L76" s="7">
        <f>12*I76</f>
        <v/>
      </c>
      <c r="M76" s="7">
        <f>L76+200</f>
        <v/>
      </c>
    </row>
    <row r="77">
      <c r="A77" t="n">
        <v>74</v>
      </c>
      <c r="B77" t="inlineStr">
        <is>
          <t>Fábrica</t>
        </is>
      </c>
      <c r="C77" t="inlineStr">
        <is>
          <t>Joinville</t>
        </is>
      </c>
      <c r="D77" t="inlineStr">
        <is>
          <t>Santos</t>
        </is>
      </c>
      <c r="E77" t="inlineStr">
        <is>
          <t>Avião</t>
        </is>
      </c>
      <c r="F77" t="inlineStr">
        <is>
          <t>PA3</t>
        </is>
      </c>
      <c r="G77" t="n">
        <v>6666</v>
      </c>
      <c r="H77" t="n">
        <v>0.9999</v>
      </c>
      <c r="I77" t="n">
        <v>364</v>
      </c>
      <c r="J77" s="9">
        <f>H77/1</f>
        <v/>
      </c>
      <c r="K77" t="inlineStr">
        <is>
          <t>≥80%: 12×km</t>
        </is>
      </c>
      <c r="L77" s="7">
        <f>12*I77</f>
        <v/>
      </c>
      <c r="M77" s="7">
        <f>L77+200</f>
        <v/>
      </c>
    </row>
    <row r="78">
      <c r="A78" t="n">
        <v>75</v>
      </c>
      <c r="B78" t="inlineStr">
        <is>
          <t>Fábrica</t>
        </is>
      </c>
      <c r="C78" t="inlineStr">
        <is>
          <t>Joinville</t>
        </is>
      </c>
      <c r="D78" t="inlineStr">
        <is>
          <t>Santos</t>
        </is>
      </c>
      <c r="E78" t="inlineStr">
        <is>
          <t>Avião</t>
        </is>
      </c>
      <c r="F78" t="inlineStr">
        <is>
          <t>PA3</t>
        </is>
      </c>
      <c r="G78" t="n">
        <v>6666</v>
      </c>
      <c r="H78" t="n">
        <v>0.9999</v>
      </c>
      <c r="I78" t="n">
        <v>364</v>
      </c>
      <c r="J78" s="9">
        <f>H78/1</f>
        <v/>
      </c>
      <c r="K78" t="inlineStr">
        <is>
          <t>≥80%: 12×km</t>
        </is>
      </c>
      <c r="L78" s="7">
        <f>12*I78</f>
        <v/>
      </c>
      <c r="M78" s="7">
        <f>L78+200</f>
        <v/>
      </c>
    </row>
    <row r="79">
      <c r="A79" t="n">
        <v>76</v>
      </c>
      <c r="B79" t="inlineStr">
        <is>
          <t>Fábrica</t>
        </is>
      </c>
      <c r="C79" t="inlineStr">
        <is>
          <t>Joinville</t>
        </is>
      </c>
      <c r="D79" t="inlineStr">
        <is>
          <t>Santos</t>
        </is>
      </c>
      <c r="E79" t="inlineStr">
        <is>
          <t>Avião</t>
        </is>
      </c>
      <c r="F79" t="inlineStr">
        <is>
          <t>PA3</t>
        </is>
      </c>
      <c r="G79" t="n">
        <v>6666</v>
      </c>
      <c r="H79" t="n">
        <v>0.9999</v>
      </c>
      <c r="I79" t="n">
        <v>364</v>
      </c>
      <c r="J79" s="9">
        <f>H79/1</f>
        <v/>
      </c>
      <c r="K79" t="inlineStr">
        <is>
          <t>≥80%: 12×km</t>
        </is>
      </c>
      <c r="L79" s="7">
        <f>12*I79</f>
        <v/>
      </c>
      <c r="M79" s="7">
        <f>L79+200</f>
        <v/>
      </c>
    </row>
    <row r="80">
      <c r="A80" t="n">
        <v>77</v>
      </c>
      <c r="B80" t="inlineStr">
        <is>
          <t>Fábrica</t>
        </is>
      </c>
      <c r="C80" t="inlineStr">
        <is>
          <t>Joinville</t>
        </is>
      </c>
      <c r="D80" t="inlineStr">
        <is>
          <t>Santos</t>
        </is>
      </c>
      <c r="E80" t="inlineStr">
        <is>
          <t>Avião</t>
        </is>
      </c>
      <c r="F80" t="inlineStr">
        <is>
          <t>PA3</t>
        </is>
      </c>
      <c r="G80" t="n">
        <v>6666</v>
      </c>
      <c r="H80" t="n">
        <v>0.9999</v>
      </c>
      <c r="I80" t="n">
        <v>364</v>
      </c>
      <c r="J80" s="9">
        <f>H80/1</f>
        <v/>
      </c>
      <c r="K80" t="inlineStr">
        <is>
          <t>≥80%: 12×km</t>
        </is>
      </c>
      <c r="L80" s="7">
        <f>12*I80</f>
        <v/>
      </c>
      <c r="M80" s="7">
        <f>L80+200</f>
        <v/>
      </c>
    </row>
    <row r="81">
      <c r="A81" t="n">
        <v>78</v>
      </c>
      <c r="B81" t="inlineStr">
        <is>
          <t>Fábrica</t>
        </is>
      </c>
      <c r="C81" t="inlineStr">
        <is>
          <t>Joinville</t>
        </is>
      </c>
      <c r="D81" t="inlineStr">
        <is>
          <t>Santos</t>
        </is>
      </c>
      <c r="E81" t="inlineStr">
        <is>
          <t>Avião</t>
        </is>
      </c>
      <c r="F81" t="inlineStr">
        <is>
          <t>PA3</t>
        </is>
      </c>
      <c r="G81" t="n">
        <v>6666</v>
      </c>
      <c r="H81" t="n">
        <v>0.9999</v>
      </c>
      <c r="I81" t="n">
        <v>364</v>
      </c>
      <c r="J81" s="9">
        <f>H81/1</f>
        <v/>
      </c>
      <c r="K81" t="inlineStr">
        <is>
          <t>≥80%: 12×km</t>
        </is>
      </c>
      <c r="L81" s="7">
        <f>12*I81</f>
        <v/>
      </c>
      <c r="M81" s="7">
        <f>L81+200</f>
        <v/>
      </c>
    </row>
    <row r="82">
      <c r="A82" t="n">
        <v>79</v>
      </c>
      <c r="B82" t="inlineStr">
        <is>
          <t>Fábrica</t>
        </is>
      </c>
      <c r="C82" t="inlineStr">
        <is>
          <t>Joinville</t>
        </is>
      </c>
      <c r="D82" t="inlineStr">
        <is>
          <t>Santos</t>
        </is>
      </c>
      <c r="E82" t="inlineStr">
        <is>
          <t>Avião</t>
        </is>
      </c>
      <c r="F82" t="inlineStr">
        <is>
          <t>PA3</t>
        </is>
      </c>
      <c r="G82" t="n">
        <v>6666</v>
      </c>
      <c r="H82" t="n">
        <v>0.9999</v>
      </c>
      <c r="I82" t="n">
        <v>364</v>
      </c>
      <c r="J82" s="9">
        <f>H82/1</f>
        <v/>
      </c>
      <c r="K82" t="inlineStr">
        <is>
          <t>≥80%: 12×km</t>
        </is>
      </c>
      <c r="L82" s="7">
        <f>12*I82</f>
        <v/>
      </c>
      <c r="M82" s="7">
        <f>L82+200</f>
        <v/>
      </c>
    </row>
    <row r="83">
      <c r="A83" t="n">
        <v>80</v>
      </c>
      <c r="B83" t="inlineStr">
        <is>
          <t>Fábrica</t>
        </is>
      </c>
      <c r="C83" t="inlineStr">
        <is>
          <t>Joinville</t>
        </is>
      </c>
      <c r="D83" t="inlineStr">
        <is>
          <t>Santos</t>
        </is>
      </c>
      <c r="E83" t="inlineStr">
        <is>
          <t>Avião</t>
        </is>
      </c>
      <c r="F83" t="inlineStr">
        <is>
          <t>PA3</t>
        </is>
      </c>
      <c r="G83" t="n">
        <v>6666</v>
      </c>
      <c r="H83" t="n">
        <v>0.9999</v>
      </c>
      <c r="I83" t="n">
        <v>364</v>
      </c>
      <c r="J83" s="9">
        <f>H83/1</f>
        <v/>
      </c>
      <c r="K83" t="inlineStr">
        <is>
          <t>≥80%: 12×km</t>
        </is>
      </c>
      <c r="L83" s="7">
        <f>12*I83</f>
        <v/>
      </c>
      <c r="M83" s="7">
        <f>L83+200</f>
        <v/>
      </c>
    </row>
    <row r="84">
      <c r="A84" t="n">
        <v>81</v>
      </c>
      <c r="B84" t="inlineStr">
        <is>
          <t>Fábrica</t>
        </is>
      </c>
      <c r="C84" t="inlineStr">
        <is>
          <t>Joinville</t>
        </is>
      </c>
      <c r="D84" t="inlineStr">
        <is>
          <t>Santos</t>
        </is>
      </c>
      <c r="E84" t="inlineStr">
        <is>
          <t>Avião</t>
        </is>
      </c>
      <c r="F84" t="inlineStr">
        <is>
          <t>PA3</t>
        </is>
      </c>
      <c r="G84" t="n">
        <v>6666</v>
      </c>
      <c r="H84" t="n">
        <v>0.9999</v>
      </c>
      <c r="I84" t="n">
        <v>364</v>
      </c>
      <c r="J84" s="9">
        <f>H84/1</f>
        <v/>
      </c>
      <c r="K84" t="inlineStr">
        <is>
          <t>≥80%: 12×km</t>
        </is>
      </c>
      <c r="L84" s="7">
        <f>12*I84</f>
        <v/>
      </c>
      <c r="M84" s="7">
        <f>L84+200</f>
        <v/>
      </c>
    </row>
    <row r="85">
      <c r="A85" t="n">
        <v>82</v>
      </c>
      <c r="B85" t="inlineStr">
        <is>
          <t>Fábrica</t>
        </is>
      </c>
      <c r="C85" t="inlineStr">
        <is>
          <t>Joinville</t>
        </is>
      </c>
      <c r="D85" t="inlineStr">
        <is>
          <t>Santos</t>
        </is>
      </c>
      <c r="E85" t="inlineStr">
        <is>
          <t>Avião</t>
        </is>
      </c>
      <c r="F85" t="inlineStr">
        <is>
          <t>PA3</t>
        </is>
      </c>
      <c r="G85" t="n">
        <v>6666</v>
      </c>
      <c r="H85" t="n">
        <v>0.9999</v>
      </c>
      <c r="I85" t="n">
        <v>364</v>
      </c>
      <c r="J85" s="9">
        <f>H85/1</f>
        <v/>
      </c>
      <c r="K85" t="inlineStr">
        <is>
          <t>≥80%: 12×km</t>
        </is>
      </c>
      <c r="L85" s="7">
        <f>12*I85</f>
        <v/>
      </c>
      <c r="M85" s="7">
        <f>L85+200</f>
        <v/>
      </c>
    </row>
    <row r="86">
      <c r="A86" t="n">
        <v>83</v>
      </c>
      <c r="B86" t="inlineStr">
        <is>
          <t>Fábrica</t>
        </is>
      </c>
      <c r="C86" t="inlineStr">
        <is>
          <t>Joinville</t>
        </is>
      </c>
      <c r="D86" t="inlineStr">
        <is>
          <t>Santos</t>
        </is>
      </c>
      <c r="E86" t="inlineStr">
        <is>
          <t>Avião</t>
        </is>
      </c>
      <c r="F86" t="inlineStr">
        <is>
          <t>PA3</t>
        </is>
      </c>
      <c r="G86" t="n">
        <v>6666</v>
      </c>
      <c r="H86" t="n">
        <v>0.9999</v>
      </c>
      <c r="I86" t="n">
        <v>364</v>
      </c>
      <c r="J86" s="9">
        <f>H86/1</f>
        <v/>
      </c>
      <c r="K86" t="inlineStr">
        <is>
          <t>≥80%: 12×km</t>
        </is>
      </c>
      <c r="L86" s="7">
        <f>12*I86</f>
        <v/>
      </c>
      <c r="M86" s="7">
        <f>L86+200</f>
        <v/>
      </c>
    </row>
    <row r="87">
      <c r="A87" t="n">
        <v>84</v>
      </c>
      <c r="B87" t="inlineStr">
        <is>
          <t>Fábrica</t>
        </is>
      </c>
      <c r="C87" t="inlineStr">
        <is>
          <t>Joinville</t>
        </is>
      </c>
      <c r="D87" t="inlineStr">
        <is>
          <t>Santos</t>
        </is>
      </c>
      <c r="E87" t="inlineStr">
        <is>
          <t>Avião</t>
        </is>
      </c>
      <c r="F87" t="inlineStr">
        <is>
          <t>PA3</t>
        </is>
      </c>
      <c r="G87" t="n">
        <v>6666</v>
      </c>
      <c r="H87" t="n">
        <v>0.9999</v>
      </c>
      <c r="I87" t="n">
        <v>364</v>
      </c>
      <c r="J87" s="9">
        <f>H87/1</f>
        <v/>
      </c>
      <c r="K87" t="inlineStr">
        <is>
          <t>≥80%: 12×km</t>
        </is>
      </c>
      <c r="L87" s="7">
        <f>12*I87</f>
        <v/>
      </c>
      <c r="M87" s="7">
        <f>L87+200</f>
        <v/>
      </c>
    </row>
    <row r="88">
      <c r="A88" t="n">
        <v>85</v>
      </c>
      <c r="B88" t="inlineStr">
        <is>
          <t>Fábrica</t>
        </is>
      </c>
      <c r="C88" t="inlineStr">
        <is>
          <t>Joinville</t>
        </is>
      </c>
      <c r="D88" t="inlineStr">
        <is>
          <t>Santos</t>
        </is>
      </c>
      <c r="E88" t="inlineStr">
        <is>
          <t>Avião</t>
        </is>
      </c>
      <c r="F88" t="inlineStr">
        <is>
          <t>PA3</t>
        </is>
      </c>
      <c r="G88" t="n">
        <v>6666</v>
      </c>
      <c r="H88" t="n">
        <v>0.9999</v>
      </c>
      <c r="I88" t="n">
        <v>364</v>
      </c>
      <c r="J88" s="9">
        <f>H88/1</f>
        <v/>
      </c>
      <c r="K88" t="inlineStr">
        <is>
          <t>≥80%: 12×km</t>
        </is>
      </c>
      <c r="L88" s="7">
        <f>12*I88</f>
        <v/>
      </c>
      <c r="M88" s="7">
        <f>L88+200</f>
        <v/>
      </c>
    </row>
    <row r="89">
      <c r="A89" t="n">
        <v>86</v>
      </c>
      <c r="B89" t="inlineStr">
        <is>
          <t>Fábrica</t>
        </is>
      </c>
      <c r="C89" t="inlineStr">
        <is>
          <t>Joinville</t>
        </is>
      </c>
      <c r="D89" t="inlineStr">
        <is>
          <t>Santos</t>
        </is>
      </c>
      <c r="E89" t="inlineStr">
        <is>
          <t>Avião</t>
        </is>
      </c>
      <c r="F89" t="inlineStr">
        <is>
          <t>PA3</t>
        </is>
      </c>
      <c r="G89" t="n">
        <v>6666</v>
      </c>
      <c r="H89" t="n">
        <v>0.9999</v>
      </c>
      <c r="I89" t="n">
        <v>364</v>
      </c>
      <c r="J89" s="9">
        <f>H89/1</f>
        <v/>
      </c>
      <c r="K89" t="inlineStr">
        <is>
          <t>≥80%: 12×km</t>
        </is>
      </c>
      <c r="L89" s="7">
        <f>12*I89</f>
        <v/>
      </c>
      <c r="M89" s="7">
        <f>L89+200</f>
        <v/>
      </c>
    </row>
    <row r="90">
      <c r="A90" t="n">
        <v>87</v>
      </c>
      <c r="B90" t="inlineStr">
        <is>
          <t>Fábrica</t>
        </is>
      </c>
      <c r="C90" t="inlineStr">
        <is>
          <t>Joinville</t>
        </is>
      </c>
      <c r="D90" t="inlineStr">
        <is>
          <t>Santos</t>
        </is>
      </c>
      <c r="E90" t="inlineStr">
        <is>
          <t>Avião</t>
        </is>
      </c>
      <c r="F90" t="inlineStr">
        <is>
          <t>PA3</t>
        </is>
      </c>
      <c r="G90" t="n">
        <v>6666</v>
      </c>
      <c r="H90" t="n">
        <v>0.9999</v>
      </c>
      <c r="I90" t="n">
        <v>364</v>
      </c>
      <c r="J90" s="9">
        <f>H90/1</f>
        <v/>
      </c>
      <c r="K90" t="inlineStr">
        <is>
          <t>≥80%: 12×km</t>
        </is>
      </c>
      <c r="L90" s="7">
        <f>12*I90</f>
        <v/>
      </c>
      <c r="M90" s="7">
        <f>L90+200</f>
        <v/>
      </c>
    </row>
    <row r="91">
      <c r="A91" t="n">
        <v>88</v>
      </c>
      <c r="B91" t="inlineStr">
        <is>
          <t>Fábrica</t>
        </is>
      </c>
      <c r="C91" t="inlineStr">
        <is>
          <t>Joinville</t>
        </is>
      </c>
      <c r="D91" t="inlineStr">
        <is>
          <t>Santos</t>
        </is>
      </c>
      <c r="E91" t="inlineStr">
        <is>
          <t>Avião</t>
        </is>
      </c>
      <c r="F91" t="inlineStr">
        <is>
          <t>PA3</t>
        </is>
      </c>
      <c r="G91" t="n">
        <v>6666</v>
      </c>
      <c r="H91" t="n">
        <v>0.9999</v>
      </c>
      <c r="I91" t="n">
        <v>364</v>
      </c>
      <c r="J91" s="9">
        <f>H91/1</f>
        <v/>
      </c>
      <c r="K91" t="inlineStr">
        <is>
          <t>≥80%: 12×km</t>
        </is>
      </c>
      <c r="L91" s="7">
        <f>12*I91</f>
        <v/>
      </c>
      <c r="M91" s="7">
        <f>L91+200</f>
        <v/>
      </c>
    </row>
    <row r="92">
      <c r="A92" t="n">
        <v>89</v>
      </c>
      <c r="B92" t="inlineStr">
        <is>
          <t>Fábrica</t>
        </is>
      </c>
      <c r="C92" t="inlineStr">
        <is>
          <t>Joinville</t>
        </is>
      </c>
      <c r="D92" t="inlineStr">
        <is>
          <t>Santos</t>
        </is>
      </c>
      <c r="E92" t="inlineStr">
        <is>
          <t>Avião</t>
        </is>
      </c>
      <c r="F92" t="inlineStr">
        <is>
          <t>PA3</t>
        </is>
      </c>
      <c r="G92" t="n">
        <v>6666</v>
      </c>
      <c r="H92" t="n">
        <v>0.9999</v>
      </c>
      <c r="I92" t="n">
        <v>364</v>
      </c>
      <c r="J92" s="9">
        <f>H92/1</f>
        <v/>
      </c>
      <c r="K92" t="inlineStr">
        <is>
          <t>≥80%: 12×km</t>
        </is>
      </c>
      <c r="L92" s="7">
        <f>12*I92</f>
        <v/>
      </c>
      <c r="M92" s="7">
        <f>L92+200</f>
        <v/>
      </c>
    </row>
    <row r="93">
      <c r="A93" t="n">
        <v>90</v>
      </c>
      <c r="B93" t="inlineStr">
        <is>
          <t>Fábrica</t>
        </is>
      </c>
      <c r="C93" t="inlineStr">
        <is>
          <t>Joinville</t>
        </is>
      </c>
      <c r="D93" t="inlineStr">
        <is>
          <t>Santos</t>
        </is>
      </c>
      <c r="E93" t="inlineStr">
        <is>
          <t>Avião</t>
        </is>
      </c>
      <c r="F93" t="inlineStr">
        <is>
          <t>PA3</t>
        </is>
      </c>
      <c r="G93" t="n">
        <v>6666</v>
      </c>
      <c r="H93" t="n">
        <v>0.9999</v>
      </c>
      <c r="I93" t="n">
        <v>364</v>
      </c>
      <c r="J93" s="9">
        <f>H93/1</f>
        <v/>
      </c>
      <c r="K93" t="inlineStr">
        <is>
          <t>≥80%: 12×km</t>
        </is>
      </c>
      <c r="L93" s="7">
        <f>12*I93</f>
        <v/>
      </c>
      <c r="M93" s="7">
        <f>L93+200</f>
        <v/>
      </c>
    </row>
    <row r="94">
      <c r="A94" t="n">
        <v>91</v>
      </c>
      <c r="B94" t="inlineStr">
        <is>
          <t>Fábrica</t>
        </is>
      </c>
      <c r="C94" t="inlineStr">
        <is>
          <t>Joinville</t>
        </is>
      </c>
      <c r="D94" t="inlineStr">
        <is>
          <t>Santos</t>
        </is>
      </c>
      <c r="E94" t="inlineStr">
        <is>
          <t>Avião</t>
        </is>
      </c>
      <c r="F94" t="inlineStr">
        <is>
          <t>PA3</t>
        </is>
      </c>
      <c r="G94" t="n">
        <v>6666</v>
      </c>
      <c r="H94" t="n">
        <v>0.9999</v>
      </c>
      <c r="I94" t="n">
        <v>364</v>
      </c>
      <c r="J94" s="9">
        <f>H94/1</f>
        <v/>
      </c>
      <c r="K94" t="inlineStr">
        <is>
          <t>≥80%: 12×km</t>
        </is>
      </c>
      <c r="L94" s="7">
        <f>12*I94</f>
        <v/>
      </c>
      <c r="M94" s="7">
        <f>L94+200</f>
        <v/>
      </c>
    </row>
    <row r="95">
      <c r="A95" t="n">
        <v>92</v>
      </c>
      <c r="B95" t="inlineStr">
        <is>
          <t>Fábrica</t>
        </is>
      </c>
      <c r="C95" t="inlineStr">
        <is>
          <t>Joinville</t>
        </is>
      </c>
      <c r="D95" t="inlineStr">
        <is>
          <t>Santos</t>
        </is>
      </c>
      <c r="E95" t="inlineStr">
        <is>
          <t>Avião</t>
        </is>
      </c>
      <c r="F95" t="inlineStr">
        <is>
          <t>PA3</t>
        </is>
      </c>
      <c r="G95" t="n">
        <v>6666</v>
      </c>
      <c r="H95" t="n">
        <v>0.9999</v>
      </c>
      <c r="I95" t="n">
        <v>364</v>
      </c>
      <c r="J95" s="9">
        <f>H95/1</f>
        <v/>
      </c>
      <c r="K95" t="inlineStr">
        <is>
          <t>≥80%: 12×km</t>
        </is>
      </c>
      <c r="L95" s="7">
        <f>12*I95</f>
        <v/>
      </c>
      <c r="M95" s="7">
        <f>L95+200</f>
        <v/>
      </c>
    </row>
    <row r="96">
      <c r="A96" t="n">
        <v>93</v>
      </c>
      <c r="B96" t="inlineStr">
        <is>
          <t>Fábrica</t>
        </is>
      </c>
      <c r="C96" t="inlineStr">
        <is>
          <t>Joinville</t>
        </is>
      </c>
      <c r="D96" t="inlineStr">
        <is>
          <t>Santos</t>
        </is>
      </c>
      <c r="E96" t="inlineStr">
        <is>
          <t>Avião</t>
        </is>
      </c>
      <c r="F96" t="inlineStr">
        <is>
          <t>PA3</t>
        </is>
      </c>
      <c r="G96" t="n">
        <v>6666</v>
      </c>
      <c r="H96" t="n">
        <v>0.9999</v>
      </c>
      <c r="I96" t="n">
        <v>364</v>
      </c>
      <c r="J96" s="9">
        <f>H96/1</f>
        <v/>
      </c>
      <c r="K96" t="inlineStr">
        <is>
          <t>≥80%: 12×km</t>
        </is>
      </c>
      <c r="L96" s="7">
        <f>12*I96</f>
        <v/>
      </c>
      <c r="M96" s="7">
        <f>L96+200</f>
        <v/>
      </c>
    </row>
    <row r="97">
      <c r="A97" t="n">
        <v>94</v>
      </c>
      <c r="B97" t="inlineStr">
        <is>
          <t>Fábrica</t>
        </is>
      </c>
      <c r="C97" t="inlineStr">
        <is>
          <t>Joinville</t>
        </is>
      </c>
      <c r="D97" t="inlineStr">
        <is>
          <t>Santos</t>
        </is>
      </c>
      <c r="E97" t="inlineStr">
        <is>
          <t>Avião</t>
        </is>
      </c>
      <c r="F97" t="inlineStr">
        <is>
          <t>PA3</t>
        </is>
      </c>
      <c r="G97" t="n">
        <v>6666</v>
      </c>
      <c r="H97" t="n">
        <v>0.9999</v>
      </c>
      <c r="I97" t="n">
        <v>364</v>
      </c>
      <c r="J97" s="9">
        <f>H97/1</f>
        <v/>
      </c>
      <c r="K97" t="inlineStr">
        <is>
          <t>≥80%: 12×km</t>
        </is>
      </c>
      <c r="L97" s="7">
        <f>12*I97</f>
        <v/>
      </c>
      <c r="M97" s="7">
        <f>L97+200</f>
        <v/>
      </c>
    </row>
    <row r="98">
      <c r="A98" t="n">
        <v>95</v>
      </c>
      <c r="B98" t="inlineStr">
        <is>
          <t>Fábrica</t>
        </is>
      </c>
      <c r="C98" t="inlineStr">
        <is>
          <t>Joinville</t>
        </is>
      </c>
      <c r="D98" t="inlineStr">
        <is>
          <t>Santos</t>
        </is>
      </c>
      <c r="E98" t="inlineStr">
        <is>
          <t>Avião</t>
        </is>
      </c>
      <c r="F98" t="inlineStr">
        <is>
          <t>PA3</t>
        </is>
      </c>
      <c r="G98" t="n">
        <v>6666</v>
      </c>
      <c r="H98" t="n">
        <v>0.9999</v>
      </c>
      <c r="I98" t="n">
        <v>364</v>
      </c>
      <c r="J98" s="9">
        <f>H98/1</f>
        <v/>
      </c>
      <c r="K98" t="inlineStr">
        <is>
          <t>≥80%: 12×km</t>
        </is>
      </c>
      <c r="L98" s="7">
        <f>12*I98</f>
        <v/>
      </c>
      <c r="M98" s="7">
        <f>L98+200</f>
        <v/>
      </c>
    </row>
    <row r="99">
      <c r="A99" t="n">
        <v>96</v>
      </c>
      <c r="B99" t="inlineStr">
        <is>
          <t>Fábrica</t>
        </is>
      </c>
      <c r="C99" t="inlineStr">
        <is>
          <t>Joinville</t>
        </is>
      </c>
      <c r="D99" t="inlineStr">
        <is>
          <t>Santos</t>
        </is>
      </c>
      <c r="E99" t="inlineStr">
        <is>
          <t>Avião</t>
        </is>
      </c>
      <c r="F99" t="inlineStr">
        <is>
          <t>PA3</t>
        </is>
      </c>
      <c r="G99" t="n">
        <v>6666</v>
      </c>
      <c r="H99" t="n">
        <v>0.9999</v>
      </c>
      <c r="I99" t="n">
        <v>364</v>
      </c>
      <c r="J99" s="9">
        <f>H99/1</f>
        <v/>
      </c>
      <c r="K99" t="inlineStr">
        <is>
          <t>≥80%: 12×km</t>
        </is>
      </c>
      <c r="L99" s="7">
        <f>12*I99</f>
        <v/>
      </c>
      <c r="M99" s="7">
        <f>L99+200</f>
        <v/>
      </c>
    </row>
    <row r="100">
      <c r="A100" t="n">
        <v>97</v>
      </c>
      <c r="B100" t="inlineStr">
        <is>
          <t>Fábrica</t>
        </is>
      </c>
      <c r="C100" t="inlineStr">
        <is>
          <t>Joinville</t>
        </is>
      </c>
      <c r="D100" t="inlineStr">
        <is>
          <t>Santos</t>
        </is>
      </c>
      <c r="E100" t="inlineStr">
        <is>
          <t>Avião</t>
        </is>
      </c>
      <c r="F100" t="inlineStr">
        <is>
          <t>PA3</t>
        </is>
      </c>
      <c r="G100" t="n">
        <v>6666</v>
      </c>
      <c r="H100" t="n">
        <v>0.9999</v>
      </c>
      <c r="I100" t="n">
        <v>364</v>
      </c>
      <c r="J100" s="9">
        <f>H100/1</f>
        <v/>
      </c>
      <c r="K100" t="inlineStr">
        <is>
          <t>≥80%: 12×km</t>
        </is>
      </c>
      <c r="L100" s="7">
        <f>12*I100</f>
        <v/>
      </c>
      <c r="M100" s="7">
        <f>L100+200</f>
        <v/>
      </c>
    </row>
    <row r="101">
      <c r="A101" t="n">
        <v>98</v>
      </c>
      <c r="B101" t="inlineStr">
        <is>
          <t>Fábrica</t>
        </is>
      </c>
      <c r="C101" t="inlineStr">
        <is>
          <t>Joinville</t>
        </is>
      </c>
      <c r="D101" t="inlineStr">
        <is>
          <t>Santos</t>
        </is>
      </c>
      <c r="E101" t="inlineStr">
        <is>
          <t>Avião</t>
        </is>
      </c>
      <c r="F101" t="inlineStr">
        <is>
          <t>PA3</t>
        </is>
      </c>
      <c r="G101" t="n">
        <v>6666</v>
      </c>
      <c r="H101" t="n">
        <v>0.9999</v>
      </c>
      <c r="I101" t="n">
        <v>364</v>
      </c>
      <c r="J101" s="9">
        <f>H101/1</f>
        <v/>
      </c>
      <c r="K101" t="inlineStr">
        <is>
          <t>≥80%: 12×km</t>
        </is>
      </c>
      <c r="L101" s="7">
        <f>12*I101</f>
        <v/>
      </c>
      <c r="M101" s="7">
        <f>L101+200</f>
        <v/>
      </c>
    </row>
    <row r="102">
      <c r="A102" t="n">
        <v>99</v>
      </c>
      <c r="B102" t="inlineStr">
        <is>
          <t>Fábrica</t>
        </is>
      </c>
      <c r="C102" t="inlineStr">
        <is>
          <t>Joinville</t>
        </is>
      </c>
      <c r="D102" t="inlineStr">
        <is>
          <t>Santos</t>
        </is>
      </c>
      <c r="E102" t="inlineStr">
        <is>
          <t>Avião</t>
        </is>
      </c>
      <c r="F102" t="inlineStr">
        <is>
          <t>PA3</t>
        </is>
      </c>
      <c r="G102" t="n">
        <v>6666</v>
      </c>
      <c r="H102" t="n">
        <v>0.9999</v>
      </c>
      <c r="I102" t="n">
        <v>364</v>
      </c>
      <c r="J102" s="9">
        <f>H102/1</f>
        <v/>
      </c>
      <c r="K102" t="inlineStr">
        <is>
          <t>≥80%: 12×km</t>
        </is>
      </c>
      <c r="L102" s="7">
        <f>12*I102</f>
        <v/>
      </c>
      <c r="M102" s="7">
        <f>L102+200</f>
        <v/>
      </c>
    </row>
    <row r="103">
      <c r="A103" t="n">
        <v>100</v>
      </c>
      <c r="B103" t="inlineStr">
        <is>
          <t>Fábrica</t>
        </is>
      </c>
      <c r="C103" t="inlineStr">
        <is>
          <t>Joinville</t>
        </is>
      </c>
      <c r="D103" t="inlineStr">
        <is>
          <t>Santos</t>
        </is>
      </c>
      <c r="E103" t="inlineStr">
        <is>
          <t>Avião</t>
        </is>
      </c>
      <c r="F103" t="inlineStr">
        <is>
          <t>PA3</t>
        </is>
      </c>
      <c r="G103" t="n">
        <v>6666</v>
      </c>
      <c r="H103" t="n">
        <v>0.9999</v>
      </c>
      <c r="I103" t="n">
        <v>364</v>
      </c>
      <c r="J103" s="9">
        <f>H103/1</f>
        <v/>
      </c>
      <c r="K103" t="inlineStr">
        <is>
          <t>≥80%: 12×km</t>
        </is>
      </c>
      <c r="L103" s="7">
        <f>12*I103</f>
        <v/>
      </c>
      <c r="M103" s="7">
        <f>L103+200</f>
        <v/>
      </c>
    </row>
    <row r="104">
      <c r="A104" t="n">
        <v>101</v>
      </c>
      <c r="B104" t="inlineStr">
        <is>
          <t>Fábrica</t>
        </is>
      </c>
      <c r="C104" t="inlineStr">
        <is>
          <t>Joinville</t>
        </is>
      </c>
      <c r="D104" t="inlineStr">
        <is>
          <t>Santos</t>
        </is>
      </c>
      <c r="E104" t="inlineStr">
        <is>
          <t>Avião</t>
        </is>
      </c>
      <c r="F104" t="inlineStr">
        <is>
          <t>PA3</t>
        </is>
      </c>
      <c r="G104" t="n">
        <v>6666</v>
      </c>
      <c r="H104" t="n">
        <v>0.9999</v>
      </c>
      <c r="I104" t="n">
        <v>364</v>
      </c>
      <c r="J104" s="9">
        <f>H104/1</f>
        <v/>
      </c>
      <c r="K104" t="inlineStr">
        <is>
          <t>≥80%: 12×km</t>
        </is>
      </c>
      <c r="L104" s="7">
        <f>12*I104</f>
        <v/>
      </c>
      <c r="M104" s="7">
        <f>L104+200</f>
        <v/>
      </c>
    </row>
    <row r="105">
      <c r="A105" t="n">
        <v>102</v>
      </c>
      <c r="B105" t="inlineStr">
        <is>
          <t>Fábrica</t>
        </is>
      </c>
      <c r="C105" t="inlineStr">
        <is>
          <t>Joinville</t>
        </is>
      </c>
      <c r="D105" t="inlineStr">
        <is>
          <t>Santos</t>
        </is>
      </c>
      <c r="E105" t="inlineStr">
        <is>
          <t>Avião</t>
        </is>
      </c>
      <c r="F105" t="inlineStr">
        <is>
          <t>PA3</t>
        </is>
      </c>
      <c r="G105" t="n">
        <v>6666</v>
      </c>
      <c r="H105" t="n">
        <v>0.9999</v>
      </c>
      <c r="I105" t="n">
        <v>364</v>
      </c>
      <c r="J105" s="9">
        <f>H105/1</f>
        <v/>
      </c>
      <c r="K105" t="inlineStr">
        <is>
          <t>≥80%: 12×km</t>
        </is>
      </c>
      <c r="L105" s="7">
        <f>12*I105</f>
        <v/>
      </c>
      <c r="M105" s="7">
        <f>L105+200</f>
        <v/>
      </c>
    </row>
    <row r="106">
      <c r="A106" t="n">
        <v>103</v>
      </c>
      <c r="B106" t="inlineStr">
        <is>
          <t>Fábrica</t>
        </is>
      </c>
      <c r="C106" t="inlineStr">
        <is>
          <t>Joinville</t>
        </is>
      </c>
      <c r="D106" t="inlineStr">
        <is>
          <t>Santos</t>
        </is>
      </c>
      <c r="E106" t="inlineStr">
        <is>
          <t>Avião</t>
        </is>
      </c>
      <c r="F106" t="inlineStr">
        <is>
          <t>PA3</t>
        </is>
      </c>
      <c r="G106" t="n">
        <v>6666</v>
      </c>
      <c r="H106" t="n">
        <v>0.9999</v>
      </c>
      <c r="I106" t="n">
        <v>364</v>
      </c>
      <c r="J106" s="9">
        <f>H106/1</f>
        <v/>
      </c>
      <c r="K106" t="inlineStr">
        <is>
          <t>≥80%: 12×km</t>
        </is>
      </c>
      <c r="L106" s="7">
        <f>12*I106</f>
        <v/>
      </c>
      <c r="M106" s="7">
        <f>L106+200</f>
        <v/>
      </c>
    </row>
    <row r="107">
      <c r="A107" t="n">
        <v>104</v>
      </c>
      <c r="B107" t="inlineStr">
        <is>
          <t>Fábrica</t>
        </is>
      </c>
      <c r="C107" t="inlineStr">
        <is>
          <t>Joinville</t>
        </is>
      </c>
      <c r="D107" t="inlineStr">
        <is>
          <t>Santos</t>
        </is>
      </c>
      <c r="E107" t="inlineStr">
        <is>
          <t>Avião</t>
        </is>
      </c>
      <c r="F107" t="inlineStr">
        <is>
          <t>PA3</t>
        </is>
      </c>
      <c r="G107" t="n">
        <v>6666</v>
      </c>
      <c r="H107" t="n">
        <v>0.9999</v>
      </c>
      <c r="I107" t="n">
        <v>364</v>
      </c>
      <c r="J107" s="9">
        <f>H107/1</f>
        <v/>
      </c>
      <c r="K107" t="inlineStr">
        <is>
          <t>≥80%: 12×km</t>
        </is>
      </c>
      <c r="L107" s="7">
        <f>12*I107</f>
        <v/>
      </c>
      <c r="M107" s="7">
        <f>L107+200</f>
        <v/>
      </c>
    </row>
    <row r="108">
      <c r="A108" t="n">
        <v>105</v>
      </c>
      <c r="B108" t="inlineStr">
        <is>
          <t>Fábrica</t>
        </is>
      </c>
      <c r="C108" t="inlineStr">
        <is>
          <t>Joinville</t>
        </is>
      </c>
      <c r="D108" t="inlineStr">
        <is>
          <t>Santos</t>
        </is>
      </c>
      <c r="E108" t="inlineStr">
        <is>
          <t>Avião</t>
        </is>
      </c>
      <c r="F108" t="inlineStr">
        <is>
          <t>PA3</t>
        </is>
      </c>
      <c r="G108" t="n">
        <v>6666</v>
      </c>
      <c r="H108" t="n">
        <v>0.9999</v>
      </c>
      <c r="I108" t="n">
        <v>364</v>
      </c>
      <c r="J108" s="9">
        <f>H108/1</f>
        <v/>
      </c>
      <c r="K108" t="inlineStr">
        <is>
          <t>≥80%: 12×km</t>
        </is>
      </c>
      <c r="L108" s="7">
        <f>12*I108</f>
        <v/>
      </c>
      <c r="M108" s="7">
        <f>L108+200</f>
        <v/>
      </c>
    </row>
    <row r="109">
      <c r="A109" t="n">
        <v>106</v>
      </c>
      <c r="B109" t="inlineStr">
        <is>
          <t>Fábrica</t>
        </is>
      </c>
      <c r="C109" t="inlineStr">
        <is>
          <t>Joinville</t>
        </is>
      </c>
      <c r="D109" t="inlineStr">
        <is>
          <t>Santos</t>
        </is>
      </c>
      <c r="E109" t="inlineStr">
        <is>
          <t>Avião</t>
        </is>
      </c>
      <c r="F109" t="inlineStr">
        <is>
          <t>PA3</t>
        </is>
      </c>
      <c r="G109" t="n">
        <v>6666</v>
      </c>
      <c r="H109" t="n">
        <v>0.9999</v>
      </c>
      <c r="I109" t="n">
        <v>364</v>
      </c>
      <c r="J109" s="9">
        <f>H109/1</f>
        <v/>
      </c>
      <c r="K109" t="inlineStr">
        <is>
          <t>≥80%: 12×km</t>
        </is>
      </c>
      <c r="L109" s="7">
        <f>12*I109</f>
        <v/>
      </c>
      <c r="M109" s="7">
        <f>L109+200</f>
        <v/>
      </c>
    </row>
    <row r="110">
      <c r="A110" t="n">
        <v>107</v>
      </c>
      <c r="B110" t="inlineStr">
        <is>
          <t>Fábrica</t>
        </is>
      </c>
      <c r="C110" t="inlineStr">
        <is>
          <t>Joinville</t>
        </is>
      </c>
      <c r="D110" t="inlineStr">
        <is>
          <t>Santos</t>
        </is>
      </c>
      <c r="E110" t="inlineStr">
        <is>
          <t>Avião</t>
        </is>
      </c>
      <c r="F110" t="inlineStr">
        <is>
          <t>PA3</t>
        </is>
      </c>
      <c r="G110" t="n">
        <v>6666</v>
      </c>
      <c r="H110" t="n">
        <v>0.9999</v>
      </c>
      <c r="I110" t="n">
        <v>364</v>
      </c>
      <c r="J110" s="9">
        <f>H110/1</f>
        <v/>
      </c>
      <c r="K110" t="inlineStr">
        <is>
          <t>≥80%: 12×km</t>
        </is>
      </c>
      <c r="L110" s="7">
        <f>12*I110</f>
        <v/>
      </c>
      <c r="M110" s="7">
        <f>L110+200</f>
        <v/>
      </c>
    </row>
    <row r="111">
      <c r="A111" t="n">
        <v>108</v>
      </c>
      <c r="B111" t="inlineStr">
        <is>
          <t>Fábrica</t>
        </is>
      </c>
      <c r="C111" t="inlineStr">
        <is>
          <t>Joinville</t>
        </is>
      </c>
      <c r="D111" t="inlineStr">
        <is>
          <t>Santos</t>
        </is>
      </c>
      <c r="E111" t="inlineStr">
        <is>
          <t>Avião</t>
        </is>
      </c>
      <c r="F111" t="inlineStr">
        <is>
          <t>PA3</t>
        </is>
      </c>
      <c r="G111" t="n">
        <v>5081</v>
      </c>
      <c r="H111" t="n">
        <v>0.7621</v>
      </c>
      <c r="I111" t="n">
        <v>364</v>
      </c>
      <c r="J111" s="9">
        <f>H111/1</f>
        <v/>
      </c>
      <c r="K111" t="inlineStr">
        <is>
          <t>&lt;80%: 0.5×12×km + 18×km×peso</t>
        </is>
      </c>
      <c r="L111" s="7">
        <f>0.5*12*I111+18*I111*H111</f>
        <v/>
      </c>
      <c r="M111" s="7">
        <f>L111+200</f>
        <v/>
      </c>
    </row>
    <row r="112">
      <c r="A112" t="n">
        <v>109</v>
      </c>
      <c r="B112" t="inlineStr">
        <is>
          <t>Fábrica</t>
        </is>
      </c>
      <c r="C112" t="inlineStr">
        <is>
          <t>Joinville</t>
        </is>
      </c>
      <c r="D112" t="inlineStr">
        <is>
          <t>Santos</t>
        </is>
      </c>
      <c r="E112" t="inlineStr">
        <is>
          <t>Navio</t>
        </is>
      </c>
      <c r="F112" t="inlineStr">
        <is>
          <t>PA2</t>
        </is>
      </c>
      <c r="G112" t="n">
        <v>79113</v>
      </c>
      <c r="H112" t="n">
        <v>19.7782</v>
      </c>
      <c r="I112" t="n">
        <v>419</v>
      </c>
      <c r="J112" s="9">
        <f>H112/100</f>
        <v/>
      </c>
      <c r="K112" t="inlineStr">
        <is>
          <t>&lt;80%: 0.5×5×km + 0.075×km×peso</t>
        </is>
      </c>
      <c r="L112" s="7">
        <f>0.5*5*I112+0.075*I112*H112</f>
        <v/>
      </c>
      <c r="M112" s="7">
        <f>L112+50</f>
        <v/>
      </c>
    </row>
    <row r="113">
      <c r="A113" t="n">
        <v>110</v>
      </c>
      <c r="B113" t="inlineStr">
        <is>
          <t>Fábrica</t>
        </is>
      </c>
      <c r="C113" t="inlineStr">
        <is>
          <t>Joinville</t>
        </is>
      </c>
      <c r="D113" t="inlineStr">
        <is>
          <t>Santos</t>
        </is>
      </c>
      <c r="E113" t="inlineStr">
        <is>
          <t>Avião</t>
        </is>
      </c>
      <c r="F113" t="inlineStr">
        <is>
          <t>PA3</t>
        </is>
      </c>
      <c r="G113" t="n">
        <v>6666</v>
      </c>
      <c r="H113" t="n">
        <v>0.9999</v>
      </c>
      <c r="I113" t="n">
        <v>364</v>
      </c>
      <c r="J113" s="9">
        <f>H113/1</f>
        <v/>
      </c>
      <c r="K113" t="inlineStr">
        <is>
          <t>≥80%: 12×km</t>
        </is>
      </c>
      <c r="L113" s="7">
        <f>12*I113</f>
        <v/>
      </c>
      <c r="M113" s="7">
        <f>L113+200</f>
        <v/>
      </c>
    </row>
    <row r="114">
      <c r="A114" t="n">
        <v>111</v>
      </c>
      <c r="B114" t="inlineStr">
        <is>
          <t>Fábrica</t>
        </is>
      </c>
      <c r="C114" t="inlineStr">
        <is>
          <t>Joinville</t>
        </is>
      </c>
      <c r="D114" t="inlineStr">
        <is>
          <t>Santos</t>
        </is>
      </c>
      <c r="E114" t="inlineStr">
        <is>
          <t>Avião</t>
        </is>
      </c>
      <c r="F114" t="inlineStr">
        <is>
          <t>PA3</t>
        </is>
      </c>
      <c r="G114" t="n">
        <v>5427</v>
      </c>
      <c r="H114" t="n">
        <v>0.8139999999999999</v>
      </c>
      <c r="I114" t="n">
        <v>364</v>
      </c>
      <c r="J114" s="9">
        <f>H114/1</f>
        <v/>
      </c>
      <c r="K114" t="inlineStr">
        <is>
          <t>≥80%: 12×km</t>
        </is>
      </c>
      <c r="L114" s="7">
        <f>12*I114</f>
        <v/>
      </c>
      <c r="M114" s="7">
        <f>L114+200</f>
        <v/>
      </c>
    </row>
    <row r="115">
      <c r="A115" t="n">
        <v>112</v>
      </c>
      <c r="B115" t="inlineStr">
        <is>
          <t>Fábrica</t>
        </is>
      </c>
      <c r="C115" t="inlineStr">
        <is>
          <t>Joinville</t>
        </is>
      </c>
      <c r="D115" t="inlineStr">
        <is>
          <t>Santos</t>
        </is>
      </c>
      <c r="E115" t="inlineStr">
        <is>
          <t>Navio</t>
        </is>
      </c>
      <c r="F115" t="inlineStr">
        <is>
          <t>PA3</t>
        </is>
      </c>
      <c r="G115" t="n">
        <v>169304</v>
      </c>
      <c r="H115" t="n">
        <v>25.3956</v>
      </c>
      <c r="I115" t="n">
        <v>419</v>
      </c>
      <c r="J115" s="9">
        <f>H115/100</f>
        <v/>
      </c>
      <c r="K115" t="inlineStr">
        <is>
          <t>&lt;80%: 0.5×5×km + 0.075×km×peso</t>
        </is>
      </c>
      <c r="L115" s="7">
        <f>0.5*5*I115+0.075*I115*H115</f>
        <v/>
      </c>
      <c r="M115" s="7">
        <f>L115+50</f>
        <v/>
      </c>
    </row>
    <row r="116">
      <c r="A116" t="n">
        <v>113</v>
      </c>
      <c r="B116" t="inlineStr">
        <is>
          <t>CD</t>
        </is>
      </c>
      <c r="C116" t="inlineStr">
        <is>
          <t>Santos</t>
        </is>
      </c>
      <c r="D116" t="inlineStr">
        <is>
          <t>São Paulo</t>
        </is>
      </c>
      <c r="E116" t="inlineStr">
        <is>
          <t>Caminhão</t>
        </is>
      </c>
      <c r="F116" t="inlineStr">
        <is>
          <t>PA3</t>
        </is>
      </c>
      <c r="G116" t="n">
        <v>117573</v>
      </c>
      <c r="H116" t="n">
        <v>17.6359</v>
      </c>
      <c r="I116" t="n">
        <v>72</v>
      </c>
      <c r="J116" s="9">
        <f>H116/24</f>
        <v/>
      </c>
      <c r="K116" t="inlineStr">
        <is>
          <t>&lt;80%: 0.5×8×km + 0.5×km×peso</t>
        </is>
      </c>
      <c r="L116" s="7">
        <f>0.5*8*I116+0.5*I116*H116</f>
        <v/>
      </c>
      <c r="M116" s="7">
        <f>L116+100</f>
        <v/>
      </c>
    </row>
    <row r="117">
      <c r="A117" t="n">
        <v>114</v>
      </c>
      <c r="B117" t="inlineStr">
        <is>
          <t>CD</t>
        </is>
      </c>
      <c r="C117" t="inlineStr">
        <is>
          <t>Santos</t>
        </is>
      </c>
      <c r="D117" t="inlineStr">
        <is>
          <t>Curitiba</t>
        </is>
      </c>
      <c r="E117" t="inlineStr">
        <is>
          <t>Navio</t>
        </is>
      </c>
      <c r="F117" t="inlineStr">
        <is>
          <t>PA3</t>
        </is>
      </c>
      <c r="G117" t="n">
        <v>103464</v>
      </c>
      <c r="H117" t="n">
        <v>15.5196</v>
      </c>
      <c r="I117" t="n">
        <v>311</v>
      </c>
      <c r="J117" s="9">
        <f>H117/100</f>
        <v/>
      </c>
      <c r="K117" t="inlineStr">
        <is>
          <t>&lt;80%: 0.5×5×km + 0.075×km×peso</t>
        </is>
      </c>
      <c r="L117" s="7">
        <f>0.5*5*I117+0.075*I117*H117</f>
        <v/>
      </c>
      <c r="M117" s="7">
        <f>L117+50</f>
        <v/>
      </c>
    </row>
    <row r="118">
      <c r="A118" t="n">
        <v>115</v>
      </c>
      <c r="B118" t="inlineStr">
        <is>
          <t>CD</t>
        </is>
      </c>
      <c r="C118" t="inlineStr">
        <is>
          <t>Santos</t>
        </is>
      </c>
      <c r="D118" t="inlineStr">
        <is>
          <t>Porto Alegre</t>
        </is>
      </c>
      <c r="E118" t="inlineStr">
        <is>
          <t>Caminhão</t>
        </is>
      </c>
      <c r="F118" t="inlineStr">
        <is>
          <t>PA3</t>
        </is>
      </c>
      <c r="G118" t="n">
        <v>103464</v>
      </c>
      <c r="H118" t="n">
        <v>15.5196</v>
      </c>
      <c r="I118" t="n">
        <v>1181</v>
      </c>
      <c r="J118" s="9">
        <f>H118/24</f>
        <v/>
      </c>
      <c r="K118" t="inlineStr">
        <is>
          <t>&lt;80%: 0.5×8×km + 0.5×km×peso</t>
        </is>
      </c>
      <c r="L118" s="7">
        <f>0.5*8*I118+0.5*I118*H118</f>
        <v/>
      </c>
      <c r="M118" s="7">
        <f>L118+100</f>
        <v/>
      </c>
    </row>
    <row r="119">
      <c r="A119" t="n">
        <v>116</v>
      </c>
      <c r="B119" t="inlineStr">
        <is>
          <t>CD</t>
        </is>
      </c>
      <c r="C119" t="inlineStr">
        <is>
          <t>Santos</t>
        </is>
      </c>
      <c r="D119" t="inlineStr">
        <is>
          <t>Campinas</t>
        </is>
      </c>
      <c r="E119" t="inlineStr">
        <is>
          <t>Caminhão</t>
        </is>
      </c>
      <c r="F119" t="inlineStr">
        <is>
          <t>PA3</t>
        </is>
      </c>
      <c r="G119" t="n">
        <v>56435</v>
      </c>
      <c r="H119" t="n">
        <v>8.465199999999999</v>
      </c>
      <c r="I119" t="n">
        <v>171</v>
      </c>
      <c r="J119" s="9">
        <f>H119/24</f>
        <v/>
      </c>
      <c r="K119" t="inlineStr">
        <is>
          <t>&lt;80%: 0.5×8×km + 0.5×km×peso</t>
        </is>
      </c>
      <c r="L119" s="7">
        <f>0.5*8*I119+0.5*I119*H119</f>
        <v/>
      </c>
      <c r="M119" s="7">
        <f>L119+100</f>
        <v/>
      </c>
    </row>
    <row r="120">
      <c r="A120" t="n">
        <v>117</v>
      </c>
      <c r="B120" t="inlineStr">
        <is>
          <t>CD</t>
        </is>
      </c>
      <c r="C120" t="inlineStr">
        <is>
          <t>Santos</t>
        </is>
      </c>
      <c r="D120" t="inlineStr">
        <is>
          <t>Ribeirão Preto</t>
        </is>
      </c>
      <c r="E120" t="inlineStr">
        <is>
          <t>Caminhão</t>
        </is>
      </c>
      <c r="F120" t="inlineStr">
        <is>
          <t>PA3</t>
        </is>
      </c>
      <c r="G120" t="n">
        <v>47029</v>
      </c>
      <c r="H120" t="n">
        <v>7.0543</v>
      </c>
      <c r="I120" t="n">
        <v>391</v>
      </c>
      <c r="J120" s="9">
        <f>H120/24</f>
        <v/>
      </c>
      <c r="K120" t="inlineStr">
        <is>
          <t>&lt;80%: 0.5×8×km + 0.5×km×peso</t>
        </is>
      </c>
      <c r="L120" s="7">
        <f>0.5*8*I120+0.5*I120*H120</f>
        <v/>
      </c>
      <c r="M120" s="7">
        <f>L120+100</f>
        <v/>
      </c>
    </row>
    <row r="121">
      <c r="A121" t="n">
        <v>118</v>
      </c>
      <c r="B121" t="inlineStr">
        <is>
          <t>CD</t>
        </is>
      </c>
      <c r="C121" t="inlineStr">
        <is>
          <t>Santos</t>
        </is>
      </c>
      <c r="D121" t="inlineStr">
        <is>
          <t>Santos</t>
        </is>
      </c>
      <c r="E121" t="inlineStr">
        <is>
          <t>Navio</t>
        </is>
      </c>
      <c r="F121" t="inlineStr">
        <is>
          <t>PA3</t>
        </is>
      </c>
      <c r="G121" t="n">
        <v>47029</v>
      </c>
      <c r="H121" t="n">
        <v>7.0543</v>
      </c>
      <c r="I121" t="n">
        <v>0</v>
      </c>
      <c r="J121" s="9">
        <f>H121/100</f>
        <v/>
      </c>
      <c r="K121" t="inlineStr">
        <is>
          <t>Same-city: só doc</t>
        </is>
      </c>
      <c r="L121" s="7" t="n">
        <v>0</v>
      </c>
      <c r="M121" s="7">
        <f>L121+50</f>
        <v/>
      </c>
    </row>
    <row r="122">
      <c r="A122" t="n">
        <v>119</v>
      </c>
      <c r="B122" t="inlineStr">
        <is>
          <t>CD</t>
        </is>
      </c>
      <c r="C122" t="inlineStr">
        <is>
          <t>Santos</t>
        </is>
      </c>
      <c r="D122" t="inlineStr">
        <is>
          <t>Joinville</t>
        </is>
      </c>
      <c r="E122" t="inlineStr">
        <is>
          <t>Avião</t>
        </is>
      </c>
      <c r="F122" t="inlineStr">
        <is>
          <t>PA3</t>
        </is>
      </c>
      <c r="G122" t="n">
        <v>6666</v>
      </c>
      <c r="H122" t="n">
        <v>0.9999</v>
      </c>
      <c r="I122" t="n">
        <v>364</v>
      </c>
      <c r="J122" s="9">
        <f>H122/1</f>
        <v/>
      </c>
      <c r="K122" t="inlineStr">
        <is>
          <t>≥80%: 12×km</t>
        </is>
      </c>
      <c r="L122" s="7">
        <f>12*I122</f>
        <v/>
      </c>
      <c r="M122" s="7">
        <f>L122+200</f>
        <v/>
      </c>
    </row>
    <row r="123">
      <c r="A123" t="n">
        <v>120</v>
      </c>
      <c r="B123" t="inlineStr">
        <is>
          <t>CD</t>
        </is>
      </c>
      <c r="C123" t="inlineStr">
        <is>
          <t>Santos</t>
        </is>
      </c>
      <c r="D123" t="inlineStr">
        <is>
          <t>Joinville</t>
        </is>
      </c>
      <c r="E123" t="inlineStr">
        <is>
          <t>Avião</t>
        </is>
      </c>
      <c r="F123" t="inlineStr">
        <is>
          <t>PA3</t>
        </is>
      </c>
      <c r="G123" t="n">
        <v>6666</v>
      </c>
      <c r="H123" t="n">
        <v>0.9999</v>
      </c>
      <c r="I123" t="n">
        <v>364</v>
      </c>
      <c r="J123" s="9">
        <f>H123/1</f>
        <v/>
      </c>
      <c r="K123" t="inlineStr">
        <is>
          <t>≥80%: 12×km</t>
        </is>
      </c>
      <c r="L123" s="7">
        <f>12*I123</f>
        <v/>
      </c>
      <c r="M123" s="7">
        <f>L123+200</f>
        <v/>
      </c>
    </row>
    <row r="124">
      <c r="A124" t="n">
        <v>121</v>
      </c>
      <c r="B124" t="inlineStr">
        <is>
          <t>CD</t>
        </is>
      </c>
      <c r="C124" t="inlineStr">
        <is>
          <t>Santos</t>
        </is>
      </c>
      <c r="D124" t="inlineStr">
        <is>
          <t>Joinville</t>
        </is>
      </c>
      <c r="E124" t="inlineStr">
        <is>
          <t>Avião</t>
        </is>
      </c>
      <c r="F124" t="inlineStr">
        <is>
          <t>PA3</t>
        </is>
      </c>
      <c r="G124" t="n">
        <v>6666</v>
      </c>
      <c r="H124" t="n">
        <v>0.9999</v>
      </c>
      <c r="I124" t="n">
        <v>364</v>
      </c>
      <c r="J124" s="9">
        <f>H124/1</f>
        <v/>
      </c>
      <c r="K124" t="inlineStr">
        <is>
          <t>≥80%: 12×km</t>
        </is>
      </c>
      <c r="L124" s="7">
        <f>12*I124</f>
        <v/>
      </c>
      <c r="M124" s="7">
        <f>L124+200</f>
        <v/>
      </c>
    </row>
    <row r="125">
      <c r="A125" t="n">
        <v>122</v>
      </c>
      <c r="B125" t="inlineStr">
        <is>
          <t>CD</t>
        </is>
      </c>
      <c r="C125" t="inlineStr">
        <is>
          <t>Santos</t>
        </is>
      </c>
      <c r="D125" t="inlineStr">
        <is>
          <t>Joinville</t>
        </is>
      </c>
      <c r="E125" t="inlineStr">
        <is>
          <t>Avião</t>
        </is>
      </c>
      <c r="F125" t="inlineStr">
        <is>
          <t>PA3</t>
        </is>
      </c>
      <c r="G125" t="n">
        <v>6666</v>
      </c>
      <c r="H125" t="n">
        <v>0.9999</v>
      </c>
      <c r="I125" t="n">
        <v>364</v>
      </c>
      <c r="J125" s="9">
        <f>H125/1</f>
        <v/>
      </c>
      <c r="K125" t="inlineStr">
        <is>
          <t>≥80%: 12×km</t>
        </is>
      </c>
      <c r="L125" s="7">
        <f>12*I125</f>
        <v/>
      </c>
      <c r="M125" s="7">
        <f>L125+200</f>
        <v/>
      </c>
    </row>
    <row r="126">
      <c r="A126" t="n">
        <v>123</v>
      </c>
      <c r="B126" t="inlineStr">
        <is>
          <t>CD</t>
        </is>
      </c>
      <c r="C126" t="inlineStr">
        <is>
          <t>Santos</t>
        </is>
      </c>
      <c r="D126" t="inlineStr">
        <is>
          <t>Joinville</t>
        </is>
      </c>
      <c r="E126" t="inlineStr">
        <is>
          <t>Avião</t>
        </is>
      </c>
      <c r="F126" t="inlineStr">
        <is>
          <t>PA3</t>
        </is>
      </c>
      <c r="G126" t="n">
        <v>1554</v>
      </c>
      <c r="H126" t="n">
        <v>0.2331</v>
      </c>
      <c r="I126" t="n">
        <v>364</v>
      </c>
      <c r="J126" s="9">
        <f>H126/1</f>
        <v/>
      </c>
      <c r="K126" t="inlineStr">
        <is>
          <t>&lt;80%: 0.5×12×km + 18×km×peso</t>
        </is>
      </c>
      <c r="L126" s="7">
        <f>0.5*12*I126+18*I126*H126</f>
        <v/>
      </c>
      <c r="M126" s="7">
        <f>L126+200</f>
        <v/>
      </c>
    </row>
    <row r="127">
      <c r="A127" t="n">
        <v>124</v>
      </c>
      <c r="B127" t="inlineStr">
        <is>
          <t>CD</t>
        </is>
      </c>
      <c r="C127" t="inlineStr">
        <is>
          <t>Santos</t>
        </is>
      </c>
      <c r="D127" t="inlineStr">
        <is>
          <t>Brasília</t>
        </is>
      </c>
      <c r="E127" t="inlineStr">
        <is>
          <t>Caminhão</t>
        </is>
      </c>
      <c r="F127" t="inlineStr">
        <is>
          <t>PA3</t>
        </is>
      </c>
      <c r="G127" t="n">
        <v>117573</v>
      </c>
      <c r="H127" t="n">
        <v>17.6359</v>
      </c>
      <c r="I127" t="n">
        <v>1087</v>
      </c>
      <c r="J127" s="9">
        <f>H127/24</f>
        <v/>
      </c>
      <c r="K127" t="inlineStr">
        <is>
          <t>&lt;80%: 0.5×8×km + 0.5×km×peso</t>
        </is>
      </c>
      <c r="L127" s="7">
        <f>0.5*8*I127+0.5*I127*H127</f>
        <v/>
      </c>
      <c r="M127" s="7">
        <f>L127+100</f>
        <v/>
      </c>
    </row>
    <row r="128">
      <c r="A128" t="n">
        <v>125</v>
      </c>
      <c r="B128" t="inlineStr">
        <is>
          <t>CD</t>
        </is>
      </c>
      <c r="C128" t="inlineStr">
        <is>
          <t>Santos</t>
        </is>
      </c>
      <c r="D128" t="inlineStr">
        <is>
          <t>Rio de Janeiro</t>
        </is>
      </c>
      <c r="E128" t="inlineStr">
        <is>
          <t>Navio</t>
        </is>
      </c>
      <c r="F128" t="inlineStr">
        <is>
          <t>PA3</t>
        </is>
      </c>
      <c r="G128" t="n">
        <v>94059</v>
      </c>
      <c r="H128" t="n">
        <v>14.1088</v>
      </c>
      <c r="I128" t="n">
        <v>407</v>
      </c>
      <c r="J128" s="9">
        <f>H128/100</f>
        <v/>
      </c>
      <c r="K128" t="inlineStr">
        <is>
          <t>&lt;80%: 0.5×5×km + 0.075×km×peso</t>
        </is>
      </c>
      <c r="L128" s="7">
        <f>0.5*5*I128+0.075*I128*H128</f>
        <v/>
      </c>
      <c r="M128" s="7">
        <f>L128+50</f>
        <v/>
      </c>
    </row>
    <row r="129">
      <c r="A129" t="n">
        <v>126</v>
      </c>
      <c r="B129" t="inlineStr">
        <is>
          <t>CD</t>
        </is>
      </c>
      <c r="C129" t="inlineStr">
        <is>
          <t>Santos</t>
        </is>
      </c>
      <c r="D129" t="inlineStr">
        <is>
          <t>Belo Horizonte</t>
        </is>
      </c>
      <c r="E129" t="inlineStr">
        <is>
          <t>Caminhão</t>
        </is>
      </c>
      <c r="F129" t="inlineStr">
        <is>
          <t>PA3</t>
        </is>
      </c>
      <c r="G129" t="n">
        <v>70544</v>
      </c>
      <c r="H129" t="n">
        <v>10.5816</v>
      </c>
      <c r="I129" t="n">
        <v>658</v>
      </c>
      <c r="J129" s="9">
        <f>H129/24</f>
        <v/>
      </c>
      <c r="K129" t="inlineStr">
        <is>
          <t>&lt;80%: 0.5×8×km + 0.5×km×peso</t>
        </is>
      </c>
      <c r="L129" s="7">
        <f>0.5*8*I129+0.5*I129*H129</f>
        <v/>
      </c>
      <c r="M129" s="7">
        <f>L129+100</f>
        <v/>
      </c>
    </row>
    <row r="130">
      <c r="A130" t="n">
        <v>127</v>
      </c>
      <c r="B130" t="inlineStr">
        <is>
          <t>CD</t>
        </is>
      </c>
      <c r="C130" t="inlineStr">
        <is>
          <t>Santos</t>
        </is>
      </c>
      <c r="D130" t="inlineStr">
        <is>
          <t>Goiânia</t>
        </is>
      </c>
      <c r="E130" t="inlineStr">
        <is>
          <t>Caminhão</t>
        </is>
      </c>
      <c r="F130" t="inlineStr">
        <is>
          <t>PA3</t>
        </is>
      </c>
      <c r="G130" t="n">
        <v>65841</v>
      </c>
      <c r="H130" t="n">
        <v>9.876099999999999</v>
      </c>
      <c r="I130" t="n">
        <v>998</v>
      </c>
      <c r="J130" s="9">
        <f>H130/24</f>
        <v/>
      </c>
      <c r="K130" t="inlineStr">
        <is>
          <t>&lt;80%: 0.5×8×km + 0.5×km×peso</t>
        </is>
      </c>
      <c r="L130" s="7">
        <f>0.5*8*I130+0.5*I130*H130</f>
        <v/>
      </c>
      <c r="M130" s="7">
        <f>L130+100</f>
        <v/>
      </c>
    </row>
    <row r="131">
      <c r="A131" t="n">
        <v>128</v>
      </c>
      <c r="B131" t="inlineStr">
        <is>
          <t>CD</t>
        </is>
      </c>
      <c r="C131" t="inlineStr">
        <is>
          <t>Santos</t>
        </is>
      </c>
      <c r="D131" t="inlineStr">
        <is>
          <t>Cuiabá</t>
        </is>
      </c>
      <c r="E131" t="inlineStr">
        <is>
          <t>Caminhão</t>
        </is>
      </c>
      <c r="F131" t="inlineStr">
        <is>
          <t>PA3</t>
        </is>
      </c>
      <c r="G131" t="n">
        <v>28218</v>
      </c>
      <c r="H131" t="n">
        <v>4.2327</v>
      </c>
      <c r="I131" t="n">
        <v>1686</v>
      </c>
      <c r="J131" s="9">
        <f>H131/24</f>
        <v/>
      </c>
      <c r="K131" t="inlineStr">
        <is>
          <t>&lt;80%: 0.5×8×km + 0.5×km×peso</t>
        </is>
      </c>
      <c r="L131" s="7">
        <f>0.5*8*I131+0.5*I131*H131</f>
        <v/>
      </c>
      <c r="M131" s="7">
        <f>L131+100</f>
        <v/>
      </c>
    </row>
    <row r="132">
      <c r="A132" t="n">
        <v>129</v>
      </c>
      <c r="B132" t="inlineStr">
        <is>
          <t>CD</t>
        </is>
      </c>
      <c r="C132" t="inlineStr">
        <is>
          <t>Santos</t>
        </is>
      </c>
      <c r="D132" t="inlineStr">
        <is>
          <t>Campo Grande</t>
        </is>
      </c>
      <c r="E132" t="inlineStr">
        <is>
          <t>Caminhão</t>
        </is>
      </c>
      <c r="F132" t="inlineStr">
        <is>
          <t>PA3</t>
        </is>
      </c>
      <c r="G132" t="n">
        <v>23515</v>
      </c>
      <c r="H132" t="n">
        <v>3.5272</v>
      </c>
      <c r="I132" t="n">
        <v>1086</v>
      </c>
      <c r="J132" s="9">
        <f>H132/24</f>
        <v/>
      </c>
      <c r="K132" t="inlineStr">
        <is>
          <t>&lt;80%: 0.5×8×km + 0.5×km×peso</t>
        </is>
      </c>
      <c r="L132" s="7">
        <f>0.5*8*I132+0.5*I132*H132</f>
        <v/>
      </c>
      <c r="M132" s="7">
        <f>L132+100</f>
        <v/>
      </c>
    </row>
    <row r="133">
      <c r="A133" t="n">
        <v>130</v>
      </c>
      <c r="B133" t="inlineStr">
        <is>
          <t>CD</t>
        </is>
      </c>
      <c r="C133" t="inlineStr">
        <is>
          <t>Santos</t>
        </is>
      </c>
      <c r="D133" t="inlineStr">
        <is>
          <t>Uberlândia</t>
        </is>
      </c>
      <c r="E133" t="inlineStr">
        <is>
          <t>Caminhão</t>
        </is>
      </c>
      <c r="F133" t="inlineStr">
        <is>
          <t>PA3</t>
        </is>
      </c>
      <c r="G133" t="n">
        <v>23515</v>
      </c>
      <c r="H133" t="n">
        <v>3.5272</v>
      </c>
      <c r="I133" t="n">
        <v>662</v>
      </c>
      <c r="J133" s="9">
        <f>H133/24</f>
        <v/>
      </c>
      <c r="K133" t="inlineStr">
        <is>
          <t>&lt;80%: 0.5×8×km + 0.5×km×peso</t>
        </is>
      </c>
      <c r="L133" s="7">
        <f>0.5*8*I133+0.5*I133*H133</f>
        <v/>
      </c>
      <c r="M133" s="7">
        <f>L133+100</f>
        <v/>
      </c>
    </row>
    <row r="134">
      <c r="A134" t="n">
        <v>131</v>
      </c>
      <c r="B134" t="inlineStr">
        <is>
          <t>CD</t>
        </is>
      </c>
      <c r="C134" t="inlineStr">
        <is>
          <t>Santos</t>
        </is>
      </c>
      <c r="D134" t="inlineStr">
        <is>
          <t>Vitória</t>
        </is>
      </c>
      <c r="E134" t="inlineStr">
        <is>
          <t>Navio</t>
        </is>
      </c>
      <c r="F134" t="inlineStr">
        <is>
          <t>PA3</t>
        </is>
      </c>
      <c r="G134" t="n">
        <v>14109</v>
      </c>
      <c r="H134" t="n">
        <v>2.1163</v>
      </c>
      <c r="I134" t="n">
        <v>889</v>
      </c>
      <c r="J134" s="9">
        <f>H134/100</f>
        <v/>
      </c>
      <c r="K134" t="inlineStr">
        <is>
          <t>&lt;80%: 0.5×5×km + 0.075×km×peso</t>
        </is>
      </c>
      <c r="L134" s="7">
        <f>0.5*5*I134+0.075*I134*H134</f>
        <v/>
      </c>
      <c r="M134" s="7">
        <f>L134+50</f>
        <v/>
      </c>
    </row>
    <row r="135">
      <c r="A135" t="n">
        <v>132</v>
      </c>
      <c r="B135" t="inlineStr">
        <is>
          <t>CD</t>
        </is>
      </c>
      <c r="C135" t="inlineStr">
        <is>
          <t>Santos</t>
        </is>
      </c>
      <c r="D135" t="inlineStr">
        <is>
          <t>Salvador</t>
        </is>
      </c>
      <c r="E135" t="inlineStr">
        <is>
          <t>Navio</t>
        </is>
      </c>
      <c r="F135" t="inlineStr">
        <is>
          <t>PA3</t>
        </is>
      </c>
      <c r="G135" t="n">
        <v>80622</v>
      </c>
      <c r="H135" t="n">
        <v>12.0933</v>
      </c>
      <c r="I135" t="n">
        <v>1747</v>
      </c>
      <c r="J135" s="9">
        <f>H135/100</f>
        <v/>
      </c>
      <c r="K135" t="inlineStr">
        <is>
          <t>&lt;80%: 0.5×5×km + 0.075×km×peso</t>
        </is>
      </c>
      <c r="L135" s="7">
        <f>0.5*5*I135+0.075*I135*H135</f>
        <v/>
      </c>
      <c r="M135" s="7">
        <f>L135+50</f>
        <v/>
      </c>
    </row>
    <row r="136">
      <c r="A136" t="n">
        <v>133</v>
      </c>
      <c r="B136" t="inlineStr">
        <is>
          <t>CD</t>
        </is>
      </c>
      <c r="C136" t="inlineStr">
        <is>
          <t>Santos</t>
        </is>
      </c>
      <c r="D136" t="inlineStr">
        <is>
          <t>Recife</t>
        </is>
      </c>
      <c r="E136" t="inlineStr">
        <is>
          <t>Caminhão</t>
        </is>
      </c>
      <c r="F136" t="inlineStr">
        <is>
          <t>PA3</t>
        </is>
      </c>
      <c r="G136" t="n">
        <v>60466</v>
      </c>
      <c r="H136" t="n">
        <v>9.069900000000001</v>
      </c>
      <c r="I136" t="n">
        <v>2732</v>
      </c>
      <c r="J136" s="9">
        <f>H136/24</f>
        <v/>
      </c>
      <c r="K136" t="inlineStr">
        <is>
          <t>&lt;80%: 0.5×8×km + 0.5×km×peso</t>
        </is>
      </c>
      <c r="L136" s="7">
        <f>0.5*8*I136+0.5*I136*H136</f>
        <v/>
      </c>
      <c r="M136" s="7">
        <f>L136+100</f>
        <v/>
      </c>
    </row>
    <row r="137">
      <c r="A137" t="n">
        <v>134</v>
      </c>
      <c r="B137" t="inlineStr">
        <is>
          <t>CD</t>
        </is>
      </c>
      <c r="C137" t="inlineStr">
        <is>
          <t>Santos</t>
        </is>
      </c>
      <c r="D137" t="inlineStr">
        <is>
          <t>João Pessoa</t>
        </is>
      </c>
      <c r="E137" t="inlineStr">
        <is>
          <t>Caminhão</t>
        </is>
      </c>
      <c r="F137" t="inlineStr">
        <is>
          <t>PA3</t>
        </is>
      </c>
      <c r="G137" t="n">
        <v>40311</v>
      </c>
      <c r="H137" t="n">
        <v>6.0466</v>
      </c>
      <c r="I137" t="n">
        <v>2842</v>
      </c>
      <c r="J137" s="9">
        <f>H137/24</f>
        <v/>
      </c>
      <c r="K137" t="inlineStr">
        <is>
          <t>&lt;80%: 0.5×8×km + 0.5×km×peso</t>
        </is>
      </c>
      <c r="L137" s="7">
        <f>0.5*8*I137+0.5*I137*H137</f>
        <v/>
      </c>
      <c r="M137" s="7">
        <f>L137+100</f>
        <v/>
      </c>
    </row>
    <row r="138">
      <c r="A138" t="n">
        <v>135</v>
      </c>
      <c r="B138" t="inlineStr">
        <is>
          <t>CD</t>
        </is>
      </c>
      <c r="C138" t="inlineStr">
        <is>
          <t>Santos</t>
        </is>
      </c>
      <c r="D138" t="inlineStr">
        <is>
          <t>Maceió</t>
        </is>
      </c>
      <c r="E138" t="inlineStr">
        <is>
          <t>Caminhão</t>
        </is>
      </c>
      <c r="F138" t="inlineStr">
        <is>
          <t>PA3</t>
        </is>
      </c>
      <c r="G138" t="n">
        <v>40311</v>
      </c>
      <c r="H138" t="n">
        <v>6.0466</v>
      </c>
      <c r="I138" t="n">
        <v>2525</v>
      </c>
      <c r="J138" s="9">
        <f>H138/24</f>
        <v/>
      </c>
      <c r="K138" t="inlineStr">
        <is>
          <t>&lt;80%: 0.5×8×km + 0.5×km×peso</t>
        </is>
      </c>
      <c r="L138" s="7">
        <f>0.5*8*I138+0.5*I138*H138</f>
        <v/>
      </c>
      <c r="M138" s="7">
        <f>L138+100</f>
        <v/>
      </c>
    </row>
    <row r="139">
      <c r="A139" t="n">
        <v>136</v>
      </c>
      <c r="B139" t="inlineStr">
        <is>
          <t>CD</t>
        </is>
      </c>
      <c r="C139" t="inlineStr">
        <is>
          <t>Santos</t>
        </is>
      </c>
      <c r="D139" t="inlineStr">
        <is>
          <t>Vitória da Conquista</t>
        </is>
      </c>
      <c r="E139" t="inlineStr">
        <is>
          <t>Avião</t>
        </is>
      </c>
      <c r="F139" t="inlineStr">
        <is>
          <t>PA3</t>
        </is>
      </c>
      <c r="G139" t="n">
        <v>6666</v>
      </c>
      <c r="H139" t="n">
        <v>0.9999</v>
      </c>
      <c r="I139" t="n">
        <v>1164</v>
      </c>
      <c r="J139" s="9">
        <f>H139/1</f>
        <v/>
      </c>
      <c r="K139" t="inlineStr">
        <is>
          <t>≥80%: 12×km</t>
        </is>
      </c>
      <c r="L139" s="7">
        <f>12*I139</f>
        <v/>
      </c>
      <c r="M139" s="7">
        <f>L139+200</f>
        <v/>
      </c>
    </row>
    <row r="140">
      <c r="A140" t="n">
        <v>137</v>
      </c>
      <c r="B140" t="inlineStr">
        <is>
          <t>CD</t>
        </is>
      </c>
      <c r="C140" t="inlineStr">
        <is>
          <t>Santos</t>
        </is>
      </c>
      <c r="D140" t="inlineStr">
        <is>
          <t>Vitória da Conquista</t>
        </is>
      </c>
      <c r="E140" t="inlineStr">
        <is>
          <t>Avião</t>
        </is>
      </c>
      <c r="F140" t="inlineStr">
        <is>
          <t>PA3</t>
        </is>
      </c>
      <c r="G140" t="n">
        <v>5427</v>
      </c>
      <c r="H140" t="n">
        <v>0.8139999999999999</v>
      </c>
      <c r="I140" t="n">
        <v>1164</v>
      </c>
      <c r="J140" s="9">
        <f>H140/1</f>
        <v/>
      </c>
      <c r="K140" t="inlineStr">
        <is>
          <t>≥80%: 12×km</t>
        </is>
      </c>
      <c r="L140" s="7">
        <f>12*I140</f>
        <v/>
      </c>
      <c r="M140" s="7">
        <f>L140+200</f>
        <v/>
      </c>
    </row>
    <row r="141">
      <c r="A141" t="n">
        <v>138</v>
      </c>
      <c r="B141" t="inlineStr">
        <is>
          <t>CD</t>
        </is>
      </c>
      <c r="C141" t="inlineStr">
        <is>
          <t>Santos</t>
        </is>
      </c>
      <c r="D141" t="inlineStr">
        <is>
          <t>Fortaleza</t>
        </is>
      </c>
      <c r="E141" t="inlineStr">
        <is>
          <t>Avião</t>
        </is>
      </c>
      <c r="F141" t="inlineStr">
        <is>
          <t>PA3</t>
        </is>
      </c>
      <c r="G141" t="n">
        <v>6666</v>
      </c>
      <c r="H141" t="n">
        <v>0.9999</v>
      </c>
      <c r="I141" t="n">
        <v>2402</v>
      </c>
      <c r="J141" s="9">
        <f>H141/1</f>
        <v/>
      </c>
      <c r="K141" t="inlineStr">
        <is>
          <t>≥80%: 12×km</t>
        </is>
      </c>
      <c r="L141" s="7">
        <f>12*I141</f>
        <v/>
      </c>
      <c r="M141" s="7">
        <f>L141+200</f>
        <v/>
      </c>
    </row>
    <row r="142">
      <c r="A142" t="n">
        <v>139</v>
      </c>
      <c r="B142" t="inlineStr">
        <is>
          <t>CD</t>
        </is>
      </c>
      <c r="C142" t="inlineStr">
        <is>
          <t>Santos</t>
        </is>
      </c>
      <c r="D142" t="inlineStr">
        <is>
          <t>Fortaleza</t>
        </is>
      </c>
      <c r="E142" t="inlineStr">
        <is>
          <t>Avião</t>
        </is>
      </c>
      <c r="F142" t="inlineStr">
        <is>
          <t>PA3</t>
        </is>
      </c>
      <c r="G142" t="n">
        <v>6666</v>
      </c>
      <c r="H142" t="n">
        <v>0.9999</v>
      </c>
      <c r="I142" t="n">
        <v>2402</v>
      </c>
      <c r="J142" s="9">
        <f>H142/1</f>
        <v/>
      </c>
      <c r="K142" t="inlineStr">
        <is>
          <t>≥80%: 12×km</t>
        </is>
      </c>
      <c r="L142" s="7">
        <f>12*I142</f>
        <v/>
      </c>
      <c r="M142" s="7">
        <f>L142+200</f>
        <v/>
      </c>
    </row>
    <row r="143">
      <c r="A143" t="n">
        <v>140</v>
      </c>
      <c r="B143" t="inlineStr">
        <is>
          <t>CD</t>
        </is>
      </c>
      <c r="C143" t="inlineStr">
        <is>
          <t>Santos</t>
        </is>
      </c>
      <c r="D143" t="inlineStr">
        <is>
          <t>Fortaleza</t>
        </is>
      </c>
      <c r="E143" t="inlineStr">
        <is>
          <t>Avião</t>
        </is>
      </c>
      <c r="F143" t="inlineStr">
        <is>
          <t>PA3</t>
        </is>
      </c>
      <c r="G143" t="n">
        <v>6666</v>
      </c>
      <c r="H143" t="n">
        <v>0.9999</v>
      </c>
      <c r="I143" t="n">
        <v>2402</v>
      </c>
      <c r="J143" s="9">
        <f>H143/1</f>
        <v/>
      </c>
      <c r="K143" t="inlineStr">
        <is>
          <t>≥80%: 12×km</t>
        </is>
      </c>
      <c r="L143" s="7">
        <f>12*I143</f>
        <v/>
      </c>
      <c r="M143" s="7">
        <f>L143+200</f>
        <v/>
      </c>
    </row>
    <row r="144">
      <c r="A144" t="n">
        <v>141</v>
      </c>
      <c r="B144" t="inlineStr">
        <is>
          <t>CD</t>
        </is>
      </c>
      <c r="C144" t="inlineStr">
        <is>
          <t>Santos</t>
        </is>
      </c>
      <c r="D144" t="inlineStr">
        <is>
          <t>Fortaleza</t>
        </is>
      </c>
      <c r="E144" t="inlineStr">
        <is>
          <t>Avião</t>
        </is>
      </c>
      <c r="F144" t="inlineStr">
        <is>
          <t>PA3</t>
        </is>
      </c>
      <c r="G144" t="n">
        <v>6666</v>
      </c>
      <c r="H144" t="n">
        <v>0.9999</v>
      </c>
      <c r="I144" t="n">
        <v>2402</v>
      </c>
      <c r="J144" s="9">
        <f>H144/1</f>
        <v/>
      </c>
      <c r="K144" t="inlineStr">
        <is>
          <t>≥80%: 12×km</t>
        </is>
      </c>
      <c r="L144" s="7">
        <f>12*I144</f>
        <v/>
      </c>
      <c r="M144" s="7">
        <f>L144+200</f>
        <v/>
      </c>
    </row>
    <row r="145">
      <c r="A145" t="n">
        <v>142</v>
      </c>
      <c r="B145" t="inlineStr">
        <is>
          <t>CD</t>
        </is>
      </c>
      <c r="C145" t="inlineStr">
        <is>
          <t>Santos</t>
        </is>
      </c>
      <c r="D145" t="inlineStr">
        <is>
          <t>Fortaleza</t>
        </is>
      </c>
      <c r="E145" t="inlineStr">
        <is>
          <t>Avião</t>
        </is>
      </c>
      <c r="F145" t="inlineStr">
        <is>
          <t>PA3</t>
        </is>
      </c>
      <c r="G145" t="n">
        <v>6666</v>
      </c>
      <c r="H145" t="n">
        <v>0.9999</v>
      </c>
      <c r="I145" t="n">
        <v>2402</v>
      </c>
      <c r="J145" s="9">
        <f>H145/1</f>
        <v/>
      </c>
      <c r="K145" t="inlineStr">
        <is>
          <t>≥80%: 12×km</t>
        </is>
      </c>
      <c r="L145" s="7">
        <f>12*I145</f>
        <v/>
      </c>
      <c r="M145" s="7">
        <f>L145+200</f>
        <v/>
      </c>
    </row>
    <row r="146">
      <c r="A146" t="n">
        <v>143</v>
      </c>
      <c r="B146" t="inlineStr">
        <is>
          <t>CD</t>
        </is>
      </c>
      <c r="C146" t="inlineStr">
        <is>
          <t>Santos</t>
        </is>
      </c>
      <c r="D146" t="inlineStr">
        <is>
          <t>Fortaleza</t>
        </is>
      </c>
      <c r="E146" t="inlineStr">
        <is>
          <t>Avião</t>
        </is>
      </c>
      <c r="F146" t="inlineStr">
        <is>
          <t>PA3</t>
        </is>
      </c>
      <c r="G146" t="n">
        <v>6666</v>
      </c>
      <c r="H146" t="n">
        <v>0.9999</v>
      </c>
      <c r="I146" t="n">
        <v>2402</v>
      </c>
      <c r="J146" s="9">
        <f>H146/1</f>
        <v/>
      </c>
      <c r="K146" t="inlineStr">
        <is>
          <t>≥80%: 12×km</t>
        </is>
      </c>
      <c r="L146" s="7">
        <f>12*I146</f>
        <v/>
      </c>
      <c r="M146" s="7">
        <f>L146+200</f>
        <v/>
      </c>
    </row>
    <row r="147">
      <c r="A147" t="n">
        <v>144</v>
      </c>
      <c r="B147" t="inlineStr">
        <is>
          <t>CD</t>
        </is>
      </c>
      <c r="C147" t="inlineStr">
        <is>
          <t>Santos</t>
        </is>
      </c>
      <c r="D147" t="inlineStr">
        <is>
          <t>Fortaleza</t>
        </is>
      </c>
      <c r="E147" t="inlineStr">
        <is>
          <t>Avião</t>
        </is>
      </c>
      <c r="F147" t="inlineStr">
        <is>
          <t>PA3</t>
        </is>
      </c>
      <c r="G147" t="n">
        <v>6666</v>
      </c>
      <c r="H147" t="n">
        <v>0.9999</v>
      </c>
      <c r="I147" t="n">
        <v>2402</v>
      </c>
      <c r="J147" s="9">
        <f>H147/1</f>
        <v/>
      </c>
      <c r="K147" t="inlineStr">
        <is>
          <t>≥80%: 12×km</t>
        </is>
      </c>
      <c r="L147" s="7">
        <f>12*I147</f>
        <v/>
      </c>
      <c r="M147" s="7">
        <f>L147+200</f>
        <v/>
      </c>
    </row>
    <row r="148">
      <c r="A148" t="n">
        <v>145</v>
      </c>
      <c r="B148" t="inlineStr">
        <is>
          <t>CD</t>
        </is>
      </c>
      <c r="C148" t="inlineStr">
        <is>
          <t>Santos</t>
        </is>
      </c>
      <c r="D148" t="inlineStr">
        <is>
          <t>Fortaleza</t>
        </is>
      </c>
      <c r="E148" t="inlineStr">
        <is>
          <t>Avião</t>
        </is>
      </c>
      <c r="F148" t="inlineStr">
        <is>
          <t>PA3</t>
        </is>
      </c>
      <c r="G148" t="n">
        <v>6666</v>
      </c>
      <c r="H148" t="n">
        <v>0.9999</v>
      </c>
      <c r="I148" t="n">
        <v>2402</v>
      </c>
      <c r="J148" s="9">
        <f>H148/1</f>
        <v/>
      </c>
      <c r="K148" t="inlineStr">
        <is>
          <t>≥80%: 12×km</t>
        </is>
      </c>
      <c r="L148" s="7">
        <f>12*I148</f>
        <v/>
      </c>
      <c r="M148" s="7">
        <f>L148+200</f>
        <v/>
      </c>
    </row>
    <row r="149">
      <c r="A149" t="n">
        <v>146</v>
      </c>
      <c r="B149" t="inlineStr">
        <is>
          <t>CD</t>
        </is>
      </c>
      <c r="C149" t="inlineStr">
        <is>
          <t>Santos</t>
        </is>
      </c>
      <c r="D149" t="inlineStr">
        <is>
          <t>Fortaleza</t>
        </is>
      </c>
      <c r="E149" t="inlineStr">
        <is>
          <t>Avião</t>
        </is>
      </c>
      <c r="F149" t="inlineStr">
        <is>
          <t>PA3</t>
        </is>
      </c>
      <c r="G149" t="n">
        <v>6666</v>
      </c>
      <c r="H149" t="n">
        <v>0.9999</v>
      </c>
      <c r="I149" t="n">
        <v>2402</v>
      </c>
      <c r="J149" s="9">
        <f>H149/1</f>
        <v/>
      </c>
      <c r="K149" t="inlineStr">
        <is>
          <t>≥80%: 12×km</t>
        </is>
      </c>
      <c r="L149" s="7">
        <f>12*I149</f>
        <v/>
      </c>
      <c r="M149" s="7">
        <f>L149+200</f>
        <v/>
      </c>
    </row>
    <row r="150">
      <c r="A150" t="n">
        <v>147</v>
      </c>
      <c r="B150" t="inlineStr">
        <is>
          <t>CD</t>
        </is>
      </c>
      <c r="C150" t="inlineStr">
        <is>
          <t>Santos</t>
        </is>
      </c>
      <c r="D150" t="inlineStr">
        <is>
          <t>Fortaleza</t>
        </is>
      </c>
      <c r="E150" t="inlineStr">
        <is>
          <t>Avião</t>
        </is>
      </c>
      <c r="F150" t="inlineStr">
        <is>
          <t>PA3</t>
        </is>
      </c>
      <c r="G150" t="n">
        <v>6666</v>
      </c>
      <c r="H150" t="n">
        <v>0.9999</v>
      </c>
      <c r="I150" t="n">
        <v>2402</v>
      </c>
      <c r="J150" s="9">
        <f>H150/1</f>
        <v/>
      </c>
      <c r="K150" t="inlineStr">
        <is>
          <t>≥80%: 12×km</t>
        </is>
      </c>
      <c r="L150" s="7">
        <f>12*I150</f>
        <v/>
      </c>
      <c r="M150" s="7">
        <f>L150+200</f>
        <v/>
      </c>
    </row>
    <row r="151">
      <c r="A151" t="n">
        <v>148</v>
      </c>
      <c r="B151" t="inlineStr">
        <is>
          <t>CD</t>
        </is>
      </c>
      <c r="C151" t="inlineStr">
        <is>
          <t>Santos</t>
        </is>
      </c>
      <c r="D151" t="inlineStr">
        <is>
          <t>Fortaleza</t>
        </is>
      </c>
      <c r="E151" t="inlineStr">
        <is>
          <t>Avião</t>
        </is>
      </c>
      <c r="F151" t="inlineStr">
        <is>
          <t>PA3</t>
        </is>
      </c>
      <c r="G151" t="n">
        <v>1868</v>
      </c>
      <c r="H151" t="n">
        <v>0.2802</v>
      </c>
      <c r="I151" t="n">
        <v>2402</v>
      </c>
      <c r="J151" s="9">
        <f>H151/1</f>
        <v/>
      </c>
      <c r="K151" t="inlineStr">
        <is>
          <t>&lt;80%: 0.5×12×km + 18×km×peso</t>
        </is>
      </c>
      <c r="L151" s="7">
        <f>0.5*12*I151+18*I151*H151</f>
        <v/>
      </c>
      <c r="M151" s="7">
        <f>L151+200</f>
        <v/>
      </c>
    </row>
    <row r="152">
      <c r="A152" t="n">
        <v>149</v>
      </c>
      <c r="B152" t="inlineStr">
        <is>
          <t>CD</t>
        </is>
      </c>
      <c r="C152" t="inlineStr">
        <is>
          <t>Santos</t>
        </is>
      </c>
      <c r="D152" t="inlineStr">
        <is>
          <t>Natal</t>
        </is>
      </c>
      <c r="E152" t="inlineStr">
        <is>
          <t>Avião</t>
        </is>
      </c>
      <c r="F152" t="inlineStr">
        <is>
          <t>PA3</t>
        </is>
      </c>
      <c r="G152" t="n">
        <v>6666</v>
      </c>
      <c r="H152" t="n">
        <v>0.9999</v>
      </c>
      <c r="I152" t="n">
        <v>2348</v>
      </c>
      <c r="J152" s="9">
        <f>H152/1</f>
        <v/>
      </c>
      <c r="K152" t="inlineStr">
        <is>
          <t>≥80%: 12×km</t>
        </is>
      </c>
      <c r="L152" s="7">
        <f>12*I152</f>
        <v/>
      </c>
      <c r="M152" s="7">
        <f>L152+200</f>
        <v/>
      </c>
    </row>
    <row r="153">
      <c r="A153" t="n">
        <v>150</v>
      </c>
      <c r="B153" t="inlineStr">
        <is>
          <t>CD</t>
        </is>
      </c>
      <c r="C153" t="inlineStr">
        <is>
          <t>Santos</t>
        </is>
      </c>
      <c r="D153" t="inlineStr">
        <is>
          <t>Natal</t>
        </is>
      </c>
      <c r="E153" t="inlineStr">
        <is>
          <t>Avião</t>
        </is>
      </c>
      <c r="F153" t="inlineStr">
        <is>
          <t>PA3</t>
        </is>
      </c>
      <c r="G153" t="n">
        <v>6666</v>
      </c>
      <c r="H153" t="n">
        <v>0.9999</v>
      </c>
      <c r="I153" t="n">
        <v>2348</v>
      </c>
      <c r="J153" s="9">
        <f>H153/1</f>
        <v/>
      </c>
      <c r="K153" t="inlineStr">
        <is>
          <t>≥80%: 12×km</t>
        </is>
      </c>
      <c r="L153" s="7">
        <f>12*I153</f>
        <v/>
      </c>
      <c r="M153" s="7">
        <f>L153+200</f>
        <v/>
      </c>
    </row>
    <row r="154">
      <c r="A154" t="n">
        <v>151</v>
      </c>
      <c r="B154" t="inlineStr">
        <is>
          <t>CD</t>
        </is>
      </c>
      <c r="C154" t="inlineStr">
        <is>
          <t>Santos</t>
        </is>
      </c>
      <c r="D154" t="inlineStr">
        <is>
          <t>Natal</t>
        </is>
      </c>
      <c r="E154" t="inlineStr">
        <is>
          <t>Avião</t>
        </is>
      </c>
      <c r="F154" t="inlineStr">
        <is>
          <t>PA3</t>
        </is>
      </c>
      <c r="G154" t="n">
        <v>6666</v>
      </c>
      <c r="H154" t="n">
        <v>0.9999</v>
      </c>
      <c r="I154" t="n">
        <v>2348</v>
      </c>
      <c r="J154" s="9">
        <f>H154/1</f>
        <v/>
      </c>
      <c r="K154" t="inlineStr">
        <is>
          <t>≥80%: 12×km</t>
        </is>
      </c>
      <c r="L154" s="7">
        <f>12*I154</f>
        <v/>
      </c>
      <c r="M154" s="7">
        <f>L154+200</f>
        <v/>
      </c>
    </row>
    <row r="155">
      <c r="A155" t="n">
        <v>152</v>
      </c>
      <c r="B155" t="inlineStr">
        <is>
          <t>CD</t>
        </is>
      </c>
      <c r="C155" t="inlineStr">
        <is>
          <t>Santos</t>
        </is>
      </c>
      <c r="D155" t="inlineStr">
        <is>
          <t>Natal</t>
        </is>
      </c>
      <c r="E155" t="inlineStr">
        <is>
          <t>Avião</t>
        </is>
      </c>
      <c r="F155" t="inlineStr">
        <is>
          <t>PA3</t>
        </is>
      </c>
      <c r="G155" t="n">
        <v>6666</v>
      </c>
      <c r="H155" t="n">
        <v>0.9999</v>
      </c>
      <c r="I155" t="n">
        <v>2348</v>
      </c>
      <c r="J155" s="9">
        <f>H155/1</f>
        <v/>
      </c>
      <c r="K155" t="inlineStr">
        <is>
          <t>≥80%: 12×km</t>
        </is>
      </c>
      <c r="L155" s="7">
        <f>12*I155</f>
        <v/>
      </c>
      <c r="M155" s="7">
        <f>L155+200</f>
        <v/>
      </c>
    </row>
    <row r="156">
      <c r="A156" t="n">
        <v>153</v>
      </c>
      <c r="B156" t="inlineStr">
        <is>
          <t>CD</t>
        </is>
      </c>
      <c r="C156" t="inlineStr">
        <is>
          <t>Santos</t>
        </is>
      </c>
      <c r="D156" t="inlineStr">
        <is>
          <t>Natal</t>
        </is>
      </c>
      <c r="E156" t="inlineStr">
        <is>
          <t>Avião</t>
        </is>
      </c>
      <c r="F156" t="inlineStr">
        <is>
          <t>PA3</t>
        </is>
      </c>
      <c r="G156" t="n">
        <v>6666</v>
      </c>
      <c r="H156" t="n">
        <v>0.9999</v>
      </c>
      <c r="I156" t="n">
        <v>2348</v>
      </c>
      <c r="J156" s="9">
        <f>H156/1</f>
        <v/>
      </c>
      <c r="K156" t="inlineStr">
        <is>
          <t>≥80%: 12×km</t>
        </is>
      </c>
      <c r="L156" s="7">
        <f>12*I156</f>
        <v/>
      </c>
      <c r="M156" s="7">
        <f>L156+200</f>
        <v/>
      </c>
    </row>
    <row r="157">
      <c r="A157" t="n">
        <v>154</v>
      </c>
      <c r="B157" t="inlineStr">
        <is>
          <t>CD</t>
        </is>
      </c>
      <c r="C157" t="inlineStr">
        <is>
          <t>Santos</t>
        </is>
      </c>
      <c r="D157" t="inlineStr">
        <is>
          <t>Natal</t>
        </is>
      </c>
      <c r="E157" t="inlineStr">
        <is>
          <t>Avião</t>
        </is>
      </c>
      <c r="F157" t="inlineStr">
        <is>
          <t>PA3</t>
        </is>
      </c>
      <c r="G157" t="n">
        <v>6666</v>
      </c>
      <c r="H157" t="n">
        <v>0.9999</v>
      </c>
      <c r="I157" t="n">
        <v>2348</v>
      </c>
      <c r="J157" s="9">
        <f>H157/1</f>
        <v/>
      </c>
      <c r="K157" t="inlineStr">
        <is>
          <t>≥80%: 12×km</t>
        </is>
      </c>
      <c r="L157" s="7">
        <f>12*I157</f>
        <v/>
      </c>
      <c r="M157" s="7">
        <f>L157+200</f>
        <v/>
      </c>
    </row>
    <row r="158">
      <c r="A158" t="n">
        <v>155</v>
      </c>
      <c r="B158" t="inlineStr">
        <is>
          <t>CD</t>
        </is>
      </c>
      <c r="C158" t="inlineStr">
        <is>
          <t>Santos</t>
        </is>
      </c>
      <c r="D158" t="inlineStr">
        <is>
          <t>Natal</t>
        </is>
      </c>
      <c r="E158" t="inlineStr">
        <is>
          <t>Avião</t>
        </is>
      </c>
      <c r="F158" t="inlineStr">
        <is>
          <t>PA3</t>
        </is>
      </c>
      <c r="G158" t="n">
        <v>315</v>
      </c>
      <c r="H158" t="n">
        <v>0.0472</v>
      </c>
      <c r="I158" t="n">
        <v>2348</v>
      </c>
      <c r="J158" s="9">
        <f>H158/1</f>
        <v/>
      </c>
      <c r="K158" t="inlineStr">
        <is>
          <t>&lt;80%: 0.5×12×km + 18×km×peso</t>
        </is>
      </c>
      <c r="L158" s="7">
        <f>0.5*12*I158+18*I158*H158</f>
        <v/>
      </c>
      <c r="M158" s="7">
        <f>L158+200</f>
        <v/>
      </c>
    </row>
    <row r="159">
      <c r="A159" t="n">
        <v>156</v>
      </c>
      <c r="B159" t="inlineStr">
        <is>
          <t>CD</t>
        </is>
      </c>
      <c r="C159" t="inlineStr">
        <is>
          <t>Santos</t>
        </is>
      </c>
      <c r="D159" t="inlineStr">
        <is>
          <t>Belém</t>
        </is>
      </c>
      <c r="E159" t="inlineStr">
        <is>
          <t>Avião</t>
        </is>
      </c>
      <c r="F159" t="inlineStr">
        <is>
          <t>PA3</t>
        </is>
      </c>
      <c r="G159" t="n">
        <v>6666</v>
      </c>
      <c r="H159" t="n">
        <v>0.9999</v>
      </c>
      <c r="I159" t="n">
        <v>2515</v>
      </c>
      <c r="J159" s="9">
        <f>H159/1</f>
        <v/>
      </c>
      <c r="K159" t="inlineStr">
        <is>
          <t>≥80%: 12×km</t>
        </is>
      </c>
      <c r="L159" s="7">
        <f>12*I159</f>
        <v/>
      </c>
      <c r="M159" s="7">
        <f>L159+200</f>
        <v/>
      </c>
    </row>
    <row r="160">
      <c r="A160" t="n">
        <v>157</v>
      </c>
      <c r="B160" t="inlineStr">
        <is>
          <t>CD</t>
        </is>
      </c>
      <c r="C160" t="inlineStr">
        <is>
          <t>Santos</t>
        </is>
      </c>
      <c r="D160" t="inlineStr">
        <is>
          <t>Belém</t>
        </is>
      </c>
      <c r="E160" t="inlineStr">
        <is>
          <t>Avião</t>
        </is>
      </c>
      <c r="F160" t="inlineStr">
        <is>
          <t>PA3</t>
        </is>
      </c>
      <c r="G160" t="n">
        <v>6666</v>
      </c>
      <c r="H160" t="n">
        <v>0.9999</v>
      </c>
      <c r="I160" t="n">
        <v>2515</v>
      </c>
      <c r="J160" s="9">
        <f>H160/1</f>
        <v/>
      </c>
      <c r="K160" t="inlineStr">
        <is>
          <t>≥80%: 12×km</t>
        </is>
      </c>
      <c r="L160" s="7">
        <f>12*I160</f>
        <v/>
      </c>
      <c r="M160" s="7">
        <f>L160+200</f>
        <v/>
      </c>
    </row>
    <row r="161">
      <c r="A161" t="n">
        <v>158</v>
      </c>
      <c r="B161" t="inlineStr">
        <is>
          <t>CD</t>
        </is>
      </c>
      <c r="C161" t="inlineStr">
        <is>
          <t>Santos</t>
        </is>
      </c>
      <c r="D161" t="inlineStr">
        <is>
          <t>Belém</t>
        </is>
      </c>
      <c r="E161" t="inlineStr">
        <is>
          <t>Avião</t>
        </is>
      </c>
      <c r="F161" t="inlineStr">
        <is>
          <t>PA3</t>
        </is>
      </c>
      <c r="G161" t="n">
        <v>6666</v>
      </c>
      <c r="H161" t="n">
        <v>0.9999</v>
      </c>
      <c r="I161" t="n">
        <v>2515</v>
      </c>
      <c r="J161" s="9">
        <f>H161/1</f>
        <v/>
      </c>
      <c r="K161" t="inlineStr">
        <is>
          <t>≥80%: 12×km</t>
        </is>
      </c>
      <c r="L161" s="7">
        <f>12*I161</f>
        <v/>
      </c>
      <c r="M161" s="7">
        <f>L161+200</f>
        <v/>
      </c>
    </row>
    <row r="162">
      <c r="A162" t="n">
        <v>159</v>
      </c>
      <c r="B162" t="inlineStr">
        <is>
          <t>CD</t>
        </is>
      </c>
      <c r="C162" t="inlineStr">
        <is>
          <t>Santos</t>
        </is>
      </c>
      <c r="D162" t="inlineStr">
        <is>
          <t>Belém</t>
        </is>
      </c>
      <c r="E162" t="inlineStr">
        <is>
          <t>Avião</t>
        </is>
      </c>
      <c r="F162" t="inlineStr">
        <is>
          <t>PA3</t>
        </is>
      </c>
      <c r="G162" t="n">
        <v>157</v>
      </c>
      <c r="H162" t="n">
        <v>0.0235</v>
      </c>
      <c r="I162" t="n">
        <v>2515</v>
      </c>
      <c r="J162" s="9">
        <f>H162/1</f>
        <v/>
      </c>
      <c r="K162" t="inlineStr">
        <is>
          <t>&lt;80%: 0.5×12×km + 18×km×peso</t>
        </is>
      </c>
      <c r="L162" s="7">
        <f>0.5*12*I162+18*I162*H162</f>
        <v/>
      </c>
      <c r="M162" s="7">
        <f>L162+200</f>
        <v/>
      </c>
    </row>
    <row r="163">
      <c r="A163" t="n">
        <v>160</v>
      </c>
      <c r="B163" t="inlineStr">
        <is>
          <t>CD</t>
        </is>
      </c>
      <c r="C163" t="inlineStr">
        <is>
          <t>Santos</t>
        </is>
      </c>
      <c r="D163" t="inlineStr">
        <is>
          <t>Manaus</t>
        </is>
      </c>
      <c r="E163" t="inlineStr">
        <is>
          <t>Avião</t>
        </is>
      </c>
      <c r="F163" t="inlineStr">
        <is>
          <t>PA3</t>
        </is>
      </c>
      <c r="G163" t="n">
        <v>6666</v>
      </c>
      <c r="H163" t="n">
        <v>0.9999</v>
      </c>
      <c r="I163" t="n">
        <v>2746</v>
      </c>
      <c r="J163" s="9">
        <f>H163/1</f>
        <v/>
      </c>
      <c r="K163" t="inlineStr">
        <is>
          <t>≥80%: 12×km</t>
        </is>
      </c>
      <c r="L163" s="7">
        <f>12*I163</f>
        <v/>
      </c>
      <c r="M163" s="7">
        <f>L163+200</f>
        <v/>
      </c>
    </row>
    <row r="164">
      <c r="A164" t="n">
        <v>161</v>
      </c>
      <c r="B164" t="inlineStr">
        <is>
          <t>CD</t>
        </is>
      </c>
      <c r="C164" t="inlineStr">
        <is>
          <t>Santos</t>
        </is>
      </c>
      <c r="D164" t="inlineStr">
        <is>
          <t>Manaus</t>
        </is>
      </c>
      <c r="E164" t="inlineStr">
        <is>
          <t>Avião</t>
        </is>
      </c>
      <c r="F164" t="inlineStr">
        <is>
          <t>PA3</t>
        </is>
      </c>
      <c r="G164" t="n">
        <v>6666</v>
      </c>
      <c r="H164" t="n">
        <v>0.9999</v>
      </c>
      <c r="I164" t="n">
        <v>2746</v>
      </c>
      <c r="J164" s="9">
        <f>H164/1</f>
        <v/>
      </c>
      <c r="K164" t="inlineStr">
        <is>
          <t>≥80%: 12×km</t>
        </is>
      </c>
      <c r="L164" s="7">
        <f>12*I164</f>
        <v/>
      </c>
      <c r="M164" s="7">
        <f>L164+200</f>
        <v/>
      </c>
    </row>
    <row r="165">
      <c r="A165" t="n">
        <v>162</v>
      </c>
      <c r="B165" t="inlineStr">
        <is>
          <t>CD</t>
        </is>
      </c>
      <c r="C165" t="inlineStr">
        <is>
          <t>Santos</t>
        </is>
      </c>
      <c r="D165" t="inlineStr">
        <is>
          <t>Manaus</t>
        </is>
      </c>
      <c r="E165" t="inlineStr">
        <is>
          <t>Avião</t>
        </is>
      </c>
      <c r="F165" t="inlineStr">
        <is>
          <t>PA3</t>
        </is>
      </c>
      <c r="G165" t="n">
        <v>6666</v>
      </c>
      <c r="H165" t="n">
        <v>0.9999</v>
      </c>
      <c r="I165" t="n">
        <v>2746</v>
      </c>
      <c r="J165" s="9">
        <f>H165/1</f>
        <v/>
      </c>
      <c r="K165" t="inlineStr">
        <is>
          <t>≥80%: 12×km</t>
        </is>
      </c>
      <c r="L165" s="7">
        <f>12*I165</f>
        <v/>
      </c>
      <c r="M165" s="7">
        <f>L165+200</f>
        <v/>
      </c>
    </row>
    <row r="166">
      <c r="A166" t="n">
        <v>163</v>
      </c>
      <c r="B166" t="inlineStr">
        <is>
          <t>CD</t>
        </is>
      </c>
      <c r="C166" t="inlineStr">
        <is>
          <t>Santos</t>
        </is>
      </c>
      <c r="D166" t="inlineStr">
        <is>
          <t>Manaus</t>
        </is>
      </c>
      <c r="E166" t="inlineStr">
        <is>
          <t>Avião</t>
        </is>
      </c>
      <c r="F166" t="inlineStr">
        <is>
          <t>PA3</t>
        </is>
      </c>
      <c r="G166" t="n">
        <v>157</v>
      </c>
      <c r="H166" t="n">
        <v>0.0235</v>
      </c>
      <c r="I166" t="n">
        <v>2746</v>
      </c>
      <c r="J166" s="9">
        <f>H166/1</f>
        <v/>
      </c>
      <c r="K166" t="inlineStr">
        <is>
          <t>&lt;80%: 0.5×12×km + 18×km×peso</t>
        </is>
      </c>
      <c r="L166" s="7">
        <f>0.5*12*I166+18*I166*H166</f>
        <v/>
      </c>
      <c r="M166" s="7">
        <f>L166+200</f>
        <v/>
      </c>
    </row>
    <row r="167">
      <c r="A167" t="n">
        <v>164</v>
      </c>
      <c r="B167" t="inlineStr">
        <is>
          <t>CD</t>
        </is>
      </c>
      <c r="C167" t="inlineStr">
        <is>
          <t>Santos</t>
        </is>
      </c>
      <c r="D167" t="inlineStr">
        <is>
          <t>São Luís</t>
        </is>
      </c>
      <c r="E167" t="inlineStr">
        <is>
          <t>Avião</t>
        </is>
      </c>
      <c r="F167" t="inlineStr">
        <is>
          <t>PA3</t>
        </is>
      </c>
      <c r="G167" t="n">
        <v>6666</v>
      </c>
      <c r="H167" t="n">
        <v>0.9999</v>
      </c>
      <c r="I167" t="n">
        <v>3485</v>
      </c>
      <c r="J167" s="9">
        <f>H167/1</f>
        <v/>
      </c>
      <c r="K167" t="inlineStr">
        <is>
          <t>≥80%: 12×km</t>
        </is>
      </c>
      <c r="L167" s="7">
        <f>12*I167</f>
        <v/>
      </c>
      <c r="M167" s="7">
        <f>L167+200</f>
        <v/>
      </c>
    </row>
    <row r="168">
      <c r="A168" t="n">
        <v>165</v>
      </c>
      <c r="B168" t="inlineStr">
        <is>
          <t>CD</t>
        </is>
      </c>
      <c r="C168" t="inlineStr">
        <is>
          <t>Santos</t>
        </is>
      </c>
      <c r="D168" t="inlineStr">
        <is>
          <t>São Luís</t>
        </is>
      </c>
      <c r="E168" t="inlineStr">
        <is>
          <t>Avião</t>
        </is>
      </c>
      <c r="F168" t="inlineStr">
        <is>
          <t>PA3</t>
        </is>
      </c>
      <c r="G168" t="n">
        <v>6666</v>
      </c>
      <c r="H168" t="n">
        <v>0.9999</v>
      </c>
      <c r="I168" t="n">
        <v>3485</v>
      </c>
      <c r="J168" s="9">
        <f>H168/1</f>
        <v/>
      </c>
      <c r="K168" t="inlineStr">
        <is>
          <t>≥80%: 12×km</t>
        </is>
      </c>
      <c r="L168" s="7">
        <f>12*I168</f>
        <v/>
      </c>
      <c r="M168" s="7">
        <f>L168+200</f>
        <v/>
      </c>
    </row>
    <row r="169">
      <c r="A169" t="n">
        <v>166</v>
      </c>
      <c r="B169" t="inlineStr">
        <is>
          <t>CD</t>
        </is>
      </c>
      <c r="C169" t="inlineStr">
        <is>
          <t>Santos</t>
        </is>
      </c>
      <c r="D169" t="inlineStr">
        <is>
          <t>São Luís</t>
        </is>
      </c>
      <c r="E169" t="inlineStr">
        <is>
          <t>Avião</t>
        </is>
      </c>
      <c r="F169" t="inlineStr">
        <is>
          <t>PA3</t>
        </is>
      </c>
      <c r="G169" t="n">
        <v>6666</v>
      </c>
      <c r="H169" t="n">
        <v>0.9999</v>
      </c>
      <c r="I169" t="n">
        <v>3485</v>
      </c>
      <c r="J169" s="9">
        <f>H169/1</f>
        <v/>
      </c>
      <c r="K169" t="inlineStr">
        <is>
          <t>≥80%: 12×km</t>
        </is>
      </c>
      <c r="L169" s="7">
        <f>12*I169</f>
        <v/>
      </c>
      <c r="M169" s="7">
        <f>L169+200</f>
        <v/>
      </c>
    </row>
    <row r="170">
      <c r="A170" t="n">
        <v>167</v>
      </c>
      <c r="B170" t="inlineStr">
        <is>
          <t>CD</t>
        </is>
      </c>
      <c r="C170" t="inlineStr">
        <is>
          <t>Santos</t>
        </is>
      </c>
      <c r="D170" t="inlineStr">
        <is>
          <t>São Luís</t>
        </is>
      </c>
      <c r="E170" t="inlineStr">
        <is>
          <t>Avião</t>
        </is>
      </c>
      <c r="F170" t="inlineStr">
        <is>
          <t>PA3</t>
        </is>
      </c>
      <c r="G170" t="n">
        <v>157</v>
      </c>
      <c r="H170" t="n">
        <v>0.0235</v>
      </c>
      <c r="I170" t="n">
        <v>3485</v>
      </c>
      <c r="J170" s="9">
        <f>H170/1</f>
        <v/>
      </c>
      <c r="K170" t="inlineStr">
        <is>
          <t>&lt;80%: 0.5×12×km + 18×km×peso</t>
        </is>
      </c>
      <c r="L170" s="7">
        <f>0.5*12*I170+18*I170*H170</f>
        <v/>
      </c>
      <c r="M170" s="7">
        <f>L170+200</f>
        <v/>
      </c>
    </row>
    <row r="171">
      <c r="A171" s="3" t="inlineStr">
        <is>
          <t>TOTAIS</t>
        </is>
      </c>
      <c r="G171" s="12">
        <f>SUM(G4:G170)</f>
        <v/>
      </c>
      <c r="H171" s="12">
        <f>SUM(H4:H170)</f>
        <v/>
      </c>
      <c r="L171" s="13">
        <f>SUM(L4:L170)</f>
        <v/>
      </c>
      <c r="M171" s="13">
        <f>SUM(M4:M170)</f>
        <v/>
      </c>
    </row>
  </sheetData>
  <mergeCells count="1">
    <mergeCell ref="A1:M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G35"/>
  <sheetViews>
    <sheetView workbookViewId="0">
      <selection activeCell="A1" sqref="A1"/>
    </sheetView>
  </sheetViews>
  <sheetFormatPr baseColWidth="8" defaultRowHeight="15"/>
  <cols>
    <col width="32" customWidth="1" min="1" max="1"/>
    <col width="30" customWidth="1" min="2" max="2"/>
    <col width="17" customWidth="1" min="3" max="3"/>
    <col width="17" customWidth="1" min="4" max="4"/>
    <col width="17" customWidth="1" min="5" max="5"/>
    <col width="17" customWidth="1" min="6" max="6"/>
    <col width="50" customWidth="1" min="7" max="7"/>
  </cols>
  <sheetData>
    <row r="1">
      <c r="A1" s="1" t="inlineStr">
        <is>
          <t>DRE RECONSTRUÍDA — R1 (real) + R2 (real c/ todas perdas) + R3 (V3 projetado)</t>
        </is>
      </c>
    </row>
    <row r="3">
      <c r="A3" s="4" t="inlineStr">
        <is>
          <t>Linha DRE</t>
        </is>
      </c>
      <c r="B3" s="4" t="inlineStr">
        <is>
          <t>Fórmula / Inputs</t>
        </is>
      </c>
      <c r="C3" s="4" t="inlineStr">
        <is>
          <t>R1 (Setup+R1)</t>
        </is>
      </c>
      <c r="D3" s="4" t="inlineStr">
        <is>
          <t>R2 (real)</t>
        </is>
      </c>
      <c r="E3" s="4" t="inlineStr">
        <is>
          <t>R3 (V3 proj)</t>
        </is>
      </c>
      <c r="F3" s="4" t="inlineStr">
        <is>
          <t>Acumulado</t>
        </is>
      </c>
      <c r="G3" s="4" t="inlineStr">
        <is>
          <t>Como é calculado</t>
        </is>
      </c>
    </row>
    <row r="4">
      <c r="A4" t="inlineStr">
        <is>
          <t>Receita PA1</t>
        </is>
      </c>
      <c r="B4" t="inlineStr">
        <is>
          <t>qty × preço</t>
        </is>
      </c>
      <c r="C4" s="7" t="n">
        <v>0</v>
      </c>
      <c r="D4" s="7" t="n">
        <v>0</v>
      </c>
      <c r="E4" s="7" t="n">
        <v>0</v>
      </c>
      <c r="F4" s="7">
        <f>C4+D4+E4</f>
        <v/>
      </c>
      <c r="G4" s="14" t="inlineStr">
        <is>
          <t>R1/R2 não venderam; R3 sem demanda PA1.</t>
        </is>
      </c>
    </row>
    <row r="5">
      <c r="A5" t="inlineStr">
        <is>
          <t>Receita PA2</t>
        </is>
      </c>
      <c r="B5" t="inlineStr">
        <is>
          <t>qty × preço</t>
        </is>
      </c>
      <c r="C5" s="7" t="n">
        <v>0</v>
      </c>
      <c r="D5" s="7" t="n">
        <v>0</v>
      </c>
      <c r="E5" s="7" t="n">
        <v>0</v>
      </c>
      <c r="F5" s="7">
        <f>C5+D5+E5</f>
        <v/>
      </c>
      <c r="G5" s="14" t="inlineStr">
        <is>
          <t>R3 só estoca buffer p/ R4.</t>
        </is>
      </c>
    </row>
    <row r="6">
      <c r="A6" t="inlineStr">
        <is>
          <t>Receita PA3</t>
        </is>
      </c>
      <c r="B6" t="inlineStr">
        <is>
          <t>1,343,693 × R$ 32.0</t>
        </is>
      </c>
      <c r="C6" s="7" t="n">
        <v>0</v>
      </c>
      <c r="D6" s="7" t="n">
        <v>0</v>
      </c>
      <c r="E6" s="7" t="n">
        <v>42998176</v>
      </c>
      <c r="F6" s="7">
        <f>C6+D6+E6</f>
        <v/>
      </c>
      <c r="G6" s="14" t="inlineStr">
        <is>
          <t>R3: 25/25 OPs entregues no dia × R$ 32.0/un. R2: todas vendas perdidas (não chegaram no dia).</t>
        </is>
      </c>
    </row>
    <row r="7">
      <c r="A7" s="12">
        <f> TOTAL RECEITA</f>
        <v/>
      </c>
      <c r="B7" s="12" t="inlineStr">
        <is>
          <t>SUM(PA1+PA2+PA3)</t>
        </is>
      </c>
      <c r="C7" s="13">
        <f>SUM(C4:C6)</f>
        <v/>
      </c>
      <c r="D7" s="13">
        <f>SUM(D4:D6)</f>
        <v/>
      </c>
      <c r="E7" s="13">
        <f>SUM(E4:E6)</f>
        <v/>
      </c>
      <c r="F7" s="13">
        <f>SUM(F4:F6)</f>
        <v/>
      </c>
    </row>
    <row r="9">
      <c r="A9" s="6" t="inlineStr">
        <is>
          <t>CUSTOS FIXOS (todas as rodadas)</t>
        </is>
      </c>
    </row>
    <row r="10">
      <c r="A10" t="inlineStr">
        <is>
          <t>Parcela terrenos</t>
        </is>
      </c>
      <c r="B10" t="inlineStr">
        <is>
          <t>fixo/rodada</t>
        </is>
      </c>
      <c r="C10" s="7" t="n">
        <v>-506968</v>
      </c>
      <c r="D10" s="7" t="n">
        <v>-506968</v>
      </c>
      <c r="E10" s="7" t="n">
        <v>-506968</v>
      </c>
      <c r="F10" s="7">
        <f>C10+D10+E10</f>
        <v/>
      </c>
      <c r="G10" s="14" t="inlineStr">
        <is>
          <t>Terrenos 17.258.500 financiados 1.5%/m × 48 períodos. Valor do DRE oficial.</t>
        </is>
      </c>
    </row>
    <row r="11">
      <c r="A11" t="inlineStr">
        <is>
          <t>Parcela máquinas</t>
        </is>
      </c>
      <c r="B11" t="inlineStr">
        <is>
          <t>fixo/rodada</t>
        </is>
      </c>
      <c r="C11" s="7" t="n">
        <v>-415567</v>
      </c>
      <c r="D11" s="7" t="n">
        <v>-415567</v>
      </c>
      <c r="E11" s="7" t="n">
        <v>-415567</v>
      </c>
      <c r="F11" s="7">
        <f>C11+D11+E11</f>
        <v/>
      </c>
      <c r="G11" s="14" t="inlineStr">
        <is>
          <t>Máquinas 10.500.000 (7×1.5M) financiadas 3%/m × 48.</t>
        </is>
      </c>
    </row>
    <row r="12">
      <c r="A12" t="inlineStr">
        <is>
          <t>Contratação MO</t>
        </is>
      </c>
      <c r="B12" t="inlineStr">
        <is>
          <t>fixo/rodada</t>
        </is>
      </c>
      <c r="C12" s="7" t="n">
        <v>-84</v>
      </c>
      <c r="D12" s="7" t="n">
        <v>-84</v>
      </c>
      <c r="E12" s="7" t="n">
        <v>-84</v>
      </c>
      <c r="F12" s="7">
        <f>C12+D12+E12</f>
        <v/>
      </c>
      <c r="G12" s="14" t="inlineStr">
        <is>
          <t>4050 ÷ 48.</t>
        </is>
      </c>
    </row>
    <row r="13">
      <c r="A13" t="inlineStr">
        <is>
          <t>Manutenção fábricas</t>
        </is>
      </c>
      <c r="B13" t="inlineStr">
        <is>
          <t>fixo/rodada</t>
        </is>
      </c>
      <c r="C13" s="7" t="n">
        <v>-1313</v>
      </c>
      <c r="D13" s="7" t="n">
        <v>-1313</v>
      </c>
      <c r="E13" s="7" t="n">
        <v>-1313</v>
      </c>
      <c r="F13" s="7">
        <f>C13+D13+E13</f>
        <v/>
      </c>
      <c r="G13" s="14" t="inlineStr">
        <is>
          <t>Do DRE oficial.</t>
        </is>
      </c>
    </row>
    <row r="14">
      <c r="A14" t="inlineStr">
        <is>
          <t>Salário operários</t>
        </is>
      </c>
      <c r="B14" t="inlineStr">
        <is>
          <t>fixo/rodada</t>
        </is>
      </c>
      <c r="C14" s="7" t="n">
        <v>-450</v>
      </c>
      <c r="D14" s="7" t="n">
        <v>-450</v>
      </c>
      <c r="E14" s="7" t="n">
        <v>-450</v>
      </c>
      <c r="F14" s="7">
        <f>C14+D14+E14</f>
        <v/>
      </c>
      <c r="G14" s="14" t="inlineStr">
        <is>
          <t>21 MO × salário. Do DRE.</t>
        </is>
      </c>
    </row>
    <row r="15">
      <c r="A15" t="inlineStr">
        <is>
          <t>Custo produção (água+EE)</t>
        </is>
      </c>
      <c r="B15" t="inlineStr">
        <is>
          <t>fixo/rodada</t>
        </is>
      </c>
      <c r="C15" s="7" t="n">
        <v>-172086</v>
      </c>
      <c r="D15" s="7" t="n">
        <v>-172086</v>
      </c>
      <c r="E15" s="7" t="n">
        <v>-172086</v>
      </c>
      <c r="F15" s="7">
        <f>C15+D15+E15</f>
        <v/>
      </c>
      <c r="G15" s="14" t="inlineStr">
        <is>
          <t>Do DRE oficial.</t>
        </is>
      </c>
    </row>
    <row r="16">
      <c r="A16" t="inlineStr">
        <is>
          <t>Manutenção CDs</t>
        </is>
      </c>
      <c r="B16" t="inlineStr">
        <is>
          <t>fixo/rodada</t>
        </is>
      </c>
      <c r="C16" s="7" t="n">
        <v>-26683</v>
      </c>
      <c r="D16" s="7" t="n">
        <v>-26683</v>
      </c>
      <c r="E16" s="7" t="n">
        <v>-26683</v>
      </c>
      <c r="F16" s="7">
        <f>C16+D16+E16</f>
        <v/>
      </c>
      <c r="G16" s="14" t="inlineStr">
        <is>
          <t>área × custo manut/m².</t>
        </is>
      </c>
    </row>
    <row r="18">
      <c r="A18" s="6" t="inlineStr">
        <is>
          <t>CUSTOS VARIÁVEIS</t>
        </is>
      </c>
    </row>
    <row r="19">
      <c r="A19" t="inlineStr">
        <is>
          <t>Compra MP</t>
        </is>
      </c>
      <c r="B19" t="inlineStr">
        <is>
          <t>R3: 67.0t MP1+0.0t MP2+64.3t MP3</t>
        </is>
      </c>
      <c r="C19" s="7" t="n">
        <v>-4368000</v>
      </c>
      <c r="D19" s="7" t="n">
        <v>-4622400</v>
      </c>
      <c r="E19" s="7" t="n">
        <v>-5274480.319999999</v>
      </c>
      <c r="F19" s="7">
        <f>C19+D19+E19</f>
        <v/>
      </c>
      <c r="G19" s="14" t="inlineStr">
        <is>
          <t>Cada MP × custo fornec mais barato: MP1 Manaus R$48k, MP2 Cuiabá R$16k, MP3 PA R$32k.</t>
        </is>
      </c>
    </row>
    <row r="20">
      <c r="A20" t="inlineStr">
        <is>
          <t>Frete MP</t>
        </is>
      </c>
      <c r="B20" t="inlineStr">
        <is>
          <t>Σ frete viagens forn→F1</t>
        </is>
      </c>
      <c r="C20" s="7" t="n">
        <v>-105666</v>
      </c>
      <c r="D20" s="7" t="n">
        <v>-10500</v>
      </c>
      <c r="E20" s="7" t="n">
        <v>-116112</v>
      </c>
      <c r="F20" s="7">
        <f>C20+D20+E20</f>
        <v/>
      </c>
      <c r="G20" s="14" t="inlineStr">
        <is>
          <t>Caminhão. Per viagem: regra ocup ≥80%/&lt;80%.</t>
        </is>
      </c>
    </row>
    <row r="21">
      <c r="A21" t="inlineStr">
        <is>
          <t>Frete PA</t>
        </is>
      </c>
      <c r="B21" t="inlineStr">
        <is>
          <t>Σ frete viagens F1→CD + CD→V</t>
        </is>
      </c>
      <c r="C21" s="7" t="n">
        <v>-95</v>
      </c>
      <c r="D21" s="7" t="n">
        <v>-4300000</v>
      </c>
      <c r="E21" s="7" t="n">
        <v>-1551030.7840175</v>
      </c>
      <c r="F21" s="7">
        <f>C21+D21+E21</f>
        <v/>
      </c>
      <c r="G21" s="14" t="inlineStr">
        <is>
          <t>Modais variáveis. Per viagem: regra ocup. Doc CT-e somado.</t>
        </is>
      </c>
    </row>
    <row r="22">
      <c r="A22" t="inlineStr">
        <is>
          <t>Carregamento MP</t>
        </is>
      </c>
      <c r="B22" t="inlineStr">
        <is>
          <t>Σ MP final × maior preço × 1%</t>
        </is>
      </c>
      <c r="C22" s="7" t="n">
        <v>-5410</v>
      </c>
      <c r="D22" s="7" t="n">
        <v>-16230</v>
      </c>
      <c r="E22" s="7" t="n">
        <v>-34082.31435000001</v>
      </c>
      <c r="F22" s="7">
        <f>C22+D22+E22</f>
        <v/>
      </c>
      <c r="G22" s="14" t="inlineStr">
        <is>
          <t>R3: 73.8t total × ~R$45k/ton ponderado × 1%.</t>
        </is>
      </c>
    </row>
    <row r="23">
      <c r="A23" t="inlineStr">
        <is>
          <t>Carregamento PA</t>
        </is>
      </c>
      <c r="B23" t="inlineStr">
        <is>
          <t>Σ PA final × preço tabela × 1%</t>
        </is>
      </c>
      <c r="C23" s="7" t="n">
        <v>0</v>
      </c>
      <c r="D23" s="7" t="n">
        <v>-213664</v>
      </c>
      <c r="E23" s="7" t="n">
        <v>-39556.5</v>
      </c>
      <c r="F23" s="7">
        <f>C23+D23+E23</f>
        <v/>
      </c>
      <c r="G23" s="14" t="inlineStr">
        <is>
          <t>R3: 79,113.0 un × R$50 (PA2) × 1%.</t>
        </is>
      </c>
    </row>
    <row r="25">
      <c r="A25" s="15">
        <f>= TOTAL CUSTOS ==</f>
        <v/>
      </c>
      <c r="B25" s="15" t="inlineStr">
        <is>
          <t>Σ fixos + variáveis</t>
        </is>
      </c>
      <c r="C25" s="16">
        <f>SUM(C10:C16)+C19+C20+C21+C22+C23</f>
        <v/>
      </c>
      <c r="D25" s="16">
        <f>SUM(D10:D16)+D19+D20+D21+D22+D23</f>
        <v/>
      </c>
      <c r="E25" s="16">
        <f>SUM(E10:E16)+E19+E20+E21+E22+E23</f>
        <v/>
      </c>
      <c r="F25" s="16">
        <f>SUM(F10:F16)+F19+F20+F21+F22+F23</f>
        <v/>
      </c>
    </row>
    <row r="26">
      <c r="A26" s="12">
        <f>= RESULTADO DA RODADA ==</f>
        <v/>
      </c>
      <c r="B26" s="12" t="inlineStr">
        <is>
          <t>Receita + Custos</t>
        </is>
      </c>
      <c r="C26" s="13">
        <f>C7+C25</f>
        <v/>
      </c>
      <c r="D26" s="13">
        <f>D7+D25</f>
        <v/>
      </c>
      <c r="E26" s="13">
        <f>E7+E25</f>
        <v/>
      </c>
      <c r="F26" s="13">
        <f>F7+F25</f>
        <v/>
      </c>
    </row>
    <row r="28">
      <c r="A28" s="17" t="inlineStr">
        <is>
          <t>📝 NOTAS</t>
        </is>
      </c>
    </row>
    <row r="29" ht="22" customHeight="1">
      <c r="A29" s="14" t="inlineStr">
        <is>
          <t>Cada cor verde = fórmula Excel viva (Σ ou referência). Mude C/D/E e Acumulado (F) recalcula automaticamente.</t>
        </is>
      </c>
    </row>
    <row r="30" ht="22" customHeight="1">
      <c r="A30" s="14" t="inlineStr">
        <is>
          <t>R1: do DRE oficial PDF (página 1).</t>
        </is>
      </c>
    </row>
    <row r="31" ht="22" customHeight="1">
      <c r="A31" s="14" t="inlineStr">
        <is>
          <t>R2: REAL — 267k PA1 produzidos e enviados, mas TODOS chegaram fora do dia exato → R$ 0 receita.</t>
        </is>
      </c>
    </row>
    <row r="32" ht="22" customHeight="1">
      <c r="A32" s="14" t="inlineStr">
        <is>
          <t>R2 frete PA = estimativa R$ 25k × 172 viagens. Para precisão total, parsear SOL_TRANSP R2 viagem por viagem.</t>
        </is>
      </c>
    </row>
    <row r="33" ht="22" customHeight="1">
      <c r="A33" s="14" t="inlineStr">
        <is>
          <t>R3: V3 com leads CORRETOS (avião=0, lookup Orig_Dest). 25/25 OPs entregues no dia exato.</t>
        </is>
      </c>
    </row>
    <row r="34" ht="22" customHeight="1">
      <c r="A34" s="14" t="inlineStr">
        <is>
          <t>Carregamento MP R3 usa maior preço de cada mercado (Belém R$56k, VdC R$22k, Joinville R$41k).</t>
        </is>
      </c>
    </row>
    <row r="35" ht="22" customHeight="1">
      <c r="A35" s="14" t="inlineStr">
        <is>
          <t>Carregamento PA R3 usa preço tabela (PA2 R$50, PA3 R$25) sobre buffer estocado nos CDs.</t>
        </is>
      </c>
    </row>
  </sheetData>
  <mergeCells count="11">
    <mergeCell ref="A32:G32"/>
    <mergeCell ref="A1:G1"/>
    <mergeCell ref="A18:G18"/>
    <mergeCell ref="A9:G9"/>
    <mergeCell ref="A31:G31"/>
    <mergeCell ref="A34:G34"/>
    <mergeCell ref="A35:G35"/>
    <mergeCell ref="A30:G30"/>
    <mergeCell ref="A29:G29"/>
    <mergeCell ref="A33:G33"/>
    <mergeCell ref="A28:G28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H69"/>
  <sheetViews>
    <sheetView workbookViewId="0">
      <selection activeCell="A1" sqref="A1"/>
    </sheetView>
  </sheetViews>
  <sheetFormatPr baseColWidth="8" defaultRowHeight="15"/>
  <cols>
    <col width="50" customWidth="1" min="1" max="1"/>
  </cols>
  <sheetData>
    <row r="1">
      <c r="A1" s="1" t="inlineStr">
        <is>
          <t>INDICADORES — formato IND_FLAMENGO (do prof)</t>
        </is>
      </c>
    </row>
    <row r="2"/>
    <row r="3">
      <c r="A3" s="6" t="inlineStr">
        <is>
          <t>BLOCO 1 — CAPACIDADE FABRIL F1</t>
        </is>
      </c>
    </row>
    <row r="4">
      <c r="A4" s="4" t="inlineStr">
        <is>
          <t>Métrica</t>
        </is>
      </c>
      <c r="B4" s="4" t="inlineStr">
        <is>
          <t>Fórmula</t>
        </is>
      </c>
      <c r="C4" s="4" t="inlineStr">
        <is>
          <t>Valor</t>
        </is>
      </c>
      <c r="D4" s="4" t="inlineStr">
        <is>
          <t>Unidade</t>
        </is>
      </c>
    </row>
    <row r="5">
      <c r="A5" t="inlineStr">
        <is>
          <t>Máquinas</t>
        </is>
      </c>
      <c r="B5" t="inlineStr">
        <is>
          <t>input INSTALAÇÕES</t>
        </is>
      </c>
      <c r="C5" s="18" t="n">
        <v>7</v>
      </c>
      <c r="D5" t="inlineStr">
        <is>
          <t>máq</t>
        </is>
      </c>
    </row>
    <row r="6">
      <c r="A6" t="inlineStr">
        <is>
          <t>Turnos/dia</t>
        </is>
      </c>
      <c r="B6" t="inlineStr">
        <is>
          <t>input INSTALAÇÕES</t>
        </is>
      </c>
      <c r="C6" s="18" t="n">
        <v>3</v>
      </c>
      <c r="D6" t="inlineStr">
        <is>
          <t>turnos</t>
        </is>
      </c>
    </row>
    <row r="7">
      <c r="A7" t="inlineStr">
        <is>
          <t>Horas/turno</t>
        </is>
      </c>
      <c r="B7" t="inlineStr">
        <is>
          <t>regra do jogo</t>
        </is>
      </c>
      <c r="C7" s="18" t="n">
        <v>8</v>
      </c>
      <c r="D7" t="inlineStr">
        <is>
          <t>h</t>
        </is>
      </c>
    </row>
    <row r="8">
      <c r="A8" t="inlineStr">
        <is>
          <t>Min/hora</t>
        </is>
      </c>
      <c r="B8" t="inlineStr">
        <is>
          <t>constante</t>
        </is>
      </c>
      <c r="C8" s="18" t="n">
        <v>60</v>
      </c>
      <c r="D8" t="inlineStr">
        <is>
          <t>min/h</t>
        </is>
      </c>
    </row>
    <row r="9">
      <c r="A9" t="inlineStr">
        <is>
          <t>Dias/rodada</t>
        </is>
      </c>
      <c r="B9" t="inlineStr">
        <is>
          <t>constante</t>
        </is>
      </c>
      <c r="C9" s="18" t="n">
        <v>5</v>
      </c>
      <c r="D9" t="inlineStr">
        <is>
          <t>dias</t>
        </is>
      </c>
    </row>
    <row r="10">
      <c r="A10" s="3" t="inlineStr">
        <is>
          <t>Cap min/DIA</t>
        </is>
      </c>
      <c r="B10">
        <f>C5*C6*C7*C8</f>
        <v/>
      </c>
      <c r="C10">
        <f>C5*C6*C7*C8</f>
        <v/>
      </c>
      <c r="D10" t="inlineStr">
        <is>
          <t>min/dia</t>
        </is>
      </c>
    </row>
    <row r="11">
      <c r="A11" s="3" t="inlineStr">
        <is>
          <t>Cap min/RODADA</t>
        </is>
      </c>
      <c r="B11">
        <f>C10*C9</f>
        <v/>
      </c>
      <c r="C11">
        <f>C10*C9</f>
        <v/>
      </c>
      <c r="D11" t="inlineStr">
        <is>
          <t>min/sem</t>
        </is>
      </c>
    </row>
    <row r="12">
      <c r="A12" s="3" t="inlineStr">
        <is>
          <t>Cap HH/SEMANA</t>
        </is>
      </c>
      <c r="B12">
        <f>C5*C6*C7*C9</f>
        <v/>
      </c>
      <c r="C12">
        <f>C5*C6*C7*C9</f>
        <v/>
      </c>
      <c r="D12" t="inlineStr">
        <is>
          <t>HH/sem</t>
        </is>
      </c>
    </row>
    <row r="13"/>
    <row r="14">
      <c r="A14" s="6" t="inlineStr">
        <is>
          <t>BLOCO 2 — UTILIZAÇÃO REAL R3 (do plano)</t>
        </is>
      </c>
    </row>
    <row r="15">
      <c r="A15" s="4" t="inlineStr">
        <is>
          <t>Dia</t>
        </is>
      </c>
      <c r="B15" s="4" t="inlineStr">
        <is>
          <t>PA1 prod</t>
        </is>
      </c>
      <c r="C15" s="4" t="inlineStr">
        <is>
          <t>PA2 prod</t>
        </is>
      </c>
      <c r="D15" s="4" t="inlineStr">
        <is>
          <t>PA3 prod</t>
        </is>
      </c>
      <c r="E15" s="4" t="inlineStr">
        <is>
          <t>Min PA1=qty/15</t>
        </is>
      </c>
      <c r="F15" s="4" t="inlineStr">
        <is>
          <t>Min PA2=qty/30</t>
        </is>
      </c>
      <c r="G15" s="4" t="inlineStr">
        <is>
          <t>Min PA3=qty/60</t>
        </is>
      </c>
      <c r="H15" s="4" t="inlineStr">
        <is>
          <t>Min total</t>
        </is>
      </c>
    </row>
    <row r="16">
      <c r="A16" t="inlineStr">
        <is>
          <t>Dia 1</t>
        </is>
      </c>
      <c r="B16" t="n">
        <v>0</v>
      </c>
      <c r="C16" t="n">
        <v>0</v>
      </c>
      <c r="D16" t="n">
        <v>597271</v>
      </c>
      <c r="E16">
        <f>B16/15</f>
        <v/>
      </c>
      <c r="F16">
        <f>C16/30</f>
        <v/>
      </c>
      <c r="G16">
        <f>D16/60</f>
        <v/>
      </c>
      <c r="H16">
        <f>E16+F16+G16</f>
        <v/>
      </c>
    </row>
    <row r="17">
      <c r="A17" t="inlineStr">
        <is>
          <t>Dia 2</t>
        </is>
      </c>
      <c r="B17" t="n">
        <v>0</v>
      </c>
      <c r="C17" t="n">
        <v>0</v>
      </c>
      <c r="D17" t="n">
        <v>565025</v>
      </c>
      <c r="E17">
        <f>B17/15</f>
        <v/>
      </c>
      <c r="F17">
        <f>C17/30</f>
        <v/>
      </c>
      <c r="G17">
        <f>D17/60</f>
        <v/>
      </c>
      <c r="H17">
        <f>E17+F17+G17</f>
        <v/>
      </c>
    </row>
    <row r="18">
      <c r="A18" t="inlineStr">
        <is>
          <t>Dia 3</t>
        </is>
      </c>
      <c r="B18" t="n">
        <v>0</v>
      </c>
      <c r="C18" t="n">
        <v>0</v>
      </c>
      <c r="D18" t="n">
        <v>0</v>
      </c>
      <c r="E18">
        <f>B18/15</f>
        <v/>
      </c>
      <c r="F18">
        <f>C18/30</f>
        <v/>
      </c>
      <c r="G18">
        <f>D18/60</f>
        <v/>
      </c>
      <c r="H18">
        <f>E18+F18+G18</f>
        <v/>
      </c>
    </row>
    <row r="19">
      <c r="A19" t="inlineStr">
        <is>
          <t>Dia 4</t>
        </is>
      </c>
      <c r="B19" t="n">
        <v>0</v>
      </c>
      <c r="C19" t="n">
        <v>79113</v>
      </c>
      <c r="D19" t="n">
        <v>181397</v>
      </c>
      <c r="E19">
        <f>B19/15</f>
        <v/>
      </c>
      <c r="F19">
        <f>C19/30</f>
        <v/>
      </c>
      <c r="G19">
        <f>D19/60</f>
        <v/>
      </c>
      <c r="H19">
        <f>E19+F19+G19</f>
        <v/>
      </c>
    </row>
    <row r="20">
      <c r="A20" t="inlineStr">
        <is>
          <t>Dia 5</t>
        </is>
      </c>
      <c r="B20" t="n">
        <v>0</v>
      </c>
      <c r="C20" t="n">
        <v>0</v>
      </c>
      <c r="D20" t="n">
        <v>0</v>
      </c>
      <c r="E20">
        <f>B20/15</f>
        <v/>
      </c>
      <c r="F20">
        <f>C20/30</f>
        <v/>
      </c>
      <c r="G20">
        <f>D20/60</f>
        <v/>
      </c>
      <c r="H20">
        <f>E20+F20+G20</f>
        <v/>
      </c>
    </row>
    <row r="21">
      <c r="A21" s="3" t="inlineStr">
        <is>
          <t>TOTAL SEMANA</t>
        </is>
      </c>
      <c r="B21" s="3">
        <f>SUM(B16:B20)</f>
        <v/>
      </c>
      <c r="C21" s="3">
        <f>SUM(C16:C20)</f>
        <v/>
      </c>
      <c r="D21" s="3">
        <f>SUM(D16:D20)</f>
        <v/>
      </c>
      <c r="E21" s="3">
        <f>SUM(E16:E20)</f>
        <v/>
      </c>
      <c r="F21" s="3">
        <f>SUM(F16:F20)</f>
        <v/>
      </c>
      <c r="G21" s="3">
        <f>SUM(G16:G20)</f>
        <v/>
      </c>
      <c r="H21" s="3">
        <f>SUM(H16:H20)</f>
        <v/>
      </c>
    </row>
    <row r="22">
      <c r="A22" s="3" t="inlineStr">
        <is>
          <t>UTILIZAÇÃO REAL</t>
        </is>
      </c>
      <c r="B22" s="9">
        <f>H21/C11</f>
        <v/>
      </c>
      <c r="C22" s="19">
        <f>H21/C11</f>
        <v/>
      </c>
    </row>
    <row r="23">
      <c r="A23" s="3" t="inlineStr">
        <is>
          <t>OCIOSIDADE</t>
        </is>
      </c>
      <c r="B23" s="9">
        <f>1-C22</f>
        <v/>
      </c>
      <c r="C23" s="20">
        <f>1-C22</f>
        <v/>
      </c>
    </row>
    <row r="24"/>
    <row r="25">
      <c r="A25" s="6" t="inlineStr">
        <is>
          <t>BLOCO 3 — NS POR CIDADE (similar ao IND_FLAMENGO)</t>
        </is>
      </c>
    </row>
    <row r="26">
      <c r="A26" s="4" t="inlineStr">
        <is>
          <t>Cidade</t>
        </is>
      </c>
      <c r="B26" s="4" t="inlineStr">
        <is>
          <t>PA1 atend</t>
        </is>
      </c>
      <c r="C26" s="4" t="inlineStr">
        <is>
          <t>PA2 atend</t>
        </is>
      </c>
      <c r="D26" s="4" t="inlineStr">
        <is>
          <t>PA3 atend</t>
        </is>
      </c>
      <c r="E26" s="4" t="inlineStr">
        <is>
          <t>NS PA1</t>
        </is>
      </c>
      <c r="F26" s="4" t="inlineStr">
        <is>
          <t>NS PA2</t>
        </is>
      </c>
      <c r="G26" s="4" t="inlineStr">
        <is>
          <t>NS PA3</t>
        </is>
      </c>
    </row>
    <row r="27">
      <c r="A27" t="inlineStr">
        <is>
          <t>Belo Horizonte</t>
        </is>
      </c>
      <c r="B27" t="inlineStr">
        <is>
          <t>—</t>
        </is>
      </c>
      <c r="C27" t="inlineStr">
        <is>
          <t>—</t>
        </is>
      </c>
      <c r="D27" t="n">
        <v>70544</v>
      </c>
      <c r="G27" s="19">
        <f>D27/70544</f>
        <v/>
      </c>
    </row>
    <row r="28">
      <c r="A28" t="inlineStr">
        <is>
          <t>Belém</t>
        </is>
      </c>
      <c r="B28" t="inlineStr">
        <is>
          <t>—</t>
        </is>
      </c>
      <c r="C28" t="inlineStr">
        <is>
          <t>—</t>
        </is>
      </c>
      <c r="D28" t="n">
        <v>20155</v>
      </c>
      <c r="G28" s="19">
        <f>D28/20155</f>
        <v/>
      </c>
    </row>
    <row r="29">
      <c r="A29" t="inlineStr">
        <is>
          <t>Brasília</t>
        </is>
      </c>
      <c r="B29" t="inlineStr">
        <is>
          <t>—</t>
        </is>
      </c>
      <c r="C29" t="inlineStr">
        <is>
          <t>—</t>
        </is>
      </c>
      <c r="D29" t="n">
        <v>117573</v>
      </c>
      <c r="G29" s="19">
        <f>D29/117573</f>
        <v/>
      </c>
    </row>
    <row r="30">
      <c r="A30" t="inlineStr">
        <is>
          <t>Campinas</t>
        </is>
      </c>
      <c r="B30" t="inlineStr">
        <is>
          <t>—</t>
        </is>
      </c>
      <c r="C30" t="inlineStr">
        <is>
          <t>—</t>
        </is>
      </c>
      <c r="D30" t="n">
        <v>56435</v>
      </c>
      <c r="G30" s="19">
        <f>D30/56435</f>
        <v/>
      </c>
    </row>
    <row r="31">
      <c r="A31" t="inlineStr">
        <is>
          <t>Campo Grande</t>
        </is>
      </c>
      <c r="B31" t="inlineStr">
        <is>
          <t>—</t>
        </is>
      </c>
      <c r="C31" t="inlineStr">
        <is>
          <t>—</t>
        </is>
      </c>
      <c r="D31" t="n">
        <v>23515</v>
      </c>
      <c r="G31" s="19">
        <f>D31/23515</f>
        <v/>
      </c>
    </row>
    <row r="32">
      <c r="A32" t="inlineStr">
        <is>
          <t>Cuiabá</t>
        </is>
      </c>
      <c r="B32" t="inlineStr">
        <is>
          <t>—</t>
        </is>
      </c>
      <c r="C32" t="inlineStr">
        <is>
          <t>—</t>
        </is>
      </c>
      <c r="D32" t="n">
        <v>28218</v>
      </c>
      <c r="G32" s="19">
        <f>D32/28218</f>
        <v/>
      </c>
    </row>
    <row r="33">
      <c r="A33" t="inlineStr">
        <is>
          <t>Curitiba</t>
        </is>
      </c>
      <c r="B33" t="inlineStr">
        <is>
          <t>—</t>
        </is>
      </c>
      <c r="C33" t="inlineStr">
        <is>
          <t>—</t>
        </is>
      </c>
      <c r="D33" t="n">
        <v>103464</v>
      </c>
      <c r="G33" s="19">
        <f>D33/103464</f>
        <v/>
      </c>
    </row>
    <row r="34">
      <c r="A34" t="inlineStr">
        <is>
          <t>Fortaleza</t>
        </is>
      </c>
      <c r="B34" t="inlineStr">
        <is>
          <t>—</t>
        </is>
      </c>
      <c r="C34" t="inlineStr">
        <is>
          <t>—</t>
        </is>
      </c>
      <c r="D34" t="n">
        <v>68528</v>
      </c>
      <c r="G34" s="19">
        <f>D34/68528</f>
        <v/>
      </c>
    </row>
    <row r="35">
      <c r="A35" t="inlineStr">
        <is>
          <t>Goiânia</t>
        </is>
      </c>
      <c r="B35" t="inlineStr">
        <is>
          <t>—</t>
        </is>
      </c>
      <c r="C35" t="inlineStr">
        <is>
          <t>—</t>
        </is>
      </c>
      <c r="D35" t="n">
        <v>65841</v>
      </c>
      <c r="G35" s="19">
        <f>D35/65841</f>
        <v/>
      </c>
    </row>
    <row r="36">
      <c r="A36" t="inlineStr">
        <is>
          <t>Joinville</t>
        </is>
      </c>
      <c r="B36" t="inlineStr">
        <is>
          <t>—</t>
        </is>
      </c>
      <c r="C36" t="inlineStr">
        <is>
          <t>—</t>
        </is>
      </c>
      <c r="D36" t="n">
        <v>28218</v>
      </c>
      <c r="G36" s="19">
        <f>D36/28218</f>
        <v/>
      </c>
    </row>
    <row r="37">
      <c r="A37" t="inlineStr">
        <is>
          <t>João Pessoa</t>
        </is>
      </c>
      <c r="B37" t="inlineStr">
        <is>
          <t>—</t>
        </is>
      </c>
      <c r="C37" t="inlineStr">
        <is>
          <t>—</t>
        </is>
      </c>
      <c r="D37" t="n">
        <v>40311</v>
      </c>
      <c r="G37" s="19">
        <f>D37/40311</f>
        <v/>
      </c>
    </row>
    <row r="38">
      <c r="A38" t="inlineStr">
        <is>
          <t>Maceió</t>
        </is>
      </c>
      <c r="B38" t="inlineStr">
        <is>
          <t>—</t>
        </is>
      </c>
      <c r="C38" t="inlineStr">
        <is>
          <t>—</t>
        </is>
      </c>
      <c r="D38" t="n">
        <v>40311</v>
      </c>
      <c r="G38" s="19">
        <f>D38/40311</f>
        <v/>
      </c>
    </row>
    <row r="39">
      <c r="A39" t="inlineStr">
        <is>
          <t>Manaus</t>
        </is>
      </c>
      <c r="B39" t="inlineStr">
        <is>
          <t>—</t>
        </is>
      </c>
      <c r="C39" t="inlineStr">
        <is>
          <t>—</t>
        </is>
      </c>
      <c r="D39" t="n">
        <v>20155</v>
      </c>
      <c r="G39" s="19">
        <f>D39/20155</f>
        <v/>
      </c>
    </row>
    <row r="40">
      <c r="A40" t="inlineStr">
        <is>
          <t>Natal</t>
        </is>
      </c>
      <c r="B40" t="inlineStr">
        <is>
          <t>—</t>
        </is>
      </c>
      <c r="C40" t="inlineStr">
        <is>
          <t>—</t>
        </is>
      </c>
      <c r="D40" t="n">
        <v>40311</v>
      </c>
      <c r="G40" s="19">
        <f>D40/40311</f>
        <v/>
      </c>
    </row>
    <row r="41">
      <c r="A41" t="inlineStr">
        <is>
          <t>Porto Alegre</t>
        </is>
      </c>
      <c r="B41" t="inlineStr">
        <is>
          <t>—</t>
        </is>
      </c>
      <c r="C41" t="inlineStr">
        <is>
          <t>—</t>
        </is>
      </c>
      <c r="D41" t="n">
        <v>103464</v>
      </c>
      <c r="G41" s="19">
        <f>D41/103464</f>
        <v/>
      </c>
    </row>
    <row r="42">
      <c r="A42" t="inlineStr">
        <is>
          <t>Recife</t>
        </is>
      </c>
      <c r="B42" t="inlineStr">
        <is>
          <t>—</t>
        </is>
      </c>
      <c r="C42" t="inlineStr">
        <is>
          <t>—</t>
        </is>
      </c>
      <c r="D42" t="n">
        <v>60466</v>
      </c>
      <c r="G42" s="19">
        <f>D42/60466</f>
        <v/>
      </c>
    </row>
    <row r="43">
      <c r="A43" t="inlineStr">
        <is>
          <t>Ribeirão Preto</t>
        </is>
      </c>
      <c r="B43" t="inlineStr">
        <is>
          <t>—</t>
        </is>
      </c>
      <c r="C43" t="inlineStr">
        <is>
          <t>—</t>
        </is>
      </c>
      <c r="D43" t="n">
        <v>47029</v>
      </c>
      <c r="G43" s="19">
        <f>D43/47029</f>
        <v/>
      </c>
    </row>
    <row r="44">
      <c r="A44" t="inlineStr">
        <is>
          <t>Rio de Janeiro</t>
        </is>
      </c>
      <c r="B44" t="inlineStr">
        <is>
          <t>—</t>
        </is>
      </c>
      <c r="C44" t="inlineStr">
        <is>
          <t>—</t>
        </is>
      </c>
      <c r="D44" t="n">
        <v>94059</v>
      </c>
      <c r="G44" s="19">
        <f>D44/94059</f>
        <v/>
      </c>
    </row>
    <row r="45">
      <c r="A45" t="inlineStr">
        <is>
          <t>Salvador</t>
        </is>
      </c>
      <c r="B45" t="inlineStr">
        <is>
          <t>—</t>
        </is>
      </c>
      <c r="C45" t="inlineStr">
        <is>
          <t>—</t>
        </is>
      </c>
      <c r="D45" t="n">
        <v>80622</v>
      </c>
      <c r="G45" s="19">
        <f>D45/80622</f>
        <v/>
      </c>
    </row>
    <row r="46">
      <c r="A46" t="inlineStr">
        <is>
          <t>Santos</t>
        </is>
      </c>
      <c r="B46" t="inlineStr">
        <is>
          <t>—</t>
        </is>
      </c>
      <c r="C46" t="inlineStr">
        <is>
          <t>—</t>
        </is>
      </c>
      <c r="D46" t="n">
        <v>47029</v>
      </c>
      <c r="G46" s="19">
        <f>D46/47029</f>
        <v/>
      </c>
    </row>
    <row r="47">
      <c r="A47" t="inlineStr">
        <is>
          <t>São Luís</t>
        </is>
      </c>
      <c r="B47" t="inlineStr">
        <is>
          <t>—</t>
        </is>
      </c>
      <c r="C47" t="inlineStr">
        <is>
          <t>—</t>
        </is>
      </c>
      <c r="D47" t="n">
        <v>20155</v>
      </c>
      <c r="G47" s="19">
        <f>D47/20155</f>
        <v/>
      </c>
    </row>
    <row r="48">
      <c r="A48" t="inlineStr">
        <is>
          <t>São Paulo</t>
        </is>
      </c>
      <c r="B48" t="inlineStr">
        <is>
          <t>—</t>
        </is>
      </c>
      <c r="C48" t="inlineStr">
        <is>
          <t>—</t>
        </is>
      </c>
      <c r="D48" t="n">
        <v>117573</v>
      </c>
      <c r="G48" s="19">
        <f>D48/117573</f>
        <v/>
      </c>
    </row>
    <row r="49">
      <c r="A49" t="inlineStr">
        <is>
          <t>Uberlândia</t>
        </is>
      </c>
      <c r="B49" t="inlineStr">
        <is>
          <t>—</t>
        </is>
      </c>
      <c r="C49" t="inlineStr">
        <is>
          <t>—</t>
        </is>
      </c>
      <c r="D49" t="n">
        <v>23515</v>
      </c>
      <c r="G49" s="19">
        <f>D49/23515</f>
        <v/>
      </c>
    </row>
    <row r="50">
      <c r="A50" t="inlineStr">
        <is>
          <t>Vitória</t>
        </is>
      </c>
      <c r="B50" t="inlineStr">
        <is>
          <t>—</t>
        </is>
      </c>
      <c r="C50" t="inlineStr">
        <is>
          <t>—</t>
        </is>
      </c>
      <c r="D50" t="n">
        <v>14109</v>
      </c>
      <c r="G50" s="19">
        <f>D50/14109</f>
        <v/>
      </c>
    </row>
    <row r="51">
      <c r="A51" t="inlineStr">
        <is>
          <t>Vitória da Conquista</t>
        </is>
      </c>
      <c r="B51" t="inlineStr">
        <is>
          <t>—</t>
        </is>
      </c>
      <c r="C51" t="inlineStr">
        <is>
          <t>—</t>
        </is>
      </c>
      <c r="D51" t="n">
        <v>12093</v>
      </c>
      <c r="G51" s="19">
        <f>D51/12093</f>
        <v/>
      </c>
    </row>
    <row r="52">
      <c r="A52" s="3" t="inlineStr">
        <is>
          <t>TOTAL BRASIL</t>
        </is>
      </c>
      <c r="B52" t="inlineStr">
        <is>
          <t>—</t>
        </is>
      </c>
      <c r="C52" t="inlineStr">
        <is>
          <t>—</t>
        </is>
      </c>
      <c r="D52" t="n">
        <v>1343693</v>
      </c>
      <c r="G52" s="21" t="n">
        <v>1</v>
      </c>
    </row>
    <row r="53"/>
    <row r="54">
      <c r="A54" s="6" t="inlineStr">
        <is>
          <t>BLOCO 4 — OCUPAÇÃO POR MODAL (similar ao IND_FLAMENGO transporte)</t>
        </is>
      </c>
    </row>
    <row r="55">
      <c r="A55" s="4" t="inlineStr">
        <is>
          <t>Modal</t>
        </is>
      </c>
      <c r="B55" s="4" t="inlineStr">
        <is>
          <t>Viagens</t>
        </is>
      </c>
      <c r="C55" s="4" t="inlineStr">
        <is>
          <t>Cap/viagem (t)</t>
        </is>
      </c>
      <c r="D55" s="4" t="inlineStr">
        <is>
          <t>Cap total (t)</t>
        </is>
      </c>
      <c r="E55" s="4" t="inlineStr">
        <is>
          <t>Peso transp. (t)</t>
        </is>
      </c>
      <c r="F55" s="4" t="inlineStr">
        <is>
          <t>Ocupação %</t>
        </is>
      </c>
      <c r="G55" s="4" t="inlineStr">
        <is>
          <t>Custo/ton</t>
        </is>
      </c>
      <c r="H55" s="4" t="inlineStr">
        <is>
          <t>Distribuição %</t>
        </is>
      </c>
    </row>
    <row r="56">
      <c r="A56" t="inlineStr">
        <is>
          <t>Caminhão</t>
        </is>
      </c>
      <c r="B56" t="n">
        <v>19</v>
      </c>
      <c r="C56" t="n">
        <v>24</v>
      </c>
      <c r="D56">
        <f>B56*C56</f>
        <v/>
      </c>
      <c r="E56" t="n">
        <v>250.53</v>
      </c>
      <c r="F56" s="9">
        <f>E56/D56</f>
        <v/>
      </c>
      <c r="G56" s="7" t="n">
        <v>985.67</v>
      </c>
      <c r="H56" s="9" t="n">
        <v>0.4520588062547893</v>
      </c>
    </row>
    <row r="57">
      <c r="A57" t="inlineStr">
        <is>
          <t>Navio</t>
        </is>
      </c>
      <c r="B57" t="n">
        <v>8</v>
      </c>
      <c r="C57" t="n">
        <v>100</v>
      </c>
      <c r="D57">
        <f>B57*C57</f>
        <v/>
      </c>
      <c r="E57" t="n">
        <v>170.14</v>
      </c>
      <c r="F57" s="9">
        <f>E57/D57</f>
        <v/>
      </c>
      <c r="G57" s="7" t="n">
        <v>106.93</v>
      </c>
      <c r="H57" s="9" t="n">
        <v>0.3069984336773182</v>
      </c>
    </row>
    <row r="58">
      <c r="A58" t="inlineStr">
        <is>
          <t>Avião</t>
        </is>
      </c>
      <c r="B58" t="n">
        <v>140</v>
      </c>
      <c r="C58" t="n">
        <v>1</v>
      </c>
      <c r="D58">
        <f>B58*C58</f>
        <v/>
      </c>
      <c r="E58" t="n">
        <v>133.53</v>
      </c>
      <c r="F58" s="9">
        <f>E58/D58</f>
        <v/>
      </c>
      <c r="G58" s="7" t="n">
        <v>10499.63</v>
      </c>
      <c r="H58" s="9" t="n">
        <v>0.2409427600678925</v>
      </c>
    </row>
    <row r="59">
      <c r="A59" s="3" t="inlineStr">
        <is>
          <t>TOTAL</t>
        </is>
      </c>
      <c r="B59">
        <f>SUM(B56:B58)</f>
        <v/>
      </c>
      <c r="E59">
        <f>SUM(E56:E58)</f>
        <v/>
      </c>
      <c r="G59" s="7" t="n">
        <v>3008.22</v>
      </c>
    </row>
    <row r="60">
      <c r="A60" t="inlineStr">
        <is>
          <t>Limite jogo (cap)</t>
        </is>
      </c>
      <c r="B60" t="n">
        <v>220</v>
      </c>
      <c r="F60" t="inlineStr">
        <is>
          <t>≤220 = OK</t>
        </is>
      </c>
    </row>
    <row r="61"/>
    <row r="62">
      <c r="A62" s="6" t="inlineStr">
        <is>
          <t>BLOCO 5 — CUSTO MÉDIO POR FRASCO (similar ao 'Custo Médio Real')</t>
        </is>
      </c>
    </row>
    <row r="63">
      <c r="A63" t="inlineStr">
        <is>
          <t>Frascos produzidos R3</t>
        </is>
      </c>
      <c r="C63" t="n">
        <v>1422806</v>
      </c>
    </row>
    <row r="64">
      <c r="A64" t="inlineStr">
        <is>
          <t>Custos fixos R3</t>
        </is>
      </c>
      <c r="C64" s="7" t="n">
        <v>1123151</v>
      </c>
    </row>
    <row r="65">
      <c r="A65" t="inlineStr">
        <is>
          <t>Compra MP R3</t>
        </is>
      </c>
      <c r="C65" s="7" t="n">
        <v>5274480.319999999</v>
      </c>
    </row>
    <row r="66">
      <c r="A66" t="inlineStr">
        <is>
          <t>Frete (MP+PA)</t>
        </is>
      </c>
      <c r="C66" s="7" t="n">
        <v>1667142.7840175</v>
      </c>
    </row>
    <row r="67">
      <c r="A67" t="inlineStr">
        <is>
          <t>Carregamento (MP+PA)</t>
        </is>
      </c>
      <c r="C67" s="7" t="n">
        <v>73638.81435</v>
      </c>
    </row>
    <row r="68">
      <c r="A68" s="3" t="inlineStr">
        <is>
          <t>CUSTO MÉDIO INSTALAÇÃO / frasco</t>
        </is>
      </c>
      <c r="B68">
        <f> Fixos / Frascos = C64/C63</f>
        <v/>
      </c>
      <c r="C68" s="13">
        <f>C64/C63</f>
        <v/>
      </c>
    </row>
    <row r="69">
      <c r="A69" s="3" t="inlineStr">
        <is>
          <t>CUSTO MÉDIO REAL / frasco</t>
        </is>
      </c>
      <c r="B69">
        <f> (Fixos+MP+Frete+Carreg) / Frascos</f>
        <v/>
      </c>
      <c r="C69" s="13">
        <f>(C64+C65+C66+C67)/C63</f>
        <v/>
      </c>
    </row>
  </sheetData>
  <mergeCells count="6">
    <mergeCell ref="A62:H62"/>
    <mergeCell ref="A3:H3"/>
    <mergeCell ref="A25:H25"/>
    <mergeCell ref="A54:H54"/>
    <mergeCell ref="A14:H14"/>
    <mergeCell ref="A1:H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E22"/>
  <sheetViews>
    <sheetView workbookViewId="0">
      <selection activeCell="A1" sqref="A1"/>
    </sheetView>
  </sheetViews>
  <sheetFormatPr baseColWidth="8" defaultRowHeight="15"/>
  <cols>
    <col width="50" customWidth="1" min="1" max="1"/>
  </cols>
  <sheetData>
    <row r="1">
      <c r="A1" s="1" t="inlineStr">
        <is>
          <t>SANITY CHECKS AUTOMATIZADOS</t>
        </is>
      </c>
    </row>
    <row r="2"/>
    <row r="3">
      <c r="A3" s="4" t="inlineStr">
        <is>
          <t>#</t>
        </is>
      </c>
      <c r="B3" s="4" t="inlineStr">
        <is>
          <t>Checagem</t>
        </is>
      </c>
      <c r="C3" s="4" t="inlineStr">
        <is>
          <t>Valor</t>
        </is>
      </c>
      <c r="D3" s="4" t="inlineStr">
        <is>
          <t>Esperado</t>
        </is>
      </c>
      <c r="E3" s="4" t="inlineStr">
        <is>
          <t>Status</t>
        </is>
      </c>
    </row>
    <row r="4">
      <c r="A4" t="n">
        <v>1</v>
      </c>
      <c r="B4" t="inlineStr">
        <is>
          <t>Transportes ≤ 220</t>
        </is>
      </c>
      <c r="C4" t="n">
        <v>167</v>
      </c>
      <c r="D4" t="inlineStr">
        <is>
          <t>≤ 220</t>
        </is>
      </c>
      <c r="E4" s="12" t="inlineStr">
        <is>
          <t>✅ OK</t>
        </is>
      </c>
    </row>
    <row r="5">
      <c r="A5" t="n">
        <v>2</v>
      </c>
      <c r="B5" t="inlineStr">
        <is>
          <t>Min usados ≤ Cap/dia</t>
        </is>
      </c>
      <c r="C5" t="n">
        <v>9955</v>
      </c>
      <c r="D5" t="inlineStr">
        <is>
          <t>≤ 10080</t>
        </is>
      </c>
      <c r="E5" s="12" t="inlineStr">
        <is>
          <t>✅ OK</t>
        </is>
      </c>
    </row>
    <row r="6">
      <c r="A6" t="n">
        <v>3</v>
      </c>
      <c r="B6" t="inlineStr">
        <is>
          <t>OPs entregues no dia exato</t>
        </is>
      </c>
      <c r="C6" t="n">
        <v>25</v>
      </c>
      <c r="D6" t="inlineStr">
        <is>
          <t>25</t>
        </is>
      </c>
      <c r="E6" s="12" t="inlineStr">
        <is>
          <t>✅ OK</t>
        </is>
      </c>
    </row>
    <row r="7">
      <c r="A7" t="n">
        <v>4</v>
      </c>
      <c r="B7" t="inlineStr">
        <is>
          <t>Estoque MP nunca negativo (dia a dia)</t>
        </is>
      </c>
      <c r="C7" t="inlineStr">
        <is>
          <t>0 dias</t>
        </is>
      </c>
      <c r="D7" t="inlineStr">
        <is>
          <t>0</t>
        </is>
      </c>
      <c r="E7" s="12" t="inlineStr">
        <is>
          <t>✅ OK</t>
        </is>
      </c>
    </row>
    <row r="8">
      <c r="A8" t="n">
        <v>5</v>
      </c>
      <c r="B8" t="inlineStr">
        <is>
          <t>Estoque MP nunca excede cap (descarte=0)</t>
        </is>
      </c>
      <c r="C8" t="inlineStr">
        <is>
          <t>0 eventos</t>
        </is>
      </c>
      <c r="D8" t="inlineStr">
        <is>
          <t>0</t>
        </is>
      </c>
      <c r="E8" s="12" t="inlineStr">
        <is>
          <t>✅ OK</t>
        </is>
      </c>
    </row>
    <row r="9">
      <c r="A9" t="n">
        <v>6</v>
      </c>
      <c r="B9" t="inlineStr">
        <is>
          <t>Estoque PA CD nunca negativo</t>
        </is>
      </c>
      <c r="C9" t="inlineStr">
        <is>
          <t>0 dias</t>
        </is>
      </c>
      <c r="D9" t="inlineStr">
        <is>
          <t>0</t>
        </is>
      </c>
      <c r="E9" s="12" t="inlineStr">
        <is>
          <t>✅ OK</t>
        </is>
      </c>
    </row>
    <row r="10">
      <c r="A10" t="n">
        <v>7</v>
      </c>
      <c r="B10" t="inlineStr">
        <is>
          <t>Estoque PA CD ≤ cap CD</t>
        </is>
      </c>
      <c r="C10" t="inlineStr">
        <is>
          <t>0 excede</t>
        </is>
      </c>
      <c r="D10" t="inlineStr">
        <is>
          <t>0</t>
        </is>
      </c>
      <c r="E10" s="12" t="inlineStr">
        <is>
          <t>✅ OK</t>
        </is>
      </c>
    </row>
    <row r="11">
      <c r="A11" t="n">
        <v>8</v>
      </c>
      <c r="B11" t="inlineStr">
        <is>
          <t>MP1 final F1 ≤ cap</t>
        </is>
      </c>
      <c r="C11" t="n">
        <v>25.65</v>
      </c>
      <c r="D11" t="n">
        <v>127</v>
      </c>
      <c r="E11" s="12" t="inlineStr">
        <is>
          <t>✅ OK</t>
        </is>
      </c>
    </row>
    <row r="12">
      <c r="A12" t="n">
        <v>9</v>
      </c>
      <c r="B12" t="inlineStr">
        <is>
          <t>MP2 final F1 ≤ cap</t>
        </is>
      </c>
      <c r="C12" t="n">
        <v>0.16</v>
      </c>
      <c r="D12" t="n">
        <v>50.4</v>
      </c>
      <c r="E12" s="12" t="inlineStr">
        <is>
          <t>✅ OK</t>
        </is>
      </c>
    </row>
    <row r="13">
      <c r="A13" t="n">
        <v>10</v>
      </c>
      <c r="B13" t="inlineStr">
        <is>
          <t>MP3 final F1 ≤ cap</t>
        </is>
      </c>
      <c r="C13" t="n">
        <v>48.01</v>
      </c>
      <c r="D13" t="n">
        <v>75.59999999999999</v>
      </c>
      <c r="E13" s="12" t="inlineStr">
        <is>
          <t>✅ OK</t>
        </is>
      </c>
    </row>
    <row r="14">
      <c r="A14" t="n">
        <v>11</v>
      </c>
      <c r="B14" t="inlineStr">
        <is>
          <t>Buffer PA2 R4 ≤ cap CD2</t>
        </is>
      </c>
      <c r="C14" t="n">
        <v>79113</v>
      </c>
      <c r="D14" t="n">
        <v>400000</v>
      </c>
      <c r="E14" s="12" t="inlineStr">
        <is>
          <t>✅ OK</t>
        </is>
      </c>
    </row>
    <row r="15">
      <c r="A15" t="n">
        <v>12</v>
      </c>
      <c r="B15" t="inlineStr">
        <is>
          <t>MP do fornec mais barato</t>
        </is>
      </c>
      <c r="C15" t="inlineStr">
        <is>
          <t>OK</t>
        </is>
      </c>
      <c r="D15" t="inlineStr">
        <is>
          <t>OK</t>
        </is>
      </c>
      <c r="E15" s="12" t="inlineStr">
        <is>
          <t>✅ OK</t>
        </is>
      </c>
    </row>
    <row r="16"/>
    <row r="17"/>
    <row r="18">
      <c r="A18" s="17" t="inlineStr">
        <is>
          <t>⚠️ AVISOS</t>
        </is>
      </c>
    </row>
    <row r="19" ht="25" customHeight="1">
      <c r="A19" s="14" t="inlineStr">
        <is>
          <t>MP2 inicial 99.9% (50.36/50.4t). Em-trânsito MP2 R3: zero (Cuiabá R2 já entregue).</t>
        </is>
      </c>
    </row>
    <row r="20" ht="25" customHeight="1">
      <c r="A20" s="14" t="inlineStr">
        <is>
          <t>Buffer PA2 R4 = 79,113 frascos (limitado por cap MP2 → cobre 14% da forecast R4).</t>
        </is>
      </c>
    </row>
    <row r="21" ht="25" customHeight="1">
      <c r="A21" s="14" t="inlineStr">
        <is>
          <t>CD1 São Luís está OCIOSO em R3 (todos os 25 OPs roteados via CD2 Santos por economia).</t>
        </is>
      </c>
    </row>
    <row r="22" ht="25" customHeight="1">
      <c r="A22" s="14" t="inlineStr">
        <is>
          <t>Manaus MP1 lt=3d: ordens R3 Dia 1-2 chegam Day 4-5; Dia 3 → R4 D1.</t>
        </is>
      </c>
    </row>
  </sheetData>
  <mergeCells count="6">
    <mergeCell ref="A21:E21"/>
    <mergeCell ref="A20:E20"/>
    <mergeCell ref="A19:E19"/>
    <mergeCell ref="A1:E1"/>
    <mergeCell ref="A22:E22"/>
    <mergeCell ref="A18:E18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2026-05-26T21:43:22Z</dcterms:created>
  <dcterms:modified xsi:type="dcterms:W3CDTF">2026-05-26T21:43:22Z</dcterms:modified>
</cp:coreProperties>
</file>